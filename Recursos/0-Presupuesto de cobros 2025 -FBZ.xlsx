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eb6fa0d88ea4cf/Oficina -2025 -DAFF/Oficina 2026/Cuentas de Cobro/"/>
    </mc:Choice>
  </mc:AlternateContent>
  <xr:revisionPtr revIDLastSave="524" documentId="14_{6393A801-7174-4559-AE00-44FEA2FC8822}" xr6:coauthVersionLast="47" xr6:coauthVersionMax="47" xr10:uidLastSave="{013A371F-4F4A-4EAB-A2BF-82FD07E9FE66}"/>
  <bookViews>
    <workbookView xWindow="-120" yWindow="-120" windowWidth="38640" windowHeight="21120" tabRatio="939" activeTab="2" xr2:uid="{00000000-000D-0000-FFFF-FFFF00000000}"/>
  </bookViews>
  <sheets>
    <sheet name="Grupos Familiares" sheetId="2" r:id="rId1"/>
    <sheet name="Facturas" sheetId="4" r:id="rId2"/>
    <sheet name="Cuentas de Cobro" sheetId="5" r:id="rId3"/>
    <sheet name="Consolidado Cobros" sheetId="1" r:id="rId4"/>
    <sheet name="Otras Asesorías y Préstamos" sheetId="6" r:id="rId5"/>
    <sheet name="Facturas año anterior" sheetId="12" r:id="rId6"/>
    <sheet name="C de C año anterior" sheetId="11" r:id="rId7"/>
    <sheet name="Asesorías AG anterior" sheetId="16" r:id="rId8"/>
    <sheet name="Vencimientos Pnas Nat AG" sheetId="13" r:id="rId9"/>
    <sheet name="Vencimientos Pnas Jcas AG" sheetId="14" r:id="rId10"/>
    <sheet name="Códigos" sheetId="10" r:id="rId11"/>
    <sheet name="TABLA RetFte" sheetId="15" r:id="rId12"/>
  </sheets>
  <definedNames>
    <definedName name="_xlnm._FilterDatabase" localSheetId="4" hidden="1">'Otras Asesorías y Préstamos'!$A$1:$AB$238</definedName>
    <definedName name="_Toc464338185" localSheetId="11">'TABLA RetFte'!$A$16</definedName>
    <definedName name="_xlnm.Print_Area" localSheetId="3">'Consolidado Cobros'!$A$9:$N$330</definedName>
    <definedName name="_xlnm.Print_Area" localSheetId="2">'Cuentas de Cobro'!$A$8:$D$213</definedName>
    <definedName name="_xlnm.Print_Area" localSheetId="1">Facturas!$A$53:$T$80</definedName>
    <definedName name="_xlnm.Print_Area" localSheetId="0">'Grupos Familiares'!$A$8:$J$507</definedName>
    <definedName name="_xlnm.Print_Area">'Grupos Familiares'!$A$8:$I$85</definedName>
    <definedName name="_xlnm.Print_Titles" localSheetId="3">'Consolidado Cobros'!$2:$8</definedName>
    <definedName name="_xlnm.Print_Titles" localSheetId="2">'Cuentas de Cobro'!$2:$4</definedName>
    <definedName name="_xlnm.Print_Titles" localSheetId="1">Facturas!$2:$7</definedName>
    <definedName name="_xlnm.Print_Titles" localSheetId="0">'Grupos Familiares'!$2:$7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0" i="5" l="1"/>
  <c r="AH10" i="5" s="1"/>
  <c r="F10" i="5" s="1"/>
  <c r="AG10" i="5"/>
  <c r="AF10" i="5"/>
  <c r="AE10" i="5"/>
  <c r="AC10" i="5"/>
  <c r="AA10" i="5"/>
  <c r="Y10" i="5"/>
  <c r="W10" i="5"/>
  <c r="U10" i="5"/>
  <c r="S10" i="5"/>
  <c r="E10" i="5"/>
  <c r="J11" i="1"/>
  <c r="I11" i="1"/>
  <c r="H11" i="1"/>
  <c r="G11" i="1"/>
  <c r="F11" i="1"/>
  <c r="E11" i="1"/>
  <c r="D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 s="1"/>
  <c r="A29" i="1" s="1"/>
  <c r="A30" i="1" s="1"/>
  <c r="A31" i="1" s="1"/>
  <c r="A32" i="1" s="1"/>
  <c r="A33" i="1" s="1"/>
  <c r="A34" i="1" s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11" i="1"/>
  <c r="D10" i="5"/>
  <c r="C10" i="5"/>
  <c r="L11" i="1" l="1"/>
  <c r="N11" i="1" s="1"/>
  <c r="D60" i="5" l="1"/>
  <c r="D179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9" i="5"/>
  <c r="D140" i="5"/>
  <c r="D141" i="5"/>
  <c r="D143" i="5"/>
  <c r="D144" i="5"/>
  <c r="D145" i="5"/>
  <c r="D146" i="5"/>
  <c r="D147" i="5"/>
  <c r="D148" i="5"/>
  <c r="D149" i="5"/>
  <c r="D150" i="5"/>
  <c r="D151" i="5"/>
  <c r="D152" i="5"/>
  <c r="D153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Y85" i="4"/>
  <c r="X85" i="4"/>
  <c r="W68" i="4"/>
  <c r="W61" i="4"/>
  <c r="W58" i="4"/>
  <c r="R219" i="6" l="1"/>
  <c r="AG180" i="5" l="1"/>
  <c r="AF180" i="5"/>
  <c r="AE180" i="5"/>
  <c r="AC180" i="5"/>
  <c r="AA180" i="5"/>
  <c r="Y180" i="5"/>
  <c r="W180" i="5"/>
  <c r="U180" i="5"/>
  <c r="S180" i="5"/>
  <c r="E180" i="5"/>
  <c r="A55" i="4" l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R80" i="2" l="1"/>
  <c r="T179" i="6"/>
  <c r="R179" i="6"/>
  <c r="R22" i="6"/>
  <c r="R82" i="2" l="1"/>
  <c r="U110" i="6"/>
  <c r="U111" i="6"/>
  <c r="U30" i="6"/>
  <c r="U65" i="2"/>
  <c r="R65" i="2"/>
  <c r="R177" i="6"/>
  <c r="L43" i="2"/>
  <c r="L42" i="2"/>
  <c r="L96" i="2"/>
  <c r="P22" i="6"/>
  <c r="S25" i="2"/>
  <c r="R25" i="2"/>
  <c r="Q25" i="2"/>
  <c r="S21" i="2"/>
  <c r="R21" i="2"/>
  <c r="Q21" i="2"/>
  <c r="E152" i="5" l="1"/>
  <c r="H118" i="6" l="1"/>
  <c r="H117" i="6"/>
  <c r="J137" i="1" l="1"/>
  <c r="I137" i="1"/>
  <c r="H137" i="1"/>
  <c r="G137" i="1"/>
  <c r="F137" i="1"/>
  <c r="E137" i="1"/>
  <c r="D137" i="1"/>
  <c r="AG112" i="5"/>
  <c r="AF112" i="5"/>
  <c r="AE112" i="5"/>
  <c r="AC112" i="5"/>
  <c r="AA112" i="5"/>
  <c r="Y112" i="5"/>
  <c r="W112" i="5"/>
  <c r="U112" i="5"/>
  <c r="S112" i="5"/>
  <c r="E112" i="5"/>
  <c r="R226" i="6"/>
  <c r="R118" i="6"/>
  <c r="R117" i="6"/>
  <c r="R82" i="6"/>
  <c r="R73" i="6"/>
  <c r="R72" i="6"/>
  <c r="R45" i="6"/>
  <c r="R20" i="6"/>
  <c r="L137" i="1" l="1"/>
  <c r="N137" i="1" s="1"/>
  <c r="AG152" i="5" l="1"/>
  <c r="AF152" i="5"/>
  <c r="AE152" i="5"/>
  <c r="AC152" i="5"/>
  <c r="AA152" i="5"/>
  <c r="Y152" i="5"/>
  <c r="W152" i="5"/>
  <c r="U152" i="5"/>
  <c r="S152" i="5"/>
  <c r="D206" i="1"/>
  <c r="J206" i="1"/>
  <c r="I206" i="1"/>
  <c r="H206" i="1"/>
  <c r="G206" i="1"/>
  <c r="F206" i="1"/>
  <c r="E207" i="1"/>
  <c r="E206" i="1"/>
  <c r="C152" i="5"/>
  <c r="F68" i="1" l="1"/>
  <c r="H175" i="2"/>
  <c r="C27" i="5" l="1"/>
  <c r="C26" i="5"/>
  <c r="C25" i="5"/>
  <c r="C24" i="5"/>
  <c r="C23" i="5"/>
  <c r="C22" i="5"/>
  <c r="AG26" i="5" l="1"/>
  <c r="AF26" i="5"/>
  <c r="AE26" i="5"/>
  <c r="AC26" i="5"/>
  <c r="AA26" i="5"/>
  <c r="Y26" i="5"/>
  <c r="W26" i="5"/>
  <c r="U26" i="5"/>
  <c r="S26" i="5"/>
  <c r="E26" i="5"/>
  <c r="AE22" i="5"/>
  <c r="AG22" i="5"/>
  <c r="AF22" i="5"/>
  <c r="AC22" i="5"/>
  <c r="AA22" i="5"/>
  <c r="Y22" i="5"/>
  <c r="W22" i="5"/>
  <c r="U22" i="5"/>
  <c r="S22" i="5"/>
  <c r="D24" i="5"/>
  <c r="E22" i="5"/>
  <c r="AH26" i="5" l="1"/>
  <c r="F26" i="5" s="1"/>
  <c r="AH22" i="5"/>
  <c r="F22" i="5" s="1"/>
  <c r="AA68" i="4"/>
  <c r="AA61" i="4"/>
  <c r="AA58" i="4"/>
  <c r="A4" i="5" l="1"/>
  <c r="A4" i="4"/>
  <c r="A368" i="2"/>
  <c r="A367" i="2"/>
  <c r="AG242" i="5" l="1"/>
  <c r="AE242" i="5"/>
  <c r="AC242" i="5"/>
  <c r="AA242" i="5"/>
  <c r="Y242" i="5"/>
  <c r="W242" i="5"/>
  <c r="U242" i="5"/>
  <c r="S242" i="5"/>
  <c r="Q242" i="5"/>
  <c r="D242" i="5"/>
  <c r="E242" i="5" s="1"/>
  <c r="C242" i="5"/>
  <c r="AG241" i="5"/>
  <c r="AE241" i="5"/>
  <c r="AC241" i="5"/>
  <c r="AA241" i="5"/>
  <c r="Y241" i="5"/>
  <c r="W241" i="5"/>
  <c r="U241" i="5"/>
  <c r="S241" i="5"/>
  <c r="Q241" i="5"/>
  <c r="D241" i="5"/>
  <c r="E241" i="5" s="1"/>
  <c r="C241" i="5"/>
  <c r="AG240" i="5"/>
  <c r="AE240" i="5"/>
  <c r="AC240" i="5"/>
  <c r="AA240" i="5"/>
  <c r="Y240" i="5"/>
  <c r="W240" i="5"/>
  <c r="U240" i="5"/>
  <c r="S240" i="5"/>
  <c r="Q240" i="5"/>
  <c r="D240" i="5"/>
  <c r="E240" i="5" s="1"/>
  <c r="C240" i="5"/>
  <c r="AG239" i="5"/>
  <c r="AE239" i="5"/>
  <c r="AC239" i="5"/>
  <c r="AA239" i="5"/>
  <c r="Y239" i="5"/>
  <c r="W239" i="5"/>
  <c r="U239" i="5"/>
  <c r="S239" i="5"/>
  <c r="Q239" i="5"/>
  <c r="D239" i="5"/>
  <c r="E239" i="5" s="1"/>
  <c r="C239" i="5"/>
  <c r="AG238" i="5"/>
  <c r="AE238" i="5"/>
  <c r="AC238" i="5"/>
  <c r="AA238" i="5"/>
  <c r="Y238" i="5"/>
  <c r="W238" i="5"/>
  <c r="U238" i="5"/>
  <c r="S238" i="5"/>
  <c r="Q238" i="5"/>
  <c r="D238" i="5"/>
  <c r="E238" i="5" s="1"/>
  <c r="C238" i="5"/>
  <c r="A238" i="5"/>
  <c r="A239" i="5" s="1"/>
  <c r="A240" i="5" s="1"/>
  <c r="A241" i="5" s="1"/>
  <c r="A242" i="5" s="1"/>
  <c r="AM88" i="4"/>
  <c r="R88" i="4" s="1"/>
  <c r="AK88" i="4"/>
  <c r="AI88" i="4"/>
  <c r="AG88" i="4"/>
  <c r="AE88" i="4"/>
  <c r="AC88" i="4"/>
  <c r="AA88" i="4"/>
  <c r="Y88" i="4"/>
  <c r="W88" i="4"/>
  <c r="D88" i="4"/>
  <c r="E88" i="4" s="1"/>
  <c r="C88" i="4"/>
  <c r="V119" i="6"/>
  <c r="P119" i="6"/>
  <c r="R119" i="6" s="1"/>
  <c r="G119" i="6"/>
  <c r="AW238" i="6"/>
  <c r="AV238" i="6"/>
  <c r="AU238" i="6"/>
  <c r="AT238" i="6"/>
  <c r="AS238" i="6"/>
  <c r="AR238" i="6"/>
  <c r="AQ238" i="6"/>
  <c r="AP238" i="6"/>
  <c r="AO238" i="6"/>
  <c r="AM238" i="6"/>
  <c r="AL238" i="6"/>
  <c r="AK238" i="6"/>
  <c r="AJ238" i="6"/>
  <c r="AI238" i="6"/>
  <c r="AH238" i="6"/>
  <c r="AG238" i="6"/>
  <c r="AF238" i="6"/>
  <c r="AE238" i="6"/>
  <c r="AD238" i="6"/>
  <c r="AW237" i="6"/>
  <c r="AV237" i="6"/>
  <c r="AU237" i="6"/>
  <c r="AT237" i="6"/>
  <c r="AS237" i="6"/>
  <c r="AR237" i="6"/>
  <c r="AQ237" i="6"/>
  <c r="AP237" i="6"/>
  <c r="AO237" i="6"/>
  <c r="AM237" i="6"/>
  <c r="AL237" i="6"/>
  <c r="AK237" i="6"/>
  <c r="AJ237" i="6"/>
  <c r="AI237" i="6"/>
  <c r="AH237" i="6"/>
  <c r="AG237" i="6"/>
  <c r="AF237" i="6"/>
  <c r="AE237" i="6"/>
  <c r="AD237" i="6"/>
  <c r="AW236" i="6"/>
  <c r="AV236" i="6"/>
  <c r="AU236" i="6"/>
  <c r="AT236" i="6"/>
  <c r="AS236" i="6"/>
  <c r="AR236" i="6"/>
  <c r="AQ236" i="6"/>
  <c r="AP236" i="6"/>
  <c r="AO236" i="6"/>
  <c r="AM236" i="6"/>
  <c r="AL236" i="6"/>
  <c r="AK236" i="6"/>
  <c r="AJ236" i="6"/>
  <c r="AI236" i="6"/>
  <c r="AH236" i="6"/>
  <c r="AG236" i="6"/>
  <c r="AF236" i="6"/>
  <c r="AE236" i="6"/>
  <c r="AD236" i="6"/>
  <c r="AW235" i="6"/>
  <c r="AV235" i="6"/>
  <c r="AU235" i="6"/>
  <c r="AT235" i="6"/>
  <c r="AS235" i="6"/>
  <c r="AR235" i="6"/>
  <c r="AQ235" i="6"/>
  <c r="AP235" i="6"/>
  <c r="AO235" i="6"/>
  <c r="AM235" i="6"/>
  <c r="AL235" i="6"/>
  <c r="AK235" i="6"/>
  <c r="AJ235" i="6"/>
  <c r="AI235" i="6"/>
  <c r="AH235" i="6"/>
  <c r="AG235" i="6"/>
  <c r="AF235" i="6"/>
  <c r="AE235" i="6"/>
  <c r="AD235" i="6"/>
  <c r="AW234" i="6"/>
  <c r="AV234" i="6"/>
  <c r="AU234" i="6"/>
  <c r="AT234" i="6"/>
  <c r="AS234" i="6"/>
  <c r="AR234" i="6"/>
  <c r="AQ234" i="6"/>
  <c r="AP234" i="6"/>
  <c r="AO234" i="6"/>
  <c r="AM234" i="6"/>
  <c r="AL234" i="6"/>
  <c r="AK234" i="6"/>
  <c r="AJ234" i="6"/>
  <c r="AI234" i="6"/>
  <c r="AH234" i="6"/>
  <c r="AG234" i="6"/>
  <c r="AF234" i="6"/>
  <c r="AE234" i="6"/>
  <c r="AD234" i="6"/>
  <c r="AW233" i="6"/>
  <c r="AV233" i="6"/>
  <c r="AU233" i="6"/>
  <c r="AT233" i="6"/>
  <c r="AS233" i="6"/>
  <c r="AR233" i="6"/>
  <c r="AQ233" i="6"/>
  <c r="AP233" i="6"/>
  <c r="AO233" i="6"/>
  <c r="AM233" i="6"/>
  <c r="AL233" i="6"/>
  <c r="AK233" i="6"/>
  <c r="AJ233" i="6"/>
  <c r="AI233" i="6"/>
  <c r="AH233" i="6"/>
  <c r="AG233" i="6"/>
  <c r="AF233" i="6"/>
  <c r="AE233" i="6"/>
  <c r="AD233" i="6"/>
  <c r="AW232" i="6"/>
  <c r="AV232" i="6"/>
  <c r="AU232" i="6"/>
  <c r="AT232" i="6"/>
  <c r="AS232" i="6"/>
  <c r="AR232" i="6"/>
  <c r="AQ232" i="6"/>
  <c r="AP232" i="6"/>
  <c r="AO232" i="6"/>
  <c r="AM232" i="6"/>
  <c r="AL232" i="6"/>
  <c r="AK232" i="6"/>
  <c r="AJ232" i="6"/>
  <c r="AI232" i="6"/>
  <c r="AH232" i="6"/>
  <c r="AG232" i="6"/>
  <c r="AF232" i="6"/>
  <c r="AE232" i="6"/>
  <c r="AD232" i="6"/>
  <c r="AW231" i="6"/>
  <c r="AV231" i="6"/>
  <c r="AU231" i="6"/>
  <c r="AT231" i="6"/>
  <c r="AS231" i="6"/>
  <c r="AR231" i="6"/>
  <c r="AQ231" i="6"/>
  <c r="AP231" i="6"/>
  <c r="AO231" i="6"/>
  <c r="AM231" i="6"/>
  <c r="AL231" i="6"/>
  <c r="AK231" i="6"/>
  <c r="AJ231" i="6"/>
  <c r="AI231" i="6"/>
  <c r="AH231" i="6"/>
  <c r="AG231" i="6"/>
  <c r="AF231" i="6"/>
  <c r="AE231" i="6"/>
  <c r="AD231" i="6"/>
  <c r="AW230" i="6"/>
  <c r="AV230" i="6"/>
  <c r="AU230" i="6"/>
  <c r="AT230" i="6"/>
  <c r="AS230" i="6"/>
  <c r="AR230" i="6"/>
  <c r="AQ230" i="6"/>
  <c r="AP230" i="6"/>
  <c r="AO230" i="6"/>
  <c r="AM230" i="6"/>
  <c r="AL230" i="6"/>
  <c r="AK230" i="6"/>
  <c r="AJ230" i="6"/>
  <c r="AI230" i="6"/>
  <c r="AH230" i="6"/>
  <c r="AG230" i="6"/>
  <c r="AF230" i="6"/>
  <c r="AE230" i="6"/>
  <c r="AD230" i="6"/>
  <c r="AW229" i="6"/>
  <c r="AV229" i="6"/>
  <c r="AU229" i="6"/>
  <c r="AT229" i="6"/>
  <c r="AS229" i="6"/>
  <c r="AR229" i="6"/>
  <c r="AQ229" i="6"/>
  <c r="AP229" i="6"/>
  <c r="AO229" i="6"/>
  <c r="AM229" i="6"/>
  <c r="AL229" i="6"/>
  <c r="AK229" i="6"/>
  <c r="AJ229" i="6"/>
  <c r="AI229" i="6"/>
  <c r="AH229" i="6"/>
  <c r="AG229" i="6"/>
  <c r="AF229" i="6"/>
  <c r="AE229" i="6"/>
  <c r="AD229" i="6"/>
  <c r="AW228" i="6"/>
  <c r="AV228" i="6"/>
  <c r="AU228" i="6"/>
  <c r="AT228" i="6"/>
  <c r="AS228" i="6"/>
  <c r="AR228" i="6"/>
  <c r="AQ228" i="6"/>
  <c r="AP228" i="6"/>
  <c r="AO228" i="6"/>
  <c r="AM228" i="6"/>
  <c r="AL228" i="6"/>
  <c r="AK228" i="6"/>
  <c r="AJ228" i="6"/>
  <c r="AI228" i="6"/>
  <c r="AH228" i="6"/>
  <c r="AG228" i="6"/>
  <c r="AF228" i="6"/>
  <c r="AE228" i="6"/>
  <c r="AD228" i="6"/>
  <c r="AW227" i="6"/>
  <c r="AV227" i="6"/>
  <c r="AU227" i="6"/>
  <c r="AT227" i="6"/>
  <c r="AS227" i="6"/>
  <c r="AR227" i="6"/>
  <c r="AQ227" i="6"/>
  <c r="AP227" i="6"/>
  <c r="AO227" i="6"/>
  <c r="AM227" i="6"/>
  <c r="AL227" i="6"/>
  <c r="AK227" i="6"/>
  <c r="AJ227" i="6"/>
  <c r="AI227" i="6"/>
  <c r="AH227" i="6"/>
  <c r="AG227" i="6"/>
  <c r="AF227" i="6"/>
  <c r="AE227" i="6"/>
  <c r="AD227" i="6"/>
  <c r="AW226" i="6"/>
  <c r="AV226" i="6"/>
  <c r="AU226" i="6"/>
  <c r="AT226" i="6"/>
  <c r="AS226" i="6"/>
  <c r="AR226" i="6"/>
  <c r="AQ226" i="6"/>
  <c r="AP226" i="6"/>
  <c r="AO226" i="6"/>
  <c r="AM226" i="6"/>
  <c r="AL226" i="6"/>
  <c r="AK226" i="6"/>
  <c r="AJ226" i="6"/>
  <c r="AI226" i="6"/>
  <c r="AH226" i="6"/>
  <c r="AG226" i="6"/>
  <c r="AF226" i="6"/>
  <c r="AE226" i="6"/>
  <c r="AD226" i="6"/>
  <c r="AW225" i="6"/>
  <c r="AV225" i="6"/>
  <c r="AU225" i="6"/>
  <c r="AT225" i="6"/>
  <c r="AS225" i="6"/>
  <c r="AR225" i="6"/>
  <c r="AQ225" i="6"/>
  <c r="AP225" i="6"/>
  <c r="AO225" i="6"/>
  <c r="AM225" i="6"/>
  <c r="AL225" i="6"/>
  <c r="AK225" i="6"/>
  <c r="AJ225" i="6"/>
  <c r="AI225" i="6"/>
  <c r="AH225" i="6"/>
  <c r="AG225" i="6"/>
  <c r="AF225" i="6"/>
  <c r="AE225" i="6"/>
  <c r="AD225" i="6"/>
  <c r="AW224" i="6"/>
  <c r="AV224" i="6"/>
  <c r="AU224" i="6"/>
  <c r="AT224" i="6"/>
  <c r="AS224" i="6"/>
  <c r="AR224" i="6"/>
  <c r="AQ224" i="6"/>
  <c r="AP224" i="6"/>
  <c r="AO224" i="6"/>
  <c r="AM224" i="6"/>
  <c r="AL224" i="6"/>
  <c r="AK224" i="6"/>
  <c r="AJ224" i="6"/>
  <c r="AI224" i="6"/>
  <c r="AH224" i="6"/>
  <c r="AG224" i="6"/>
  <c r="AF224" i="6"/>
  <c r="AE224" i="6"/>
  <c r="AD224" i="6"/>
  <c r="AW223" i="6"/>
  <c r="AV223" i="6"/>
  <c r="AU223" i="6"/>
  <c r="AT223" i="6"/>
  <c r="AS223" i="6"/>
  <c r="AR223" i="6"/>
  <c r="AQ223" i="6"/>
  <c r="AP223" i="6"/>
  <c r="AO223" i="6"/>
  <c r="AM223" i="6"/>
  <c r="AL223" i="6"/>
  <c r="AK223" i="6"/>
  <c r="AJ223" i="6"/>
  <c r="AI223" i="6"/>
  <c r="AH223" i="6"/>
  <c r="AG223" i="6"/>
  <c r="AF223" i="6"/>
  <c r="AE223" i="6"/>
  <c r="AD223" i="6"/>
  <c r="AW222" i="6"/>
  <c r="AV222" i="6"/>
  <c r="AU222" i="6"/>
  <c r="AT222" i="6"/>
  <c r="AS222" i="6"/>
  <c r="AR222" i="6"/>
  <c r="AQ222" i="6"/>
  <c r="AP222" i="6"/>
  <c r="AO222" i="6"/>
  <c r="AM222" i="6"/>
  <c r="AL222" i="6"/>
  <c r="AK222" i="6"/>
  <c r="AJ222" i="6"/>
  <c r="AI222" i="6"/>
  <c r="AH222" i="6"/>
  <c r="AG222" i="6"/>
  <c r="AF222" i="6"/>
  <c r="AE222" i="6"/>
  <c r="AD222" i="6"/>
  <c r="AW221" i="6"/>
  <c r="AV221" i="6"/>
  <c r="AU221" i="6"/>
  <c r="AT221" i="6"/>
  <c r="AS221" i="6"/>
  <c r="AR221" i="6"/>
  <c r="AQ221" i="6"/>
  <c r="AP221" i="6"/>
  <c r="AO221" i="6"/>
  <c r="AM221" i="6"/>
  <c r="AL221" i="6"/>
  <c r="AK221" i="6"/>
  <c r="AJ221" i="6"/>
  <c r="AI221" i="6"/>
  <c r="AH221" i="6"/>
  <c r="AG221" i="6"/>
  <c r="AF221" i="6"/>
  <c r="AE221" i="6"/>
  <c r="AD221" i="6"/>
  <c r="AW220" i="6"/>
  <c r="AV220" i="6"/>
  <c r="AU220" i="6"/>
  <c r="AT220" i="6"/>
  <c r="AS220" i="6"/>
  <c r="AR220" i="6"/>
  <c r="AQ220" i="6"/>
  <c r="AP220" i="6"/>
  <c r="AO220" i="6"/>
  <c r="AM220" i="6"/>
  <c r="AL220" i="6"/>
  <c r="AK220" i="6"/>
  <c r="AJ220" i="6"/>
  <c r="AI220" i="6"/>
  <c r="AH220" i="6"/>
  <c r="AG220" i="6"/>
  <c r="AF220" i="6"/>
  <c r="AE220" i="6"/>
  <c r="AD220" i="6"/>
  <c r="AW219" i="6"/>
  <c r="AV219" i="6"/>
  <c r="AU219" i="6"/>
  <c r="AT219" i="6"/>
  <c r="AS219" i="6"/>
  <c r="AR219" i="6"/>
  <c r="AQ219" i="6"/>
  <c r="AP219" i="6"/>
  <c r="AO219" i="6"/>
  <c r="AM219" i="6"/>
  <c r="AL219" i="6"/>
  <c r="AK219" i="6"/>
  <c r="AJ219" i="6"/>
  <c r="AI219" i="6"/>
  <c r="AH219" i="6"/>
  <c r="AG219" i="6"/>
  <c r="AF219" i="6"/>
  <c r="AE219" i="6"/>
  <c r="AD219" i="6"/>
  <c r="AW218" i="6"/>
  <c r="AV218" i="6"/>
  <c r="AU218" i="6"/>
  <c r="AT218" i="6"/>
  <c r="AS218" i="6"/>
  <c r="AR218" i="6"/>
  <c r="AQ218" i="6"/>
  <c r="AP218" i="6"/>
  <c r="AO218" i="6"/>
  <c r="AM218" i="6"/>
  <c r="AL218" i="6"/>
  <c r="AK218" i="6"/>
  <c r="AJ218" i="6"/>
  <c r="AI218" i="6"/>
  <c r="AH218" i="6"/>
  <c r="AG218" i="6"/>
  <c r="AF218" i="6"/>
  <c r="AE218" i="6"/>
  <c r="AD218" i="6"/>
  <c r="AW217" i="6"/>
  <c r="AV217" i="6"/>
  <c r="AU217" i="6"/>
  <c r="AT217" i="6"/>
  <c r="AS217" i="6"/>
  <c r="AR217" i="6"/>
  <c r="AQ217" i="6"/>
  <c r="AP217" i="6"/>
  <c r="AO217" i="6"/>
  <c r="AM217" i="6"/>
  <c r="AL217" i="6"/>
  <c r="AK217" i="6"/>
  <c r="AJ217" i="6"/>
  <c r="AI217" i="6"/>
  <c r="AH217" i="6"/>
  <c r="AG217" i="6"/>
  <c r="AF217" i="6"/>
  <c r="AE217" i="6"/>
  <c r="AD217" i="6"/>
  <c r="AW216" i="6"/>
  <c r="AV216" i="6"/>
  <c r="AU216" i="6"/>
  <c r="AT216" i="6"/>
  <c r="AS216" i="6"/>
  <c r="AR216" i="6"/>
  <c r="AQ216" i="6"/>
  <c r="AP216" i="6"/>
  <c r="AO216" i="6"/>
  <c r="AM216" i="6"/>
  <c r="AL216" i="6"/>
  <c r="AK216" i="6"/>
  <c r="AJ216" i="6"/>
  <c r="AI216" i="6"/>
  <c r="AH216" i="6"/>
  <c r="AG216" i="6"/>
  <c r="AF216" i="6"/>
  <c r="AE216" i="6"/>
  <c r="AD216" i="6"/>
  <c r="AW215" i="6"/>
  <c r="AV215" i="6"/>
  <c r="AU215" i="6"/>
  <c r="AT215" i="6"/>
  <c r="AS215" i="6"/>
  <c r="AR215" i="6"/>
  <c r="AQ215" i="6"/>
  <c r="AP215" i="6"/>
  <c r="AO215" i="6"/>
  <c r="AM215" i="6"/>
  <c r="AL215" i="6"/>
  <c r="AK215" i="6"/>
  <c r="AJ215" i="6"/>
  <c r="AI215" i="6"/>
  <c r="AH215" i="6"/>
  <c r="AG215" i="6"/>
  <c r="AF215" i="6"/>
  <c r="AE215" i="6"/>
  <c r="AD215" i="6"/>
  <c r="AW214" i="6"/>
  <c r="AV214" i="6"/>
  <c r="AU214" i="6"/>
  <c r="AT214" i="6"/>
  <c r="AS214" i="6"/>
  <c r="AR214" i="6"/>
  <c r="AQ214" i="6"/>
  <c r="AP214" i="6"/>
  <c r="AO214" i="6"/>
  <c r="AM214" i="6"/>
  <c r="AL214" i="6"/>
  <c r="AK214" i="6"/>
  <c r="AJ214" i="6"/>
  <c r="AI214" i="6"/>
  <c r="AH214" i="6"/>
  <c r="AG214" i="6"/>
  <c r="AF214" i="6"/>
  <c r="AE214" i="6"/>
  <c r="AD214" i="6"/>
  <c r="AW213" i="6"/>
  <c r="AV213" i="6"/>
  <c r="AU213" i="6"/>
  <c r="AT213" i="6"/>
  <c r="AS213" i="6"/>
  <c r="AR213" i="6"/>
  <c r="AQ213" i="6"/>
  <c r="AP213" i="6"/>
  <c r="AO213" i="6"/>
  <c r="AM213" i="6"/>
  <c r="AL213" i="6"/>
  <c r="AK213" i="6"/>
  <c r="AJ213" i="6"/>
  <c r="AI213" i="6"/>
  <c r="AH213" i="6"/>
  <c r="AG213" i="6"/>
  <c r="AF213" i="6"/>
  <c r="AE213" i="6"/>
  <c r="AD213" i="6"/>
  <c r="AW212" i="6"/>
  <c r="AV212" i="6"/>
  <c r="AU212" i="6"/>
  <c r="AT212" i="6"/>
  <c r="AS212" i="6"/>
  <c r="AR212" i="6"/>
  <c r="AQ212" i="6"/>
  <c r="AP212" i="6"/>
  <c r="AO212" i="6"/>
  <c r="AM212" i="6"/>
  <c r="AL212" i="6"/>
  <c r="AK212" i="6"/>
  <c r="AJ212" i="6"/>
  <c r="AI212" i="6"/>
  <c r="AH212" i="6"/>
  <c r="AG212" i="6"/>
  <c r="AF212" i="6"/>
  <c r="AE212" i="6"/>
  <c r="AD212" i="6"/>
  <c r="AW211" i="6"/>
  <c r="AV211" i="6"/>
  <c r="AU211" i="6"/>
  <c r="AT211" i="6"/>
  <c r="AS211" i="6"/>
  <c r="AR211" i="6"/>
  <c r="AQ211" i="6"/>
  <c r="AP211" i="6"/>
  <c r="AO211" i="6"/>
  <c r="AM211" i="6"/>
  <c r="AL211" i="6"/>
  <c r="AK211" i="6"/>
  <c r="AJ211" i="6"/>
  <c r="AI211" i="6"/>
  <c r="AH211" i="6"/>
  <c r="AG211" i="6"/>
  <c r="AF211" i="6"/>
  <c r="AE211" i="6"/>
  <c r="AD211" i="6"/>
  <c r="AW210" i="6"/>
  <c r="AV210" i="6"/>
  <c r="AU210" i="6"/>
  <c r="AT210" i="6"/>
  <c r="AS210" i="6"/>
  <c r="AR210" i="6"/>
  <c r="AQ210" i="6"/>
  <c r="AP210" i="6"/>
  <c r="AO210" i="6"/>
  <c r="AM210" i="6"/>
  <c r="AL210" i="6"/>
  <c r="AK210" i="6"/>
  <c r="AJ210" i="6"/>
  <c r="AI210" i="6"/>
  <c r="AH210" i="6"/>
  <c r="AG210" i="6"/>
  <c r="AF210" i="6"/>
  <c r="AE210" i="6"/>
  <c r="AD210" i="6"/>
  <c r="AW209" i="6"/>
  <c r="AV209" i="6"/>
  <c r="AU209" i="6"/>
  <c r="AT209" i="6"/>
  <c r="AS209" i="6"/>
  <c r="AR209" i="6"/>
  <c r="AQ209" i="6"/>
  <c r="AP209" i="6"/>
  <c r="AO209" i="6"/>
  <c r="AM209" i="6"/>
  <c r="AL209" i="6"/>
  <c r="AK209" i="6"/>
  <c r="AJ209" i="6"/>
  <c r="AI209" i="6"/>
  <c r="AH209" i="6"/>
  <c r="AG209" i="6"/>
  <c r="AF209" i="6"/>
  <c r="AE209" i="6"/>
  <c r="AD209" i="6"/>
  <c r="AW208" i="6"/>
  <c r="AV208" i="6"/>
  <c r="AU208" i="6"/>
  <c r="AT208" i="6"/>
  <c r="AS208" i="6"/>
  <c r="AR208" i="6"/>
  <c r="AQ208" i="6"/>
  <c r="AP208" i="6"/>
  <c r="AO208" i="6"/>
  <c r="AM208" i="6"/>
  <c r="AL208" i="6"/>
  <c r="AK208" i="6"/>
  <c r="AJ208" i="6"/>
  <c r="AI208" i="6"/>
  <c r="AH208" i="6"/>
  <c r="AG208" i="6"/>
  <c r="AF208" i="6"/>
  <c r="AE208" i="6"/>
  <c r="AD208" i="6"/>
  <c r="AW207" i="6"/>
  <c r="AV207" i="6"/>
  <c r="AU207" i="6"/>
  <c r="AT207" i="6"/>
  <c r="AS207" i="6"/>
  <c r="AR207" i="6"/>
  <c r="AQ207" i="6"/>
  <c r="AP207" i="6"/>
  <c r="AO207" i="6"/>
  <c r="AM207" i="6"/>
  <c r="AL207" i="6"/>
  <c r="AK207" i="6"/>
  <c r="AJ207" i="6"/>
  <c r="AI207" i="6"/>
  <c r="AH207" i="6"/>
  <c r="AG207" i="6"/>
  <c r="AF207" i="6"/>
  <c r="AE207" i="6"/>
  <c r="AD207" i="6"/>
  <c r="AW206" i="6"/>
  <c r="AV206" i="6"/>
  <c r="AU206" i="6"/>
  <c r="AT206" i="6"/>
  <c r="AS206" i="6"/>
  <c r="AR206" i="6"/>
  <c r="AQ206" i="6"/>
  <c r="AP206" i="6"/>
  <c r="AO206" i="6"/>
  <c r="AM206" i="6"/>
  <c r="AL206" i="6"/>
  <c r="AK206" i="6"/>
  <c r="AJ206" i="6"/>
  <c r="AI206" i="6"/>
  <c r="AH206" i="6"/>
  <c r="AG206" i="6"/>
  <c r="AF206" i="6"/>
  <c r="AE206" i="6"/>
  <c r="AD206" i="6"/>
  <c r="AW205" i="6"/>
  <c r="AV205" i="6"/>
  <c r="AU205" i="6"/>
  <c r="AT205" i="6"/>
  <c r="AS205" i="6"/>
  <c r="AR205" i="6"/>
  <c r="AQ205" i="6"/>
  <c r="AP205" i="6"/>
  <c r="AO205" i="6"/>
  <c r="AM205" i="6"/>
  <c r="AL205" i="6"/>
  <c r="AK205" i="6"/>
  <c r="AJ205" i="6"/>
  <c r="AI205" i="6"/>
  <c r="AH205" i="6"/>
  <c r="AG205" i="6"/>
  <c r="AF205" i="6"/>
  <c r="AE205" i="6"/>
  <c r="AD205" i="6"/>
  <c r="AW204" i="6"/>
  <c r="AV204" i="6"/>
  <c r="AU204" i="6"/>
  <c r="AT204" i="6"/>
  <c r="AS204" i="6"/>
  <c r="AR204" i="6"/>
  <c r="AQ204" i="6"/>
  <c r="AP204" i="6"/>
  <c r="AO204" i="6"/>
  <c r="AM204" i="6"/>
  <c r="AL204" i="6"/>
  <c r="AK204" i="6"/>
  <c r="AJ204" i="6"/>
  <c r="AI204" i="6"/>
  <c r="AH204" i="6"/>
  <c r="AG204" i="6"/>
  <c r="AF204" i="6"/>
  <c r="AE204" i="6"/>
  <c r="AD204" i="6"/>
  <c r="AW203" i="6"/>
  <c r="AV203" i="6"/>
  <c r="AU203" i="6"/>
  <c r="AT203" i="6"/>
  <c r="AS203" i="6"/>
  <c r="AR203" i="6"/>
  <c r="AQ203" i="6"/>
  <c r="AP203" i="6"/>
  <c r="AO203" i="6"/>
  <c r="AM203" i="6"/>
  <c r="AL203" i="6"/>
  <c r="AK203" i="6"/>
  <c r="AJ203" i="6"/>
  <c r="AI203" i="6"/>
  <c r="AH203" i="6"/>
  <c r="AG203" i="6"/>
  <c r="AF203" i="6"/>
  <c r="AE203" i="6"/>
  <c r="AD203" i="6"/>
  <c r="AW202" i="6"/>
  <c r="AV202" i="6"/>
  <c r="AU202" i="6"/>
  <c r="AT202" i="6"/>
  <c r="AS202" i="6"/>
  <c r="AR202" i="6"/>
  <c r="AQ202" i="6"/>
  <c r="AP202" i="6"/>
  <c r="AO202" i="6"/>
  <c r="AM202" i="6"/>
  <c r="AL202" i="6"/>
  <c r="AK202" i="6"/>
  <c r="AJ202" i="6"/>
  <c r="AI202" i="6"/>
  <c r="AH202" i="6"/>
  <c r="AG202" i="6"/>
  <c r="AF202" i="6"/>
  <c r="AE202" i="6"/>
  <c r="AD202" i="6"/>
  <c r="AW201" i="6"/>
  <c r="AV201" i="6"/>
  <c r="AU201" i="6"/>
  <c r="AT201" i="6"/>
  <c r="AS201" i="6"/>
  <c r="AR201" i="6"/>
  <c r="AQ201" i="6"/>
  <c r="AP201" i="6"/>
  <c r="AO201" i="6"/>
  <c r="AM201" i="6"/>
  <c r="AL201" i="6"/>
  <c r="AK201" i="6"/>
  <c r="AJ201" i="6"/>
  <c r="AI201" i="6"/>
  <c r="AH201" i="6"/>
  <c r="AG201" i="6"/>
  <c r="AF201" i="6"/>
  <c r="AE201" i="6"/>
  <c r="AD201" i="6"/>
  <c r="AW200" i="6"/>
  <c r="AV200" i="6"/>
  <c r="AU200" i="6"/>
  <c r="AT200" i="6"/>
  <c r="AS200" i="6"/>
  <c r="AR200" i="6"/>
  <c r="AQ200" i="6"/>
  <c r="AP200" i="6"/>
  <c r="AO200" i="6"/>
  <c r="AM200" i="6"/>
  <c r="AL200" i="6"/>
  <c r="AK200" i="6"/>
  <c r="AJ200" i="6"/>
  <c r="AI200" i="6"/>
  <c r="AH200" i="6"/>
  <c r="AG200" i="6"/>
  <c r="AF200" i="6"/>
  <c r="AE200" i="6"/>
  <c r="AD200" i="6"/>
  <c r="AW199" i="6"/>
  <c r="AV199" i="6"/>
  <c r="AU199" i="6"/>
  <c r="AT199" i="6"/>
  <c r="AS199" i="6"/>
  <c r="AR199" i="6"/>
  <c r="AQ199" i="6"/>
  <c r="AP199" i="6"/>
  <c r="AO199" i="6"/>
  <c r="AM199" i="6"/>
  <c r="AL199" i="6"/>
  <c r="AK199" i="6"/>
  <c r="AJ199" i="6"/>
  <c r="AI199" i="6"/>
  <c r="AH199" i="6"/>
  <c r="AG199" i="6"/>
  <c r="AF199" i="6"/>
  <c r="AE199" i="6"/>
  <c r="AD199" i="6"/>
  <c r="AW198" i="6"/>
  <c r="AV198" i="6"/>
  <c r="AU198" i="6"/>
  <c r="AT198" i="6"/>
  <c r="AS198" i="6"/>
  <c r="AR198" i="6"/>
  <c r="AQ198" i="6"/>
  <c r="AP198" i="6"/>
  <c r="AO198" i="6"/>
  <c r="AM198" i="6"/>
  <c r="AL198" i="6"/>
  <c r="AK198" i="6"/>
  <c r="AJ198" i="6"/>
  <c r="AI198" i="6"/>
  <c r="AH198" i="6"/>
  <c r="AG198" i="6"/>
  <c r="AF198" i="6"/>
  <c r="AE198" i="6"/>
  <c r="AD198" i="6"/>
  <c r="AW197" i="6"/>
  <c r="AV197" i="6"/>
  <c r="AU197" i="6"/>
  <c r="AT197" i="6"/>
  <c r="AS197" i="6"/>
  <c r="AR197" i="6"/>
  <c r="AQ197" i="6"/>
  <c r="AP197" i="6"/>
  <c r="AO197" i="6"/>
  <c r="AM197" i="6"/>
  <c r="AL197" i="6"/>
  <c r="AK197" i="6"/>
  <c r="AJ197" i="6"/>
  <c r="AI197" i="6"/>
  <c r="AH197" i="6"/>
  <c r="AG197" i="6"/>
  <c r="AF197" i="6"/>
  <c r="AE197" i="6"/>
  <c r="AD197" i="6"/>
  <c r="AW196" i="6"/>
  <c r="AV196" i="6"/>
  <c r="AU196" i="6"/>
  <c r="AT196" i="6"/>
  <c r="AS196" i="6"/>
  <c r="AR196" i="6"/>
  <c r="AQ196" i="6"/>
  <c r="AP196" i="6"/>
  <c r="AO196" i="6"/>
  <c r="AM196" i="6"/>
  <c r="AL196" i="6"/>
  <c r="AK196" i="6"/>
  <c r="AJ196" i="6"/>
  <c r="AI196" i="6"/>
  <c r="AH196" i="6"/>
  <c r="AG196" i="6"/>
  <c r="AF196" i="6"/>
  <c r="AE196" i="6"/>
  <c r="AD196" i="6"/>
  <c r="AW195" i="6"/>
  <c r="AV195" i="6"/>
  <c r="AU195" i="6"/>
  <c r="AT195" i="6"/>
  <c r="AS195" i="6"/>
  <c r="AR195" i="6"/>
  <c r="AQ195" i="6"/>
  <c r="AP195" i="6"/>
  <c r="AO195" i="6"/>
  <c r="AM195" i="6"/>
  <c r="AL195" i="6"/>
  <c r="AK195" i="6"/>
  <c r="AJ195" i="6"/>
  <c r="AI195" i="6"/>
  <c r="AH195" i="6"/>
  <c r="AG195" i="6"/>
  <c r="AF195" i="6"/>
  <c r="AE195" i="6"/>
  <c r="AD195" i="6"/>
  <c r="AW194" i="6"/>
  <c r="AV194" i="6"/>
  <c r="AU194" i="6"/>
  <c r="AT194" i="6"/>
  <c r="AS194" i="6"/>
  <c r="AR194" i="6"/>
  <c r="AQ194" i="6"/>
  <c r="AP194" i="6"/>
  <c r="AO194" i="6"/>
  <c r="AM194" i="6"/>
  <c r="AL194" i="6"/>
  <c r="AK194" i="6"/>
  <c r="AJ194" i="6"/>
  <c r="AI194" i="6"/>
  <c r="AH194" i="6"/>
  <c r="AG194" i="6"/>
  <c r="AF194" i="6"/>
  <c r="AE194" i="6"/>
  <c r="AD194" i="6"/>
  <c r="AW193" i="6"/>
  <c r="AV193" i="6"/>
  <c r="AU193" i="6"/>
  <c r="AT193" i="6"/>
  <c r="AS193" i="6"/>
  <c r="AR193" i="6"/>
  <c r="AQ193" i="6"/>
  <c r="AP193" i="6"/>
  <c r="AO193" i="6"/>
  <c r="AM193" i="6"/>
  <c r="AL193" i="6"/>
  <c r="AK193" i="6"/>
  <c r="AJ193" i="6"/>
  <c r="AI193" i="6"/>
  <c r="AH193" i="6"/>
  <c r="AG193" i="6"/>
  <c r="AF193" i="6"/>
  <c r="AE193" i="6"/>
  <c r="AD193" i="6"/>
  <c r="AW192" i="6"/>
  <c r="AV192" i="6"/>
  <c r="AU192" i="6"/>
  <c r="AT192" i="6"/>
  <c r="AS192" i="6"/>
  <c r="AR192" i="6"/>
  <c r="AQ192" i="6"/>
  <c r="AP192" i="6"/>
  <c r="AO192" i="6"/>
  <c r="AM192" i="6"/>
  <c r="AL192" i="6"/>
  <c r="AK192" i="6"/>
  <c r="AJ192" i="6"/>
  <c r="AI192" i="6"/>
  <c r="AH192" i="6"/>
  <c r="AG192" i="6"/>
  <c r="AF192" i="6"/>
  <c r="AE192" i="6"/>
  <c r="AD192" i="6"/>
  <c r="AW191" i="6"/>
  <c r="AV191" i="6"/>
  <c r="AU191" i="6"/>
  <c r="AT191" i="6"/>
  <c r="AS191" i="6"/>
  <c r="AR191" i="6"/>
  <c r="AQ191" i="6"/>
  <c r="AP191" i="6"/>
  <c r="AO191" i="6"/>
  <c r="AM191" i="6"/>
  <c r="AL191" i="6"/>
  <c r="AK191" i="6"/>
  <c r="AJ191" i="6"/>
  <c r="AI191" i="6"/>
  <c r="AH191" i="6"/>
  <c r="AG191" i="6"/>
  <c r="AF191" i="6"/>
  <c r="AE191" i="6"/>
  <c r="AD191" i="6"/>
  <c r="AW190" i="6"/>
  <c r="AV190" i="6"/>
  <c r="AU190" i="6"/>
  <c r="AT190" i="6"/>
  <c r="AS190" i="6"/>
  <c r="AR190" i="6"/>
  <c r="AQ190" i="6"/>
  <c r="AP190" i="6"/>
  <c r="AO190" i="6"/>
  <c r="AM190" i="6"/>
  <c r="AL190" i="6"/>
  <c r="AK190" i="6"/>
  <c r="AJ190" i="6"/>
  <c r="AI190" i="6"/>
  <c r="AH190" i="6"/>
  <c r="AG190" i="6"/>
  <c r="AF190" i="6"/>
  <c r="AE190" i="6"/>
  <c r="AD190" i="6"/>
  <c r="AW189" i="6"/>
  <c r="AV189" i="6"/>
  <c r="AU189" i="6"/>
  <c r="AT189" i="6"/>
  <c r="AS189" i="6"/>
  <c r="AR189" i="6"/>
  <c r="AQ189" i="6"/>
  <c r="AP189" i="6"/>
  <c r="AO189" i="6"/>
  <c r="AM189" i="6"/>
  <c r="AL189" i="6"/>
  <c r="AK189" i="6"/>
  <c r="AJ189" i="6"/>
  <c r="AI189" i="6"/>
  <c r="AH189" i="6"/>
  <c r="AG189" i="6"/>
  <c r="AF189" i="6"/>
  <c r="AE189" i="6"/>
  <c r="AD189" i="6"/>
  <c r="AW188" i="6"/>
  <c r="AV188" i="6"/>
  <c r="AU188" i="6"/>
  <c r="AT188" i="6"/>
  <c r="AS188" i="6"/>
  <c r="AR188" i="6"/>
  <c r="AQ188" i="6"/>
  <c r="AP188" i="6"/>
  <c r="AO188" i="6"/>
  <c r="AM188" i="6"/>
  <c r="AL188" i="6"/>
  <c r="AK188" i="6"/>
  <c r="AJ188" i="6"/>
  <c r="AI188" i="6"/>
  <c r="AH188" i="6"/>
  <c r="AG188" i="6"/>
  <c r="AF188" i="6"/>
  <c r="AE188" i="6"/>
  <c r="AD188" i="6"/>
  <c r="AW187" i="6"/>
  <c r="AV187" i="6"/>
  <c r="AU187" i="6"/>
  <c r="AT187" i="6"/>
  <c r="AS187" i="6"/>
  <c r="AR187" i="6"/>
  <c r="AQ187" i="6"/>
  <c r="AP187" i="6"/>
  <c r="AO187" i="6"/>
  <c r="AM187" i="6"/>
  <c r="AL187" i="6"/>
  <c r="AK187" i="6"/>
  <c r="AJ187" i="6"/>
  <c r="AI187" i="6"/>
  <c r="AH187" i="6"/>
  <c r="AG187" i="6"/>
  <c r="AF187" i="6"/>
  <c r="AE187" i="6"/>
  <c r="AD187" i="6"/>
  <c r="AW186" i="6"/>
  <c r="AV186" i="6"/>
  <c r="AU186" i="6"/>
  <c r="AT186" i="6"/>
  <c r="AS186" i="6"/>
  <c r="AR186" i="6"/>
  <c r="AQ186" i="6"/>
  <c r="AP186" i="6"/>
  <c r="AO186" i="6"/>
  <c r="AM186" i="6"/>
  <c r="AL186" i="6"/>
  <c r="AK186" i="6"/>
  <c r="AJ186" i="6"/>
  <c r="AI186" i="6"/>
  <c r="AH186" i="6"/>
  <c r="AG186" i="6"/>
  <c r="AF186" i="6"/>
  <c r="AE186" i="6"/>
  <c r="AD186" i="6"/>
  <c r="AW185" i="6"/>
  <c r="AV185" i="6"/>
  <c r="AU185" i="6"/>
  <c r="AT185" i="6"/>
  <c r="AS185" i="6"/>
  <c r="AR185" i="6"/>
  <c r="AQ185" i="6"/>
  <c r="AP185" i="6"/>
  <c r="AO185" i="6"/>
  <c r="AM185" i="6"/>
  <c r="AL185" i="6"/>
  <c r="AK185" i="6"/>
  <c r="AJ185" i="6"/>
  <c r="AI185" i="6"/>
  <c r="AH185" i="6"/>
  <c r="AG185" i="6"/>
  <c r="AF185" i="6"/>
  <c r="AE185" i="6"/>
  <c r="AD185" i="6"/>
  <c r="AW184" i="6"/>
  <c r="AV184" i="6"/>
  <c r="AU184" i="6"/>
  <c r="AT184" i="6"/>
  <c r="AS184" i="6"/>
  <c r="AR184" i="6"/>
  <c r="AQ184" i="6"/>
  <c r="AP184" i="6"/>
  <c r="AO184" i="6"/>
  <c r="AM184" i="6"/>
  <c r="AL184" i="6"/>
  <c r="AK184" i="6"/>
  <c r="AJ184" i="6"/>
  <c r="AI184" i="6"/>
  <c r="AH184" i="6"/>
  <c r="AG184" i="6"/>
  <c r="AF184" i="6"/>
  <c r="AE184" i="6"/>
  <c r="AD184" i="6"/>
  <c r="AW183" i="6"/>
  <c r="AV183" i="6"/>
  <c r="AU183" i="6"/>
  <c r="AT183" i="6"/>
  <c r="AS183" i="6"/>
  <c r="AR183" i="6"/>
  <c r="AQ183" i="6"/>
  <c r="AP183" i="6"/>
  <c r="AO183" i="6"/>
  <c r="AM183" i="6"/>
  <c r="AL183" i="6"/>
  <c r="AK183" i="6"/>
  <c r="AJ183" i="6"/>
  <c r="AI183" i="6"/>
  <c r="AH183" i="6"/>
  <c r="AG183" i="6"/>
  <c r="AF183" i="6"/>
  <c r="AE183" i="6"/>
  <c r="AD183" i="6"/>
  <c r="AW182" i="6"/>
  <c r="AV182" i="6"/>
  <c r="AU182" i="6"/>
  <c r="AT182" i="6"/>
  <c r="AS182" i="6"/>
  <c r="AR182" i="6"/>
  <c r="AQ182" i="6"/>
  <c r="AP182" i="6"/>
  <c r="AO182" i="6"/>
  <c r="AM182" i="6"/>
  <c r="AL182" i="6"/>
  <c r="AK182" i="6"/>
  <c r="AJ182" i="6"/>
  <c r="AI182" i="6"/>
  <c r="AH182" i="6"/>
  <c r="AG182" i="6"/>
  <c r="AF182" i="6"/>
  <c r="AE182" i="6"/>
  <c r="AD182" i="6"/>
  <c r="AW181" i="6"/>
  <c r="AV181" i="6"/>
  <c r="AU181" i="6"/>
  <c r="AT181" i="6"/>
  <c r="AS181" i="6"/>
  <c r="AR181" i="6"/>
  <c r="AQ181" i="6"/>
  <c r="AP181" i="6"/>
  <c r="AO181" i="6"/>
  <c r="AM181" i="6"/>
  <c r="AL181" i="6"/>
  <c r="AK181" i="6"/>
  <c r="AJ181" i="6"/>
  <c r="AI181" i="6"/>
  <c r="AH181" i="6"/>
  <c r="AG181" i="6"/>
  <c r="AF181" i="6"/>
  <c r="AE181" i="6"/>
  <c r="AD181" i="6"/>
  <c r="AW180" i="6"/>
  <c r="AV180" i="6"/>
  <c r="AU180" i="6"/>
  <c r="AT180" i="6"/>
  <c r="AS180" i="6"/>
  <c r="AR180" i="6"/>
  <c r="AQ180" i="6"/>
  <c r="AP180" i="6"/>
  <c r="AO180" i="6"/>
  <c r="AM180" i="6"/>
  <c r="AL180" i="6"/>
  <c r="AK180" i="6"/>
  <c r="AJ180" i="6"/>
  <c r="AI180" i="6"/>
  <c r="AH180" i="6"/>
  <c r="AG180" i="6"/>
  <c r="AF180" i="6"/>
  <c r="AE180" i="6"/>
  <c r="AD180" i="6"/>
  <c r="AW179" i="6"/>
  <c r="AV179" i="6"/>
  <c r="AU179" i="6"/>
  <c r="AT179" i="6"/>
  <c r="AS179" i="6"/>
  <c r="AR179" i="6"/>
  <c r="AQ179" i="6"/>
  <c r="AP179" i="6"/>
  <c r="AO179" i="6"/>
  <c r="AM179" i="6"/>
  <c r="AL179" i="6"/>
  <c r="AK179" i="6"/>
  <c r="AJ179" i="6"/>
  <c r="AI179" i="6"/>
  <c r="AH179" i="6"/>
  <c r="AG179" i="6"/>
  <c r="AF179" i="6"/>
  <c r="AE179" i="6"/>
  <c r="AD179" i="6"/>
  <c r="AW178" i="6"/>
  <c r="AV178" i="6"/>
  <c r="AU178" i="6"/>
  <c r="AT178" i="6"/>
  <c r="AS178" i="6"/>
  <c r="AR178" i="6"/>
  <c r="AQ178" i="6"/>
  <c r="AP178" i="6"/>
  <c r="AO178" i="6"/>
  <c r="AM178" i="6"/>
  <c r="AL178" i="6"/>
  <c r="AK178" i="6"/>
  <c r="AJ178" i="6"/>
  <c r="AI178" i="6"/>
  <c r="AH178" i="6"/>
  <c r="AG178" i="6"/>
  <c r="AF178" i="6"/>
  <c r="AE178" i="6"/>
  <c r="AD178" i="6"/>
  <c r="AW177" i="6"/>
  <c r="AV177" i="6"/>
  <c r="AU177" i="6"/>
  <c r="AT177" i="6"/>
  <c r="AS177" i="6"/>
  <c r="AR177" i="6"/>
  <c r="AQ177" i="6"/>
  <c r="AP177" i="6"/>
  <c r="AO177" i="6"/>
  <c r="AM177" i="6"/>
  <c r="AL177" i="6"/>
  <c r="AK177" i="6"/>
  <c r="AJ177" i="6"/>
  <c r="AI177" i="6"/>
  <c r="AH177" i="6"/>
  <c r="AG177" i="6"/>
  <c r="AF177" i="6"/>
  <c r="AE177" i="6"/>
  <c r="AD177" i="6"/>
  <c r="AW176" i="6"/>
  <c r="AV176" i="6"/>
  <c r="AU176" i="6"/>
  <c r="AT176" i="6"/>
  <c r="AS176" i="6"/>
  <c r="AR176" i="6"/>
  <c r="AQ176" i="6"/>
  <c r="AP176" i="6"/>
  <c r="AO176" i="6"/>
  <c r="AM176" i="6"/>
  <c r="AL176" i="6"/>
  <c r="AK176" i="6"/>
  <c r="AJ176" i="6"/>
  <c r="AI176" i="6"/>
  <c r="AH176" i="6"/>
  <c r="AG176" i="6"/>
  <c r="AF176" i="6"/>
  <c r="AE176" i="6"/>
  <c r="AD176" i="6"/>
  <c r="AW175" i="6"/>
  <c r="AV175" i="6"/>
  <c r="AU175" i="6"/>
  <c r="AT175" i="6"/>
  <c r="AS175" i="6"/>
  <c r="AR175" i="6"/>
  <c r="AQ175" i="6"/>
  <c r="AP175" i="6"/>
  <c r="AO175" i="6"/>
  <c r="AM175" i="6"/>
  <c r="AL175" i="6"/>
  <c r="AK175" i="6"/>
  <c r="AJ175" i="6"/>
  <c r="AI175" i="6"/>
  <c r="AH175" i="6"/>
  <c r="AG175" i="6"/>
  <c r="AF175" i="6"/>
  <c r="AE175" i="6"/>
  <c r="AD175" i="6"/>
  <c r="AW174" i="6"/>
  <c r="AV174" i="6"/>
  <c r="AU174" i="6"/>
  <c r="AT174" i="6"/>
  <c r="AS174" i="6"/>
  <c r="AR174" i="6"/>
  <c r="AQ174" i="6"/>
  <c r="AP174" i="6"/>
  <c r="AO174" i="6"/>
  <c r="AM174" i="6"/>
  <c r="AL174" i="6"/>
  <c r="AK174" i="6"/>
  <c r="AJ174" i="6"/>
  <c r="AI174" i="6"/>
  <c r="AH174" i="6"/>
  <c r="AG174" i="6"/>
  <c r="AF174" i="6"/>
  <c r="AE174" i="6"/>
  <c r="AD174" i="6"/>
  <c r="AW173" i="6"/>
  <c r="AV173" i="6"/>
  <c r="AU173" i="6"/>
  <c r="AT173" i="6"/>
  <c r="AS173" i="6"/>
  <c r="AR173" i="6"/>
  <c r="AQ173" i="6"/>
  <c r="AP173" i="6"/>
  <c r="AO173" i="6"/>
  <c r="AM173" i="6"/>
  <c r="AL173" i="6"/>
  <c r="AK173" i="6"/>
  <c r="AJ173" i="6"/>
  <c r="AI173" i="6"/>
  <c r="AH173" i="6"/>
  <c r="AG173" i="6"/>
  <c r="AF173" i="6"/>
  <c r="AE173" i="6"/>
  <c r="AD173" i="6"/>
  <c r="AW172" i="6"/>
  <c r="AV172" i="6"/>
  <c r="AU172" i="6"/>
  <c r="AT172" i="6"/>
  <c r="AS172" i="6"/>
  <c r="AR172" i="6"/>
  <c r="AQ172" i="6"/>
  <c r="AP172" i="6"/>
  <c r="AO172" i="6"/>
  <c r="AM172" i="6"/>
  <c r="AL172" i="6"/>
  <c r="AK172" i="6"/>
  <c r="AJ172" i="6"/>
  <c r="AI172" i="6"/>
  <c r="AH172" i="6"/>
  <c r="AG172" i="6"/>
  <c r="AF172" i="6"/>
  <c r="AE172" i="6"/>
  <c r="AD172" i="6"/>
  <c r="AW171" i="6"/>
  <c r="AV171" i="6"/>
  <c r="AU171" i="6"/>
  <c r="AT171" i="6"/>
  <c r="AS171" i="6"/>
  <c r="AR171" i="6"/>
  <c r="AQ171" i="6"/>
  <c r="AP171" i="6"/>
  <c r="AO171" i="6"/>
  <c r="AM171" i="6"/>
  <c r="AL171" i="6"/>
  <c r="AK171" i="6"/>
  <c r="AJ171" i="6"/>
  <c r="AI171" i="6"/>
  <c r="AH171" i="6"/>
  <c r="AG171" i="6"/>
  <c r="AF171" i="6"/>
  <c r="AE171" i="6"/>
  <c r="AD171" i="6"/>
  <c r="AW170" i="6"/>
  <c r="AV170" i="6"/>
  <c r="AU170" i="6"/>
  <c r="AT170" i="6"/>
  <c r="AS170" i="6"/>
  <c r="AR170" i="6"/>
  <c r="AQ170" i="6"/>
  <c r="AP170" i="6"/>
  <c r="AO170" i="6"/>
  <c r="AM170" i="6"/>
  <c r="AL170" i="6"/>
  <c r="AK170" i="6"/>
  <c r="AJ170" i="6"/>
  <c r="AI170" i="6"/>
  <c r="AH170" i="6"/>
  <c r="AG170" i="6"/>
  <c r="AF170" i="6"/>
  <c r="AE170" i="6"/>
  <c r="AD170" i="6"/>
  <c r="AW169" i="6"/>
  <c r="AV169" i="6"/>
  <c r="AU169" i="6"/>
  <c r="AT169" i="6"/>
  <c r="AS169" i="6"/>
  <c r="AR169" i="6"/>
  <c r="AQ169" i="6"/>
  <c r="AP169" i="6"/>
  <c r="AO169" i="6"/>
  <c r="AM169" i="6"/>
  <c r="AL169" i="6"/>
  <c r="AK169" i="6"/>
  <c r="AJ169" i="6"/>
  <c r="AI169" i="6"/>
  <c r="AH169" i="6"/>
  <c r="AG169" i="6"/>
  <c r="AF169" i="6"/>
  <c r="AE169" i="6"/>
  <c r="AD169" i="6"/>
  <c r="AW168" i="6"/>
  <c r="AV168" i="6"/>
  <c r="AU168" i="6"/>
  <c r="AT168" i="6"/>
  <c r="AS168" i="6"/>
  <c r="AR168" i="6"/>
  <c r="AQ168" i="6"/>
  <c r="AP168" i="6"/>
  <c r="AO168" i="6"/>
  <c r="AM168" i="6"/>
  <c r="AL168" i="6"/>
  <c r="AK168" i="6"/>
  <c r="AJ168" i="6"/>
  <c r="AI168" i="6"/>
  <c r="AH168" i="6"/>
  <c r="AG168" i="6"/>
  <c r="AF168" i="6"/>
  <c r="AE168" i="6"/>
  <c r="AD168" i="6"/>
  <c r="AW167" i="6"/>
  <c r="AV167" i="6"/>
  <c r="AU167" i="6"/>
  <c r="AT167" i="6"/>
  <c r="AS167" i="6"/>
  <c r="AR167" i="6"/>
  <c r="AQ167" i="6"/>
  <c r="AP167" i="6"/>
  <c r="AO167" i="6"/>
  <c r="AM167" i="6"/>
  <c r="AL167" i="6"/>
  <c r="AK167" i="6"/>
  <c r="AJ167" i="6"/>
  <c r="AI167" i="6"/>
  <c r="AH167" i="6"/>
  <c r="AG167" i="6"/>
  <c r="AF167" i="6"/>
  <c r="AE167" i="6"/>
  <c r="AD167" i="6"/>
  <c r="AW166" i="6"/>
  <c r="AV166" i="6"/>
  <c r="AU166" i="6"/>
  <c r="AT166" i="6"/>
  <c r="AS166" i="6"/>
  <c r="AR166" i="6"/>
  <c r="AQ166" i="6"/>
  <c r="AP166" i="6"/>
  <c r="AO166" i="6"/>
  <c r="AM166" i="6"/>
  <c r="AL166" i="6"/>
  <c r="AK166" i="6"/>
  <c r="AJ166" i="6"/>
  <c r="AI166" i="6"/>
  <c r="AH166" i="6"/>
  <c r="AG166" i="6"/>
  <c r="AF166" i="6"/>
  <c r="AE166" i="6"/>
  <c r="AD166" i="6"/>
  <c r="AW165" i="6"/>
  <c r="AV165" i="6"/>
  <c r="AU165" i="6"/>
  <c r="AT165" i="6"/>
  <c r="AS165" i="6"/>
  <c r="AR165" i="6"/>
  <c r="AQ165" i="6"/>
  <c r="AP165" i="6"/>
  <c r="AO165" i="6"/>
  <c r="AM165" i="6"/>
  <c r="AL165" i="6"/>
  <c r="AK165" i="6"/>
  <c r="AJ165" i="6"/>
  <c r="AI165" i="6"/>
  <c r="AH165" i="6"/>
  <c r="AG165" i="6"/>
  <c r="AF165" i="6"/>
  <c r="AE165" i="6"/>
  <c r="AD165" i="6"/>
  <c r="AW164" i="6"/>
  <c r="AV164" i="6"/>
  <c r="AU164" i="6"/>
  <c r="AT164" i="6"/>
  <c r="AS164" i="6"/>
  <c r="AR164" i="6"/>
  <c r="AQ164" i="6"/>
  <c r="AP164" i="6"/>
  <c r="AO164" i="6"/>
  <c r="AM164" i="6"/>
  <c r="AL164" i="6"/>
  <c r="AK164" i="6"/>
  <c r="AJ164" i="6"/>
  <c r="AI164" i="6"/>
  <c r="AH164" i="6"/>
  <c r="AG164" i="6"/>
  <c r="AF164" i="6"/>
  <c r="AE164" i="6"/>
  <c r="AD164" i="6"/>
  <c r="AW163" i="6"/>
  <c r="AV163" i="6"/>
  <c r="AU163" i="6"/>
  <c r="AT163" i="6"/>
  <c r="AS163" i="6"/>
  <c r="AR163" i="6"/>
  <c r="AQ163" i="6"/>
  <c r="AP163" i="6"/>
  <c r="AO163" i="6"/>
  <c r="AM163" i="6"/>
  <c r="AL163" i="6"/>
  <c r="AK163" i="6"/>
  <c r="AJ163" i="6"/>
  <c r="AI163" i="6"/>
  <c r="AH163" i="6"/>
  <c r="AG163" i="6"/>
  <c r="AF163" i="6"/>
  <c r="AE163" i="6"/>
  <c r="AD163" i="6"/>
  <c r="AW162" i="6"/>
  <c r="AV162" i="6"/>
  <c r="AU162" i="6"/>
  <c r="AT162" i="6"/>
  <c r="AS162" i="6"/>
  <c r="AR162" i="6"/>
  <c r="AQ162" i="6"/>
  <c r="AP162" i="6"/>
  <c r="AO162" i="6"/>
  <c r="AM162" i="6"/>
  <c r="AL162" i="6"/>
  <c r="AK162" i="6"/>
  <c r="AJ162" i="6"/>
  <c r="AI162" i="6"/>
  <c r="AH162" i="6"/>
  <c r="AG162" i="6"/>
  <c r="AF162" i="6"/>
  <c r="AE162" i="6"/>
  <c r="AD162" i="6"/>
  <c r="AW161" i="6"/>
  <c r="AV161" i="6"/>
  <c r="AU161" i="6"/>
  <c r="AT161" i="6"/>
  <c r="AS161" i="6"/>
  <c r="AR161" i="6"/>
  <c r="AQ161" i="6"/>
  <c r="AP161" i="6"/>
  <c r="AO161" i="6"/>
  <c r="AM161" i="6"/>
  <c r="AL161" i="6"/>
  <c r="AK161" i="6"/>
  <c r="AJ161" i="6"/>
  <c r="AI161" i="6"/>
  <c r="AH161" i="6"/>
  <c r="AG161" i="6"/>
  <c r="AF161" i="6"/>
  <c r="AE161" i="6"/>
  <c r="AD161" i="6"/>
  <c r="AW160" i="6"/>
  <c r="AV160" i="6"/>
  <c r="AU160" i="6"/>
  <c r="AT160" i="6"/>
  <c r="AS160" i="6"/>
  <c r="AR160" i="6"/>
  <c r="AQ160" i="6"/>
  <c r="AP160" i="6"/>
  <c r="AO160" i="6"/>
  <c r="AM160" i="6"/>
  <c r="AL160" i="6"/>
  <c r="AK160" i="6"/>
  <c r="AJ160" i="6"/>
  <c r="AI160" i="6"/>
  <c r="AH160" i="6"/>
  <c r="AG160" i="6"/>
  <c r="AF160" i="6"/>
  <c r="AE160" i="6"/>
  <c r="AD160" i="6"/>
  <c r="AW159" i="6"/>
  <c r="AV159" i="6"/>
  <c r="AU159" i="6"/>
  <c r="AT159" i="6"/>
  <c r="AS159" i="6"/>
  <c r="AR159" i="6"/>
  <c r="AQ159" i="6"/>
  <c r="AP159" i="6"/>
  <c r="AO159" i="6"/>
  <c r="AM159" i="6"/>
  <c r="AL159" i="6"/>
  <c r="AK159" i="6"/>
  <c r="AJ159" i="6"/>
  <c r="AI159" i="6"/>
  <c r="AH159" i="6"/>
  <c r="AG159" i="6"/>
  <c r="AF159" i="6"/>
  <c r="AE159" i="6"/>
  <c r="AD159" i="6"/>
  <c r="AW158" i="6"/>
  <c r="AV158" i="6"/>
  <c r="AU158" i="6"/>
  <c r="AT158" i="6"/>
  <c r="AS158" i="6"/>
  <c r="AR158" i="6"/>
  <c r="AQ158" i="6"/>
  <c r="AP158" i="6"/>
  <c r="AO158" i="6"/>
  <c r="AM158" i="6"/>
  <c r="AL158" i="6"/>
  <c r="AK158" i="6"/>
  <c r="AJ158" i="6"/>
  <c r="AI158" i="6"/>
  <c r="AH158" i="6"/>
  <c r="AG158" i="6"/>
  <c r="AF158" i="6"/>
  <c r="AE158" i="6"/>
  <c r="AD158" i="6"/>
  <c r="AW157" i="6"/>
  <c r="AV157" i="6"/>
  <c r="AU157" i="6"/>
  <c r="AT157" i="6"/>
  <c r="AS157" i="6"/>
  <c r="AR157" i="6"/>
  <c r="AQ157" i="6"/>
  <c r="AP157" i="6"/>
  <c r="AO157" i="6"/>
  <c r="AM157" i="6"/>
  <c r="AL157" i="6"/>
  <c r="AK157" i="6"/>
  <c r="AJ157" i="6"/>
  <c r="AI157" i="6"/>
  <c r="AH157" i="6"/>
  <c r="AG157" i="6"/>
  <c r="AF157" i="6"/>
  <c r="AE157" i="6"/>
  <c r="AD157" i="6"/>
  <c r="AW156" i="6"/>
  <c r="AV156" i="6"/>
  <c r="AU156" i="6"/>
  <c r="AT156" i="6"/>
  <c r="AS156" i="6"/>
  <c r="AR156" i="6"/>
  <c r="AQ156" i="6"/>
  <c r="AP156" i="6"/>
  <c r="AO156" i="6"/>
  <c r="AM156" i="6"/>
  <c r="AL156" i="6"/>
  <c r="AK156" i="6"/>
  <c r="AJ156" i="6"/>
  <c r="AI156" i="6"/>
  <c r="AH156" i="6"/>
  <c r="AG156" i="6"/>
  <c r="AF156" i="6"/>
  <c r="AE156" i="6"/>
  <c r="AD156" i="6"/>
  <c r="AW155" i="6"/>
  <c r="AV155" i="6"/>
  <c r="AU155" i="6"/>
  <c r="AT155" i="6"/>
  <c r="AS155" i="6"/>
  <c r="AR155" i="6"/>
  <c r="AQ155" i="6"/>
  <c r="AP155" i="6"/>
  <c r="AO155" i="6"/>
  <c r="AM155" i="6"/>
  <c r="AL155" i="6"/>
  <c r="AK155" i="6"/>
  <c r="AJ155" i="6"/>
  <c r="AI155" i="6"/>
  <c r="AH155" i="6"/>
  <c r="AG155" i="6"/>
  <c r="AF155" i="6"/>
  <c r="AE155" i="6"/>
  <c r="AD155" i="6"/>
  <c r="AW154" i="6"/>
  <c r="AV154" i="6"/>
  <c r="AU154" i="6"/>
  <c r="AT154" i="6"/>
  <c r="AS154" i="6"/>
  <c r="AR154" i="6"/>
  <c r="AQ154" i="6"/>
  <c r="AP154" i="6"/>
  <c r="AO154" i="6"/>
  <c r="AM154" i="6"/>
  <c r="AL154" i="6"/>
  <c r="AK154" i="6"/>
  <c r="AJ154" i="6"/>
  <c r="AI154" i="6"/>
  <c r="AH154" i="6"/>
  <c r="AG154" i="6"/>
  <c r="AF154" i="6"/>
  <c r="AE154" i="6"/>
  <c r="AD154" i="6"/>
  <c r="AW153" i="6"/>
  <c r="AV153" i="6"/>
  <c r="AU153" i="6"/>
  <c r="AT153" i="6"/>
  <c r="AS153" i="6"/>
  <c r="AR153" i="6"/>
  <c r="AQ153" i="6"/>
  <c r="AP153" i="6"/>
  <c r="AO153" i="6"/>
  <c r="AM153" i="6"/>
  <c r="AL153" i="6"/>
  <c r="AK153" i="6"/>
  <c r="AJ153" i="6"/>
  <c r="AI153" i="6"/>
  <c r="AH153" i="6"/>
  <c r="AG153" i="6"/>
  <c r="AF153" i="6"/>
  <c r="AE153" i="6"/>
  <c r="AD153" i="6"/>
  <c r="AW152" i="6"/>
  <c r="AV152" i="6"/>
  <c r="AU152" i="6"/>
  <c r="AT152" i="6"/>
  <c r="AS152" i="6"/>
  <c r="AR152" i="6"/>
  <c r="AQ152" i="6"/>
  <c r="AP152" i="6"/>
  <c r="AO152" i="6"/>
  <c r="AM152" i="6"/>
  <c r="AL152" i="6"/>
  <c r="AK152" i="6"/>
  <c r="AJ152" i="6"/>
  <c r="AI152" i="6"/>
  <c r="AH152" i="6"/>
  <c r="AG152" i="6"/>
  <c r="AF152" i="6"/>
  <c r="AE152" i="6"/>
  <c r="AD152" i="6"/>
  <c r="AW151" i="6"/>
  <c r="AV151" i="6"/>
  <c r="AU151" i="6"/>
  <c r="AT151" i="6"/>
  <c r="AS151" i="6"/>
  <c r="AR151" i="6"/>
  <c r="AQ151" i="6"/>
  <c r="AP151" i="6"/>
  <c r="AO151" i="6"/>
  <c r="AM151" i="6"/>
  <c r="AL151" i="6"/>
  <c r="AK151" i="6"/>
  <c r="AJ151" i="6"/>
  <c r="AI151" i="6"/>
  <c r="AH151" i="6"/>
  <c r="AG151" i="6"/>
  <c r="AF151" i="6"/>
  <c r="AE151" i="6"/>
  <c r="AD151" i="6"/>
  <c r="AW150" i="6"/>
  <c r="AV150" i="6"/>
  <c r="AU150" i="6"/>
  <c r="AT150" i="6"/>
  <c r="AS150" i="6"/>
  <c r="AR150" i="6"/>
  <c r="AQ150" i="6"/>
  <c r="AP150" i="6"/>
  <c r="AO150" i="6"/>
  <c r="AM150" i="6"/>
  <c r="AL150" i="6"/>
  <c r="AK150" i="6"/>
  <c r="AJ150" i="6"/>
  <c r="AI150" i="6"/>
  <c r="AH150" i="6"/>
  <c r="AG150" i="6"/>
  <c r="AF150" i="6"/>
  <c r="AE150" i="6"/>
  <c r="AD150" i="6"/>
  <c r="AW149" i="6"/>
  <c r="AV149" i="6"/>
  <c r="AU149" i="6"/>
  <c r="AT149" i="6"/>
  <c r="AS149" i="6"/>
  <c r="AR149" i="6"/>
  <c r="AQ149" i="6"/>
  <c r="AP149" i="6"/>
  <c r="AO149" i="6"/>
  <c r="AM149" i="6"/>
  <c r="AL149" i="6"/>
  <c r="AK149" i="6"/>
  <c r="AJ149" i="6"/>
  <c r="AI149" i="6"/>
  <c r="AH149" i="6"/>
  <c r="AG149" i="6"/>
  <c r="AF149" i="6"/>
  <c r="AE149" i="6"/>
  <c r="AD149" i="6"/>
  <c r="AW148" i="6"/>
  <c r="AV148" i="6"/>
  <c r="AU148" i="6"/>
  <c r="AT148" i="6"/>
  <c r="AS148" i="6"/>
  <c r="AR148" i="6"/>
  <c r="AQ148" i="6"/>
  <c r="AP148" i="6"/>
  <c r="AO148" i="6"/>
  <c r="AM148" i="6"/>
  <c r="AL148" i="6"/>
  <c r="AK148" i="6"/>
  <c r="AJ148" i="6"/>
  <c r="AI148" i="6"/>
  <c r="AH148" i="6"/>
  <c r="AG148" i="6"/>
  <c r="AF148" i="6"/>
  <c r="AE148" i="6"/>
  <c r="AD148" i="6"/>
  <c r="AW147" i="6"/>
  <c r="AV147" i="6"/>
  <c r="AU147" i="6"/>
  <c r="AT147" i="6"/>
  <c r="AS147" i="6"/>
  <c r="AR147" i="6"/>
  <c r="AQ147" i="6"/>
  <c r="AP147" i="6"/>
  <c r="AO147" i="6"/>
  <c r="AM147" i="6"/>
  <c r="AL147" i="6"/>
  <c r="AK147" i="6"/>
  <c r="AJ147" i="6"/>
  <c r="AI147" i="6"/>
  <c r="AH147" i="6"/>
  <c r="AG147" i="6"/>
  <c r="AF147" i="6"/>
  <c r="AE147" i="6"/>
  <c r="AD147" i="6"/>
  <c r="AW146" i="6"/>
  <c r="AV146" i="6"/>
  <c r="AU146" i="6"/>
  <c r="AT146" i="6"/>
  <c r="AS146" i="6"/>
  <c r="AR146" i="6"/>
  <c r="AQ146" i="6"/>
  <c r="AP146" i="6"/>
  <c r="AO146" i="6"/>
  <c r="AM146" i="6"/>
  <c r="AL146" i="6"/>
  <c r="AK146" i="6"/>
  <c r="AJ146" i="6"/>
  <c r="AI146" i="6"/>
  <c r="AH146" i="6"/>
  <c r="AG146" i="6"/>
  <c r="AF146" i="6"/>
  <c r="AE146" i="6"/>
  <c r="AD146" i="6"/>
  <c r="AW145" i="6"/>
  <c r="AV145" i="6"/>
  <c r="AU145" i="6"/>
  <c r="AT145" i="6"/>
  <c r="AS145" i="6"/>
  <c r="AR145" i="6"/>
  <c r="AQ145" i="6"/>
  <c r="AP145" i="6"/>
  <c r="AO145" i="6"/>
  <c r="AM145" i="6"/>
  <c r="AL145" i="6"/>
  <c r="AK145" i="6"/>
  <c r="AJ145" i="6"/>
  <c r="AI145" i="6"/>
  <c r="AH145" i="6"/>
  <c r="AG145" i="6"/>
  <c r="AF145" i="6"/>
  <c r="AE145" i="6"/>
  <c r="AD145" i="6"/>
  <c r="AW144" i="6"/>
  <c r="AV144" i="6"/>
  <c r="AU144" i="6"/>
  <c r="AT144" i="6"/>
  <c r="AS144" i="6"/>
  <c r="AR144" i="6"/>
  <c r="AQ144" i="6"/>
  <c r="AP144" i="6"/>
  <c r="AO144" i="6"/>
  <c r="AM144" i="6"/>
  <c r="AL144" i="6"/>
  <c r="AK144" i="6"/>
  <c r="AJ144" i="6"/>
  <c r="AI144" i="6"/>
  <c r="AH144" i="6"/>
  <c r="AG144" i="6"/>
  <c r="AF144" i="6"/>
  <c r="AE144" i="6"/>
  <c r="AD144" i="6"/>
  <c r="AW143" i="6"/>
  <c r="AV143" i="6"/>
  <c r="AU143" i="6"/>
  <c r="AT143" i="6"/>
  <c r="AS143" i="6"/>
  <c r="AR143" i="6"/>
  <c r="AQ143" i="6"/>
  <c r="AP143" i="6"/>
  <c r="AO143" i="6"/>
  <c r="AM143" i="6"/>
  <c r="AL143" i="6"/>
  <c r="AK143" i="6"/>
  <c r="AJ143" i="6"/>
  <c r="AI143" i="6"/>
  <c r="AH143" i="6"/>
  <c r="AG143" i="6"/>
  <c r="AF143" i="6"/>
  <c r="AE143" i="6"/>
  <c r="AD143" i="6"/>
  <c r="AW142" i="6"/>
  <c r="AV142" i="6"/>
  <c r="AU142" i="6"/>
  <c r="AT142" i="6"/>
  <c r="AS142" i="6"/>
  <c r="AR142" i="6"/>
  <c r="AQ142" i="6"/>
  <c r="AP142" i="6"/>
  <c r="AO142" i="6"/>
  <c r="AM142" i="6"/>
  <c r="AL142" i="6"/>
  <c r="AK142" i="6"/>
  <c r="AJ142" i="6"/>
  <c r="AI142" i="6"/>
  <c r="AH142" i="6"/>
  <c r="AG142" i="6"/>
  <c r="AF142" i="6"/>
  <c r="AE142" i="6"/>
  <c r="AD142" i="6"/>
  <c r="AW141" i="6"/>
  <c r="AV141" i="6"/>
  <c r="AU141" i="6"/>
  <c r="AT141" i="6"/>
  <c r="AS141" i="6"/>
  <c r="AR141" i="6"/>
  <c r="AQ141" i="6"/>
  <c r="AP141" i="6"/>
  <c r="AO141" i="6"/>
  <c r="AM141" i="6"/>
  <c r="AL141" i="6"/>
  <c r="AK141" i="6"/>
  <c r="AJ141" i="6"/>
  <c r="AI141" i="6"/>
  <c r="AH141" i="6"/>
  <c r="AG141" i="6"/>
  <c r="AF141" i="6"/>
  <c r="AE141" i="6"/>
  <c r="AD141" i="6"/>
  <c r="AW140" i="6"/>
  <c r="AV140" i="6"/>
  <c r="AU140" i="6"/>
  <c r="AT140" i="6"/>
  <c r="AS140" i="6"/>
  <c r="AR140" i="6"/>
  <c r="AQ140" i="6"/>
  <c r="AP140" i="6"/>
  <c r="AO140" i="6"/>
  <c r="AM140" i="6"/>
  <c r="AL140" i="6"/>
  <c r="AK140" i="6"/>
  <c r="AJ140" i="6"/>
  <c r="AI140" i="6"/>
  <c r="AH140" i="6"/>
  <c r="AG140" i="6"/>
  <c r="AF140" i="6"/>
  <c r="AE140" i="6"/>
  <c r="AD140" i="6"/>
  <c r="AW139" i="6"/>
  <c r="AV139" i="6"/>
  <c r="AU139" i="6"/>
  <c r="AT139" i="6"/>
  <c r="AS139" i="6"/>
  <c r="AR139" i="6"/>
  <c r="AQ139" i="6"/>
  <c r="AP139" i="6"/>
  <c r="AO139" i="6"/>
  <c r="AM139" i="6"/>
  <c r="AL139" i="6"/>
  <c r="AK139" i="6"/>
  <c r="AJ139" i="6"/>
  <c r="AI139" i="6"/>
  <c r="AH139" i="6"/>
  <c r="AG139" i="6"/>
  <c r="AF139" i="6"/>
  <c r="AE139" i="6"/>
  <c r="AD139" i="6"/>
  <c r="AW138" i="6"/>
  <c r="AV138" i="6"/>
  <c r="AU138" i="6"/>
  <c r="AT138" i="6"/>
  <c r="AS138" i="6"/>
  <c r="AR138" i="6"/>
  <c r="AQ138" i="6"/>
  <c r="AP138" i="6"/>
  <c r="AO138" i="6"/>
  <c r="AM138" i="6"/>
  <c r="AL138" i="6"/>
  <c r="AK138" i="6"/>
  <c r="AJ138" i="6"/>
  <c r="AI138" i="6"/>
  <c r="AH138" i="6"/>
  <c r="AG138" i="6"/>
  <c r="AF138" i="6"/>
  <c r="AE138" i="6"/>
  <c r="AD138" i="6"/>
  <c r="AW137" i="6"/>
  <c r="AV137" i="6"/>
  <c r="AU137" i="6"/>
  <c r="AT137" i="6"/>
  <c r="AS137" i="6"/>
  <c r="AR137" i="6"/>
  <c r="AQ137" i="6"/>
  <c r="AP137" i="6"/>
  <c r="AO137" i="6"/>
  <c r="AM137" i="6"/>
  <c r="AL137" i="6"/>
  <c r="AK137" i="6"/>
  <c r="AJ137" i="6"/>
  <c r="AI137" i="6"/>
  <c r="AH137" i="6"/>
  <c r="AG137" i="6"/>
  <c r="AF137" i="6"/>
  <c r="AE137" i="6"/>
  <c r="AD137" i="6"/>
  <c r="AW136" i="6"/>
  <c r="AV136" i="6"/>
  <c r="AU136" i="6"/>
  <c r="AT136" i="6"/>
  <c r="AS136" i="6"/>
  <c r="AR136" i="6"/>
  <c r="AQ136" i="6"/>
  <c r="AP136" i="6"/>
  <c r="AO136" i="6"/>
  <c r="AM136" i="6"/>
  <c r="AL136" i="6"/>
  <c r="AK136" i="6"/>
  <c r="AJ136" i="6"/>
  <c r="AI136" i="6"/>
  <c r="AH136" i="6"/>
  <c r="AG136" i="6"/>
  <c r="AF136" i="6"/>
  <c r="AE136" i="6"/>
  <c r="AD136" i="6"/>
  <c r="AW135" i="6"/>
  <c r="AV135" i="6"/>
  <c r="AU135" i="6"/>
  <c r="AT135" i="6"/>
  <c r="AS135" i="6"/>
  <c r="AR135" i="6"/>
  <c r="AQ135" i="6"/>
  <c r="AP135" i="6"/>
  <c r="AO135" i="6"/>
  <c r="AM135" i="6"/>
  <c r="AL135" i="6"/>
  <c r="AK135" i="6"/>
  <c r="AJ135" i="6"/>
  <c r="AI135" i="6"/>
  <c r="AH135" i="6"/>
  <c r="AG135" i="6"/>
  <c r="AF135" i="6"/>
  <c r="AE135" i="6"/>
  <c r="AD135" i="6"/>
  <c r="AW134" i="6"/>
  <c r="AV134" i="6"/>
  <c r="AU134" i="6"/>
  <c r="AT134" i="6"/>
  <c r="AS134" i="6"/>
  <c r="AR134" i="6"/>
  <c r="AQ134" i="6"/>
  <c r="AP134" i="6"/>
  <c r="AO134" i="6"/>
  <c r="AM134" i="6"/>
  <c r="AL134" i="6"/>
  <c r="AK134" i="6"/>
  <c r="AJ134" i="6"/>
  <c r="AI134" i="6"/>
  <c r="AH134" i="6"/>
  <c r="AG134" i="6"/>
  <c r="AF134" i="6"/>
  <c r="AE134" i="6"/>
  <c r="AD134" i="6"/>
  <c r="AW133" i="6"/>
  <c r="AV133" i="6"/>
  <c r="AU133" i="6"/>
  <c r="AT133" i="6"/>
  <c r="AS133" i="6"/>
  <c r="AR133" i="6"/>
  <c r="AQ133" i="6"/>
  <c r="AP133" i="6"/>
  <c r="AO133" i="6"/>
  <c r="AM133" i="6"/>
  <c r="AL133" i="6"/>
  <c r="AK133" i="6"/>
  <c r="AJ133" i="6"/>
  <c r="AI133" i="6"/>
  <c r="AH133" i="6"/>
  <c r="AG133" i="6"/>
  <c r="AF133" i="6"/>
  <c r="AE133" i="6"/>
  <c r="AD133" i="6"/>
  <c r="AW132" i="6"/>
  <c r="AV132" i="6"/>
  <c r="AU132" i="6"/>
  <c r="AT132" i="6"/>
  <c r="AS132" i="6"/>
  <c r="AR132" i="6"/>
  <c r="AQ132" i="6"/>
  <c r="AP132" i="6"/>
  <c r="AO132" i="6"/>
  <c r="AM132" i="6"/>
  <c r="AL132" i="6"/>
  <c r="AK132" i="6"/>
  <c r="AJ132" i="6"/>
  <c r="AI132" i="6"/>
  <c r="AH132" i="6"/>
  <c r="AG132" i="6"/>
  <c r="AF132" i="6"/>
  <c r="AE132" i="6"/>
  <c r="AD132" i="6"/>
  <c r="AW131" i="6"/>
  <c r="AV131" i="6"/>
  <c r="AU131" i="6"/>
  <c r="AT131" i="6"/>
  <c r="AS131" i="6"/>
  <c r="AR131" i="6"/>
  <c r="AQ131" i="6"/>
  <c r="AP131" i="6"/>
  <c r="AO131" i="6"/>
  <c r="AM131" i="6"/>
  <c r="AL131" i="6"/>
  <c r="AK131" i="6"/>
  <c r="AJ131" i="6"/>
  <c r="AI131" i="6"/>
  <c r="AH131" i="6"/>
  <c r="AG131" i="6"/>
  <c r="AF131" i="6"/>
  <c r="AE131" i="6"/>
  <c r="AD131" i="6"/>
  <c r="AW130" i="6"/>
  <c r="AV130" i="6"/>
  <c r="AU130" i="6"/>
  <c r="AT130" i="6"/>
  <c r="AS130" i="6"/>
  <c r="AR130" i="6"/>
  <c r="AQ130" i="6"/>
  <c r="AP130" i="6"/>
  <c r="AO130" i="6"/>
  <c r="AM130" i="6"/>
  <c r="AL130" i="6"/>
  <c r="AK130" i="6"/>
  <c r="AJ130" i="6"/>
  <c r="AI130" i="6"/>
  <c r="AH130" i="6"/>
  <c r="AG130" i="6"/>
  <c r="AF130" i="6"/>
  <c r="AE130" i="6"/>
  <c r="AD130" i="6"/>
  <c r="AW129" i="6"/>
  <c r="AV129" i="6"/>
  <c r="AU129" i="6"/>
  <c r="AT129" i="6"/>
  <c r="AS129" i="6"/>
  <c r="AR129" i="6"/>
  <c r="AQ129" i="6"/>
  <c r="AP129" i="6"/>
  <c r="AO129" i="6"/>
  <c r="AM129" i="6"/>
  <c r="AL129" i="6"/>
  <c r="AK129" i="6"/>
  <c r="AJ129" i="6"/>
  <c r="AI129" i="6"/>
  <c r="AH129" i="6"/>
  <c r="AG129" i="6"/>
  <c r="AF129" i="6"/>
  <c r="AE129" i="6"/>
  <c r="AD129" i="6"/>
  <c r="AW128" i="6"/>
  <c r="AV128" i="6"/>
  <c r="AU128" i="6"/>
  <c r="AT128" i="6"/>
  <c r="AS128" i="6"/>
  <c r="AR128" i="6"/>
  <c r="AQ128" i="6"/>
  <c r="AP128" i="6"/>
  <c r="AO128" i="6"/>
  <c r="AM128" i="6"/>
  <c r="AL128" i="6"/>
  <c r="AK128" i="6"/>
  <c r="AJ128" i="6"/>
  <c r="AI128" i="6"/>
  <c r="AH128" i="6"/>
  <c r="AG128" i="6"/>
  <c r="AF128" i="6"/>
  <c r="AE128" i="6"/>
  <c r="AD128" i="6"/>
  <c r="AW127" i="6"/>
  <c r="AV127" i="6"/>
  <c r="AU127" i="6"/>
  <c r="AT127" i="6"/>
  <c r="AS127" i="6"/>
  <c r="AR127" i="6"/>
  <c r="AQ127" i="6"/>
  <c r="AP127" i="6"/>
  <c r="AO127" i="6"/>
  <c r="AM127" i="6"/>
  <c r="AL127" i="6"/>
  <c r="AK127" i="6"/>
  <c r="AJ127" i="6"/>
  <c r="AI127" i="6"/>
  <c r="AH127" i="6"/>
  <c r="AG127" i="6"/>
  <c r="AF127" i="6"/>
  <c r="AE127" i="6"/>
  <c r="AD127" i="6"/>
  <c r="AW126" i="6"/>
  <c r="AV126" i="6"/>
  <c r="AU126" i="6"/>
  <c r="AT126" i="6"/>
  <c r="AS126" i="6"/>
  <c r="AR126" i="6"/>
  <c r="AQ126" i="6"/>
  <c r="AP126" i="6"/>
  <c r="AO126" i="6"/>
  <c r="AM126" i="6"/>
  <c r="AL126" i="6"/>
  <c r="AK126" i="6"/>
  <c r="AJ126" i="6"/>
  <c r="AI126" i="6"/>
  <c r="AH126" i="6"/>
  <c r="AG126" i="6"/>
  <c r="AF126" i="6"/>
  <c r="AE126" i="6"/>
  <c r="AD126" i="6"/>
  <c r="AW125" i="6"/>
  <c r="AV125" i="6"/>
  <c r="AU125" i="6"/>
  <c r="AT125" i="6"/>
  <c r="AS125" i="6"/>
  <c r="AR125" i="6"/>
  <c r="AQ125" i="6"/>
  <c r="AP125" i="6"/>
  <c r="AO125" i="6"/>
  <c r="AM125" i="6"/>
  <c r="AL125" i="6"/>
  <c r="AK125" i="6"/>
  <c r="AJ125" i="6"/>
  <c r="AI125" i="6"/>
  <c r="AH125" i="6"/>
  <c r="AG125" i="6"/>
  <c r="AF125" i="6"/>
  <c r="AE125" i="6"/>
  <c r="AD125" i="6"/>
  <c r="AW124" i="6"/>
  <c r="AV124" i="6"/>
  <c r="AU124" i="6"/>
  <c r="AT124" i="6"/>
  <c r="AS124" i="6"/>
  <c r="AR124" i="6"/>
  <c r="AQ124" i="6"/>
  <c r="AP124" i="6"/>
  <c r="AO124" i="6"/>
  <c r="AM124" i="6"/>
  <c r="AL124" i="6"/>
  <c r="AK124" i="6"/>
  <c r="AJ124" i="6"/>
  <c r="AI124" i="6"/>
  <c r="AH124" i="6"/>
  <c r="AG124" i="6"/>
  <c r="AF124" i="6"/>
  <c r="AE124" i="6"/>
  <c r="AD124" i="6"/>
  <c r="AW123" i="6"/>
  <c r="AV123" i="6"/>
  <c r="AU123" i="6"/>
  <c r="AT123" i="6"/>
  <c r="AS123" i="6"/>
  <c r="AR123" i="6"/>
  <c r="AQ123" i="6"/>
  <c r="AP123" i="6"/>
  <c r="AO123" i="6"/>
  <c r="AM123" i="6"/>
  <c r="AL123" i="6"/>
  <c r="AK123" i="6"/>
  <c r="AJ123" i="6"/>
  <c r="AI123" i="6"/>
  <c r="AH123" i="6"/>
  <c r="AG123" i="6"/>
  <c r="AF123" i="6"/>
  <c r="AE123" i="6"/>
  <c r="AD123" i="6"/>
  <c r="AW122" i="6"/>
  <c r="AV122" i="6"/>
  <c r="AU122" i="6"/>
  <c r="AT122" i="6"/>
  <c r="AS122" i="6"/>
  <c r="AR122" i="6"/>
  <c r="AQ122" i="6"/>
  <c r="AP122" i="6"/>
  <c r="AO122" i="6"/>
  <c r="AM122" i="6"/>
  <c r="AL122" i="6"/>
  <c r="AK122" i="6"/>
  <c r="AJ122" i="6"/>
  <c r="AI122" i="6"/>
  <c r="AH122" i="6"/>
  <c r="AG122" i="6"/>
  <c r="AF122" i="6"/>
  <c r="AE122" i="6"/>
  <c r="AD122" i="6"/>
  <c r="AW121" i="6"/>
  <c r="AV121" i="6"/>
  <c r="AU121" i="6"/>
  <c r="AT121" i="6"/>
  <c r="AS121" i="6"/>
  <c r="AR121" i="6"/>
  <c r="AQ121" i="6"/>
  <c r="AP121" i="6"/>
  <c r="AO121" i="6"/>
  <c r="AM121" i="6"/>
  <c r="AL121" i="6"/>
  <c r="AK121" i="6"/>
  <c r="AJ121" i="6"/>
  <c r="AI121" i="6"/>
  <c r="AH121" i="6"/>
  <c r="AG121" i="6"/>
  <c r="AF121" i="6"/>
  <c r="AE121" i="6"/>
  <c r="AD121" i="6"/>
  <c r="AW120" i="6"/>
  <c r="AV120" i="6"/>
  <c r="AU120" i="6"/>
  <c r="AT120" i="6"/>
  <c r="AS120" i="6"/>
  <c r="AR120" i="6"/>
  <c r="AQ120" i="6"/>
  <c r="AP120" i="6"/>
  <c r="AO120" i="6"/>
  <c r="AM120" i="6"/>
  <c r="AL120" i="6"/>
  <c r="AK120" i="6"/>
  <c r="AJ120" i="6"/>
  <c r="AI120" i="6"/>
  <c r="AH120" i="6"/>
  <c r="AG120" i="6"/>
  <c r="AF120" i="6"/>
  <c r="AE120" i="6"/>
  <c r="AD120" i="6"/>
  <c r="AW119" i="6"/>
  <c r="AV119" i="6"/>
  <c r="AU119" i="6"/>
  <c r="AT119" i="6"/>
  <c r="AS119" i="6"/>
  <c r="AR119" i="6"/>
  <c r="AQ119" i="6"/>
  <c r="AP119" i="6"/>
  <c r="AO119" i="6"/>
  <c r="AM119" i="6"/>
  <c r="AL119" i="6"/>
  <c r="AK119" i="6"/>
  <c r="AJ119" i="6"/>
  <c r="AI119" i="6"/>
  <c r="AH119" i="6"/>
  <c r="AG119" i="6"/>
  <c r="AF119" i="6"/>
  <c r="AE119" i="6"/>
  <c r="AD119" i="6"/>
  <c r="AW118" i="6"/>
  <c r="AV118" i="6"/>
  <c r="AU118" i="6"/>
  <c r="AT118" i="6"/>
  <c r="AS118" i="6"/>
  <c r="AR118" i="6"/>
  <c r="AQ118" i="6"/>
  <c r="AP118" i="6"/>
  <c r="AO118" i="6"/>
  <c r="AM118" i="6"/>
  <c r="AL118" i="6"/>
  <c r="AK118" i="6"/>
  <c r="AJ118" i="6"/>
  <c r="AI118" i="6"/>
  <c r="AH118" i="6"/>
  <c r="AG118" i="6"/>
  <c r="AF118" i="6"/>
  <c r="AE118" i="6"/>
  <c r="AD118" i="6"/>
  <c r="AW117" i="6"/>
  <c r="AV117" i="6"/>
  <c r="AU117" i="6"/>
  <c r="AT117" i="6"/>
  <c r="AS117" i="6"/>
  <c r="AR117" i="6"/>
  <c r="AQ117" i="6"/>
  <c r="AP117" i="6"/>
  <c r="AO117" i="6"/>
  <c r="AM117" i="6"/>
  <c r="AL117" i="6"/>
  <c r="AK117" i="6"/>
  <c r="AJ117" i="6"/>
  <c r="AI117" i="6"/>
  <c r="AH117" i="6"/>
  <c r="AG117" i="6"/>
  <c r="AF117" i="6"/>
  <c r="AE117" i="6"/>
  <c r="AD117" i="6"/>
  <c r="AW116" i="6"/>
  <c r="AV116" i="6"/>
  <c r="AU116" i="6"/>
  <c r="AT116" i="6"/>
  <c r="AS116" i="6"/>
  <c r="AR116" i="6"/>
  <c r="AQ116" i="6"/>
  <c r="AP116" i="6"/>
  <c r="AO116" i="6"/>
  <c r="AM116" i="6"/>
  <c r="AL116" i="6"/>
  <c r="AK116" i="6"/>
  <c r="AJ116" i="6"/>
  <c r="AI116" i="6"/>
  <c r="AH116" i="6"/>
  <c r="AG116" i="6"/>
  <c r="AF116" i="6"/>
  <c r="AE116" i="6"/>
  <c r="AD116" i="6"/>
  <c r="AW115" i="6"/>
  <c r="AV115" i="6"/>
  <c r="AU115" i="6"/>
  <c r="AT115" i="6"/>
  <c r="AS115" i="6"/>
  <c r="AR115" i="6"/>
  <c r="AQ115" i="6"/>
  <c r="AP115" i="6"/>
  <c r="AO115" i="6"/>
  <c r="AM115" i="6"/>
  <c r="AL115" i="6"/>
  <c r="AK115" i="6"/>
  <c r="AJ115" i="6"/>
  <c r="AI115" i="6"/>
  <c r="AH115" i="6"/>
  <c r="AG115" i="6"/>
  <c r="AF115" i="6"/>
  <c r="AE115" i="6"/>
  <c r="AD115" i="6"/>
  <c r="AW114" i="6"/>
  <c r="AV114" i="6"/>
  <c r="AU114" i="6"/>
  <c r="AT114" i="6"/>
  <c r="AS114" i="6"/>
  <c r="AR114" i="6"/>
  <c r="AQ114" i="6"/>
  <c r="AP114" i="6"/>
  <c r="AO114" i="6"/>
  <c r="AM114" i="6"/>
  <c r="AL114" i="6"/>
  <c r="AK114" i="6"/>
  <c r="AJ114" i="6"/>
  <c r="AI114" i="6"/>
  <c r="AH114" i="6"/>
  <c r="AG114" i="6"/>
  <c r="AF114" i="6"/>
  <c r="AE114" i="6"/>
  <c r="AD114" i="6"/>
  <c r="AW113" i="6"/>
  <c r="AV113" i="6"/>
  <c r="AU113" i="6"/>
  <c r="AT113" i="6"/>
  <c r="AS113" i="6"/>
  <c r="AR113" i="6"/>
  <c r="AQ113" i="6"/>
  <c r="AP113" i="6"/>
  <c r="AO113" i="6"/>
  <c r="AM113" i="6"/>
  <c r="AL113" i="6"/>
  <c r="AK113" i="6"/>
  <c r="AJ113" i="6"/>
  <c r="AI113" i="6"/>
  <c r="AH113" i="6"/>
  <c r="AG113" i="6"/>
  <c r="AF113" i="6"/>
  <c r="AE113" i="6"/>
  <c r="AD113" i="6"/>
  <c r="AW112" i="6"/>
  <c r="AV112" i="6"/>
  <c r="AU112" i="6"/>
  <c r="AT112" i="6"/>
  <c r="AS112" i="6"/>
  <c r="AR112" i="6"/>
  <c r="AQ112" i="6"/>
  <c r="AP112" i="6"/>
  <c r="AO112" i="6"/>
  <c r="AM112" i="6"/>
  <c r="AL112" i="6"/>
  <c r="AK112" i="6"/>
  <c r="AJ112" i="6"/>
  <c r="AI112" i="6"/>
  <c r="AH112" i="6"/>
  <c r="AG112" i="6"/>
  <c r="AF112" i="6"/>
  <c r="AE112" i="6"/>
  <c r="AD112" i="6"/>
  <c r="AW111" i="6"/>
  <c r="AV111" i="6"/>
  <c r="AU111" i="6"/>
  <c r="AT111" i="6"/>
  <c r="AS111" i="6"/>
  <c r="AR111" i="6"/>
  <c r="AQ111" i="6"/>
  <c r="AP111" i="6"/>
  <c r="AO111" i="6"/>
  <c r="AM111" i="6"/>
  <c r="AL111" i="6"/>
  <c r="AK111" i="6"/>
  <c r="AJ111" i="6"/>
  <c r="AI111" i="6"/>
  <c r="AH111" i="6"/>
  <c r="AG111" i="6"/>
  <c r="AF111" i="6"/>
  <c r="AE111" i="6"/>
  <c r="AD111" i="6"/>
  <c r="AW110" i="6"/>
  <c r="AV110" i="6"/>
  <c r="AU110" i="6"/>
  <c r="AT110" i="6"/>
  <c r="AS110" i="6"/>
  <c r="AR110" i="6"/>
  <c r="AQ110" i="6"/>
  <c r="AP110" i="6"/>
  <c r="AO110" i="6"/>
  <c r="AM110" i="6"/>
  <c r="AL110" i="6"/>
  <c r="AK110" i="6"/>
  <c r="AJ110" i="6"/>
  <c r="AI110" i="6"/>
  <c r="AH110" i="6"/>
  <c r="AG110" i="6"/>
  <c r="AF110" i="6"/>
  <c r="AE110" i="6"/>
  <c r="AD110" i="6"/>
  <c r="AW109" i="6"/>
  <c r="AV109" i="6"/>
  <c r="AU109" i="6"/>
  <c r="AT109" i="6"/>
  <c r="AS109" i="6"/>
  <c r="AR109" i="6"/>
  <c r="AQ109" i="6"/>
  <c r="AP109" i="6"/>
  <c r="AO109" i="6"/>
  <c r="AM109" i="6"/>
  <c r="AL109" i="6"/>
  <c r="AK109" i="6"/>
  <c r="AJ109" i="6"/>
  <c r="AI109" i="6"/>
  <c r="AH109" i="6"/>
  <c r="AG109" i="6"/>
  <c r="AF109" i="6"/>
  <c r="AE109" i="6"/>
  <c r="AD109" i="6"/>
  <c r="AW108" i="6"/>
  <c r="AV108" i="6"/>
  <c r="AU108" i="6"/>
  <c r="AT108" i="6"/>
  <c r="AS108" i="6"/>
  <c r="AR108" i="6"/>
  <c r="AQ108" i="6"/>
  <c r="AP108" i="6"/>
  <c r="AO108" i="6"/>
  <c r="AM108" i="6"/>
  <c r="AL108" i="6"/>
  <c r="AK108" i="6"/>
  <c r="AJ108" i="6"/>
  <c r="AI108" i="6"/>
  <c r="AH108" i="6"/>
  <c r="AG108" i="6"/>
  <c r="AF108" i="6"/>
  <c r="AE108" i="6"/>
  <c r="AD108" i="6"/>
  <c r="AW107" i="6"/>
  <c r="AV107" i="6"/>
  <c r="AU107" i="6"/>
  <c r="AT107" i="6"/>
  <c r="AS107" i="6"/>
  <c r="AR107" i="6"/>
  <c r="AQ107" i="6"/>
  <c r="AP107" i="6"/>
  <c r="AO107" i="6"/>
  <c r="AM107" i="6"/>
  <c r="AL107" i="6"/>
  <c r="AK107" i="6"/>
  <c r="AJ107" i="6"/>
  <c r="AI107" i="6"/>
  <c r="AH107" i="6"/>
  <c r="AG107" i="6"/>
  <c r="AF107" i="6"/>
  <c r="AE107" i="6"/>
  <c r="AD107" i="6"/>
  <c r="AW106" i="6"/>
  <c r="AV106" i="6"/>
  <c r="AU106" i="6"/>
  <c r="AT106" i="6"/>
  <c r="AS106" i="6"/>
  <c r="AR106" i="6"/>
  <c r="AQ106" i="6"/>
  <c r="AP106" i="6"/>
  <c r="AO106" i="6"/>
  <c r="AM106" i="6"/>
  <c r="AL106" i="6"/>
  <c r="AK106" i="6"/>
  <c r="AJ106" i="6"/>
  <c r="AI106" i="6"/>
  <c r="AH106" i="6"/>
  <c r="AG106" i="6"/>
  <c r="AF106" i="6"/>
  <c r="AE106" i="6"/>
  <c r="AD106" i="6"/>
  <c r="AW105" i="6"/>
  <c r="AV105" i="6"/>
  <c r="AU105" i="6"/>
  <c r="AT105" i="6"/>
  <c r="AS105" i="6"/>
  <c r="AR105" i="6"/>
  <c r="AQ105" i="6"/>
  <c r="AP105" i="6"/>
  <c r="AO105" i="6"/>
  <c r="AM105" i="6"/>
  <c r="AL105" i="6"/>
  <c r="AK105" i="6"/>
  <c r="AJ105" i="6"/>
  <c r="AI105" i="6"/>
  <c r="AH105" i="6"/>
  <c r="AG105" i="6"/>
  <c r="AF105" i="6"/>
  <c r="AE105" i="6"/>
  <c r="AD105" i="6"/>
  <c r="AW104" i="6"/>
  <c r="AV104" i="6"/>
  <c r="AU104" i="6"/>
  <c r="AT104" i="6"/>
  <c r="AS104" i="6"/>
  <c r="AR104" i="6"/>
  <c r="AQ104" i="6"/>
  <c r="AP104" i="6"/>
  <c r="AO104" i="6"/>
  <c r="AM104" i="6"/>
  <c r="AL104" i="6"/>
  <c r="AK104" i="6"/>
  <c r="AJ104" i="6"/>
  <c r="AI104" i="6"/>
  <c r="AH104" i="6"/>
  <c r="AG104" i="6"/>
  <c r="AF104" i="6"/>
  <c r="AE104" i="6"/>
  <c r="AD104" i="6"/>
  <c r="AW103" i="6"/>
  <c r="AV103" i="6"/>
  <c r="AU103" i="6"/>
  <c r="AT103" i="6"/>
  <c r="AS103" i="6"/>
  <c r="AR103" i="6"/>
  <c r="AQ103" i="6"/>
  <c r="AP103" i="6"/>
  <c r="AO103" i="6"/>
  <c r="AM103" i="6"/>
  <c r="AL103" i="6"/>
  <c r="AK103" i="6"/>
  <c r="AJ103" i="6"/>
  <c r="AI103" i="6"/>
  <c r="AH103" i="6"/>
  <c r="AG103" i="6"/>
  <c r="AF103" i="6"/>
  <c r="AE103" i="6"/>
  <c r="AD103" i="6"/>
  <c r="AW102" i="6"/>
  <c r="AV102" i="6"/>
  <c r="AU102" i="6"/>
  <c r="AT102" i="6"/>
  <c r="AS102" i="6"/>
  <c r="AR102" i="6"/>
  <c r="AQ102" i="6"/>
  <c r="AP102" i="6"/>
  <c r="AO102" i="6"/>
  <c r="AM102" i="6"/>
  <c r="AL102" i="6"/>
  <c r="AK102" i="6"/>
  <c r="AJ102" i="6"/>
  <c r="AI102" i="6"/>
  <c r="AH102" i="6"/>
  <c r="AG102" i="6"/>
  <c r="AF102" i="6"/>
  <c r="AE102" i="6"/>
  <c r="AD102" i="6"/>
  <c r="AW101" i="6"/>
  <c r="AV101" i="6"/>
  <c r="AU101" i="6"/>
  <c r="AT101" i="6"/>
  <c r="AS101" i="6"/>
  <c r="AR101" i="6"/>
  <c r="AQ101" i="6"/>
  <c r="AP101" i="6"/>
  <c r="AO101" i="6"/>
  <c r="AM101" i="6"/>
  <c r="AL101" i="6"/>
  <c r="AK101" i="6"/>
  <c r="AJ101" i="6"/>
  <c r="AI101" i="6"/>
  <c r="AH101" i="6"/>
  <c r="AG101" i="6"/>
  <c r="AF101" i="6"/>
  <c r="AE101" i="6"/>
  <c r="AD101" i="6"/>
  <c r="AW100" i="6"/>
  <c r="AV100" i="6"/>
  <c r="AU100" i="6"/>
  <c r="AT100" i="6"/>
  <c r="AS100" i="6"/>
  <c r="AR100" i="6"/>
  <c r="AQ100" i="6"/>
  <c r="AP100" i="6"/>
  <c r="AO100" i="6"/>
  <c r="AM100" i="6"/>
  <c r="AL100" i="6"/>
  <c r="AK100" i="6"/>
  <c r="AJ100" i="6"/>
  <c r="AI100" i="6"/>
  <c r="AH100" i="6"/>
  <c r="AG100" i="6"/>
  <c r="AF100" i="6"/>
  <c r="AE100" i="6"/>
  <c r="AD100" i="6"/>
  <c r="AW99" i="6"/>
  <c r="AV99" i="6"/>
  <c r="AU99" i="6"/>
  <c r="AT99" i="6"/>
  <c r="AS99" i="6"/>
  <c r="AR99" i="6"/>
  <c r="AQ99" i="6"/>
  <c r="AP99" i="6"/>
  <c r="AO99" i="6"/>
  <c r="AM99" i="6"/>
  <c r="AL99" i="6"/>
  <c r="AK99" i="6"/>
  <c r="AJ99" i="6"/>
  <c r="AI99" i="6"/>
  <c r="AH99" i="6"/>
  <c r="AG99" i="6"/>
  <c r="AF99" i="6"/>
  <c r="AE99" i="6"/>
  <c r="AD99" i="6"/>
  <c r="AW98" i="6"/>
  <c r="AV98" i="6"/>
  <c r="AU98" i="6"/>
  <c r="AT98" i="6"/>
  <c r="AS98" i="6"/>
  <c r="AR98" i="6"/>
  <c r="AQ98" i="6"/>
  <c r="AP98" i="6"/>
  <c r="AO98" i="6"/>
  <c r="AM98" i="6"/>
  <c r="AL98" i="6"/>
  <c r="AK98" i="6"/>
  <c r="AJ98" i="6"/>
  <c r="AI98" i="6"/>
  <c r="AH98" i="6"/>
  <c r="AG98" i="6"/>
  <c r="AF98" i="6"/>
  <c r="AE98" i="6"/>
  <c r="AD98" i="6"/>
  <c r="AW97" i="6"/>
  <c r="AV97" i="6"/>
  <c r="AU97" i="6"/>
  <c r="AT97" i="6"/>
  <c r="AS97" i="6"/>
  <c r="AR97" i="6"/>
  <c r="AQ97" i="6"/>
  <c r="AP97" i="6"/>
  <c r="AO97" i="6"/>
  <c r="AM97" i="6"/>
  <c r="AL97" i="6"/>
  <c r="AK97" i="6"/>
  <c r="AJ97" i="6"/>
  <c r="AI97" i="6"/>
  <c r="AH97" i="6"/>
  <c r="AG97" i="6"/>
  <c r="AF97" i="6"/>
  <c r="AE97" i="6"/>
  <c r="AD97" i="6"/>
  <c r="AW96" i="6"/>
  <c r="AV96" i="6"/>
  <c r="AU96" i="6"/>
  <c r="AT96" i="6"/>
  <c r="AS96" i="6"/>
  <c r="AR96" i="6"/>
  <c r="AQ96" i="6"/>
  <c r="AP96" i="6"/>
  <c r="AO96" i="6"/>
  <c r="AM96" i="6"/>
  <c r="AL96" i="6"/>
  <c r="AK96" i="6"/>
  <c r="AJ96" i="6"/>
  <c r="AI96" i="6"/>
  <c r="AH96" i="6"/>
  <c r="AG96" i="6"/>
  <c r="AF96" i="6"/>
  <c r="AE96" i="6"/>
  <c r="AD96" i="6"/>
  <c r="AW95" i="6"/>
  <c r="AV95" i="6"/>
  <c r="AU95" i="6"/>
  <c r="AT95" i="6"/>
  <c r="AS95" i="6"/>
  <c r="AR95" i="6"/>
  <c r="AQ95" i="6"/>
  <c r="AP95" i="6"/>
  <c r="AO95" i="6"/>
  <c r="AM95" i="6"/>
  <c r="AL95" i="6"/>
  <c r="AK95" i="6"/>
  <c r="AJ95" i="6"/>
  <c r="AI95" i="6"/>
  <c r="AH95" i="6"/>
  <c r="AG95" i="6"/>
  <c r="AF95" i="6"/>
  <c r="AE95" i="6"/>
  <c r="AD95" i="6"/>
  <c r="AW94" i="6"/>
  <c r="AV94" i="6"/>
  <c r="AU94" i="6"/>
  <c r="AT94" i="6"/>
  <c r="AS94" i="6"/>
  <c r="AR94" i="6"/>
  <c r="AQ94" i="6"/>
  <c r="AP94" i="6"/>
  <c r="AO94" i="6"/>
  <c r="AM94" i="6"/>
  <c r="AL94" i="6"/>
  <c r="AK94" i="6"/>
  <c r="AJ94" i="6"/>
  <c r="AI94" i="6"/>
  <c r="AH94" i="6"/>
  <c r="AG94" i="6"/>
  <c r="AF94" i="6"/>
  <c r="AE94" i="6"/>
  <c r="AD94" i="6"/>
  <c r="AW93" i="6"/>
  <c r="AV93" i="6"/>
  <c r="AU93" i="6"/>
  <c r="AT93" i="6"/>
  <c r="AS93" i="6"/>
  <c r="AR93" i="6"/>
  <c r="AQ93" i="6"/>
  <c r="AP93" i="6"/>
  <c r="AO93" i="6"/>
  <c r="AM93" i="6"/>
  <c r="AL93" i="6"/>
  <c r="AK93" i="6"/>
  <c r="AJ93" i="6"/>
  <c r="AI93" i="6"/>
  <c r="AH93" i="6"/>
  <c r="AG93" i="6"/>
  <c r="AF93" i="6"/>
  <c r="AE93" i="6"/>
  <c r="AD93" i="6"/>
  <c r="AW92" i="6"/>
  <c r="AV92" i="6"/>
  <c r="AU92" i="6"/>
  <c r="AT92" i="6"/>
  <c r="AS92" i="6"/>
  <c r="AR92" i="6"/>
  <c r="AQ92" i="6"/>
  <c r="AP92" i="6"/>
  <c r="AO92" i="6"/>
  <c r="AM92" i="6"/>
  <c r="AL92" i="6"/>
  <c r="AK92" i="6"/>
  <c r="AJ92" i="6"/>
  <c r="AI92" i="6"/>
  <c r="AH92" i="6"/>
  <c r="AG92" i="6"/>
  <c r="AF92" i="6"/>
  <c r="AE92" i="6"/>
  <c r="AD92" i="6"/>
  <c r="AW91" i="6"/>
  <c r="AV91" i="6"/>
  <c r="AU91" i="6"/>
  <c r="AT91" i="6"/>
  <c r="AS91" i="6"/>
  <c r="AR91" i="6"/>
  <c r="AQ91" i="6"/>
  <c r="AP91" i="6"/>
  <c r="AO91" i="6"/>
  <c r="AM91" i="6"/>
  <c r="AL91" i="6"/>
  <c r="AK91" i="6"/>
  <c r="AJ91" i="6"/>
  <c r="AI91" i="6"/>
  <c r="AH91" i="6"/>
  <c r="AG91" i="6"/>
  <c r="AF91" i="6"/>
  <c r="AE91" i="6"/>
  <c r="AD91" i="6"/>
  <c r="AW90" i="6"/>
  <c r="AV90" i="6"/>
  <c r="AU90" i="6"/>
  <c r="AT90" i="6"/>
  <c r="AS90" i="6"/>
  <c r="AR90" i="6"/>
  <c r="AQ90" i="6"/>
  <c r="AP90" i="6"/>
  <c r="AO90" i="6"/>
  <c r="AM90" i="6"/>
  <c r="AL90" i="6"/>
  <c r="AK90" i="6"/>
  <c r="AJ90" i="6"/>
  <c r="AI90" i="6"/>
  <c r="AH90" i="6"/>
  <c r="AG90" i="6"/>
  <c r="AF90" i="6"/>
  <c r="AE90" i="6"/>
  <c r="AD90" i="6"/>
  <c r="AW89" i="6"/>
  <c r="AV89" i="6"/>
  <c r="AU89" i="6"/>
  <c r="AT89" i="6"/>
  <c r="AS89" i="6"/>
  <c r="AR89" i="6"/>
  <c r="AQ89" i="6"/>
  <c r="AP89" i="6"/>
  <c r="AO89" i="6"/>
  <c r="AM89" i="6"/>
  <c r="AL89" i="6"/>
  <c r="AK89" i="6"/>
  <c r="AJ89" i="6"/>
  <c r="AI89" i="6"/>
  <c r="AH89" i="6"/>
  <c r="AG89" i="6"/>
  <c r="AF89" i="6"/>
  <c r="AE89" i="6"/>
  <c r="AD89" i="6"/>
  <c r="AW88" i="6"/>
  <c r="AV88" i="6"/>
  <c r="AU88" i="6"/>
  <c r="AT88" i="6"/>
  <c r="AS88" i="6"/>
  <c r="AR88" i="6"/>
  <c r="AQ88" i="6"/>
  <c r="AP88" i="6"/>
  <c r="AO88" i="6"/>
  <c r="AM88" i="6"/>
  <c r="AL88" i="6"/>
  <c r="AK88" i="6"/>
  <c r="AJ88" i="6"/>
  <c r="AI88" i="6"/>
  <c r="AH88" i="6"/>
  <c r="AG88" i="6"/>
  <c r="AF88" i="6"/>
  <c r="AE88" i="6"/>
  <c r="AD88" i="6"/>
  <c r="AW87" i="6"/>
  <c r="AV87" i="6"/>
  <c r="AU87" i="6"/>
  <c r="AT87" i="6"/>
  <c r="AS87" i="6"/>
  <c r="AR87" i="6"/>
  <c r="AQ87" i="6"/>
  <c r="AP87" i="6"/>
  <c r="AO87" i="6"/>
  <c r="AM87" i="6"/>
  <c r="AL87" i="6"/>
  <c r="AK87" i="6"/>
  <c r="AJ87" i="6"/>
  <c r="AI87" i="6"/>
  <c r="AH87" i="6"/>
  <c r="AG87" i="6"/>
  <c r="AF87" i="6"/>
  <c r="AE87" i="6"/>
  <c r="AD87" i="6"/>
  <c r="AW86" i="6"/>
  <c r="AV86" i="6"/>
  <c r="AU86" i="6"/>
  <c r="AT86" i="6"/>
  <c r="AS86" i="6"/>
  <c r="AR86" i="6"/>
  <c r="AQ86" i="6"/>
  <c r="AP86" i="6"/>
  <c r="AO86" i="6"/>
  <c r="AM86" i="6"/>
  <c r="AL86" i="6"/>
  <c r="AK86" i="6"/>
  <c r="AJ86" i="6"/>
  <c r="AI86" i="6"/>
  <c r="AH86" i="6"/>
  <c r="AG86" i="6"/>
  <c r="AF86" i="6"/>
  <c r="AE86" i="6"/>
  <c r="AD86" i="6"/>
  <c r="AW85" i="6"/>
  <c r="AV85" i="6"/>
  <c r="AU85" i="6"/>
  <c r="AT85" i="6"/>
  <c r="AS85" i="6"/>
  <c r="AR85" i="6"/>
  <c r="AQ85" i="6"/>
  <c r="AP85" i="6"/>
  <c r="AO85" i="6"/>
  <c r="AM85" i="6"/>
  <c r="AL85" i="6"/>
  <c r="AK85" i="6"/>
  <c r="AJ85" i="6"/>
  <c r="AI85" i="6"/>
  <c r="AH85" i="6"/>
  <c r="AG85" i="6"/>
  <c r="AF85" i="6"/>
  <c r="AE85" i="6"/>
  <c r="AD85" i="6"/>
  <c r="AW84" i="6"/>
  <c r="AV84" i="6"/>
  <c r="AU84" i="6"/>
  <c r="AT84" i="6"/>
  <c r="AS84" i="6"/>
  <c r="AR84" i="6"/>
  <c r="AQ84" i="6"/>
  <c r="AP84" i="6"/>
  <c r="AO84" i="6"/>
  <c r="AM84" i="6"/>
  <c r="AL84" i="6"/>
  <c r="AK84" i="6"/>
  <c r="AJ84" i="6"/>
  <c r="AI84" i="6"/>
  <c r="AH84" i="6"/>
  <c r="AG84" i="6"/>
  <c r="AF84" i="6"/>
  <c r="AE84" i="6"/>
  <c r="AD84" i="6"/>
  <c r="AW83" i="6"/>
  <c r="AV83" i="6"/>
  <c r="AU83" i="6"/>
  <c r="AT83" i="6"/>
  <c r="AS83" i="6"/>
  <c r="AR83" i="6"/>
  <c r="AQ83" i="6"/>
  <c r="AP83" i="6"/>
  <c r="AO83" i="6"/>
  <c r="AM83" i="6"/>
  <c r="AL83" i="6"/>
  <c r="AK83" i="6"/>
  <c r="AJ83" i="6"/>
  <c r="AI83" i="6"/>
  <c r="AH83" i="6"/>
  <c r="AG83" i="6"/>
  <c r="AF83" i="6"/>
  <c r="AE83" i="6"/>
  <c r="AD83" i="6"/>
  <c r="AW82" i="6"/>
  <c r="AV82" i="6"/>
  <c r="AU82" i="6"/>
  <c r="AT82" i="6"/>
  <c r="AS82" i="6"/>
  <c r="AR82" i="6"/>
  <c r="AQ82" i="6"/>
  <c r="AP82" i="6"/>
  <c r="AO82" i="6"/>
  <c r="AM82" i="6"/>
  <c r="AL82" i="6"/>
  <c r="AK82" i="6"/>
  <c r="AJ82" i="6"/>
  <c r="AI82" i="6"/>
  <c r="AH82" i="6"/>
  <c r="AG82" i="6"/>
  <c r="AF82" i="6"/>
  <c r="AE82" i="6"/>
  <c r="AD82" i="6"/>
  <c r="AW81" i="6"/>
  <c r="AV81" i="6"/>
  <c r="AU81" i="6"/>
  <c r="AT81" i="6"/>
  <c r="AS81" i="6"/>
  <c r="AR81" i="6"/>
  <c r="AQ81" i="6"/>
  <c r="AP81" i="6"/>
  <c r="AO81" i="6"/>
  <c r="AM81" i="6"/>
  <c r="AL81" i="6"/>
  <c r="AK81" i="6"/>
  <c r="AJ81" i="6"/>
  <c r="AI81" i="6"/>
  <c r="AH81" i="6"/>
  <c r="AG81" i="6"/>
  <c r="AF81" i="6"/>
  <c r="AE81" i="6"/>
  <c r="AD81" i="6"/>
  <c r="AW80" i="6"/>
  <c r="AV80" i="6"/>
  <c r="AU80" i="6"/>
  <c r="AT80" i="6"/>
  <c r="AS80" i="6"/>
  <c r="AR80" i="6"/>
  <c r="AQ80" i="6"/>
  <c r="AP80" i="6"/>
  <c r="AO80" i="6"/>
  <c r="AM80" i="6"/>
  <c r="AL80" i="6"/>
  <c r="AK80" i="6"/>
  <c r="AJ80" i="6"/>
  <c r="AI80" i="6"/>
  <c r="AH80" i="6"/>
  <c r="AG80" i="6"/>
  <c r="AF80" i="6"/>
  <c r="AE80" i="6"/>
  <c r="AD80" i="6"/>
  <c r="AW79" i="6"/>
  <c r="AV79" i="6"/>
  <c r="AU79" i="6"/>
  <c r="AT79" i="6"/>
  <c r="AS79" i="6"/>
  <c r="AR79" i="6"/>
  <c r="AQ79" i="6"/>
  <c r="AP79" i="6"/>
  <c r="AO79" i="6"/>
  <c r="AM79" i="6"/>
  <c r="AL79" i="6"/>
  <c r="AK79" i="6"/>
  <c r="AJ79" i="6"/>
  <c r="AI79" i="6"/>
  <c r="AH79" i="6"/>
  <c r="AG79" i="6"/>
  <c r="AF79" i="6"/>
  <c r="AE79" i="6"/>
  <c r="AD79" i="6"/>
  <c r="AW78" i="6"/>
  <c r="AV78" i="6"/>
  <c r="AU78" i="6"/>
  <c r="AT78" i="6"/>
  <c r="AS78" i="6"/>
  <c r="AR78" i="6"/>
  <c r="AQ78" i="6"/>
  <c r="AP78" i="6"/>
  <c r="AO78" i="6"/>
  <c r="AM78" i="6"/>
  <c r="AL78" i="6"/>
  <c r="AK78" i="6"/>
  <c r="AJ78" i="6"/>
  <c r="AI78" i="6"/>
  <c r="AH78" i="6"/>
  <c r="AG78" i="6"/>
  <c r="AF78" i="6"/>
  <c r="AE78" i="6"/>
  <c r="AD78" i="6"/>
  <c r="AW77" i="6"/>
  <c r="AV77" i="6"/>
  <c r="AU77" i="6"/>
  <c r="AT77" i="6"/>
  <c r="AS77" i="6"/>
  <c r="AR77" i="6"/>
  <c r="AQ77" i="6"/>
  <c r="AP77" i="6"/>
  <c r="AO77" i="6"/>
  <c r="AM77" i="6"/>
  <c r="AL77" i="6"/>
  <c r="AK77" i="6"/>
  <c r="AJ77" i="6"/>
  <c r="AI77" i="6"/>
  <c r="AH77" i="6"/>
  <c r="AG77" i="6"/>
  <c r="AF77" i="6"/>
  <c r="AE77" i="6"/>
  <c r="AD77" i="6"/>
  <c r="AW76" i="6"/>
  <c r="AV76" i="6"/>
  <c r="AU76" i="6"/>
  <c r="AT76" i="6"/>
  <c r="AS76" i="6"/>
  <c r="AR76" i="6"/>
  <c r="AQ76" i="6"/>
  <c r="AP76" i="6"/>
  <c r="AO76" i="6"/>
  <c r="AM76" i="6"/>
  <c r="AL76" i="6"/>
  <c r="AK76" i="6"/>
  <c r="AJ76" i="6"/>
  <c r="AI76" i="6"/>
  <c r="AH76" i="6"/>
  <c r="AG76" i="6"/>
  <c r="AF76" i="6"/>
  <c r="AE76" i="6"/>
  <c r="AD76" i="6"/>
  <c r="AW75" i="6"/>
  <c r="AV75" i="6"/>
  <c r="AU75" i="6"/>
  <c r="AT75" i="6"/>
  <c r="AS75" i="6"/>
  <c r="AR75" i="6"/>
  <c r="AQ75" i="6"/>
  <c r="AP75" i="6"/>
  <c r="AO75" i="6"/>
  <c r="AM75" i="6"/>
  <c r="AL75" i="6"/>
  <c r="AK75" i="6"/>
  <c r="AJ75" i="6"/>
  <c r="AI75" i="6"/>
  <c r="AH75" i="6"/>
  <c r="AG75" i="6"/>
  <c r="AF75" i="6"/>
  <c r="AE75" i="6"/>
  <c r="AD75" i="6"/>
  <c r="AW74" i="6"/>
  <c r="AV74" i="6"/>
  <c r="AU74" i="6"/>
  <c r="AT74" i="6"/>
  <c r="AS74" i="6"/>
  <c r="AR74" i="6"/>
  <c r="AQ74" i="6"/>
  <c r="AP74" i="6"/>
  <c r="AO74" i="6"/>
  <c r="AM74" i="6"/>
  <c r="AL74" i="6"/>
  <c r="AK74" i="6"/>
  <c r="AJ74" i="6"/>
  <c r="AI74" i="6"/>
  <c r="AH74" i="6"/>
  <c r="AG74" i="6"/>
  <c r="AF74" i="6"/>
  <c r="AE74" i="6"/>
  <c r="AD74" i="6"/>
  <c r="AW73" i="6"/>
  <c r="AV73" i="6"/>
  <c r="AU73" i="6"/>
  <c r="AT73" i="6"/>
  <c r="AS73" i="6"/>
  <c r="AR73" i="6"/>
  <c r="AQ73" i="6"/>
  <c r="AP73" i="6"/>
  <c r="AO73" i="6"/>
  <c r="AM73" i="6"/>
  <c r="AL73" i="6"/>
  <c r="AK73" i="6"/>
  <c r="AJ73" i="6"/>
  <c r="AI73" i="6"/>
  <c r="AH73" i="6"/>
  <c r="AG73" i="6"/>
  <c r="AF73" i="6"/>
  <c r="AE73" i="6"/>
  <c r="AD73" i="6"/>
  <c r="AW72" i="6"/>
  <c r="AV72" i="6"/>
  <c r="AU72" i="6"/>
  <c r="AT72" i="6"/>
  <c r="AS72" i="6"/>
  <c r="AR72" i="6"/>
  <c r="AQ72" i="6"/>
  <c r="AP72" i="6"/>
  <c r="AO72" i="6"/>
  <c r="AM72" i="6"/>
  <c r="AL72" i="6"/>
  <c r="AK72" i="6"/>
  <c r="AJ72" i="6"/>
  <c r="AI72" i="6"/>
  <c r="AH72" i="6"/>
  <c r="AG72" i="6"/>
  <c r="AF72" i="6"/>
  <c r="AE72" i="6"/>
  <c r="AD72" i="6"/>
  <c r="AW71" i="6"/>
  <c r="AV71" i="6"/>
  <c r="AU71" i="6"/>
  <c r="AT71" i="6"/>
  <c r="AS71" i="6"/>
  <c r="AR71" i="6"/>
  <c r="AQ71" i="6"/>
  <c r="AP71" i="6"/>
  <c r="AO71" i="6"/>
  <c r="AM71" i="6"/>
  <c r="AL71" i="6"/>
  <c r="AK71" i="6"/>
  <c r="AJ71" i="6"/>
  <c r="AI71" i="6"/>
  <c r="AH71" i="6"/>
  <c r="AG71" i="6"/>
  <c r="AF71" i="6"/>
  <c r="AE71" i="6"/>
  <c r="AD71" i="6"/>
  <c r="AW70" i="6"/>
  <c r="AV70" i="6"/>
  <c r="AU70" i="6"/>
  <c r="AT70" i="6"/>
  <c r="AS70" i="6"/>
  <c r="AR70" i="6"/>
  <c r="AQ70" i="6"/>
  <c r="AP70" i="6"/>
  <c r="AO70" i="6"/>
  <c r="AM70" i="6"/>
  <c r="AL70" i="6"/>
  <c r="AK70" i="6"/>
  <c r="AJ70" i="6"/>
  <c r="AI70" i="6"/>
  <c r="AH70" i="6"/>
  <c r="AG70" i="6"/>
  <c r="AF70" i="6"/>
  <c r="AE70" i="6"/>
  <c r="AD70" i="6"/>
  <c r="AW69" i="6"/>
  <c r="AV69" i="6"/>
  <c r="AU69" i="6"/>
  <c r="AT69" i="6"/>
  <c r="AS69" i="6"/>
  <c r="AR69" i="6"/>
  <c r="AQ69" i="6"/>
  <c r="AP69" i="6"/>
  <c r="AO69" i="6"/>
  <c r="AM69" i="6"/>
  <c r="AL69" i="6"/>
  <c r="AK69" i="6"/>
  <c r="AJ69" i="6"/>
  <c r="AI69" i="6"/>
  <c r="AH69" i="6"/>
  <c r="AG69" i="6"/>
  <c r="AF69" i="6"/>
  <c r="AE69" i="6"/>
  <c r="AD69" i="6"/>
  <c r="AW68" i="6"/>
  <c r="AV68" i="6"/>
  <c r="AU68" i="6"/>
  <c r="AT68" i="6"/>
  <c r="AS68" i="6"/>
  <c r="AR68" i="6"/>
  <c r="AQ68" i="6"/>
  <c r="AP68" i="6"/>
  <c r="AO68" i="6"/>
  <c r="AM68" i="6"/>
  <c r="AL68" i="6"/>
  <c r="AK68" i="6"/>
  <c r="AJ68" i="6"/>
  <c r="AI68" i="6"/>
  <c r="AH68" i="6"/>
  <c r="AG68" i="6"/>
  <c r="AF68" i="6"/>
  <c r="AE68" i="6"/>
  <c r="AD68" i="6"/>
  <c r="AW67" i="6"/>
  <c r="AV67" i="6"/>
  <c r="AU67" i="6"/>
  <c r="AT67" i="6"/>
  <c r="AS67" i="6"/>
  <c r="AR67" i="6"/>
  <c r="AQ67" i="6"/>
  <c r="AP67" i="6"/>
  <c r="AO67" i="6"/>
  <c r="AM67" i="6"/>
  <c r="AL67" i="6"/>
  <c r="AK67" i="6"/>
  <c r="AJ67" i="6"/>
  <c r="AI67" i="6"/>
  <c r="AH67" i="6"/>
  <c r="AG67" i="6"/>
  <c r="AF67" i="6"/>
  <c r="AE67" i="6"/>
  <c r="AD67" i="6"/>
  <c r="AW66" i="6"/>
  <c r="AV66" i="6"/>
  <c r="AU66" i="6"/>
  <c r="AT66" i="6"/>
  <c r="AS66" i="6"/>
  <c r="AR66" i="6"/>
  <c r="AQ66" i="6"/>
  <c r="AP66" i="6"/>
  <c r="AO66" i="6"/>
  <c r="AM66" i="6"/>
  <c r="AL66" i="6"/>
  <c r="AK66" i="6"/>
  <c r="AJ66" i="6"/>
  <c r="AI66" i="6"/>
  <c r="AH66" i="6"/>
  <c r="AG66" i="6"/>
  <c r="AF66" i="6"/>
  <c r="AE66" i="6"/>
  <c r="AD66" i="6"/>
  <c r="AW65" i="6"/>
  <c r="AV65" i="6"/>
  <c r="AU65" i="6"/>
  <c r="AT65" i="6"/>
  <c r="AS65" i="6"/>
  <c r="AR65" i="6"/>
  <c r="AQ65" i="6"/>
  <c r="AP65" i="6"/>
  <c r="AO65" i="6"/>
  <c r="AM65" i="6"/>
  <c r="AL65" i="6"/>
  <c r="AK65" i="6"/>
  <c r="AJ65" i="6"/>
  <c r="AI65" i="6"/>
  <c r="AH65" i="6"/>
  <c r="AG65" i="6"/>
  <c r="AF65" i="6"/>
  <c r="AE65" i="6"/>
  <c r="AD65" i="6"/>
  <c r="AW64" i="6"/>
  <c r="AV64" i="6"/>
  <c r="AU64" i="6"/>
  <c r="AT64" i="6"/>
  <c r="AS64" i="6"/>
  <c r="AR64" i="6"/>
  <c r="AQ64" i="6"/>
  <c r="AP64" i="6"/>
  <c r="AO64" i="6"/>
  <c r="AM64" i="6"/>
  <c r="AL64" i="6"/>
  <c r="AK64" i="6"/>
  <c r="AJ64" i="6"/>
  <c r="AI64" i="6"/>
  <c r="AH64" i="6"/>
  <c r="AG64" i="6"/>
  <c r="AF64" i="6"/>
  <c r="AE64" i="6"/>
  <c r="AD64" i="6"/>
  <c r="AW63" i="6"/>
  <c r="AV63" i="6"/>
  <c r="AU63" i="6"/>
  <c r="AT63" i="6"/>
  <c r="AS63" i="6"/>
  <c r="AR63" i="6"/>
  <c r="AQ63" i="6"/>
  <c r="AP63" i="6"/>
  <c r="AO63" i="6"/>
  <c r="AM63" i="6"/>
  <c r="AL63" i="6"/>
  <c r="AK63" i="6"/>
  <c r="AJ63" i="6"/>
  <c r="AI63" i="6"/>
  <c r="AH63" i="6"/>
  <c r="AG63" i="6"/>
  <c r="AF63" i="6"/>
  <c r="AE63" i="6"/>
  <c r="AD63" i="6"/>
  <c r="AW62" i="6"/>
  <c r="AV62" i="6"/>
  <c r="AU62" i="6"/>
  <c r="AT62" i="6"/>
  <c r="AS62" i="6"/>
  <c r="AR62" i="6"/>
  <c r="AQ62" i="6"/>
  <c r="AP62" i="6"/>
  <c r="AO62" i="6"/>
  <c r="AM62" i="6"/>
  <c r="AL62" i="6"/>
  <c r="AK62" i="6"/>
  <c r="AJ62" i="6"/>
  <c r="AI62" i="6"/>
  <c r="AH62" i="6"/>
  <c r="AG62" i="6"/>
  <c r="AF62" i="6"/>
  <c r="AE62" i="6"/>
  <c r="AD62" i="6"/>
  <c r="AW61" i="6"/>
  <c r="AV61" i="6"/>
  <c r="AU61" i="6"/>
  <c r="AT61" i="6"/>
  <c r="AS61" i="6"/>
  <c r="AR61" i="6"/>
  <c r="AQ61" i="6"/>
  <c r="AP61" i="6"/>
  <c r="AO61" i="6"/>
  <c r="AM61" i="6"/>
  <c r="AL61" i="6"/>
  <c r="AK61" i="6"/>
  <c r="AJ61" i="6"/>
  <c r="AI61" i="6"/>
  <c r="AH61" i="6"/>
  <c r="AG61" i="6"/>
  <c r="AF61" i="6"/>
  <c r="AE61" i="6"/>
  <c r="AD61" i="6"/>
  <c r="AW60" i="6"/>
  <c r="AV60" i="6"/>
  <c r="AU60" i="6"/>
  <c r="AT60" i="6"/>
  <c r="AS60" i="6"/>
  <c r="AR60" i="6"/>
  <c r="AQ60" i="6"/>
  <c r="AP60" i="6"/>
  <c r="AO60" i="6"/>
  <c r="AM60" i="6"/>
  <c r="AL60" i="6"/>
  <c r="AK60" i="6"/>
  <c r="AJ60" i="6"/>
  <c r="AI60" i="6"/>
  <c r="AH60" i="6"/>
  <c r="AG60" i="6"/>
  <c r="AF60" i="6"/>
  <c r="AE60" i="6"/>
  <c r="AD60" i="6"/>
  <c r="AW59" i="6"/>
  <c r="AV59" i="6"/>
  <c r="AU59" i="6"/>
  <c r="AT59" i="6"/>
  <c r="AS59" i="6"/>
  <c r="AR59" i="6"/>
  <c r="AQ59" i="6"/>
  <c r="AP59" i="6"/>
  <c r="AO59" i="6"/>
  <c r="AM59" i="6"/>
  <c r="AL59" i="6"/>
  <c r="AK59" i="6"/>
  <c r="AJ59" i="6"/>
  <c r="AI59" i="6"/>
  <c r="AH59" i="6"/>
  <c r="AG59" i="6"/>
  <c r="AF59" i="6"/>
  <c r="AE59" i="6"/>
  <c r="AD59" i="6"/>
  <c r="AW58" i="6"/>
  <c r="AV58" i="6"/>
  <c r="AU58" i="6"/>
  <c r="AT58" i="6"/>
  <c r="AS58" i="6"/>
  <c r="AR58" i="6"/>
  <c r="AQ58" i="6"/>
  <c r="AP58" i="6"/>
  <c r="AO58" i="6"/>
  <c r="AM58" i="6"/>
  <c r="AL58" i="6"/>
  <c r="AK58" i="6"/>
  <c r="AJ58" i="6"/>
  <c r="AI58" i="6"/>
  <c r="AH58" i="6"/>
  <c r="AG58" i="6"/>
  <c r="AF58" i="6"/>
  <c r="AE58" i="6"/>
  <c r="AD58" i="6"/>
  <c r="AW57" i="6"/>
  <c r="AV57" i="6"/>
  <c r="AU57" i="6"/>
  <c r="AT57" i="6"/>
  <c r="AS57" i="6"/>
  <c r="AR57" i="6"/>
  <c r="AQ57" i="6"/>
  <c r="AP57" i="6"/>
  <c r="AO57" i="6"/>
  <c r="AM57" i="6"/>
  <c r="AL57" i="6"/>
  <c r="AK57" i="6"/>
  <c r="AJ57" i="6"/>
  <c r="AI57" i="6"/>
  <c r="AH57" i="6"/>
  <c r="AG57" i="6"/>
  <c r="AF57" i="6"/>
  <c r="AE57" i="6"/>
  <c r="AD57" i="6"/>
  <c r="AW56" i="6"/>
  <c r="AV56" i="6"/>
  <c r="AU56" i="6"/>
  <c r="AT56" i="6"/>
  <c r="AS56" i="6"/>
  <c r="AR56" i="6"/>
  <c r="AQ56" i="6"/>
  <c r="AP56" i="6"/>
  <c r="AO56" i="6"/>
  <c r="AM56" i="6"/>
  <c r="AL56" i="6"/>
  <c r="AK56" i="6"/>
  <c r="AJ56" i="6"/>
  <c r="AI56" i="6"/>
  <c r="AH56" i="6"/>
  <c r="AG56" i="6"/>
  <c r="AF56" i="6"/>
  <c r="AE56" i="6"/>
  <c r="AD56" i="6"/>
  <c r="AW55" i="6"/>
  <c r="AV55" i="6"/>
  <c r="AU55" i="6"/>
  <c r="AT55" i="6"/>
  <c r="AS55" i="6"/>
  <c r="AR55" i="6"/>
  <c r="AQ55" i="6"/>
  <c r="AP55" i="6"/>
  <c r="AO55" i="6"/>
  <c r="AM55" i="6"/>
  <c r="AL55" i="6"/>
  <c r="AK55" i="6"/>
  <c r="AJ55" i="6"/>
  <c r="AI55" i="6"/>
  <c r="AH55" i="6"/>
  <c r="AG55" i="6"/>
  <c r="AF55" i="6"/>
  <c r="AE55" i="6"/>
  <c r="AD55" i="6"/>
  <c r="AW54" i="6"/>
  <c r="AV54" i="6"/>
  <c r="AU54" i="6"/>
  <c r="AT54" i="6"/>
  <c r="AS54" i="6"/>
  <c r="AR54" i="6"/>
  <c r="AQ54" i="6"/>
  <c r="AP54" i="6"/>
  <c r="AO54" i="6"/>
  <c r="AM54" i="6"/>
  <c r="AL54" i="6"/>
  <c r="AK54" i="6"/>
  <c r="AJ54" i="6"/>
  <c r="AI54" i="6"/>
  <c r="AH54" i="6"/>
  <c r="AG54" i="6"/>
  <c r="AF54" i="6"/>
  <c r="AE54" i="6"/>
  <c r="AD54" i="6"/>
  <c r="AW53" i="6"/>
  <c r="AV53" i="6"/>
  <c r="AU53" i="6"/>
  <c r="AT53" i="6"/>
  <c r="AS53" i="6"/>
  <c r="AR53" i="6"/>
  <c r="AQ53" i="6"/>
  <c r="AP53" i="6"/>
  <c r="AO53" i="6"/>
  <c r="AM53" i="6"/>
  <c r="AL53" i="6"/>
  <c r="AK53" i="6"/>
  <c r="AJ53" i="6"/>
  <c r="AI53" i="6"/>
  <c r="AH53" i="6"/>
  <c r="AG53" i="6"/>
  <c r="AF53" i="6"/>
  <c r="AE53" i="6"/>
  <c r="AD53" i="6"/>
  <c r="AW52" i="6"/>
  <c r="AV52" i="6"/>
  <c r="AU52" i="6"/>
  <c r="AT52" i="6"/>
  <c r="AS52" i="6"/>
  <c r="AR52" i="6"/>
  <c r="AQ52" i="6"/>
  <c r="AP52" i="6"/>
  <c r="AO52" i="6"/>
  <c r="AM52" i="6"/>
  <c r="AL52" i="6"/>
  <c r="AK52" i="6"/>
  <c r="AJ52" i="6"/>
  <c r="AI52" i="6"/>
  <c r="AH52" i="6"/>
  <c r="AG52" i="6"/>
  <c r="AF52" i="6"/>
  <c r="AE52" i="6"/>
  <c r="AD52" i="6"/>
  <c r="AW51" i="6"/>
  <c r="AV51" i="6"/>
  <c r="AU51" i="6"/>
  <c r="AT51" i="6"/>
  <c r="AS51" i="6"/>
  <c r="AR51" i="6"/>
  <c r="AQ51" i="6"/>
  <c r="AP51" i="6"/>
  <c r="AO51" i="6"/>
  <c r="AM51" i="6"/>
  <c r="AL51" i="6"/>
  <c r="AK51" i="6"/>
  <c r="AJ51" i="6"/>
  <c r="AI51" i="6"/>
  <c r="AH51" i="6"/>
  <c r="AG51" i="6"/>
  <c r="AF51" i="6"/>
  <c r="AE51" i="6"/>
  <c r="AD51" i="6"/>
  <c r="AW50" i="6"/>
  <c r="AV50" i="6"/>
  <c r="AU50" i="6"/>
  <c r="AT50" i="6"/>
  <c r="AS50" i="6"/>
  <c r="AR50" i="6"/>
  <c r="AQ50" i="6"/>
  <c r="AP50" i="6"/>
  <c r="AO50" i="6"/>
  <c r="AM50" i="6"/>
  <c r="AL50" i="6"/>
  <c r="AK50" i="6"/>
  <c r="AJ50" i="6"/>
  <c r="AI50" i="6"/>
  <c r="AH50" i="6"/>
  <c r="AG50" i="6"/>
  <c r="AF50" i="6"/>
  <c r="AE50" i="6"/>
  <c r="AD50" i="6"/>
  <c r="AW49" i="6"/>
  <c r="AV49" i="6"/>
  <c r="AU49" i="6"/>
  <c r="AT49" i="6"/>
  <c r="AS49" i="6"/>
  <c r="AR49" i="6"/>
  <c r="AQ49" i="6"/>
  <c r="AP49" i="6"/>
  <c r="AO49" i="6"/>
  <c r="AM49" i="6"/>
  <c r="AL49" i="6"/>
  <c r="AK49" i="6"/>
  <c r="AJ49" i="6"/>
  <c r="AI49" i="6"/>
  <c r="AH49" i="6"/>
  <c r="AG49" i="6"/>
  <c r="AF49" i="6"/>
  <c r="AE49" i="6"/>
  <c r="AD49" i="6"/>
  <c r="AW48" i="6"/>
  <c r="AV48" i="6"/>
  <c r="AU48" i="6"/>
  <c r="AT48" i="6"/>
  <c r="AS48" i="6"/>
  <c r="AR48" i="6"/>
  <c r="AQ48" i="6"/>
  <c r="AP48" i="6"/>
  <c r="AO48" i="6"/>
  <c r="AM48" i="6"/>
  <c r="AL48" i="6"/>
  <c r="AK48" i="6"/>
  <c r="AJ48" i="6"/>
  <c r="AI48" i="6"/>
  <c r="AH48" i="6"/>
  <c r="AG48" i="6"/>
  <c r="AF48" i="6"/>
  <c r="AE48" i="6"/>
  <c r="AD48" i="6"/>
  <c r="AW47" i="6"/>
  <c r="AV47" i="6"/>
  <c r="AU47" i="6"/>
  <c r="AT47" i="6"/>
  <c r="AS47" i="6"/>
  <c r="AR47" i="6"/>
  <c r="AQ47" i="6"/>
  <c r="AP47" i="6"/>
  <c r="AO47" i="6"/>
  <c r="AM47" i="6"/>
  <c r="AL47" i="6"/>
  <c r="AK47" i="6"/>
  <c r="AJ47" i="6"/>
  <c r="AI47" i="6"/>
  <c r="AH47" i="6"/>
  <c r="AG47" i="6"/>
  <c r="AF47" i="6"/>
  <c r="AE47" i="6"/>
  <c r="AD47" i="6"/>
  <c r="AW46" i="6"/>
  <c r="AV46" i="6"/>
  <c r="AU46" i="6"/>
  <c r="AT46" i="6"/>
  <c r="AS46" i="6"/>
  <c r="AR46" i="6"/>
  <c r="AQ46" i="6"/>
  <c r="AP46" i="6"/>
  <c r="AO46" i="6"/>
  <c r="AM46" i="6"/>
  <c r="AL46" i="6"/>
  <c r="AK46" i="6"/>
  <c r="AJ46" i="6"/>
  <c r="AI46" i="6"/>
  <c r="AH46" i="6"/>
  <c r="AG46" i="6"/>
  <c r="AF46" i="6"/>
  <c r="AE46" i="6"/>
  <c r="AD46" i="6"/>
  <c r="AW45" i="6"/>
  <c r="AV45" i="6"/>
  <c r="AU45" i="6"/>
  <c r="AT45" i="6"/>
  <c r="AS45" i="6"/>
  <c r="AR45" i="6"/>
  <c r="AQ45" i="6"/>
  <c r="AP45" i="6"/>
  <c r="AO45" i="6"/>
  <c r="AM45" i="6"/>
  <c r="AL45" i="6"/>
  <c r="AK45" i="6"/>
  <c r="AJ45" i="6"/>
  <c r="AI45" i="6"/>
  <c r="AH45" i="6"/>
  <c r="AG45" i="6"/>
  <c r="AF45" i="6"/>
  <c r="AE45" i="6"/>
  <c r="AD45" i="6"/>
  <c r="AW44" i="6"/>
  <c r="AV44" i="6"/>
  <c r="AU44" i="6"/>
  <c r="AT44" i="6"/>
  <c r="AS44" i="6"/>
  <c r="AR44" i="6"/>
  <c r="AQ44" i="6"/>
  <c r="AP44" i="6"/>
  <c r="AO44" i="6"/>
  <c r="AM44" i="6"/>
  <c r="AL44" i="6"/>
  <c r="AK44" i="6"/>
  <c r="AJ44" i="6"/>
  <c r="AI44" i="6"/>
  <c r="AH44" i="6"/>
  <c r="AG44" i="6"/>
  <c r="AF44" i="6"/>
  <c r="AE44" i="6"/>
  <c r="AD44" i="6"/>
  <c r="AW43" i="6"/>
  <c r="AV43" i="6"/>
  <c r="AU43" i="6"/>
  <c r="AT43" i="6"/>
  <c r="AS43" i="6"/>
  <c r="AR43" i="6"/>
  <c r="AQ43" i="6"/>
  <c r="AP43" i="6"/>
  <c r="AO43" i="6"/>
  <c r="AM43" i="6"/>
  <c r="AL43" i="6"/>
  <c r="AK43" i="6"/>
  <c r="AJ43" i="6"/>
  <c r="AI43" i="6"/>
  <c r="AH43" i="6"/>
  <c r="AG43" i="6"/>
  <c r="AF43" i="6"/>
  <c r="AE43" i="6"/>
  <c r="AD43" i="6"/>
  <c r="AW42" i="6"/>
  <c r="AV42" i="6"/>
  <c r="AU42" i="6"/>
  <c r="AT42" i="6"/>
  <c r="AS42" i="6"/>
  <c r="AR42" i="6"/>
  <c r="AQ42" i="6"/>
  <c r="AP42" i="6"/>
  <c r="AO42" i="6"/>
  <c r="AM42" i="6"/>
  <c r="AL42" i="6"/>
  <c r="AK42" i="6"/>
  <c r="AJ42" i="6"/>
  <c r="AI42" i="6"/>
  <c r="AH42" i="6"/>
  <c r="AG42" i="6"/>
  <c r="AF42" i="6"/>
  <c r="AE42" i="6"/>
  <c r="AD42" i="6"/>
  <c r="AW41" i="6"/>
  <c r="AV41" i="6"/>
  <c r="AU41" i="6"/>
  <c r="AT41" i="6"/>
  <c r="AS41" i="6"/>
  <c r="AR41" i="6"/>
  <c r="AQ41" i="6"/>
  <c r="AP41" i="6"/>
  <c r="AO41" i="6"/>
  <c r="AM41" i="6"/>
  <c r="AL41" i="6"/>
  <c r="AK41" i="6"/>
  <c r="AJ41" i="6"/>
  <c r="AI41" i="6"/>
  <c r="AH41" i="6"/>
  <c r="AG41" i="6"/>
  <c r="AF41" i="6"/>
  <c r="AE41" i="6"/>
  <c r="AD41" i="6"/>
  <c r="AW40" i="6"/>
  <c r="AV40" i="6"/>
  <c r="AU40" i="6"/>
  <c r="AT40" i="6"/>
  <c r="AS40" i="6"/>
  <c r="AR40" i="6"/>
  <c r="AQ40" i="6"/>
  <c r="AP40" i="6"/>
  <c r="AO40" i="6"/>
  <c r="AM40" i="6"/>
  <c r="AL40" i="6"/>
  <c r="AK40" i="6"/>
  <c r="AJ40" i="6"/>
  <c r="AI40" i="6"/>
  <c r="AH40" i="6"/>
  <c r="AG40" i="6"/>
  <c r="AF40" i="6"/>
  <c r="AE40" i="6"/>
  <c r="AD40" i="6"/>
  <c r="AW39" i="6"/>
  <c r="AV39" i="6"/>
  <c r="AU39" i="6"/>
  <c r="AT39" i="6"/>
  <c r="AS39" i="6"/>
  <c r="AR39" i="6"/>
  <c r="AQ39" i="6"/>
  <c r="AP39" i="6"/>
  <c r="AO39" i="6"/>
  <c r="AM39" i="6"/>
  <c r="AL39" i="6"/>
  <c r="AK39" i="6"/>
  <c r="AJ39" i="6"/>
  <c r="AI39" i="6"/>
  <c r="AH39" i="6"/>
  <c r="AG39" i="6"/>
  <c r="AF39" i="6"/>
  <c r="AE39" i="6"/>
  <c r="AD39" i="6"/>
  <c r="AW38" i="6"/>
  <c r="AV38" i="6"/>
  <c r="AU38" i="6"/>
  <c r="AT38" i="6"/>
  <c r="AS38" i="6"/>
  <c r="AR38" i="6"/>
  <c r="AQ38" i="6"/>
  <c r="AP38" i="6"/>
  <c r="AO38" i="6"/>
  <c r="AM38" i="6"/>
  <c r="AL38" i="6"/>
  <c r="AK38" i="6"/>
  <c r="AJ38" i="6"/>
  <c r="AI38" i="6"/>
  <c r="AH38" i="6"/>
  <c r="AG38" i="6"/>
  <c r="AF38" i="6"/>
  <c r="AE38" i="6"/>
  <c r="AD38" i="6"/>
  <c r="AW37" i="6"/>
  <c r="AV37" i="6"/>
  <c r="AU37" i="6"/>
  <c r="AT37" i="6"/>
  <c r="AS37" i="6"/>
  <c r="AR37" i="6"/>
  <c r="AQ37" i="6"/>
  <c r="AP37" i="6"/>
  <c r="AO37" i="6"/>
  <c r="AM37" i="6"/>
  <c r="AL37" i="6"/>
  <c r="AK37" i="6"/>
  <c r="AJ37" i="6"/>
  <c r="AI37" i="6"/>
  <c r="AH37" i="6"/>
  <c r="AG37" i="6"/>
  <c r="AF37" i="6"/>
  <c r="AE37" i="6"/>
  <c r="AD37" i="6"/>
  <c r="AW36" i="6"/>
  <c r="AV36" i="6"/>
  <c r="AU36" i="6"/>
  <c r="AT36" i="6"/>
  <c r="AS36" i="6"/>
  <c r="AR36" i="6"/>
  <c r="AQ36" i="6"/>
  <c r="AP36" i="6"/>
  <c r="AO36" i="6"/>
  <c r="AM36" i="6"/>
  <c r="AL36" i="6"/>
  <c r="AK36" i="6"/>
  <c r="AJ36" i="6"/>
  <c r="AI36" i="6"/>
  <c r="AH36" i="6"/>
  <c r="AG36" i="6"/>
  <c r="AF36" i="6"/>
  <c r="AE36" i="6"/>
  <c r="AD36" i="6"/>
  <c r="AW35" i="6"/>
  <c r="AV35" i="6"/>
  <c r="AU35" i="6"/>
  <c r="AT35" i="6"/>
  <c r="AS35" i="6"/>
  <c r="AR35" i="6"/>
  <c r="AQ35" i="6"/>
  <c r="AP35" i="6"/>
  <c r="AO35" i="6"/>
  <c r="AM35" i="6"/>
  <c r="AL35" i="6"/>
  <c r="AK35" i="6"/>
  <c r="AJ35" i="6"/>
  <c r="AI35" i="6"/>
  <c r="AH35" i="6"/>
  <c r="AG35" i="6"/>
  <c r="AF35" i="6"/>
  <c r="AE35" i="6"/>
  <c r="AD35" i="6"/>
  <c r="AW34" i="6"/>
  <c r="AV34" i="6"/>
  <c r="AU34" i="6"/>
  <c r="AT34" i="6"/>
  <c r="AS34" i="6"/>
  <c r="AR34" i="6"/>
  <c r="AQ34" i="6"/>
  <c r="AP34" i="6"/>
  <c r="AO34" i="6"/>
  <c r="AM34" i="6"/>
  <c r="AL34" i="6"/>
  <c r="AK34" i="6"/>
  <c r="AJ34" i="6"/>
  <c r="AI34" i="6"/>
  <c r="AH34" i="6"/>
  <c r="AG34" i="6"/>
  <c r="AF34" i="6"/>
  <c r="AE34" i="6"/>
  <c r="AD34" i="6"/>
  <c r="AW33" i="6"/>
  <c r="AV33" i="6"/>
  <c r="AU33" i="6"/>
  <c r="AT33" i="6"/>
  <c r="AS33" i="6"/>
  <c r="AR33" i="6"/>
  <c r="AQ33" i="6"/>
  <c r="AP33" i="6"/>
  <c r="AO33" i="6"/>
  <c r="AM33" i="6"/>
  <c r="AL33" i="6"/>
  <c r="AK33" i="6"/>
  <c r="AJ33" i="6"/>
  <c r="AI33" i="6"/>
  <c r="AH33" i="6"/>
  <c r="AG33" i="6"/>
  <c r="AF33" i="6"/>
  <c r="AE33" i="6"/>
  <c r="AD33" i="6"/>
  <c r="AW32" i="6"/>
  <c r="AV32" i="6"/>
  <c r="AU32" i="6"/>
  <c r="AT32" i="6"/>
  <c r="AS32" i="6"/>
  <c r="AR32" i="6"/>
  <c r="AQ32" i="6"/>
  <c r="AP32" i="6"/>
  <c r="AO32" i="6"/>
  <c r="AM32" i="6"/>
  <c r="AL32" i="6"/>
  <c r="AK32" i="6"/>
  <c r="AJ32" i="6"/>
  <c r="AI32" i="6"/>
  <c r="AH32" i="6"/>
  <c r="AG32" i="6"/>
  <c r="AF32" i="6"/>
  <c r="AE32" i="6"/>
  <c r="AD32" i="6"/>
  <c r="AW31" i="6"/>
  <c r="AV31" i="6"/>
  <c r="AU31" i="6"/>
  <c r="AT31" i="6"/>
  <c r="AS31" i="6"/>
  <c r="AR31" i="6"/>
  <c r="AQ31" i="6"/>
  <c r="AP31" i="6"/>
  <c r="AO31" i="6"/>
  <c r="AM31" i="6"/>
  <c r="AL31" i="6"/>
  <c r="AK31" i="6"/>
  <c r="AJ31" i="6"/>
  <c r="AI31" i="6"/>
  <c r="AH31" i="6"/>
  <c r="AG31" i="6"/>
  <c r="AF31" i="6"/>
  <c r="AE31" i="6"/>
  <c r="AD31" i="6"/>
  <c r="AW30" i="6"/>
  <c r="AV30" i="6"/>
  <c r="AU30" i="6"/>
  <c r="AT30" i="6"/>
  <c r="AS30" i="6"/>
  <c r="AR30" i="6"/>
  <c r="AQ30" i="6"/>
  <c r="AP30" i="6"/>
  <c r="AO30" i="6"/>
  <c r="AM30" i="6"/>
  <c r="AL30" i="6"/>
  <c r="AK30" i="6"/>
  <c r="AJ30" i="6"/>
  <c r="AI30" i="6"/>
  <c r="AH30" i="6"/>
  <c r="AG30" i="6"/>
  <c r="AF30" i="6"/>
  <c r="AE30" i="6"/>
  <c r="AD30" i="6"/>
  <c r="AW29" i="6"/>
  <c r="AV29" i="6"/>
  <c r="AU29" i="6"/>
  <c r="AT29" i="6"/>
  <c r="AS29" i="6"/>
  <c r="AR29" i="6"/>
  <c r="AQ29" i="6"/>
  <c r="AP29" i="6"/>
  <c r="AO29" i="6"/>
  <c r="AM29" i="6"/>
  <c r="AL29" i="6"/>
  <c r="AK29" i="6"/>
  <c r="AJ29" i="6"/>
  <c r="AI29" i="6"/>
  <c r="AH29" i="6"/>
  <c r="AG29" i="6"/>
  <c r="AF29" i="6"/>
  <c r="AE29" i="6"/>
  <c r="AD29" i="6"/>
  <c r="AW28" i="6"/>
  <c r="AV28" i="6"/>
  <c r="AU28" i="6"/>
  <c r="AT28" i="6"/>
  <c r="AS28" i="6"/>
  <c r="AR28" i="6"/>
  <c r="AQ28" i="6"/>
  <c r="AP28" i="6"/>
  <c r="AO28" i="6"/>
  <c r="AM28" i="6"/>
  <c r="AL28" i="6"/>
  <c r="AK28" i="6"/>
  <c r="AJ28" i="6"/>
  <c r="AI28" i="6"/>
  <c r="AH28" i="6"/>
  <c r="AG28" i="6"/>
  <c r="AF28" i="6"/>
  <c r="AE28" i="6"/>
  <c r="AD28" i="6"/>
  <c r="AW27" i="6"/>
  <c r="AV27" i="6"/>
  <c r="AU27" i="6"/>
  <c r="AT27" i="6"/>
  <c r="AS27" i="6"/>
  <c r="AR27" i="6"/>
  <c r="AQ27" i="6"/>
  <c r="AP27" i="6"/>
  <c r="AO27" i="6"/>
  <c r="AM27" i="6"/>
  <c r="AL27" i="6"/>
  <c r="AK27" i="6"/>
  <c r="AJ27" i="6"/>
  <c r="AI27" i="6"/>
  <c r="AH27" i="6"/>
  <c r="AG27" i="6"/>
  <c r="AF27" i="6"/>
  <c r="AE27" i="6"/>
  <c r="AD27" i="6"/>
  <c r="AW26" i="6"/>
  <c r="AV26" i="6"/>
  <c r="AU26" i="6"/>
  <c r="AT26" i="6"/>
  <c r="AS26" i="6"/>
  <c r="AR26" i="6"/>
  <c r="AQ26" i="6"/>
  <c r="AP26" i="6"/>
  <c r="AO26" i="6"/>
  <c r="AM26" i="6"/>
  <c r="AL26" i="6"/>
  <c r="AK26" i="6"/>
  <c r="AJ26" i="6"/>
  <c r="AI26" i="6"/>
  <c r="AH26" i="6"/>
  <c r="AG26" i="6"/>
  <c r="AF26" i="6"/>
  <c r="AE26" i="6"/>
  <c r="AD26" i="6"/>
  <c r="AW25" i="6"/>
  <c r="AV25" i="6"/>
  <c r="AU25" i="6"/>
  <c r="AT25" i="6"/>
  <c r="AS25" i="6"/>
  <c r="AR25" i="6"/>
  <c r="AQ25" i="6"/>
  <c r="AP25" i="6"/>
  <c r="AO25" i="6"/>
  <c r="AM25" i="6"/>
  <c r="AL25" i="6"/>
  <c r="AK25" i="6"/>
  <c r="AJ25" i="6"/>
  <c r="AI25" i="6"/>
  <c r="AH25" i="6"/>
  <c r="AG25" i="6"/>
  <c r="AF25" i="6"/>
  <c r="AE25" i="6"/>
  <c r="AD25" i="6"/>
  <c r="AW24" i="6"/>
  <c r="AV24" i="6"/>
  <c r="AU24" i="6"/>
  <c r="AT24" i="6"/>
  <c r="AS24" i="6"/>
  <c r="AR24" i="6"/>
  <c r="AQ24" i="6"/>
  <c r="AP24" i="6"/>
  <c r="AO24" i="6"/>
  <c r="AM24" i="6"/>
  <c r="AL24" i="6"/>
  <c r="AK24" i="6"/>
  <c r="AJ24" i="6"/>
  <c r="AI24" i="6"/>
  <c r="AH24" i="6"/>
  <c r="AG24" i="6"/>
  <c r="AF24" i="6"/>
  <c r="AE24" i="6"/>
  <c r="AD24" i="6"/>
  <c r="AW23" i="6"/>
  <c r="AV23" i="6"/>
  <c r="AU23" i="6"/>
  <c r="AT23" i="6"/>
  <c r="AS23" i="6"/>
  <c r="AR23" i="6"/>
  <c r="AQ23" i="6"/>
  <c r="AP23" i="6"/>
  <c r="AO23" i="6"/>
  <c r="AM23" i="6"/>
  <c r="AL23" i="6"/>
  <c r="AK23" i="6"/>
  <c r="AJ23" i="6"/>
  <c r="AI23" i="6"/>
  <c r="AH23" i="6"/>
  <c r="AG23" i="6"/>
  <c r="AF23" i="6"/>
  <c r="AE23" i="6"/>
  <c r="AD23" i="6"/>
  <c r="AW22" i="6"/>
  <c r="AV22" i="6"/>
  <c r="AU22" i="6"/>
  <c r="AT22" i="6"/>
  <c r="AS22" i="6"/>
  <c r="AR22" i="6"/>
  <c r="AQ22" i="6"/>
  <c r="AP22" i="6"/>
  <c r="AO22" i="6"/>
  <c r="AM22" i="6"/>
  <c r="AL22" i="6"/>
  <c r="AK22" i="6"/>
  <c r="AJ22" i="6"/>
  <c r="AI22" i="6"/>
  <c r="AH22" i="6"/>
  <c r="AG22" i="6"/>
  <c r="AF22" i="6"/>
  <c r="AE22" i="6"/>
  <c r="AD22" i="6"/>
  <c r="AW21" i="6"/>
  <c r="AV21" i="6"/>
  <c r="AU21" i="6"/>
  <c r="AT21" i="6"/>
  <c r="AS21" i="6"/>
  <c r="AR21" i="6"/>
  <c r="AQ21" i="6"/>
  <c r="AP21" i="6"/>
  <c r="AO21" i="6"/>
  <c r="AM21" i="6"/>
  <c r="AL21" i="6"/>
  <c r="AK21" i="6"/>
  <c r="AJ21" i="6"/>
  <c r="AI21" i="6"/>
  <c r="AH21" i="6"/>
  <c r="AG21" i="6"/>
  <c r="AF21" i="6"/>
  <c r="AE21" i="6"/>
  <c r="AD21" i="6"/>
  <c r="AW20" i="6"/>
  <c r="AV20" i="6"/>
  <c r="AU20" i="6"/>
  <c r="AT20" i="6"/>
  <c r="AS20" i="6"/>
  <c r="AR20" i="6"/>
  <c r="AQ20" i="6"/>
  <c r="AP20" i="6"/>
  <c r="AO20" i="6"/>
  <c r="AM20" i="6"/>
  <c r="AL20" i="6"/>
  <c r="AK20" i="6"/>
  <c r="AJ20" i="6"/>
  <c r="AI20" i="6"/>
  <c r="AH20" i="6"/>
  <c r="AG20" i="6"/>
  <c r="AF20" i="6"/>
  <c r="AE20" i="6"/>
  <c r="AD20" i="6"/>
  <c r="AW19" i="6"/>
  <c r="AV19" i="6"/>
  <c r="AU19" i="6"/>
  <c r="AT19" i="6"/>
  <c r="AS19" i="6"/>
  <c r="AR19" i="6"/>
  <c r="AQ19" i="6"/>
  <c r="AP19" i="6"/>
  <c r="AO19" i="6"/>
  <c r="AM19" i="6"/>
  <c r="AL19" i="6"/>
  <c r="AK19" i="6"/>
  <c r="AJ19" i="6"/>
  <c r="AI19" i="6"/>
  <c r="AH19" i="6"/>
  <c r="AG19" i="6"/>
  <c r="AF19" i="6"/>
  <c r="AE19" i="6"/>
  <c r="AD19" i="6"/>
  <c r="AW18" i="6"/>
  <c r="AV18" i="6"/>
  <c r="AU18" i="6"/>
  <c r="AT18" i="6"/>
  <c r="AS18" i="6"/>
  <c r="AR18" i="6"/>
  <c r="AQ18" i="6"/>
  <c r="AP18" i="6"/>
  <c r="AO18" i="6"/>
  <c r="AM18" i="6"/>
  <c r="AL18" i="6"/>
  <c r="AK18" i="6"/>
  <c r="AJ18" i="6"/>
  <c r="AI18" i="6"/>
  <c r="AH18" i="6"/>
  <c r="AG18" i="6"/>
  <c r="AF18" i="6"/>
  <c r="AE18" i="6"/>
  <c r="AD18" i="6"/>
  <c r="AW17" i="6"/>
  <c r="AV17" i="6"/>
  <c r="AU17" i="6"/>
  <c r="AT17" i="6"/>
  <c r="AS17" i="6"/>
  <c r="AR17" i="6"/>
  <c r="AQ17" i="6"/>
  <c r="AP17" i="6"/>
  <c r="AO17" i="6"/>
  <c r="AM17" i="6"/>
  <c r="AL17" i="6"/>
  <c r="AK17" i="6"/>
  <c r="AJ17" i="6"/>
  <c r="AI17" i="6"/>
  <c r="AH17" i="6"/>
  <c r="AG17" i="6"/>
  <c r="AF17" i="6"/>
  <c r="AE17" i="6"/>
  <c r="AD17" i="6"/>
  <c r="AW16" i="6"/>
  <c r="AV16" i="6"/>
  <c r="AU16" i="6"/>
  <c r="AT16" i="6"/>
  <c r="AS16" i="6"/>
  <c r="AR16" i="6"/>
  <c r="AQ16" i="6"/>
  <c r="AP16" i="6"/>
  <c r="AO16" i="6"/>
  <c r="AM16" i="6"/>
  <c r="AL16" i="6"/>
  <c r="AK16" i="6"/>
  <c r="AJ16" i="6"/>
  <c r="AI16" i="6"/>
  <c r="AH16" i="6"/>
  <c r="AG16" i="6"/>
  <c r="AF16" i="6"/>
  <c r="AE16" i="6"/>
  <c r="AD16" i="6"/>
  <c r="AW15" i="6"/>
  <c r="AV15" i="6"/>
  <c r="AU15" i="6"/>
  <c r="AT15" i="6"/>
  <c r="AS15" i="6"/>
  <c r="AR15" i="6"/>
  <c r="AQ15" i="6"/>
  <c r="AP15" i="6"/>
  <c r="AO15" i="6"/>
  <c r="AM15" i="6"/>
  <c r="AL15" i="6"/>
  <c r="AK15" i="6"/>
  <c r="AJ15" i="6"/>
  <c r="AI15" i="6"/>
  <c r="AH15" i="6"/>
  <c r="AG15" i="6"/>
  <c r="AF15" i="6"/>
  <c r="AE15" i="6"/>
  <c r="AD15" i="6"/>
  <c r="AW14" i="6"/>
  <c r="AV14" i="6"/>
  <c r="AU14" i="6"/>
  <c r="AT14" i="6"/>
  <c r="AS14" i="6"/>
  <c r="AR14" i="6"/>
  <c r="AQ14" i="6"/>
  <c r="AP14" i="6"/>
  <c r="AO14" i="6"/>
  <c r="AM14" i="6"/>
  <c r="AL14" i="6"/>
  <c r="AK14" i="6"/>
  <c r="AJ14" i="6"/>
  <c r="AI14" i="6"/>
  <c r="AH14" i="6"/>
  <c r="AG14" i="6"/>
  <c r="AF14" i="6"/>
  <c r="AE14" i="6"/>
  <c r="AD14" i="6"/>
  <c r="AW13" i="6"/>
  <c r="AV13" i="6"/>
  <c r="AU13" i="6"/>
  <c r="AT13" i="6"/>
  <c r="AS13" i="6"/>
  <c r="AR13" i="6"/>
  <c r="AQ13" i="6"/>
  <c r="AP13" i="6"/>
  <c r="AO13" i="6"/>
  <c r="AM13" i="6"/>
  <c r="AL13" i="6"/>
  <c r="AK13" i="6"/>
  <c r="AJ13" i="6"/>
  <c r="AI13" i="6"/>
  <c r="AH13" i="6"/>
  <c r="AG13" i="6"/>
  <c r="AF13" i="6"/>
  <c r="AE13" i="6"/>
  <c r="AD13" i="6"/>
  <c r="AW12" i="6"/>
  <c r="AV12" i="6"/>
  <c r="AU12" i="6"/>
  <c r="AT12" i="6"/>
  <c r="AS12" i="6"/>
  <c r="AR12" i="6"/>
  <c r="AQ12" i="6"/>
  <c r="AP12" i="6"/>
  <c r="AO12" i="6"/>
  <c r="AM12" i="6"/>
  <c r="AL12" i="6"/>
  <c r="AK12" i="6"/>
  <c r="AJ12" i="6"/>
  <c r="AI12" i="6"/>
  <c r="AH12" i="6"/>
  <c r="AG12" i="6"/>
  <c r="AF12" i="6"/>
  <c r="AE12" i="6"/>
  <c r="AD12" i="6"/>
  <c r="AW11" i="6"/>
  <c r="AV11" i="6"/>
  <c r="AU11" i="6"/>
  <c r="AT11" i="6"/>
  <c r="AS11" i="6"/>
  <c r="AR11" i="6"/>
  <c r="AQ11" i="6"/>
  <c r="AP11" i="6"/>
  <c r="AO11" i="6"/>
  <c r="AM11" i="6"/>
  <c r="AL11" i="6"/>
  <c r="AK11" i="6"/>
  <c r="AJ11" i="6"/>
  <c r="AI11" i="6"/>
  <c r="AH11" i="6"/>
  <c r="AG11" i="6"/>
  <c r="AF11" i="6"/>
  <c r="AE11" i="6"/>
  <c r="AD11" i="6"/>
  <c r="AW10" i="6"/>
  <c r="AV10" i="6"/>
  <c r="AU10" i="6"/>
  <c r="AT10" i="6"/>
  <c r="AS10" i="6"/>
  <c r="AR10" i="6"/>
  <c r="AQ10" i="6"/>
  <c r="AP10" i="6"/>
  <c r="AO10" i="6"/>
  <c r="AM10" i="6"/>
  <c r="AL10" i="6"/>
  <c r="AK10" i="6"/>
  <c r="AJ10" i="6"/>
  <c r="AI10" i="6"/>
  <c r="AH10" i="6"/>
  <c r="AG10" i="6"/>
  <c r="AF10" i="6"/>
  <c r="AE10" i="6"/>
  <c r="AD10" i="6"/>
  <c r="AW9" i="6"/>
  <c r="AV9" i="6"/>
  <c r="AU9" i="6"/>
  <c r="AT9" i="6"/>
  <c r="AS9" i="6"/>
  <c r="AR9" i="6"/>
  <c r="AQ9" i="6"/>
  <c r="AP9" i="6"/>
  <c r="AO9" i="6"/>
  <c r="AM9" i="6"/>
  <c r="AL9" i="6"/>
  <c r="AK9" i="6"/>
  <c r="AJ9" i="6"/>
  <c r="AI9" i="6"/>
  <c r="AH9" i="6"/>
  <c r="AG9" i="6"/>
  <c r="AF9" i="6"/>
  <c r="AE9" i="6"/>
  <c r="AD9" i="6"/>
  <c r="AW8" i="6"/>
  <c r="AV8" i="6"/>
  <c r="AU8" i="6"/>
  <c r="AT8" i="6"/>
  <c r="AS8" i="6"/>
  <c r="AR8" i="6"/>
  <c r="AQ8" i="6"/>
  <c r="AP8" i="6"/>
  <c r="AO8" i="6"/>
  <c r="AM8" i="6"/>
  <c r="AL8" i="6"/>
  <c r="AK8" i="6"/>
  <c r="AJ8" i="6"/>
  <c r="AI8" i="6"/>
  <c r="AH8" i="6"/>
  <c r="AG8" i="6"/>
  <c r="AF8" i="6"/>
  <c r="AE8" i="6"/>
  <c r="AD8" i="6"/>
  <c r="AW7" i="6"/>
  <c r="AV7" i="6"/>
  <c r="AU7" i="6"/>
  <c r="AT7" i="6"/>
  <c r="AS7" i="6"/>
  <c r="AR7" i="6"/>
  <c r="AQ7" i="6"/>
  <c r="AP7" i="6"/>
  <c r="AO7" i="6"/>
  <c r="AM7" i="6"/>
  <c r="AL7" i="6"/>
  <c r="AK7" i="6"/>
  <c r="AJ7" i="6"/>
  <c r="AI7" i="6"/>
  <c r="AH7" i="6"/>
  <c r="AG7" i="6"/>
  <c r="AF7" i="6"/>
  <c r="AD7" i="6"/>
  <c r="AE7" i="6"/>
  <c r="D226" i="5" l="1"/>
  <c r="D223" i="5"/>
  <c r="D224" i="5"/>
  <c r="Q188" i="5"/>
  <c r="Q187" i="5"/>
  <c r="Q186" i="5"/>
  <c r="Q185" i="5"/>
  <c r="Q184" i="5"/>
  <c r="Q183" i="5"/>
  <c r="Q182" i="5"/>
  <c r="Q181" i="5"/>
  <c r="W77" i="4"/>
  <c r="W76" i="4"/>
  <c r="W75" i="4"/>
  <c r="W74" i="4"/>
  <c r="W73" i="4"/>
  <c r="AP68" i="4"/>
  <c r="AQ68" i="4" s="1"/>
  <c r="AR68" i="4" s="1"/>
  <c r="AP61" i="4"/>
  <c r="AP58" i="4"/>
  <c r="W46" i="4"/>
  <c r="W45" i="4"/>
  <c r="W44" i="4"/>
  <c r="W43" i="4"/>
  <c r="W42" i="4"/>
  <c r="W41" i="4"/>
  <c r="W40" i="4"/>
  <c r="W39" i="4"/>
  <c r="W38" i="4"/>
  <c r="AQ58" i="4" l="1"/>
  <c r="AR58" i="4" s="1"/>
  <c r="AQ61" i="4"/>
  <c r="AR61" i="4" s="1"/>
  <c r="A3" i="10" l="1"/>
  <c r="A379" i="10"/>
  <c r="A380" i="10" s="1"/>
  <c r="A381" i="10" s="1"/>
  <c r="A382" i="10" s="1"/>
  <c r="A383" i="10" s="1"/>
  <c r="A384" i="10" s="1"/>
  <c r="A385" i="10" s="1"/>
  <c r="A386" i="10" s="1"/>
  <c r="A387" i="10" s="1"/>
  <c r="A388" i="10" s="1"/>
  <c r="E28" i="1" l="1"/>
  <c r="C7" i="6"/>
  <c r="AV240" i="6" l="1"/>
  <c r="AT240" i="6"/>
  <c r="AR240" i="6"/>
  <c r="AQ240" i="6"/>
  <c r="AP240" i="6"/>
  <c r="AN240" i="6"/>
  <c r="AM240" i="6"/>
  <c r="AK240" i="6"/>
  <c r="AI240" i="6"/>
  <c r="AG240" i="6"/>
  <c r="AE240" i="6"/>
  <c r="E69" i="2" l="1"/>
  <c r="C179" i="5"/>
  <c r="C154" i="5"/>
  <c r="C142" i="5"/>
  <c r="C138" i="5"/>
  <c r="C121" i="5"/>
  <c r="C60" i="5"/>
  <c r="V234" i="6"/>
  <c r="G234" i="6" s="1"/>
  <c r="P234" i="6"/>
  <c r="V203" i="6"/>
  <c r="G203" i="6" s="1"/>
  <c r="P203" i="6"/>
  <c r="R203" i="6" s="1"/>
  <c r="V181" i="6"/>
  <c r="G181" i="6" s="1"/>
  <c r="P181" i="6"/>
  <c r="R181" i="6" s="1"/>
  <c r="V167" i="6"/>
  <c r="G167" i="6" s="1"/>
  <c r="P167" i="6"/>
  <c r="R167" i="6" s="1"/>
  <c r="V115" i="6"/>
  <c r="G115" i="6" s="1"/>
  <c r="P115" i="6"/>
  <c r="R115" i="6" s="1"/>
  <c r="V65" i="6"/>
  <c r="G65" i="6" s="1"/>
  <c r="P65" i="6"/>
  <c r="R65" i="6" s="1"/>
  <c r="V21" i="6"/>
  <c r="G21" i="6" s="1"/>
  <c r="P21" i="6"/>
  <c r="R21" i="6" s="1"/>
  <c r="V150" i="6"/>
  <c r="G150" i="6" s="1"/>
  <c r="P150" i="6"/>
  <c r="R150" i="6" s="1"/>
  <c r="I32" i="4"/>
  <c r="I31" i="4"/>
  <c r="I30" i="4"/>
  <c r="I25" i="4"/>
  <c r="I19" i="4"/>
  <c r="I10" i="4"/>
  <c r="E246" i="1"/>
  <c r="E245" i="1"/>
  <c r="E244" i="1"/>
  <c r="E243" i="1"/>
  <c r="E242" i="1"/>
  <c r="E306" i="1"/>
  <c r="D306" i="1"/>
  <c r="E305" i="1"/>
  <c r="D305" i="1"/>
  <c r="E304" i="1"/>
  <c r="D304" i="1"/>
  <c r="E303" i="1"/>
  <c r="D303" i="1"/>
  <c r="J302" i="1"/>
  <c r="I302" i="1"/>
  <c r="H302" i="1"/>
  <c r="G302" i="1"/>
  <c r="F302" i="1"/>
  <c r="E302" i="1"/>
  <c r="D302" i="1"/>
  <c r="J301" i="1"/>
  <c r="I301" i="1"/>
  <c r="H301" i="1"/>
  <c r="G301" i="1"/>
  <c r="F301" i="1"/>
  <c r="E301" i="1"/>
  <c r="D301" i="1"/>
  <c r="AM74" i="4"/>
  <c r="AL74" i="4"/>
  <c r="AK74" i="4"/>
  <c r="AI74" i="4"/>
  <c r="AG74" i="4"/>
  <c r="AA74" i="4"/>
  <c r="Y74" i="4"/>
  <c r="AM73" i="4"/>
  <c r="AL73" i="4"/>
  <c r="AK73" i="4"/>
  <c r="AI73" i="4"/>
  <c r="AG73" i="4"/>
  <c r="AA73" i="4"/>
  <c r="Y73" i="4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N73" i="4" l="1"/>
  <c r="AN74" i="4"/>
  <c r="E70" i="2"/>
  <c r="D234" i="6" l="1"/>
  <c r="E234" i="6" s="1"/>
  <c r="C234" i="6"/>
  <c r="D203" i="6"/>
  <c r="E203" i="6" s="1"/>
  <c r="C203" i="6"/>
  <c r="D181" i="6"/>
  <c r="E181" i="6" s="1"/>
  <c r="C181" i="6"/>
  <c r="D167" i="6"/>
  <c r="E167" i="6" s="1"/>
  <c r="C167" i="6"/>
  <c r="D150" i="6"/>
  <c r="E150" i="6" s="1"/>
  <c r="C150" i="6"/>
  <c r="D115" i="6"/>
  <c r="E115" i="6" s="1"/>
  <c r="C115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6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E65" i="6" s="1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E21" i="6" s="1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9" i="5"/>
  <c r="C65" i="6"/>
  <c r="C21" i="6"/>
  <c r="D23" i="5"/>
  <c r="AI34" i="4"/>
  <c r="AG34" i="4"/>
  <c r="AE34" i="4"/>
  <c r="AC34" i="4"/>
  <c r="AA34" i="4"/>
  <c r="E68" i="1" l="1"/>
  <c r="J246" i="1"/>
  <c r="L246" i="1" s="1"/>
  <c r="I246" i="1"/>
  <c r="H246" i="1"/>
  <c r="G246" i="1"/>
  <c r="F246" i="1"/>
  <c r="D246" i="1"/>
  <c r="J245" i="1"/>
  <c r="L245" i="1" s="1"/>
  <c r="I245" i="1"/>
  <c r="H245" i="1"/>
  <c r="G245" i="1"/>
  <c r="F245" i="1"/>
  <c r="D245" i="1"/>
  <c r="J244" i="1"/>
  <c r="I244" i="1"/>
  <c r="H244" i="1"/>
  <c r="G244" i="1"/>
  <c r="F244" i="1"/>
  <c r="D244" i="1"/>
  <c r="J243" i="1"/>
  <c r="I243" i="1"/>
  <c r="H243" i="1"/>
  <c r="G243" i="1"/>
  <c r="F243" i="1"/>
  <c r="D243" i="1"/>
  <c r="J242" i="1"/>
  <c r="I242" i="1"/>
  <c r="H242" i="1"/>
  <c r="G242" i="1"/>
  <c r="F242" i="1"/>
  <c r="D242" i="1"/>
  <c r="E241" i="1"/>
  <c r="D241" i="1"/>
  <c r="E240" i="1"/>
  <c r="D240" i="1"/>
  <c r="E239" i="1"/>
  <c r="D239" i="1"/>
  <c r="E238" i="1"/>
  <c r="D238" i="1"/>
  <c r="I237" i="1"/>
  <c r="G237" i="1"/>
  <c r="F237" i="1"/>
  <c r="E237" i="1"/>
  <c r="D237" i="1"/>
  <c r="J236" i="1"/>
  <c r="I236" i="1"/>
  <c r="H236" i="1"/>
  <c r="G236" i="1"/>
  <c r="F236" i="1"/>
  <c r="E236" i="1"/>
  <c r="D236" i="1"/>
  <c r="J235" i="1"/>
  <c r="G419" i="2" s="1"/>
  <c r="I235" i="1"/>
  <c r="H235" i="1"/>
  <c r="G235" i="1"/>
  <c r="D419" i="2" s="1"/>
  <c r="F235" i="1"/>
  <c r="C419" i="2" s="1"/>
  <c r="E235" i="1"/>
  <c r="D235" i="1"/>
  <c r="J234" i="1"/>
  <c r="I234" i="1"/>
  <c r="H234" i="1"/>
  <c r="G234" i="1"/>
  <c r="F234" i="1"/>
  <c r="E234" i="1"/>
  <c r="D234" i="1"/>
  <c r="J233" i="1"/>
  <c r="I233" i="1"/>
  <c r="H233" i="1"/>
  <c r="G233" i="1"/>
  <c r="F233" i="1"/>
  <c r="E233" i="1"/>
  <c r="D233" i="1"/>
  <c r="J232" i="1"/>
  <c r="I232" i="1"/>
  <c r="H232" i="1"/>
  <c r="G232" i="1"/>
  <c r="F232" i="1"/>
  <c r="E232" i="1"/>
  <c r="D232" i="1"/>
  <c r="J231" i="1"/>
  <c r="I231" i="1"/>
  <c r="H231" i="1"/>
  <c r="G231" i="1"/>
  <c r="F231" i="1"/>
  <c r="E231" i="1"/>
  <c r="D231" i="1"/>
  <c r="J230" i="1"/>
  <c r="I230" i="1"/>
  <c r="H230" i="1"/>
  <c r="G230" i="1"/>
  <c r="F230" i="1"/>
  <c r="E230" i="1"/>
  <c r="D230" i="1"/>
  <c r="J229" i="1"/>
  <c r="I229" i="1"/>
  <c r="H229" i="1"/>
  <c r="G229" i="1"/>
  <c r="F229" i="1"/>
  <c r="E229" i="1"/>
  <c r="D229" i="1"/>
  <c r="J228" i="1"/>
  <c r="I228" i="1"/>
  <c r="H228" i="1"/>
  <c r="G228" i="1"/>
  <c r="F228" i="1"/>
  <c r="E228" i="1"/>
  <c r="D228" i="1"/>
  <c r="J227" i="1"/>
  <c r="I227" i="1"/>
  <c r="H227" i="1"/>
  <c r="G227" i="1"/>
  <c r="F227" i="1"/>
  <c r="E227" i="1"/>
  <c r="D227" i="1"/>
  <c r="J226" i="1"/>
  <c r="I226" i="1"/>
  <c r="H226" i="1"/>
  <c r="G226" i="1"/>
  <c r="F226" i="1"/>
  <c r="E226" i="1"/>
  <c r="D226" i="1"/>
  <c r="J225" i="1"/>
  <c r="I225" i="1"/>
  <c r="H225" i="1"/>
  <c r="G225" i="1"/>
  <c r="F225" i="1"/>
  <c r="E225" i="1"/>
  <c r="D225" i="1"/>
  <c r="J224" i="1"/>
  <c r="I224" i="1"/>
  <c r="H224" i="1"/>
  <c r="G224" i="1"/>
  <c r="F224" i="1"/>
  <c r="E224" i="1"/>
  <c r="D224" i="1"/>
  <c r="J223" i="1"/>
  <c r="I223" i="1"/>
  <c r="H223" i="1"/>
  <c r="G223" i="1"/>
  <c r="F223" i="1"/>
  <c r="E223" i="1"/>
  <c r="D223" i="1"/>
  <c r="J222" i="1"/>
  <c r="L222" i="1" s="1"/>
  <c r="I222" i="1"/>
  <c r="H222" i="1"/>
  <c r="G222" i="1"/>
  <c r="F222" i="1"/>
  <c r="E222" i="1"/>
  <c r="D222" i="1"/>
  <c r="E221" i="1"/>
  <c r="D221" i="1"/>
  <c r="I220" i="1"/>
  <c r="G220" i="1"/>
  <c r="F220" i="1"/>
  <c r="E220" i="1"/>
  <c r="D220" i="1"/>
  <c r="J219" i="1"/>
  <c r="I219" i="1"/>
  <c r="H219" i="1"/>
  <c r="G219" i="1"/>
  <c r="F219" i="1"/>
  <c r="E219" i="1"/>
  <c r="D219" i="1"/>
  <c r="J218" i="1"/>
  <c r="I218" i="1"/>
  <c r="H218" i="1"/>
  <c r="G218" i="1"/>
  <c r="F218" i="1"/>
  <c r="E218" i="1"/>
  <c r="D218" i="1"/>
  <c r="J217" i="1"/>
  <c r="L217" i="1" s="1"/>
  <c r="I217" i="1"/>
  <c r="H217" i="1"/>
  <c r="G217" i="1"/>
  <c r="F217" i="1"/>
  <c r="E217" i="1"/>
  <c r="D217" i="1"/>
  <c r="A782" i="13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N222" i="1" l="1"/>
  <c r="N246" i="1"/>
  <c r="N217" i="1"/>
  <c r="N245" i="1"/>
  <c r="AG23" i="5" l="1"/>
  <c r="AE23" i="5"/>
  <c r="AC23" i="5"/>
  <c r="AA23" i="5"/>
  <c r="Y23" i="5"/>
  <c r="W23" i="5"/>
  <c r="U23" i="5"/>
  <c r="S23" i="5"/>
  <c r="E23" i="5"/>
  <c r="E24" i="5"/>
  <c r="S24" i="5"/>
  <c r="U24" i="5"/>
  <c r="W24" i="5"/>
  <c r="Y24" i="5"/>
  <c r="AA24" i="5"/>
  <c r="AC24" i="5"/>
  <c r="AE24" i="5"/>
  <c r="D34" i="4"/>
  <c r="E34" i="4" s="1"/>
  <c r="AG138" i="5"/>
  <c r="AE138" i="5"/>
  <c r="AC138" i="5"/>
  <c r="AA138" i="5"/>
  <c r="Y138" i="5"/>
  <c r="W138" i="5"/>
  <c r="U138" i="5"/>
  <c r="S138" i="5"/>
  <c r="E138" i="5"/>
  <c r="A835" i="13"/>
  <c r="A836" i="13" s="1"/>
  <c r="A837" i="13" s="1"/>
  <c r="A838" i="13" s="1"/>
  <c r="A839" i="13" s="1"/>
  <c r="A840" i="13" s="1"/>
  <c r="A841" i="13" s="1"/>
  <c r="A842" i="13" s="1"/>
  <c r="A815" i="13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05" i="13" s="1"/>
  <c r="C805" i="13" s="1"/>
  <c r="AG60" i="5"/>
  <c r="AE60" i="5"/>
  <c r="AC60" i="5"/>
  <c r="AA60" i="5"/>
  <c r="Y60" i="5"/>
  <c r="W60" i="5"/>
  <c r="U60" i="5"/>
  <c r="S60" i="5"/>
  <c r="E60" i="5"/>
  <c r="A804" i="13" l="1"/>
  <c r="C804" i="13" s="1"/>
  <c r="AE179" i="5"/>
  <c r="AC179" i="5"/>
  <c r="AA179" i="5"/>
  <c r="Y179" i="5"/>
  <c r="W179" i="5"/>
  <c r="U179" i="5"/>
  <c r="S179" i="5"/>
  <c r="E179" i="5"/>
  <c r="AG154" i="5"/>
  <c r="AE154" i="5"/>
  <c r="AC154" i="5"/>
  <c r="AA154" i="5"/>
  <c r="Y154" i="5"/>
  <c r="W154" i="5"/>
  <c r="U154" i="5"/>
  <c r="S154" i="5"/>
  <c r="E154" i="5"/>
  <c r="AG121" i="5"/>
  <c r="AE121" i="5"/>
  <c r="AC121" i="5"/>
  <c r="AA121" i="5"/>
  <c r="Y121" i="5"/>
  <c r="W121" i="5"/>
  <c r="U121" i="5"/>
  <c r="S121" i="5"/>
  <c r="E121" i="5"/>
  <c r="A541" i="13"/>
  <c r="A542" i="13" l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G142" i="5"/>
  <c r="AE142" i="5"/>
  <c r="AC142" i="5"/>
  <c r="AA142" i="5"/>
  <c r="Y142" i="5"/>
  <c r="W142" i="5"/>
  <c r="U142" i="5"/>
  <c r="S142" i="5"/>
  <c r="E142" i="5"/>
  <c r="A639" i="13" l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C802" i="13" l="1"/>
  <c r="C808" i="13" s="1"/>
  <c r="A802" i="13"/>
  <c r="A808" i="13" s="1"/>
  <c r="A775" i="13"/>
  <c r="E233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4" i="6"/>
  <c r="E183" i="6"/>
  <c r="E182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6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V233" i="6"/>
  <c r="G233" i="6" s="1"/>
  <c r="P233" i="6"/>
  <c r="C233" i="6"/>
  <c r="V232" i="6"/>
  <c r="G232" i="6" s="1"/>
  <c r="P232" i="6"/>
  <c r="E232" i="6"/>
  <c r="C232" i="6"/>
  <c r="V231" i="6"/>
  <c r="G231" i="6" s="1"/>
  <c r="P231" i="6"/>
  <c r="R231" i="6" s="1"/>
  <c r="C231" i="6"/>
  <c r="V230" i="6"/>
  <c r="G230" i="6" s="1"/>
  <c r="P230" i="6"/>
  <c r="R230" i="6" s="1"/>
  <c r="C230" i="6"/>
  <c r="V229" i="6"/>
  <c r="G229" i="6" s="1"/>
  <c r="P229" i="6"/>
  <c r="R229" i="6" s="1"/>
  <c r="C229" i="6"/>
  <c r="V228" i="6"/>
  <c r="AM34" i="4" s="1"/>
  <c r="P228" i="6"/>
  <c r="R228" i="6" s="1"/>
  <c r="C228" i="6"/>
  <c r="V227" i="6"/>
  <c r="G227" i="6" s="1"/>
  <c r="P227" i="6"/>
  <c r="R227" i="6" s="1"/>
  <c r="C227" i="6"/>
  <c r="V226" i="6"/>
  <c r="G226" i="6" s="1"/>
  <c r="C226" i="6"/>
  <c r="V225" i="6"/>
  <c r="G225" i="6" s="1"/>
  <c r="P225" i="6"/>
  <c r="R225" i="6" s="1"/>
  <c r="C225" i="6"/>
  <c r="V224" i="6"/>
  <c r="G224" i="6" s="1"/>
  <c r="P224" i="6"/>
  <c r="R224" i="6" s="1"/>
  <c r="C224" i="6"/>
  <c r="V223" i="6"/>
  <c r="G223" i="6" s="1"/>
  <c r="P223" i="6"/>
  <c r="R223" i="6" s="1"/>
  <c r="C223" i="6"/>
  <c r="V222" i="6"/>
  <c r="G222" i="6" s="1"/>
  <c r="P222" i="6"/>
  <c r="R222" i="6" s="1"/>
  <c r="C222" i="6"/>
  <c r="V221" i="6"/>
  <c r="G221" i="6" s="1"/>
  <c r="P221" i="6"/>
  <c r="R221" i="6" s="1"/>
  <c r="C221" i="6"/>
  <c r="V220" i="6"/>
  <c r="G220" i="6" s="1"/>
  <c r="P220" i="6"/>
  <c r="R220" i="6" s="1"/>
  <c r="C220" i="6"/>
  <c r="V219" i="6"/>
  <c r="G219" i="6" s="1"/>
  <c r="C219" i="6"/>
  <c r="V218" i="6"/>
  <c r="G218" i="6" s="1"/>
  <c r="P218" i="6"/>
  <c r="R218" i="6" s="1"/>
  <c r="E218" i="6"/>
  <c r="C218" i="6"/>
  <c r="V217" i="6"/>
  <c r="G217" i="6" s="1"/>
  <c r="P217" i="6"/>
  <c r="R217" i="6" s="1"/>
  <c r="C217" i="6"/>
  <c r="V216" i="6"/>
  <c r="G216" i="6" s="1"/>
  <c r="P216" i="6"/>
  <c r="R216" i="6" s="1"/>
  <c r="C216" i="6"/>
  <c r="V215" i="6"/>
  <c r="G215" i="6" s="1"/>
  <c r="P215" i="6"/>
  <c r="R215" i="6" s="1"/>
  <c r="C215" i="6"/>
  <c r="V214" i="6"/>
  <c r="G214" i="6" s="1"/>
  <c r="C214" i="6"/>
  <c r="V213" i="6"/>
  <c r="G213" i="6" s="1"/>
  <c r="P213" i="6"/>
  <c r="R213" i="6" s="1"/>
  <c r="C213" i="6"/>
  <c r="V212" i="6"/>
  <c r="G212" i="6" s="1"/>
  <c r="P212" i="6"/>
  <c r="R212" i="6" s="1"/>
  <c r="C212" i="6"/>
  <c r="V211" i="6"/>
  <c r="G211" i="6" s="1"/>
  <c r="P211" i="6"/>
  <c r="R211" i="6" s="1"/>
  <c r="C211" i="6"/>
  <c r="V210" i="6"/>
  <c r="G210" i="6" s="1"/>
  <c r="P210" i="6"/>
  <c r="R210" i="6" s="1"/>
  <c r="C210" i="6"/>
  <c r="V209" i="6"/>
  <c r="G209" i="6" s="1"/>
  <c r="P209" i="6"/>
  <c r="R209" i="6" s="1"/>
  <c r="C209" i="6"/>
  <c r="V208" i="6"/>
  <c r="G208" i="6" s="1"/>
  <c r="P208" i="6"/>
  <c r="R208" i="6" s="1"/>
  <c r="C208" i="6"/>
  <c r="V207" i="6"/>
  <c r="G207" i="6" s="1"/>
  <c r="P207" i="6"/>
  <c r="R207" i="6" s="1"/>
  <c r="C207" i="6"/>
  <c r="V206" i="6"/>
  <c r="G206" i="6" s="1"/>
  <c r="P206" i="6"/>
  <c r="R206" i="6" s="1"/>
  <c r="C206" i="6"/>
  <c r="V205" i="6"/>
  <c r="G205" i="6" s="1"/>
  <c r="P205" i="6"/>
  <c r="R205" i="6" s="1"/>
  <c r="C205" i="6"/>
  <c r="V204" i="6"/>
  <c r="G204" i="6" s="1"/>
  <c r="P204" i="6"/>
  <c r="R204" i="6" s="1"/>
  <c r="C204" i="6"/>
  <c r="V202" i="6"/>
  <c r="G202" i="6" s="1"/>
  <c r="P202" i="6"/>
  <c r="R202" i="6" s="1"/>
  <c r="E202" i="6"/>
  <c r="C202" i="6"/>
  <c r="V201" i="6"/>
  <c r="G201" i="6" s="1"/>
  <c r="P201" i="6"/>
  <c r="R201" i="6" s="1"/>
  <c r="E201" i="6"/>
  <c r="C201" i="6"/>
  <c r="V200" i="6"/>
  <c r="G200" i="6" s="1"/>
  <c r="P200" i="6"/>
  <c r="R200" i="6" s="1"/>
  <c r="C200" i="6"/>
  <c r="V199" i="6"/>
  <c r="G199" i="6" s="1"/>
  <c r="P199" i="6"/>
  <c r="R199" i="6" s="1"/>
  <c r="C199" i="6"/>
  <c r="V198" i="6"/>
  <c r="G198" i="6" s="1"/>
  <c r="P198" i="6"/>
  <c r="R198" i="6" s="1"/>
  <c r="C198" i="6"/>
  <c r="V197" i="6"/>
  <c r="G197" i="6" s="1"/>
  <c r="P197" i="6"/>
  <c r="R197" i="6" s="1"/>
  <c r="C197" i="6"/>
  <c r="V196" i="6"/>
  <c r="G196" i="6" s="1"/>
  <c r="P196" i="6"/>
  <c r="R196" i="6" s="1"/>
  <c r="C196" i="6"/>
  <c r="V195" i="6"/>
  <c r="G195" i="6" s="1"/>
  <c r="P195" i="6"/>
  <c r="R195" i="6" s="1"/>
  <c r="C195" i="6"/>
  <c r="V194" i="6"/>
  <c r="G194" i="6" s="1"/>
  <c r="P194" i="6"/>
  <c r="R194" i="6" s="1"/>
  <c r="C194" i="6"/>
  <c r="V193" i="6"/>
  <c r="G193" i="6" s="1"/>
  <c r="P193" i="6"/>
  <c r="R193" i="6" s="1"/>
  <c r="C193" i="6"/>
  <c r="V192" i="6"/>
  <c r="G192" i="6" s="1"/>
  <c r="P192" i="6"/>
  <c r="R192" i="6" s="1"/>
  <c r="C192" i="6"/>
  <c r="V191" i="6"/>
  <c r="G191" i="6" s="1"/>
  <c r="P191" i="6"/>
  <c r="R191" i="6" s="1"/>
  <c r="C191" i="6"/>
  <c r="V190" i="6"/>
  <c r="G190" i="6" s="1"/>
  <c r="C190" i="6"/>
  <c r="V189" i="6"/>
  <c r="G189" i="6" s="1"/>
  <c r="P189" i="6"/>
  <c r="R189" i="6" s="1"/>
  <c r="C189" i="6"/>
  <c r="V188" i="6"/>
  <c r="G188" i="6" s="1"/>
  <c r="P188" i="6"/>
  <c r="R188" i="6" s="1"/>
  <c r="C188" i="6"/>
  <c r="V187" i="6"/>
  <c r="G187" i="6" s="1"/>
  <c r="P187" i="6"/>
  <c r="R187" i="6" s="1"/>
  <c r="C187" i="6"/>
  <c r="V186" i="6"/>
  <c r="G186" i="6" s="1"/>
  <c r="P186" i="6"/>
  <c r="R186" i="6" s="1"/>
  <c r="E186" i="6"/>
  <c r="C186" i="6"/>
  <c r="V185" i="6"/>
  <c r="G185" i="6" s="1"/>
  <c r="P185" i="6"/>
  <c r="R185" i="6" s="1"/>
  <c r="E185" i="6"/>
  <c r="C185" i="6"/>
  <c r="V184" i="6"/>
  <c r="G184" i="6" s="1"/>
  <c r="P184" i="6"/>
  <c r="R184" i="6" s="1"/>
  <c r="C184" i="6"/>
  <c r="V183" i="6"/>
  <c r="G183" i="6" s="1"/>
  <c r="C183" i="6"/>
  <c r="V182" i="6"/>
  <c r="G182" i="6" s="1"/>
  <c r="P182" i="6"/>
  <c r="R182" i="6" s="1"/>
  <c r="C182" i="6"/>
  <c r="V180" i="6"/>
  <c r="G180" i="6" s="1"/>
  <c r="C180" i="6"/>
  <c r="V179" i="6"/>
  <c r="G179" i="6" s="1"/>
  <c r="C179" i="6"/>
  <c r="V178" i="6"/>
  <c r="G178" i="6" s="1"/>
  <c r="P178" i="6"/>
  <c r="R178" i="6" s="1"/>
  <c r="C178" i="6"/>
  <c r="V177" i="6"/>
  <c r="G177" i="6" s="1"/>
  <c r="P177" i="6"/>
  <c r="C177" i="6"/>
  <c r="V176" i="6"/>
  <c r="G176" i="6" s="1"/>
  <c r="P176" i="6"/>
  <c r="R176" i="6" s="1"/>
  <c r="C176" i="6"/>
  <c r="V175" i="6"/>
  <c r="G175" i="6" s="1"/>
  <c r="P175" i="6"/>
  <c r="R175" i="6" s="1"/>
  <c r="C175" i="6"/>
  <c r="V174" i="6"/>
  <c r="G174" i="6" s="1"/>
  <c r="P174" i="6"/>
  <c r="R174" i="6" s="1"/>
  <c r="C174" i="6"/>
  <c r="V173" i="6"/>
  <c r="G173" i="6" s="1"/>
  <c r="P173" i="6"/>
  <c r="R173" i="6" s="1"/>
  <c r="C173" i="6"/>
  <c r="V172" i="6"/>
  <c r="G172" i="6" s="1"/>
  <c r="P172" i="6"/>
  <c r="R172" i="6" s="1"/>
  <c r="C172" i="6"/>
  <c r="V171" i="6"/>
  <c r="G171" i="6" s="1"/>
  <c r="P171" i="6"/>
  <c r="R171" i="6" s="1"/>
  <c r="C171" i="6"/>
  <c r="V170" i="6"/>
  <c r="G170" i="6" s="1"/>
  <c r="P170" i="6"/>
  <c r="R170" i="6" s="1"/>
  <c r="C170" i="6"/>
  <c r="V169" i="6"/>
  <c r="G169" i="6" s="1"/>
  <c r="P169" i="6"/>
  <c r="R169" i="6" s="1"/>
  <c r="C169" i="6"/>
  <c r="V168" i="6"/>
  <c r="G168" i="6" s="1"/>
  <c r="P168" i="6"/>
  <c r="R168" i="6" s="1"/>
  <c r="C168" i="6"/>
  <c r="V166" i="6"/>
  <c r="G166" i="6" s="1"/>
  <c r="P166" i="6"/>
  <c r="R166" i="6" s="1"/>
  <c r="C166" i="6"/>
  <c r="V165" i="6"/>
  <c r="G165" i="6" s="1"/>
  <c r="P165" i="6"/>
  <c r="R165" i="6" s="1"/>
  <c r="C165" i="6"/>
  <c r="V164" i="6"/>
  <c r="G164" i="6" s="1"/>
  <c r="P164" i="6"/>
  <c r="R164" i="6" s="1"/>
  <c r="C164" i="6"/>
  <c r="V163" i="6"/>
  <c r="G163" i="6" s="1"/>
  <c r="P163" i="6"/>
  <c r="R163" i="6" s="1"/>
  <c r="C163" i="6"/>
  <c r="V162" i="6"/>
  <c r="G162" i="6" s="1"/>
  <c r="P162" i="6"/>
  <c r="R162" i="6" s="1"/>
  <c r="C162" i="6"/>
  <c r="V161" i="6"/>
  <c r="G161" i="6" s="1"/>
  <c r="P161" i="6"/>
  <c r="R161" i="6" s="1"/>
  <c r="C161" i="6"/>
  <c r="V160" i="6"/>
  <c r="G160" i="6" s="1"/>
  <c r="P160" i="6"/>
  <c r="R160" i="6" s="1"/>
  <c r="C160" i="6"/>
  <c r="V159" i="6"/>
  <c r="G159" i="6" s="1"/>
  <c r="P159" i="6"/>
  <c r="R159" i="6" s="1"/>
  <c r="C159" i="6"/>
  <c r="V158" i="6"/>
  <c r="G158" i="6" s="1"/>
  <c r="P158" i="6"/>
  <c r="R158" i="6" s="1"/>
  <c r="C158" i="6"/>
  <c r="V157" i="6"/>
  <c r="G157" i="6" s="1"/>
  <c r="P157" i="6"/>
  <c r="R157" i="6" s="1"/>
  <c r="C157" i="6"/>
  <c r="V156" i="6"/>
  <c r="G156" i="6" s="1"/>
  <c r="P156" i="6"/>
  <c r="R156" i="6" s="1"/>
  <c r="C156" i="6"/>
  <c r="V155" i="6"/>
  <c r="G155" i="6" s="1"/>
  <c r="P155" i="6"/>
  <c r="R155" i="6" s="1"/>
  <c r="C155" i="6"/>
  <c r="V154" i="6"/>
  <c r="G154" i="6" s="1"/>
  <c r="P154" i="6"/>
  <c r="R154" i="6" s="1"/>
  <c r="C154" i="6"/>
  <c r="V153" i="6"/>
  <c r="G153" i="6" s="1"/>
  <c r="P153" i="6"/>
  <c r="R153" i="6" s="1"/>
  <c r="C153" i="6"/>
  <c r="V152" i="6"/>
  <c r="G152" i="6" s="1"/>
  <c r="P152" i="6"/>
  <c r="R152" i="6" s="1"/>
  <c r="C152" i="6"/>
  <c r="V151" i="6"/>
  <c r="G151" i="6" s="1"/>
  <c r="P151" i="6"/>
  <c r="R151" i="6" s="1"/>
  <c r="C151" i="6"/>
  <c r="V149" i="6"/>
  <c r="G149" i="6" s="1"/>
  <c r="P149" i="6"/>
  <c r="R149" i="6" s="1"/>
  <c r="C149" i="6"/>
  <c r="V148" i="6"/>
  <c r="G148" i="6" s="1"/>
  <c r="P148" i="6"/>
  <c r="R148" i="6" s="1"/>
  <c r="C148" i="6"/>
  <c r="V147" i="6"/>
  <c r="G147" i="6" s="1"/>
  <c r="P147" i="6"/>
  <c r="R147" i="6" s="1"/>
  <c r="C147" i="6"/>
  <c r="V146" i="6"/>
  <c r="G146" i="6" s="1"/>
  <c r="P146" i="6"/>
  <c r="R146" i="6" s="1"/>
  <c r="C146" i="6"/>
  <c r="V145" i="6"/>
  <c r="G145" i="6" s="1"/>
  <c r="P145" i="6"/>
  <c r="R145" i="6" s="1"/>
  <c r="C145" i="6"/>
  <c r="V144" i="6"/>
  <c r="G144" i="6" s="1"/>
  <c r="P144" i="6"/>
  <c r="R144" i="6" s="1"/>
  <c r="C144" i="6"/>
  <c r="V143" i="6"/>
  <c r="G143" i="6" s="1"/>
  <c r="P143" i="6"/>
  <c r="R143" i="6" s="1"/>
  <c r="C143" i="6"/>
  <c r="V142" i="6"/>
  <c r="G142" i="6" s="1"/>
  <c r="P142" i="6"/>
  <c r="R142" i="6" s="1"/>
  <c r="C142" i="6"/>
  <c r="V141" i="6"/>
  <c r="G141" i="6" s="1"/>
  <c r="P141" i="6"/>
  <c r="R141" i="6" s="1"/>
  <c r="C141" i="6"/>
  <c r="V140" i="6"/>
  <c r="G140" i="6" s="1"/>
  <c r="P140" i="6"/>
  <c r="R140" i="6" s="1"/>
  <c r="C140" i="6"/>
  <c r="V139" i="6"/>
  <c r="G139" i="6" s="1"/>
  <c r="P139" i="6"/>
  <c r="R139" i="6" s="1"/>
  <c r="C139" i="6"/>
  <c r="V138" i="6"/>
  <c r="G138" i="6" s="1"/>
  <c r="P138" i="6"/>
  <c r="R138" i="6" s="1"/>
  <c r="C138" i="6"/>
  <c r="V137" i="6"/>
  <c r="G137" i="6" s="1"/>
  <c r="P137" i="6"/>
  <c r="R137" i="6" s="1"/>
  <c r="C137" i="6"/>
  <c r="V136" i="6"/>
  <c r="G136" i="6" s="1"/>
  <c r="P136" i="6"/>
  <c r="R136" i="6" s="1"/>
  <c r="C136" i="6"/>
  <c r="V135" i="6"/>
  <c r="G135" i="6" s="1"/>
  <c r="P135" i="6"/>
  <c r="R135" i="6" s="1"/>
  <c r="C135" i="6"/>
  <c r="V134" i="6"/>
  <c r="G134" i="6" s="1"/>
  <c r="P134" i="6"/>
  <c r="R134" i="6" s="1"/>
  <c r="C134" i="6"/>
  <c r="V133" i="6"/>
  <c r="G133" i="6" s="1"/>
  <c r="P133" i="6"/>
  <c r="R133" i="6" s="1"/>
  <c r="C133" i="6"/>
  <c r="V132" i="6"/>
  <c r="G132" i="6" s="1"/>
  <c r="P132" i="6"/>
  <c r="R132" i="6" s="1"/>
  <c r="C132" i="6"/>
  <c r="V131" i="6"/>
  <c r="G131" i="6" s="1"/>
  <c r="P131" i="6"/>
  <c r="R131" i="6" s="1"/>
  <c r="C131" i="6"/>
  <c r="V130" i="6"/>
  <c r="G130" i="6" s="1"/>
  <c r="P130" i="6"/>
  <c r="R130" i="6" s="1"/>
  <c r="C130" i="6"/>
  <c r="V129" i="6"/>
  <c r="G129" i="6" s="1"/>
  <c r="P129" i="6"/>
  <c r="R129" i="6" s="1"/>
  <c r="C129" i="6"/>
  <c r="V128" i="6"/>
  <c r="G128" i="6" s="1"/>
  <c r="P128" i="6"/>
  <c r="R128" i="6" s="1"/>
  <c r="C128" i="6"/>
  <c r="V127" i="6"/>
  <c r="G127" i="6" s="1"/>
  <c r="P127" i="6"/>
  <c r="R127" i="6" s="1"/>
  <c r="C127" i="6"/>
  <c r="V126" i="6"/>
  <c r="G126" i="6" s="1"/>
  <c r="C126" i="6"/>
  <c r="V125" i="6"/>
  <c r="G125" i="6" s="1"/>
  <c r="P125" i="6"/>
  <c r="R125" i="6" s="1"/>
  <c r="C125" i="6"/>
  <c r="V124" i="6"/>
  <c r="G124" i="6" s="1"/>
  <c r="P124" i="6"/>
  <c r="R124" i="6" s="1"/>
  <c r="C124" i="6"/>
  <c r="V123" i="6"/>
  <c r="G123" i="6" s="1"/>
  <c r="P123" i="6"/>
  <c r="R123" i="6" s="1"/>
  <c r="C123" i="6"/>
  <c r="V122" i="6"/>
  <c r="G122" i="6" s="1"/>
  <c r="P122" i="6"/>
  <c r="R122" i="6" s="1"/>
  <c r="C122" i="6"/>
  <c r="V121" i="6"/>
  <c r="G121" i="6" s="1"/>
  <c r="P121" i="6"/>
  <c r="R121" i="6" s="1"/>
  <c r="C121" i="6"/>
  <c r="V120" i="6"/>
  <c r="G120" i="6" s="1"/>
  <c r="P120" i="6"/>
  <c r="R120" i="6" s="1"/>
  <c r="C120" i="6"/>
  <c r="C119" i="6"/>
  <c r="V116" i="6"/>
  <c r="G116" i="6" s="1"/>
  <c r="P116" i="6"/>
  <c r="R116" i="6" s="1"/>
  <c r="C116" i="6"/>
  <c r="V114" i="6"/>
  <c r="G114" i="6" s="1"/>
  <c r="P114" i="6"/>
  <c r="R114" i="6" s="1"/>
  <c r="C114" i="6"/>
  <c r="V113" i="6"/>
  <c r="G113" i="6" s="1"/>
  <c r="P113" i="6"/>
  <c r="R113" i="6" s="1"/>
  <c r="C113" i="6"/>
  <c r="V112" i="6"/>
  <c r="G112" i="6" s="1"/>
  <c r="P112" i="6"/>
  <c r="R112" i="6" s="1"/>
  <c r="C112" i="6"/>
  <c r="V111" i="6"/>
  <c r="G111" i="6" s="1"/>
  <c r="C111" i="6"/>
  <c r="V110" i="6"/>
  <c r="G110" i="6" s="1"/>
  <c r="C110" i="6"/>
  <c r="V109" i="6"/>
  <c r="G109" i="6" s="1"/>
  <c r="P109" i="6"/>
  <c r="R109" i="6" s="1"/>
  <c r="C109" i="6"/>
  <c r="V108" i="6"/>
  <c r="G108" i="6" s="1"/>
  <c r="P108" i="6"/>
  <c r="R108" i="6" s="1"/>
  <c r="C108" i="6"/>
  <c r="V107" i="6"/>
  <c r="G107" i="6" s="1"/>
  <c r="P107" i="6"/>
  <c r="R107" i="6" s="1"/>
  <c r="C107" i="6"/>
  <c r="V106" i="6"/>
  <c r="G106" i="6" s="1"/>
  <c r="P106" i="6"/>
  <c r="R106" i="6" s="1"/>
  <c r="C106" i="6"/>
  <c r="V105" i="6"/>
  <c r="G105" i="6" s="1"/>
  <c r="C105" i="6"/>
  <c r="V104" i="6"/>
  <c r="G104" i="6" s="1"/>
  <c r="P104" i="6"/>
  <c r="R104" i="6" s="1"/>
  <c r="C104" i="6"/>
  <c r="V103" i="6"/>
  <c r="G103" i="6" s="1"/>
  <c r="P103" i="6"/>
  <c r="R103" i="6" s="1"/>
  <c r="C103" i="6"/>
  <c r="V102" i="6"/>
  <c r="G102" i="6" s="1"/>
  <c r="P102" i="6"/>
  <c r="R102" i="6" s="1"/>
  <c r="C102" i="6"/>
  <c r="V101" i="6"/>
  <c r="G101" i="6" s="1"/>
  <c r="P101" i="6"/>
  <c r="R101" i="6" s="1"/>
  <c r="C101" i="6"/>
  <c r="V100" i="6"/>
  <c r="G100" i="6" s="1"/>
  <c r="P100" i="6"/>
  <c r="R100" i="6" s="1"/>
  <c r="C100" i="6"/>
  <c r="V99" i="6"/>
  <c r="G99" i="6" s="1"/>
  <c r="P99" i="6"/>
  <c r="R99" i="6" s="1"/>
  <c r="C99" i="6"/>
  <c r="V98" i="6"/>
  <c r="G98" i="6" s="1"/>
  <c r="C98" i="6"/>
  <c r="V97" i="6"/>
  <c r="G97" i="6" s="1"/>
  <c r="P97" i="6"/>
  <c r="R97" i="6" s="1"/>
  <c r="C97" i="6"/>
  <c r="V96" i="6"/>
  <c r="G96" i="6" s="1"/>
  <c r="P96" i="6"/>
  <c r="R96" i="6" s="1"/>
  <c r="C96" i="6"/>
  <c r="V95" i="6"/>
  <c r="G95" i="6" s="1"/>
  <c r="P95" i="6"/>
  <c r="R95" i="6" s="1"/>
  <c r="C95" i="6"/>
  <c r="V94" i="6"/>
  <c r="G94" i="6" s="1"/>
  <c r="P94" i="6"/>
  <c r="R94" i="6" s="1"/>
  <c r="C94" i="6"/>
  <c r="V93" i="6"/>
  <c r="G93" i="6" s="1"/>
  <c r="P93" i="6"/>
  <c r="R93" i="6" s="1"/>
  <c r="C93" i="6"/>
  <c r="V92" i="6"/>
  <c r="G92" i="6" s="1"/>
  <c r="P92" i="6"/>
  <c r="R92" i="6" s="1"/>
  <c r="C92" i="6"/>
  <c r="V91" i="6"/>
  <c r="G91" i="6" s="1"/>
  <c r="P91" i="6"/>
  <c r="R91" i="6" s="1"/>
  <c r="C91" i="6"/>
  <c r="V90" i="6"/>
  <c r="G90" i="6" s="1"/>
  <c r="P90" i="6"/>
  <c r="R90" i="6" s="1"/>
  <c r="C90" i="6"/>
  <c r="V89" i="6"/>
  <c r="G89" i="6" s="1"/>
  <c r="P89" i="6"/>
  <c r="R89" i="6" s="1"/>
  <c r="C89" i="6"/>
  <c r="V88" i="6"/>
  <c r="G88" i="6" s="1"/>
  <c r="P88" i="6"/>
  <c r="R88" i="6" s="1"/>
  <c r="C88" i="6"/>
  <c r="V87" i="6"/>
  <c r="G87" i="6" s="1"/>
  <c r="P87" i="6"/>
  <c r="R87" i="6" s="1"/>
  <c r="C87" i="6"/>
  <c r="V86" i="6"/>
  <c r="G86" i="6" s="1"/>
  <c r="P86" i="6"/>
  <c r="R86" i="6" s="1"/>
  <c r="C86" i="6"/>
  <c r="V85" i="6"/>
  <c r="G85" i="6" s="1"/>
  <c r="P85" i="6"/>
  <c r="R85" i="6" s="1"/>
  <c r="C85" i="6"/>
  <c r="V84" i="6"/>
  <c r="G84" i="6" s="1"/>
  <c r="P84" i="6"/>
  <c r="R84" i="6" s="1"/>
  <c r="C84" i="6"/>
  <c r="V83" i="6"/>
  <c r="G83" i="6" s="1"/>
  <c r="P83" i="6"/>
  <c r="R83" i="6" s="1"/>
  <c r="C83" i="6"/>
  <c r="V82" i="6"/>
  <c r="G82" i="6" s="1"/>
  <c r="C82" i="6"/>
  <c r="V81" i="6"/>
  <c r="G81" i="6" s="1"/>
  <c r="P81" i="6"/>
  <c r="R81" i="6" s="1"/>
  <c r="C81" i="6"/>
  <c r="V80" i="6"/>
  <c r="G80" i="6" s="1"/>
  <c r="P80" i="6"/>
  <c r="R80" i="6" s="1"/>
  <c r="C80" i="6"/>
  <c r="V79" i="6"/>
  <c r="G79" i="6" s="1"/>
  <c r="P79" i="6"/>
  <c r="R79" i="6" s="1"/>
  <c r="C79" i="6"/>
  <c r="V78" i="6"/>
  <c r="G78" i="6" s="1"/>
  <c r="P78" i="6"/>
  <c r="R78" i="6" s="1"/>
  <c r="C78" i="6"/>
  <c r="V77" i="6"/>
  <c r="G77" i="6" s="1"/>
  <c r="P77" i="6"/>
  <c r="R77" i="6" s="1"/>
  <c r="C77" i="6"/>
  <c r="V76" i="6"/>
  <c r="G76" i="6" s="1"/>
  <c r="P76" i="6"/>
  <c r="R76" i="6" s="1"/>
  <c r="C76" i="6"/>
  <c r="V75" i="6"/>
  <c r="G75" i="6" s="1"/>
  <c r="P75" i="6"/>
  <c r="R75" i="6" s="1"/>
  <c r="C75" i="6"/>
  <c r="V74" i="6"/>
  <c r="G74" i="6" s="1"/>
  <c r="P74" i="6"/>
  <c r="R74" i="6" s="1"/>
  <c r="C74" i="6"/>
  <c r="V73" i="6"/>
  <c r="G73" i="6" s="1"/>
  <c r="C73" i="6"/>
  <c r="V72" i="6"/>
  <c r="G72" i="6" s="1"/>
  <c r="C72" i="6"/>
  <c r="V71" i="6"/>
  <c r="G71" i="6" s="1"/>
  <c r="P71" i="6"/>
  <c r="R71" i="6" s="1"/>
  <c r="C71" i="6"/>
  <c r="V70" i="6"/>
  <c r="G70" i="6" s="1"/>
  <c r="P70" i="6"/>
  <c r="R70" i="6" s="1"/>
  <c r="C70" i="6"/>
  <c r="V69" i="6"/>
  <c r="G69" i="6" s="1"/>
  <c r="P69" i="6"/>
  <c r="R69" i="6" s="1"/>
  <c r="C69" i="6"/>
  <c r="V68" i="6"/>
  <c r="G68" i="6" s="1"/>
  <c r="P68" i="6"/>
  <c r="R68" i="6" s="1"/>
  <c r="C68" i="6"/>
  <c r="V67" i="6"/>
  <c r="G67" i="6" s="1"/>
  <c r="P67" i="6"/>
  <c r="R67" i="6" s="1"/>
  <c r="C67" i="6"/>
  <c r="V66" i="6"/>
  <c r="G66" i="6" s="1"/>
  <c r="P66" i="6"/>
  <c r="R66" i="6" s="1"/>
  <c r="C66" i="6"/>
  <c r="V64" i="6"/>
  <c r="G64" i="6" s="1"/>
  <c r="P64" i="6"/>
  <c r="R64" i="6" s="1"/>
  <c r="C64" i="6"/>
  <c r="V63" i="6"/>
  <c r="G63" i="6" s="1"/>
  <c r="P63" i="6"/>
  <c r="R63" i="6" s="1"/>
  <c r="C63" i="6"/>
  <c r="V62" i="6"/>
  <c r="G62" i="6" s="1"/>
  <c r="P62" i="6"/>
  <c r="R62" i="6" s="1"/>
  <c r="C62" i="6"/>
  <c r="V61" i="6"/>
  <c r="G61" i="6" s="1"/>
  <c r="P61" i="6"/>
  <c r="R61" i="6" s="1"/>
  <c r="C61" i="6"/>
  <c r="V60" i="6"/>
  <c r="G60" i="6" s="1"/>
  <c r="P60" i="6"/>
  <c r="R60" i="6" s="1"/>
  <c r="C60" i="6"/>
  <c r="V59" i="6"/>
  <c r="G59" i="6" s="1"/>
  <c r="P59" i="6"/>
  <c r="R59" i="6" s="1"/>
  <c r="C59" i="6"/>
  <c r="V58" i="6"/>
  <c r="G58" i="6" s="1"/>
  <c r="P58" i="6"/>
  <c r="R58" i="6" s="1"/>
  <c r="C58" i="6"/>
  <c r="V57" i="6"/>
  <c r="G57" i="6" s="1"/>
  <c r="P57" i="6"/>
  <c r="R57" i="6" s="1"/>
  <c r="C57" i="6"/>
  <c r="V56" i="6"/>
  <c r="G56" i="6" s="1"/>
  <c r="P56" i="6"/>
  <c r="R56" i="6" s="1"/>
  <c r="C56" i="6"/>
  <c r="V55" i="6"/>
  <c r="G55" i="6" s="1"/>
  <c r="P55" i="6"/>
  <c r="R55" i="6" s="1"/>
  <c r="C55" i="6"/>
  <c r="V54" i="6"/>
  <c r="G54" i="6" s="1"/>
  <c r="P54" i="6"/>
  <c r="R54" i="6" s="1"/>
  <c r="C54" i="6"/>
  <c r="V53" i="6"/>
  <c r="G53" i="6" s="1"/>
  <c r="P53" i="6"/>
  <c r="R53" i="6" s="1"/>
  <c r="C53" i="6"/>
  <c r="V52" i="6"/>
  <c r="G52" i="6" s="1"/>
  <c r="P52" i="6"/>
  <c r="R52" i="6" s="1"/>
  <c r="C52" i="6"/>
  <c r="V51" i="6"/>
  <c r="G51" i="6" s="1"/>
  <c r="P51" i="6"/>
  <c r="R51" i="6" s="1"/>
  <c r="C51" i="6"/>
  <c r="V50" i="6"/>
  <c r="G50" i="6" s="1"/>
  <c r="P50" i="6"/>
  <c r="R50" i="6" s="1"/>
  <c r="C50" i="6"/>
  <c r="V49" i="6"/>
  <c r="G49" i="6" s="1"/>
  <c r="P49" i="6"/>
  <c r="R49" i="6" s="1"/>
  <c r="C49" i="6"/>
  <c r="V48" i="6"/>
  <c r="G48" i="6" s="1"/>
  <c r="P48" i="6"/>
  <c r="R48" i="6" s="1"/>
  <c r="C48" i="6"/>
  <c r="V47" i="6"/>
  <c r="G47" i="6" s="1"/>
  <c r="P47" i="6"/>
  <c r="R47" i="6" s="1"/>
  <c r="C47" i="6"/>
  <c r="V46" i="6"/>
  <c r="G46" i="6" s="1"/>
  <c r="C46" i="6"/>
  <c r="V45" i="6"/>
  <c r="G45" i="6" s="1"/>
  <c r="C45" i="6"/>
  <c r="V44" i="6"/>
  <c r="G44" i="6" s="1"/>
  <c r="P44" i="6"/>
  <c r="R44" i="6" s="1"/>
  <c r="C44" i="6"/>
  <c r="V43" i="6"/>
  <c r="G43" i="6" s="1"/>
  <c r="P43" i="6"/>
  <c r="R43" i="6" s="1"/>
  <c r="C43" i="6"/>
  <c r="V42" i="6"/>
  <c r="G42" i="6" s="1"/>
  <c r="P42" i="6"/>
  <c r="R42" i="6" s="1"/>
  <c r="C42" i="6"/>
  <c r="V41" i="6"/>
  <c r="G41" i="6" s="1"/>
  <c r="P41" i="6"/>
  <c r="R41" i="6" s="1"/>
  <c r="C41" i="6"/>
  <c r="V40" i="6"/>
  <c r="G40" i="6" s="1"/>
  <c r="P40" i="6"/>
  <c r="R40" i="6" s="1"/>
  <c r="C40" i="6"/>
  <c r="V39" i="6"/>
  <c r="G39" i="6" s="1"/>
  <c r="P39" i="6"/>
  <c r="R39" i="6" s="1"/>
  <c r="C39" i="6"/>
  <c r="V38" i="6"/>
  <c r="G38" i="6" s="1"/>
  <c r="C38" i="6"/>
  <c r="V37" i="6"/>
  <c r="G37" i="6" s="1"/>
  <c r="P37" i="6"/>
  <c r="R37" i="6" s="1"/>
  <c r="C37" i="6"/>
  <c r="V36" i="6"/>
  <c r="G36" i="6" s="1"/>
  <c r="P36" i="6"/>
  <c r="R36" i="6" s="1"/>
  <c r="C36" i="6"/>
  <c r="V35" i="6"/>
  <c r="G35" i="6" s="1"/>
  <c r="P35" i="6"/>
  <c r="R35" i="6" s="1"/>
  <c r="C35" i="6"/>
  <c r="V34" i="6"/>
  <c r="G34" i="6" s="1"/>
  <c r="C34" i="6"/>
  <c r="V33" i="6"/>
  <c r="G33" i="6" s="1"/>
  <c r="C33" i="6"/>
  <c r="V32" i="6"/>
  <c r="G32" i="6" s="1"/>
  <c r="P32" i="6"/>
  <c r="R32" i="6" s="1"/>
  <c r="C32" i="6"/>
  <c r="V31" i="6"/>
  <c r="G31" i="6" s="1"/>
  <c r="P31" i="6"/>
  <c r="R31" i="6" s="1"/>
  <c r="C31" i="6"/>
  <c r="V30" i="6"/>
  <c r="G30" i="6" s="1"/>
  <c r="C30" i="6"/>
  <c r="V29" i="6"/>
  <c r="G29" i="6" s="1"/>
  <c r="P29" i="6"/>
  <c r="R29" i="6" s="1"/>
  <c r="C29" i="6"/>
  <c r="V28" i="6"/>
  <c r="G28" i="6" s="1"/>
  <c r="P28" i="6"/>
  <c r="R28" i="6" s="1"/>
  <c r="C28" i="6"/>
  <c r="V27" i="6"/>
  <c r="G27" i="6" s="1"/>
  <c r="P27" i="6"/>
  <c r="R27" i="6" s="1"/>
  <c r="C27" i="6"/>
  <c r="V26" i="6"/>
  <c r="G26" i="6" s="1"/>
  <c r="P26" i="6"/>
  <c r="R26" i="6" s="1"/>
  <c r="C26" i="6"/>
  <c r="V25" i="6"/>
  <c r="G25" i="6" s="1"/>
  <c r="P25" i="6"/>
  <c r="R25" i="6" s="1"/>
  <c r="C25" i="6"/>
  <c r="V24" i="6"/>
  <c r="G24" i="6" s="1"/>
  <c r="P24" i="6"/>
  <c r="R24" i="6" s="1"/>
  <c r="C24" i="6"/>
  <c r="V23" i="6"/>
  <c r="AG24" i="5" s="1"/>
  <c r="P23" i="6"/>
  <c r="R23" i="6" s="1"/>
  <c r="C23" i="6"/>
  <c r="V22" i="6"/>
  <c r="G22" i="6" s="1"/>
  <c r="C22" i="6"/>
  <c r="V20" i="6"/>
  <c r="G20" i="6" s="1"/>
  <c r="C20" i="6"/>
  <c r="V19" i="6"/>
  <c r="G19" i="6" s="1"/>
  <c r="P19" i="6"/>
  <c r="R19" i="6" s="1"/>
  <c r="C19" i="6"/>
  <c r="V18" i="6"/>
  <c r="G18" i="6" s="1"/>
  <c r="P18" i="6"/>
  <c r="R18" i="6" s="1"/>
  <c r="C18" i="6"/>
  <c r="V17" i="6"/>
  <c r="G17" i="6" s="1"/>
  <c r="P17" i="6"/>
  <c r="R17" i="6" s="1"/>
  <c r="C17" i="6"/>
  <c r="V16" i="6"/>
  <c r="G16" i="6" s="1"/>
  <c r="C16" i="6"/>
  <c r="V15" i="6"/>
  <c r="G15" i="6" s="1"/>
  <c r="P15" i="6"/>
  <c r="R15" i="6" s="1"/>
  <c r="C15" i="6"/>
  <c r="V14" i="6"/>
  <c r="G14" i="6" s="1"/>
  <c r="P14" i="6"/>
  <c r="R14" i="6" s="1"/>
  <c r="C14" i="6"/>
  <c r="V13" i="6"/>
  <c r="G13" i="6" s="1"/>
  <c r="P13" i="6"/>
  <c r="R13" i="6" s="1"/>
  <c r="C13" i="6"/>
  <c r="V12" i="6"/>
  <c r="G12" i="6" s="1"/>
  <c r="P12" i="6"/>
  <c r="R12" i="6" s="1"/>
  <c r="C12" i="6"/>
  <c r="V11" i="6"/>
  <c r="G11" i="6" s="1"/>
  <c r="C11" i="6"/>
  <c r="V10" i="6"/>
  <c r="G10" i="6" s="1"/>
  <c r="P10" i="6"/>
  <c r="R10" i="6" s="1"/>
  <c r="C10" i="6"/>
  <c r="V9" i="6"/>
  <c r="G9" i="6" s="1"/>
  <c r="P9" i="6"/>
  <c r="C9" i="6"/>
  <c r="V8" i="6"/>
  <c r="G8" i="6" s="1"/>
  <c r="P8" i="6"/>
  <c r="C8" i="6"/>
  <c r="G228" i="6" l="1"/>
  <c r="G23" i="6"/>
  <c r="AK67" i="4"/>
  <c r="AI67" i="4"/>
  <c r="AE67" i="4"/>
  <c r="AC67" i="4"/>
  <c r="Y67" i="4"/>
  <c r="AK66" i="4"/>
  <c r="AI66" i="4"/>
  <c r="AE66" i="4"/>
  <c r="AC66" i="4"/>
  <c r="Y66" i="4"/>
  <c r="AK65" i="4"/>
  <c r="AE65" i="4"/>
  <c r="AC65" i="4"/>
  <c r="Y65" i="4"/>
  <c r="AK64" i="4"/>
  <c r="AI64" i="4"/>
  <c r="AE64" i="4"/>
  <c r="AC64" i="4"/>
  <c r="Y64" i="4"/>
  <c r="AK63" i="4"/>
  <c r="AI63" i="4"/>
  <c r="AE63" i="4"/>
  <c r="AC63" i="4"/>
  <c r="Y63" i="4"/>
  <c r="AK62" i="4"/>
  <c r="AI62" i="4"/>
  <c r="AE62" i="4"/>
  <c r="AC62" i="4"/>
  <c r="Y62" i="4"/>
  <c r="AK60" i="4"/>
  <c r="AI60" i="4"/>
  <c r="AE60" i="4"/>
  <c r="AC60" i="4"/>
  <c r="Y60" i="4"/>
  <c r="AK59" i="4"/>
  <c r="AI59" i="4"/>
  <c r="AE59" i="4"/>
  <c r="AC59" i="4"/>
  <c r="Y59" i="4"/>
  <c r="AK57" i="4"/>
  <c r="AI57" i="4"/>
  <c r="AE57" i="4"/>
  <c r="AC57" i="4"/>
  <c r="Y57" i="4"/>
  <c r="AK56" i="4"/>
  <c r="AI56" i="4"/>
  <c r="AE56" i="4"/>
  <c r="AC56" i="4"/>
  <c r="Y56" i="4"/>
  <c r="AK55" i="4"/>
  <c r="AI55" i="4"/>
  <c r="AE55" i="4"/>
  <c r="AC55" i="4"/>
  <c r="Y55" i="4"/>
  <c r="AM46" i="4"/>
  <c r="AL46" i="4"/>
  <c r="AK46" i="4"/>
  <c r="AI46" i="4"/>
  <c r="AG46" i="4"/>
  <c r="AE46" i="4"/>
  <c r="AC46" i="4"/>
  <c r="AA46" i="4"/>
  <c r="Y46" i="4"/>
  <c r="AM45" i="4"/>
  <c r="AL45" i="4"/>
  <c r="AK45" i="4"/>
  <c r="AI45" i="4"/>
  <c r="AG45" i="4"/>
  <c r="AE45" i="4"/>
  <c r="AC45" i="4"/>
  <c r="AA45" i="4"/>
  <c r="Y45" i="4"/>
  <c r="AM44" i="4"/>
  <c r="AL44" i="4"/>
  <c r="AK44" i="4"/>
  <c r="AI44" i="4"/>
  <c r="AG44" i="4"/>
  <c r="AE44" i="4"/>
  <c r="AC44" i="4"/>
  <c r="AA44" i="4"/>
  <c r="Y44" i="4"/>
  <c r="AM43" i="4"/>
  <c r="AL43" i="4"/>
  <c r="AK43" i="4"/>
  <c r="AI43" i="4"/>
  <c r="AG43" i="4"/>
  <c r="AE43" i="4"/>
  <c r="AC43" i="4"/>
  <c r="AA43" i="4"/>
  <c r="Y43" i="4"/>
  <c r="AM42" i="4"/>
  <c r="AL42" i="4"/>
  <c r="AK42" i="4"/>
  <c r="AI42" i="4"/>
  <c r="AG42" i="4"/>
  <c r="AE42" i="4"/>
  <c r="AC42" i="4"/>
  <c r="AA42" i="4"/>
  <c r="Y42" i="4"/>
  <c r="AM41" i="4"/>
  <c r="AL41" i="4"/>
  <c r="AK41" i="4"/>
  <c r="AI41" i="4"/>
  <c r="AG41" i="4"/>
  <c r="AE41" i="4"/>
  <c r="AC41" i="4"/>
  <c r="AA41" i="4"/>
  <c r="Y41" i="4"/>
  <c r="AM40" i="4"/>
  <c r="AL40" i="4"/>
  <c r="AK40" i="4"/>
  <c r="AI40" i="4"/>
  <c r="AG40" i="4"/>
  <c r="AE40" i="4"/>
  <c r="AC40" i="4"/>
  <c r="AA40" i="4"/>
  <c r="Y40" i="4"/>
  <c r="AM39" i="4"/>
  <c r="AL39" i="4"/>
  <c r="AK39" i="4"/>
  <c r="AI39" i="4"/>
  <c r="AG39" i="4"/>
  <c r="AE39" i="4"/>
  <c r="AC39" i="4"/>
  <c r="AA39" i="4"/>
  <c r="Y39" i="4"/>
  <c r="AM38" i="4"/>
  <c r="AL38" i="4"/>
  <c r="AK38" i="4"/>
  <c r="AI38" i="4"/>
  <c r="AG38" i="4"/>
  <c r="AE38" i="4"/>
  <c r="AC38" i="4"/>
  <c r="AA38" i="4"/>
  <c r="Y38" i="4"/>
  <c r="AK37" i="4"/>
  <c r="AI37" i="4"/>
  <c r="AG37" i="4"/>
  <c r="AE37" i="4"/>
  <c r="AC37" i="4"/>
  <c r="AA37" i="4"/>
  <c r="Y37" i="4"/>
  <c r="AK36" i="4"/>
  <c r="AI36" i="4"/>
  <c r="AG36" i="4"/>
  <c r="AE36" i="4"/>
  <c r="AC36" i="4"/>
  <c r="AA36" i="4"/>
  <c r="Y36" i="4"/>
  <c r="AK35" i="4"/>
  <c r="AI35" i="4"/>
  <c r="AG35" i="4"/>
  <c r="AE35" i="4"/>
  <c r="AC35" i="4"/>
  <c r="AA35" i="4"/>
  <c r="Y35" i="4"/>
  <c r="AK33" i="4"/>
  <c r="AI33" i="4"/>
  <c r="AG33" i="4"/>
  <c r="AE33" i="4"/>
  <c r="AC33" i="4"/>
  <c r="AA33" i="4"/>
  <c r="Y33" i="4"/>
  <c r="AK32" i="4"/>
  <c r="AI32" i="4"/>
  <c r="AG32" i="4"/>
  <c r="AE32" i="4"/>
  <c r="AC32" i="4"/>
  <c r="AA32" i="4"/>
  <c r="Y32" i="4"/>
  <c r="AK31" i="4"/>
  <c r="AI31" i="4"/>
  <c r="AG31" i="4"/>
  <c r="AE31" i="4"/>
  <c r="AC31" i="4"/>
  <c r="AA31" i="4"/>
  <c r="Y31" i="4"/>
  <c r="AI30" i="4"/>
  <c r="AG30" i="4"/>
  <c r="AE30" i="4"/>
  <c r="AC30" i="4"/>
  <c r="AA30" i="4"/>
  <c r="Y30" i="4"/>
  <c r="AK29" i="4"/>
  <c r="AG29" i="4"/>
  <c r="AE29" i="4"/>
  <c r="AC29" i="4"/>
  <c r="Y29" i="4"/>
  <c r="AK28" i="4"/>
  <c r="AI28" i="4"/>
  <c r="AG28" i="4"/>
  <c r="AE28" i="4"/>
  <c r="AC28" i="4"/>
  <c r="AA28" i="4"/>
  <c r="Y28" i="4"/>
  <c r="AK27" i="4"/>
  <c r="AI27" i="4"/>
  <c r="AG27" i="4"/>
  <c r="AE27" i="4"/>
  <c r="AC27" i="4"/>
  <c r="AA27" i="4"/>
  <c r="Y27" i="4"/>
  <c r="AK26" i="4"/>
  <c r="AI26" i="4"/>
  <c r="AG26" i="4"/>
  <c r="AE26" i="4"/>
  <c r="AC26" i="4"/>
  <c r="AA26" i="4"/>
  <c r="Y26" i="4"/>
  <c r="AI25" i="4"/>
  <c r="AG25" i="4"/>
  <c r="AE25" i="4"/>
  <c r="AC25" i="4"/>
  <c r="AA25" i="4"/>
  <c r="Y25" i="4"/>
  <c r="AK24" i="4"/>
  <c r="AI24" i="4"/>
  <c r="AG24" i="4"/>
  <c r="AE24" i="4"/>
  <c r="AC24" i="4"/>
  <c r="AA24" i="4"/>
  <c r="Y24" i="4"/>
  <c r="AI23" i="4"/>
  <c r="AG23" i="4"/>
  <c r="AE23" i="4"/>
  <c r="AC23" i="4"/>
  <c r="AA23" i="4"/>
  <c r="Y23" i="4"/>
  <c r="AI22" i="4"/>
  <c r="AG22" i="4"/>
  <c r="AE22" i="4"/>
  <c r="AC22" i="4"/>
  <c r="AA22" i="4"/>
  <c r="Y22" i="4"/>
  <c r="AI21" i="4"/>
  <c r="AG21" i="4"/>
  <c r="AE21" i="4"/>
  <c r="AC21" i="4"/>
  <c r="AA21" i="4"/>
  <c r="Y21" i="4"/>
  <c r="AK20" i="4"/>
  <c r="AI20" i="4"/>
  <c r="AG20" i="4"/>
  <c r="AE20" i="4"/>
  <c r="AC20" i="4"/>
  <c r="AA20" i="4"/>
  <c r="Y20" i="4"/>
  <c r="AK19" i="4"/>
  <c r="AI19" i="4"/>
  <c r="AG19" i="4"/>
  <c r="AE19" i="4"/>
  <c r="AC19" i="4"/>
  <c r="AA19" i="4"/>
  <c r="Y19" i="4"/>
  <c r="AI18" i="4"/>
  <c r="AG18" i="4"/>
  <c r="AE18" i="4"/>
  <c r="AC18" i="4"/>
  <c r="AA18" i="4"/>
  <c r="Y18" i="4"/>
  <c r="AK17" i="4"/>
  <c r="AI17" i="4"/>
  <c r="AG17" i="4"/>
  <c r="AE17" i="4"/>
  <c r="AC17" i="4"/>
  <c r="AA17" i="4"/>
  <c r="Y17" i="4"/>
  <c r="AK16" i="4"/>
  <c r="AI16" i="4"/>
  <c r="AG16" i="4"/>
  <c r="AE16" i="4"/>
  <c r="AC16" i="4"/>
  <c r="AA16" i="4"/>
  <c r="Y16" i="4"/>
  <c r="AK15" i="4"/>
  <c r="AI15" i="4"/>
  <c r="AG15" i="4"/>
  <c r="AE15" i="4"/>
  <c r="AC15" i="4"/>
  <c r="AA15" i="4"/>
  <c r="Y15" i="4"/>
  <c r="AK14" i="4"/>
  <c r="AI14" i="4"/>
  <c r="AG14" i="4"/>
  <c r="AE14" i="4"/>
  <c r="AC14" i="4"/>
  <c r="AA14" i="4"/>
  <c r="Y14" i="4"/>
  <c r="AK13" i="4"/>
  <c r="AI13" i="4"/>
  <c r="AG13" i="4"/>
  <c r="AE13" i="4"/>
  <c r="AC13" i="4"/>
  <c r="AA13" i="4"/>
  <c r="Y13" i="4"/>
  <c r="AK12" i="4"/>
  <c r="AI12" i="4"/>
  <c r="AG12" i="4"/>
  <c r="AE12" i="4"/>
  <c r="AC12" i="4"/>
  <c r="AK11" i="4"/>
  <c r="AI11" i="4"/>
  <c r="AG11" i="4"/>
  <c r="AE11" i="4"/>
  <c r="AC11" i="4"/>
  <c r="AA11" i="4"/>
  <c r="Y11" i="4"/>
  <c r="AI10" i="4"/>
  <c r="AG10" i="4"/>
  <c r="AE10" i="4"/>
  <c r="AC10" i="4"/>
  <c r="Y10" i="4"/>
  <c r="AG212" i="5"/>
  <c r="AF212" i="5"/>
  <c r="AE212" i="5"/>
  <c r="AC212" i="5"/>
  <c r="AA212" i="5"/>
  <c r="Y212" i="5"/>
  <c r="W212" i="5"/>
  <c r="U212" i="5"/>
  <c r="S212" i="5"/>
  <c r="Q212" i="5"/>
  <c r="AG211" i="5"/>
  <c r="AF211" i="5"/>
  <c r="AE211" i="5"/>
  <c r="AC211" i="5"/>
  <c r="AA211" i="5"/>
  <c r="Y211" i="5"/>
  <c r="W211" i="5"/>
  <c r="U211" i="5"/>
  <c r="S211" i="5"/>
  <c r="Q211" i="5"/>
  <c r="AG210" i="5"/>
  <c r="AF210" i="5"/>
  <c r="AE210" i="5"/>
  <c r="AC210" i="5"/>
  <c r="AA210" i="5"/>
  <c r="Y210" i="5"/>
  <c r="W210" i="5"/>
  <c r="U210" i="5"/>
  <c r="S210" i="5"/>
  <c r="Q210" i="5"/>
  <c r="AG209" i="5"/>
  <c r="AF209" i="5"/>
  <c r="AE209" i="5"/>
  <c r="AC209" i="5"/>
  <c r="AA209" i="5"/>
  <c r="Y209" i="5"/>
  <c r="W209" i="5"/>
  <c r="U209" i="5"/>
  <c r="S209" i="5"/>
  <c r="Q209" i="5"/>
  <c r="AG208" i="5"/>
  <c r="AF208" i="5"/>
  <c r="AE208" i="5"/>
  <c r="AC208" i="5"/>
  <c r="AA208" i="5"/>
  <c r="Y208" i="5"/>
  <c r="W208" i="5"/>
  <c r="U208" i="5"/>
  <c r="S208" i="5"/>
  <c r="Q208" i="5"/>
  <c r="AG207" i="5"/>
  <c r="AF207" i="5"/>
  <c r="AE207" i="5"/>
  <c r="AC207" i="5"/>
  <c r="AA207" i="5"/>
  <c r="Y207" i="5"/>
  <c r="W207" i="5"/>
  <c r="U207" i="5"/>
  <c r="S207" i="5"/>
  <c r="Q207" i="5"/>
  <c r="AG206" i="5"/>
  <c r="AF206" i="5"/>
  <c r="AE206" i="5"/>
  <c r="AC206" i="5"/>
  <c r="AA206" i="5"/>
  <c r="Y206" i="5"/>
  <c r="W206" i="5"/>
  <c r="U206" i="5"/>
  <c r="S206" i="5"/>
  <c r="Q206" i="5"/>
  <c r="AG205" i="5"/>
  <c r="AF205" i="5"/>
  <c r="AE205" i="5"/>
  <c r="AC205" i="5"/>
  <c r="AA205" i="5"/>
  <c r="Y205" i="5"/>
  <c r="W205" i="5"/>
  <c r="U205" i="5"/>
  <c r="S205" i="5"/>
  <c r="Q205" i="5"/>
  <c r="AG204" i="5"/>
  <c r="AF204" i="5"/>
  <c r="AE204" i="5"/>
  <c r="AC204" i="5"/>
  <c r="AA204" i="5"/>
  <c r="Y204" i="5"/>
  <c r="W204" i="5"/>
  <c r="U204" i="5"/>
  <c r="S204" i="5"/>
  <c r="Q204" i="5"/>
  <c r="AG203" i="5"/>
  <c r="AF203" i="5"/>
  <c r="AE203" i="5"/>
  <c r="AC203" i="5"/>
  <c r="AA203" i="5"/>
  <c r="Y203" i="5"/>
  <c r="W203" i="5"/>
  <c r="U203" i="5"/>
  <c r="S203" i="5"/>
  <c r="Q203" i="5"/>
  <c r="AG202" i="5"/>
  <c r="AF202" i="5"/>
  <c r="AE202" i="5"/>
  <c r="AC202" i="5"/>
  <c r="AA202" i="5"/>
  <c r="Y202" i="5"/>
  <c r="W202" i="5"/>
  <c r="U202" i="5"/>
  <c r="S202" i="5"/>
  <c r="Q202" i="5"/>
  <c r="AE201" i="5"/>
  <c r="AC201" i="5"/>
  <c r="AA201" i="5"/>
  <c r="Y201" i="5"/>
  <c r="W201" i="5"/>
  <c r="S201" i="5"/>
  <c r="AE200" i="5"/>
  <c r="AC200" i="5"/>
  <c r="AA200" i="5"/>
  <c r="Y200" i="5"/>
  <c r="W200" i="5"/>
  <c r="S200" i="5"/>
  <c r="AE199" i="5"/>
  <c r="AC199" i="5"/>
  <c r="AA199" i="5"/>
  <c r="Y199" i="5"/>
  <c r="W199" i="5"/>
  <c r="S199" i="5"/>
  <c r="AE198" i="5"/>
  <c r="AC198" i="5"/>
  <c r="AA198" i="5"/>
  <c r="Y198" i="5"/>
  <c r="W198" i="5"/>
  <c r="S198" i="5"/>
  <c r="AE197" i="5"/>
  <c r="AC197" i="5"/>
  <c r="AA197" i="5"/>
  <c r="Y197" i="5"/>
  <c r="W197" i="5"/>
  <c r="S197" i="5"/>
  <c r="AE196" i="5"/>
  <c r="AC196" i="5"/>
  <c r="AA196" i="5"/>
  <c r="Y196" i="5"/>
  <c r="W196" i="5"/>
  <c r="S196" i="5"/>
  <c r="AG188" i="5"/>
  <c r="AF188" i="5"/>
  <c r="AE188" i="5"/>
  <c r="AC188" i="5"/>
  <c r="AA188" i="5"/>
  <c r="Y188" i="5"/>
  <c r="W188" i="5"/>
  <c r="U188" i="5"/>
  <c r="S188" i="5"/>
  <c r="AG187" i="5"/>
  <c r="AF187" i="5"/>
  <c r="AE187" i="5"/>
  <c r="AC187" i="5"/>
  <c r="AA187" i="5"/>
  <c r="Y187" i="5"/>
  <c r="W187" i="5"/>
  <c r="U187" i="5"/>
  <c r="S187" i="5"/>
  <c r="AG186" i="5"/>
  <c r="AF186" i="5"/>
  <c r="AE186" i="5"/>
  <c r="AC186" i="5"/>
  <c r="AA186" i="5"/>
  <c r="Y186" i="5"/>
  <c r="W186" i="5"/>
  <c r="U186" i="5"/>
  <c r="S186" i="5"/>
  <c r="AG185" i="5"/>
  <c r="AF185" i="5"/>
  <c r="AE185" i="5"/>
  <c r="AC185" i="5"/>
  <c r="AA185" i="5"/>
  <c r="Y185" i="5"/>
  <c r="W185" i="5"/>
  <c r="U185" i="5"/>
  <c r="S185" i="5"/>
  <c r="AG184" i="5"/>
  <c r="AF184" i="5"/>
  <c r="AE184" i="5"/>
  <c r="AC184" i="5"/>
  <c r="AA184" i="5"/>
  <c r="Y184" i="5"/>
  <c r="W184" i="5"/>
  <c r="U184" i="5"/>
  <c r="S184" i="5"/>
  <c r="AG183" i="5"/>
  <c r="AF183" i="5"/>
  <c r="AE183" i="5"/>
  <c r="AC183" i="5"/>
  <c r="AA183" i="5"/>
  <c r="Y183" i="5"/>
  <c r="W183" i="5"/>
  <c r="U183" i="5"/>
  <c r="S183" i="5"/>
  <c r="AG182" i="5"/>
  <c r="AF182" i="5"/>
  <c r="AE182" i="5"/>
  <c r="AC182" i="5"/>
  <c r="AA182" i="5"/>
  <c r="Y182" i="5"/>
  <c r="W182" i="5"/>
  <c r="U182" i="5"/>
  <c r="S182" i="5"/>
  <c r="AG181" i="5"/>
  <c r="AF181" i="5"/>
  <c r="AE181" i="5"/>
  <c r="AC181" i="5"/>
  <c r="AA181" i="5"/>
  <c r="Y181" i="5"/>
  <c r="W181" i="5"/>
  <c r="U181" i="5"/>
  <c r="S181" i="5"/>
  <c r="AE178" i="5"/>
  <c r="AC178" i="5"/>
  <c r="AA178" i="5"/>
  <c r="Y178" i="5"/>
  <c r="W178" i="5"/>
  <c r="U178" i="5"/>
  <c r="S178" i="5"/>
  <c r="AE177" i="5"/>
  <c r="AC177" i="5"/>
  <c r="AA177" i="5"/>
  <c r="Y177" i="5"/>
  <c r="W177" i="5"/>
  <c r="U177" i="5"/>
  <c r="S177" i="5"/>
  <c r="AE176" i="5"/>
  <c r="AC176" i="5"/>
  <c r="AA176" i="5"/>
  <c r="Y176" i="5"/>
  <c r="W176" i="5"/>
  <c r="U176" i="5"/>
  <c r="S176" i="5"/>
  <c r="AC175" i="5"/>
  <c r="AA175" i="5"/>
  <c r="Y175" i="5"/>
  <c r="W175" i="5"/>
  <c r="U175" i="5"/>
  <c r="AE174" i="5"/>
  <c r="AC174" i="5"/>
  <c r="AA174" i="5"/>
  <c r="Y174" i="5"/>
  <c r="W174" i="5"/>
  <c r="U174" i="5"/>
  <c r="S174" i="5"/>
  <c r="AE173" i="5"/>
  <c r="AC173" i="5"/>
  <c r="AA173" i="5"/>
  <c r="Y173" i="5"/>
  <c r="W173" i="5"/>
  <c r="U173" i="5"/>
  <c r="S173" i="5"/>
  <c r="AE172" i="5"/>
  <c r="AC172" i="5"/>
  <c r="AA172" i="5"/>
  <c r="Y172" i="5"/>
  <c r="W172" i="5"/>
  <c r="U172" i="5"/>
  <c r="S172" i="5"/>
  <c r="AE171" i="5"/>
  <c r="AC171" i="5"/>
  <c r="AA171" i="5"/>
  <c r="Y171" i="5"/>
  <c r="W171" i="5"/>
  <c r="U171" i="5"/>
  <c r="S171" i="5"/>
  <c r="AE170" i="5"/>
  <c r="AC170" i="5"/>
  <c r="AA170" i="5"/>
  <c r="Y170" i="5"/>
  <c r="W170" i="5"/>
  <c r="U170" i="5"/>
  <c r="S170" i="5"/>
  <c r="AE169" i="5"/>
  <c r="AC169" i="5"/>
  <c r="AA169" i="5"/>
  <c r="Y169" i="5"/>
  <c r="W169" i="5"/>
  <c r="U169" i="5"/>
  <c r="S169" i="5"/>
  <c r="AC168" i="5"/>
  <c r="AA168" i="5"/>
  <c r="Y168" i="5"/>
  <c r="W168" i="5"/>
  <c r="U168" i="5"/>
  <c r="S168" i="5"/>
  <c r="AE167" i="5"/>
  <c r="AC167" i="5"/>
  <c r="AA167" i="5"/>
  <c r="Y167" i="5"/>
  <c r="W167" i="5"/>
  <c r="U167" i="5"/>
  <c r="S167" i="5"/>
  <c r="AE166" i="5"/>
  <c r="AC166" i="5"/>
  <c r="AA166" i="5"/>
  <c r="Y166" i="5"/>
  <c r="W166" i="5"/>
  <c r="U166" i="5"/>
  <c r="S166" i="5"/>
  <c r="AE165" i="5"/>
  <c r="AC165" i="5"/>
  <c r="AA165" i="5"/>
  <c r="Y165" i="5"/>
  <c r="W165" i="5"/>
  <c r="U165" i="5"/>
  <c r="S165" i="5"/>
  <c r="AE164" i="5"/>
  <c r="AC164" i="5"/>
  <c r="AA164" i="5"/>
  <c r="Y164" i="5"/>
  <c r="W164" i="5"/>
  <c r="U164" i="5"/>
  <c r="S164" i="5"/>
  <c r="AC163" i="5"/>
  <c r="AA163" i="5"/>
  <c r="Y163" i="5"/>
  <c r="W163" i="5"/>
  <c r="U163" i="5"/>
  <c r="AE162" i="5"/>
  <c r="AC162" i="5"/>
  <c r="AA162" i="5"/>
  <c r="Y162" i="5"/>
  <c r="W162" i="5"/>
  <c r="U162" i="5"/>
  <c r="S162" i="5"/>
  <c r="AE161" i="5"/>
  <c r="AC161" i="5"/>
  <c r="AA161" i="5"/>
  <c r="Y161" i="5"/>
  <c r="W161" i="5"/>
  <c r="U161" i="5"/>
  <c r="S161" i="5"/>
  <c r="AG160" i="5"/>
  <c r="AE160" i="5"/>
  <c r="AC160" i="5"/>
  <c r="AA160" i="5"/>
  <c r="Y160" i="5"/>
  <c r="W160" i="5"/>
  <c r="U160" i="5"/>
  <c r="S160" i="5"/>
  <c r="AE159" i="5"/>
  <c r="AC159" i="5"/>
  <c r="AA159" i="5"/>
  <c r="Y159" i="5"/>
  <c r="W159" i="5"/>
  <c r="U159" i="5"/>
  <c r="S159" i="5"/>
  <c r="AE158" i="5"/>
  <c r="AC158" i="5"/>
  <c r="AA158" i="5"/>
  <c r="Y158" i="5"/>
  <c r="W158" i="5"/>
  <c r="U158" i="5"/>
  <c r="S158" i="5"/>
  <c r="AE157" i="5"/>
  <c r="AC157" i="5"/>
  <c r="AA157" i="5"/>
  <c r="Y157" i="5"/>
  <c r="W157" i="5"/>
  <c r="U157" i="5"/>
  <c r="S157" i="5"/>
  <c r="AE156" i="5"/>
  <c r="AC156" i="5"/>
  <c r="AA156" i="5"/>
  <c r="Y156" i="5"/>
  <c r="W156" i="5"/>
  <c r="U156" i="5"/>
  <c r="S156" i="5"/>
  <c r="AC155" i="5"/>
  <c r="AA155" i="5"/>
  <c r="Y155" i="5"/>
  <c r="W155" i="5"/>
  <c r="U155" i="5"/>
  <c r="S155" i="5"/>
  <c r="AE153" i="5"/>
  <c r="AC153" i="5"/>
  <c r="AA153" i="5"/>
  <c r="Y153" i="5"/>
  <c r="W153" i="5"/>
  <c r="U153" i="5"/>
  <c r="S153" i="5"/>
  <c r="AE151" i="5"/>
  <c r="AC151" i="5"/>
  <c r="AA151" i="5"/>
  <c r="Y151" i="5"/>
  <c r="W151" i="5"/>
  <c r="U151" i="5"/>
  <c r="S151" i="5"/>
  <c r="AE150" i="5"/>
  <c r="AC150" i="5"/>
  <c r="AA150" i="5"/>
  <c r="Y150" i="5"/>
  <c r="W150" i="5"/>
  <c r="U150" i="5"/>
  <c r="S150" i="5"/>
  <c r="AE149" i="5"/>
  <c r="AC149" i="5"/>
  <c r="AA149" i="5"/>
  <c r="Y149" i="5"/>
  <c r="W149" i="5"/>
  <c r="U149" i="5"/>
  <c r="S149" i="5"/>
  <c r="AE148" i="5"/>
  <c r="AC148" i="5"/>
  <c r="AA148" i="5"/>
  <c r="Y148" i="5"/>
  <c r="W148" i="5"/>
  <c r="U148" i="5"/>
  <c r="S148" i="5"/>
  <c r="AC147" i="5"/>
  <c r="AA147" i="5"/>
  <c r="Y147" i="5"/>
  <c r="W147" i="5"/>
  <c r="AC146" i="5"/>
  <c r="AA146" i="5"/>
  <c r="Y146" i="5"/>
  <c r="W146" i="5"/>
  <c r="U146" i="5"/>
  <c r="S146" i="5"/>
  <c r="AC145" i="5"/>
  <c r="AA145" i="5"/>
  <c r="Y145" i="5"/>
  <c r="W145" i="5"/>
  <c r="U145" i="5"/>
  <c r="S145" i="5"/>
  <c r="AE144" i="5"/>
  <c r="AC144" i="5"/>
  <c r="AA144" i="5"/>
  <c r="Y144" i="5"/>
  <c r="W144" i="5"/>
  <c r="U144" i="5"/>
  <c r="S144" i="5"/>
  <c r="AE143" i="5"/>
  <c r="AC143" i="5"/>
  <c r="AA143" i="5"/>
  <c r="Y143" i="5"/>
  <c r="W143" i="5"/>
  <c r="U143" i="5"/>
  <c r="S143" i="5"/>
  <c r="AE141" i="5"/>
  <c r="AC141" i="5"/>
  <c r="AA141" i="5"/>
  <c r="Y141" i="5"/>
  <c r="W141" i="5"/>
  <c r="U141" i="5"/>
  <c r="S141" i="5"/>
  <c r="AE140" i="5"/>
  <c r="AC140" i="5"/>
  <c r="AA140" i="5"/>
  <c r="Y140" i="5"/>
  <c r="W140" i="5"/>
  <c r="U140" i="5"/>
  <c r="S140" i="5"/>
  <c r="AE139" i="5"/>
  <c r="AC139" i="5"/>
  <c r="AA139" i="5"/>
  <c r="Y139" i="5"/>
  <c r="W139" i="5"/>
  <c r="U139" i="5"/>
  <c r="S139" i="5"/>
  <c r="AE137" i="5"/>
  <c r="AC137" i="5"/>
  <c r="AA137" i="5"/>
  <c r="Y137" i="5"/>
  <c r="W137" i="5"/>
  <c r="U137" i="5"/>
  <c r="S137" i="5"/>
  <c r="AC136" i="5"/>
  <c r="AA136" i="5"/>
  <c r="Y136" i="5"/>
  <c r="W136" i="5"/>
  <c r="U136" i="5"/>
  <c r="AE135" i="5"/>
  <c r="AC135" i="5"/>
  <c r="AA135" i="5"/>
  <c r="Y135" i="5"/>
  <c r="W135" i="5"/>
  <c r="U135" i="5"/>
  <c r="S135" i="5"/>
  <c r="AE134" i="5"/>
  <c r="AC134" i="5"/>
  <c r="AA134" i="5"/>
  <c r="Y134" i="5"/>
  <c r="W134" i="5"/>
  <c r="U134" i="5"/>
  <c r="S134" i="5"/>
  <c r="AE133" i="5"/>
  <c r="AC133" i="5"/>
  <c r="AA133" i="5"/>
  <c r="Y133" i="5"/>
  <c r="W133" i="5"/>
  <c r="U133" i="5"/>
  <c r="S133" i="5"/>
  <c r="AE132" i="5"/>
  <c r="AC132" i="5"/>
  <c r="AA132" i="5"/>
  <c r="Y132" i="5"/>
  <c r="W132" i="5"/>
  <c r="U132" i="5"/>
  <c r="S132" i="5"/>
  <c r="AE131" i="5"/>
  <c r="AC131" i="5"/>
  <c r="AA131" i="5"/>
  <c r="Y131" i="5"/>
  <c r="W131" i="5"/>
  <c r="U131" i="5"/>
  <c r="S131" i="5"/>
  <c r="AE130" i="5"/>
  <c r="AC130" i="5"/>
  <c r="AA130" i="5"/>
  <c r="Y130" i="5"/>
  <c r="W130" i="5"/>
  <c r="U130" i="5"/>
  <c r="S130" i="5"/>
  <c r="AE129" i="5"/>
  <c r="AC129" i="5"/>
  <c r="AA129" i="5"/>
  <c r="Y129" i="5"/>
  <c r="W129" i="5"/>
  <c r="U129" i="5"/>
  <c r="S129" i="5"/>
  <c r="AE128" i="5"/>
  <c r="AC128" i="5"/>
  <c r="AA128" i="5"/>
  <c r="Y128" i="5"/>
  <c r="W128" i="5"/>
  <c r="S128" i="5"/>
  <c r="AE127" i="5"/>
  <c r="AC127" i="5"/>
  <c r="AA127" i="5"/>
  <c r="Y127" i="5"/>
  <c r="W127" i="5"/>
  <c r="U127" i="5"/>
  <c r="S127" i="5"/>
  <c r="AE126" i="5"/>
  <c r="AC126" i="5"/>
  <c r="AA126" i="5"/>
  <c r="Y126" i="5"/>
  <c r="W126" i="5"/>
  <c r="U126" i="5"/>
  <c r="S126" i="5"/>
  <c r="AE125" i="5"/>
  <c r="AC125" i="5"/>
  <c r="AA125" i="5"/>
  <c r="Y125" i="5"/>
  <c r="W125" i="5"/>
  <c r="U125" i="5"/>
  <c r="S125" i="5"/>
  <c r="AE124" i="5"/>
  <c r="AC124" i="5"/>
  <c r="AA124" i="5"/>
  <c r="Y124" i="5"/>
  <c r="W124" i="5"/>
  <c r="U124" i="5"/>
  <c r="S124" i="5"/>
  <c r="AE123" i="5"/>
  <c r="AC123" i="5"/>
  <c r="AA123" i="5"/>
  <c r="Y123" i="5"/>
  <c r="W123" i="5"/>
  <c r="U123" i="5"/>
  <c r="S123" i="5"/>
  <c r="AE122" i="5"/>
  <c r="AC122" i="5"/>
  <c r="AA122" i="5"/>
  <c r="Y122" i="5"/>
  <c r="W122" i="5"/>
  <c r="U122" i="5"/>
  <c r="S122" i="5"/>
  <c r="AE120" i="5"/>
  <c r="AC120" i="5"/>
  <c r="AA120" i="5"/>
  <c r="Y120" i="5"/>
  <c r="W120" i="5"/>
  <c r="U120" i="5"/>
  <c r="S120" i="5"/>
  <c r="AE119" i="5"/>
  <c r="AC119" i="5"/>
  <c r="AA119" i="5"/>
  <c r="Y119" i="5"/>
  <c r="W119" i="5"/>
  <c r="U119" i="5"/>
  <c r="S119" i="5"/>
  <c r="AE118" i="5"/>
  <c r="AC118" i="5"/>
  <c r="AA118" i="5"/>
  <c r="Y118" i="5"/>
  <c r="W118" i="5"/>
  <c r="U118" i="5"/>
  <c r="S118" i="5"/>
  <c r="AE117" i="5"/>
  <c r="AC117" i="5"/>
  <c r="AA117" i="5"/>
  <c r="Y117" i="5"/>
  <c r="W117" i="5"/>
  <c r="U117" i="5"/>
  <c r="S117" i="5"/>
  <c r="AC116" i="5"/>
  <c r="AA116" i="5"/>
  <c r="Y116" i="5"/>
  <c r="W116" i="5"/>
  <c r="U116" i="5"/>
  <c r="S116" i="5"/>
  <c r="AE115" i="5"/>
  <c r="AC115" i="5"/>
  <c r="AA115" i="5"/>
  <c r="Y115" i="5"/>
  <c r="W115" i="5"/>
  <c r="U115" i="5"/>
  <c r="S115" i="5"/>
  <c r="AE114" i="5"/>
  <c r="AC114" i="5"/>
  <c r="AA114" i="5"/>
  <c r="Y114" i="5"/>
  <c r="W114" i="5"/>
  <c r="U114" i="5"/>
  <c r="S114" i="5"/>
  <c r="AE113" i="5"/>
  <c r="AC113" i="5"/>
  <c r="AA113" i="5"/>
  <c r="Y113" i="5"/>
  <c r="W113" i="5"/>
  <c r="U113" i="5"/>
  <c r="S113" i="5"/>
  <c r="AE111" i="5"/>
  <c r="AC111" i="5"/>
  <c r="AA111" i="5"/>
  <c r="Y111" i="5"/>
  <c r="W111" i="5"/>
  <c r="U111" i="5"/>
  <c r="S111" i="5"/>
  <c r="AE110" i="5"/>
  <c r="AC110" i="5"/>
  <c r="AA110" i="5"/>
  <c r="Y110" i="5"/>
  <c r="W110" i="5"/>
  <c r="U110" i="5"/>
  <c r="S110" i="5"/>
  <c r="AE109" i="5"/>
  <c r="AC109" i="5"/>
  <c r="AA109" i="5"/>
  <c r="Y109" i="5"/>
  <c r="W109" i="5"/>
  <c r="U109" i="5"/>
  <c r="S109" i="5"/>
  <c r="AE108" i="5"/>
  <c r="AC108" i="5"/>
  <c r="AA108" i="5"/>
  <c r="Y108" i="5"/>
  <c r="W108" i="5"/>
  <c r="U108" i="5"/>
  <c r="S108" i="5"/>
  <c r="AE107" i="5"/>
  <c r="AC107" i="5"/>
  <c r="AA107" i="5"/>
  <c r="Y107" i="5"/>
  <c r="W107" i="5"/>
  <c r="U107" i="5"/>
  <c r="S107" i="5"/>
  <c r="AE106" i="5"/>
  <c r="AC106" i="5"/>
  <c r="AA106" i="5"/>
  <c r="Y106" i="5"/>
  <c r="W106" i="5"/>
  <c r="U106" i="5"/>
  <c r="S106" i="5"/>
  <c r="AE105" i="5"/>
  <c r="AC105" i="5"/>
  <c r="AA105" i="5"/>
  <c r="Y105" i="5"/>
  <c r="W105" i="5"/>
  <c r="U105" i="5"/>
  <c r="S105" i="5"/>
  <c r="AE104" i="5"/>
  <c r="AC104" i="5"/>
  <c r="AA104" i="5"/>
  <c r="Y104" i="5"/>
  <c r="W104" i="5"/>
  <c r="U104" i="5"/>
  <c r="S104" i="5"/>
  <c r="AE103" i="5"/>
  <c r="AC103" i="5"/>
  <c r="AA103" i="5"/>
  <c r="Y103" i="5"/>
  <c r="W103" i="5"/>
  <c r="U103" i="5"/>
  <c r="S103" i="5"/>
  <c r="AE102" i="5"/>
  <c r="AC102" i="5"/>
  <c r="AA102" i="5"/>
  <c r="Y102" i="5"/>
  <c r="W102" i="5"/>
  <c r="U102" i="5"/>
  <c r="S102" i="5"/>
  <c r="AE101" i="5"/>
  <c r="AC101" i="5"/>
  <c r="AA101" i="5"/>
  <c r="Y101" i="5"/>
  <c r="W101" i="5"/>
  <c r="U101" i="5"/>
  <c r="S101" i="5"/>
  <c r="AE100" i="5"/>
  <c r="AC100" i="5"/>
  <c r="AA100" i="5"/>
  <c r="Y100" i="5"/>
  <c r="W100" i="5"/>
  <c r="U100" i="5"/>
  <c r="S100" i="5"/>
  <c r="AC99" i="5"/>
  <c r="AA99" i="5"/>
  <c r="Y99" i="5"/>
  <c r="W99" i="5"/>
  <c r="AE98" i="5"/>
  <c r="AC98" i="5"/>
  <c r="AA98" i="5"/>
  <c r="Y98" i="5"/>
  <c r="W98" i="5"/>
  <c r="U98" i="5"/>
  <c r="S98" i="5"/>
  <c r="AE97" i="5"/>
  <c r="AC97" i="5"/>
  <c r="AA97" i="5"/>
  <c r="Y97" i="5"/>
  <c r="W97" i="5"/>
  <c r="U97" i="5"/>
  <c r="S97" i="5"/>
  <c r="AE96" i="5"/>
  <c r="AC96" i="5"/>
  <c r="AA96" i="5"/>
  <c r="Y96" i="5"/>
  <c r="W96" i="5"/>
  <c r="U96" i="5"/>
  <c r="S96" i="5"/>
  <c r="AE95" i="5"/>
  <c r="AC95" i="5"/>
  <c r="AA95" i="5"/>
  <c r="Y95" i="5"/>
  <c r="W95" i="5"/>
  <c r="U95" i="5"/>
  <c r="S95" i="5"/>
  <c r="AG94" i="5"/>
  <c r="AE94" i="5"/>
  <c r="AC94" i="5"/>
  <c r="AA94" i="5"/>
  <c r="Y94" i="5"/>
  <c r="W94" i="5"/>
  <c r="U94" i="5"/>
  <c r="S94" i="5"/>
  <c r="AE93" i="5"/>
  <c r="AC93" i="5"/>
  <c r="AA93" i="5"/>
  <c r="Y93" i="5"/>
  <c r="W93" i="5"/>
  <c r="U93" i="5"/>
  <c r="S93" i="5"/>
  <c r="AE92" i="5"/>
  <c r="AC92" i="5"/>
  <c r="AA92" i="5"/>
  <c r="Y92" i="5"/>
  <c r="W92" i="5"/>
  <c r="U92" i="5"/>
  <c r="S92" i="5"/>
  <c r="AE91" i="5"/>
  <c r="AC91" i="5"/>
  <c r="AA91" i="5"/>
  <c r="Y91" i="5"/>
  <c r="W91" i="5"/>
  <c r="U91" i="5"/>
  <c r="S91" i="5"/>
  <c r="AE90" i="5"/>
  <c r="AC90" i="5"/>
  <c r="AA90" i="5"/>
  <c r="Y90" i="5"/>
  <c r="W90" i="5"/>
  <c r="U90" i="5"/>
  <c r="S90" i="5"/>
  <c r="AE89" i="5"/>
  <c r="AC89" i="5"/>
  <c r="AA89" i="5"/>
  <c r="Y89" i="5"/>
  <c r="W89" i="5"/>
  <c r="U89" i="5"/>
  <c r="S89" i="5"/>
  <c r="AE88" i="5"/>
  <c r="AC88" i="5"/>
  <c r="AA88" i="5"/>
  <c r="Y88" i="5"/>
  <c r="W88" i="5"/>
  <c r="U88" i="5"/>
  <c r="S88" i="5"/>
  <c r="AE87" i="5"/>
  <c r="AC87" i="5"/>
  <c r="AA87" i="5"/>
  <c r="Y87" i="5"/>
  <c r="W87" i="5"/>
  <c r="U87" i="5"/>
  <c r="AE86" i="5"/>
  <c r="AC86" i="5"/>
  <c r="AA86" i="5"/>
  <c r="Y86" i="5"/>
  <c r="W86" i="5"/>
  <c r="U86" i="5"/>
  <c r="S86" i="5"/>
  <c r="AE85" i="5"/>
  <c r="AC85" i="5"/>
  <c r="AA85" i="5"/>
  <c r="Y85" i="5"/>
  <c r="W85" i="5"/>
  <c r="U85" i="5"/>
  <c r="S85" i="5"/>
  <c r="AE84" i="5"/>
  <c r="AC84" i="5"/>
  <c r="AA84" i="5"/>
  <c r="Y84" i="5"/>
  <c r="W84" i="5"/>
  <c r="U84" i="5"/>
  <c r="S84" i="5"/>
  <c r="AE83" i="5"/>
  <c r="AC83" i="5"/>
  <c r="AA83" i="5"/>
  <c r="Y83" i="5"/>
  <c r="W83" i="5"/>
  <c r="U83" i="5"/>
  <c r="S83" i="5"/>
  <c r="AE82" i="5"/>
  <c r="AC82" i="5"/>
  <c r="AA82" i="5"/>
  <c r="Y82" i="5"/>
  <c r="W82" i="5"/>
  <c r="U82" i="5"/>
  <c r="S82" i="5"/>
  <c r="AE81" i="5"/>
  <c r="AC81" i="5"/>
  <c r="AA81" i="5"/>
  <c r="Y81" i="5"/>
  <c r="W81" i="5"/>
  <c r="U81" i="5"/>
  <c r="S81" i="5"/>
  <c r="AE80" i="5"/>
  <c r="AC80" i="5"/>
  <c r="AA80" i="5"/>
  <c r="Y80" i="5"/>
  <c r="W80" i="5"/>
  <c r="U80" i="5"/>
  <c r="S80" i="5"/>
  <c r="AC79" i="5"/>
  <c r="AA79" i="5"/>
  <c r="Y79" i="5"/>
  <c r="W79" i="5"/>
  <c r="U79" i="5"/>
  <c r="AC78" i="5"/>
  <c r="AA78" i="5"/>
  <c r="Y78" i="5"/>
  <c r="W78" i="5"/>
  <c r="AE77" i="5"/>
  <c r="AC77" i="5"/>
  <c r="AA77" i="5"/>
  <c r="Y77" i="5"/>
  <c r="W77" i="5"/>
  <c r="U77" i="5"/>
  <c r="S77" i="5"/>
  <c r="AE76" i="5"/>
  <c r="AC76" i="5"/>
  <c r="AA76" i="5"/>
  <c r="Y76" i="5"/>
  <c r="W76" i="5"/>
  <c r="U76" i="5"/>
  <c r="S76" i="5"/>
  <c r="AE75" i="5"/>
  <c r="AC75" i="5"/>
  <c r="AA75" i="5"/>
  <c r="Y75" i="5"/>
  <c r="W75" i="5"/>
  <c r="U75" i="5"/>
  <c r="S75" i="5"/>
  <c r="AE74" i="5"/>
  <c r="AC74" i="5"/>
  <c r="AA74" i="5"/>
  <c r="Y74" i="5"/>
  <c r="W74" i="5"/>
  <c r="U74" i="5"/>
  <c r="S74" i="5"/>
  <c r="AE73" i="5"/>
  <c r="AC73" i="5"/>
  <c r="AA73" i="5"/>
  <c r="Y73" i="5"/>
  <c r="W73" i="5"/>
  <c r="U73" i="5"/>
  <c r="S73" i="5"/>
  <c r="AE72" i="5"/>
  <c r="AC72" i="5"/>
  <c r="AA72" i="5"/>
  <c r="Y72" i="5"/>
  <c r="W72" i="5"/>
  <c r="U72" i="5"/>
  <c r="AE71" i="5"/>
  <c r="AC71" i="5"/>
  <c r="AA71" i="5"/>
  <c r="Y71" i="5"/>
  <c r="W71" i="5"/>
  <c r="U71" i="5"/>
  <c r="S71" i="5"/>
  <c r="AE70" i="5"/>
  <c r="AC70" i="5"/>
  <c r="AA70" i="5"/>
  <c r="Y70" i="5"/>
  <c r="W70" i="5"/>
  <c r="U70" i="5"/>
  <c r="S70" i="5"/>
  <c r="AE69" i="5"/>
  <c r="AC69" i="5"/>
  <c r="AA69" i="5"/>
  <c r="Y69" i="5"/>
  <c r="W69" i="5"/>
  <c r="U69" i="5"/>
  <c r="S69" i="5"/>
  <c r="AE68" i="5"/>
  <c r="AC68" i="5"/>
  <c r="AA68" i="5"/>
  <c r="Y68" i="5"/>
  <c r="W68" i="5"/>
  <c r="U68" i="5"/>
  <c r="S68" i="5"/>
  <c r="AE67" i="5"/>
  <c r="AC67" i="5"/>
  <c r="AA67" i="5"/>
  <c r="Y67" i="5"/>
  <c r="W67" i="5"/>
  <c r="U67" i="5"/>
  <c r="AC66" i="5"/>
  <c r="AA66" i="5"/>
  <c r="Y66" i="5"/>
  <c r="W66" i="5"/>
  <c r="U66" i="5"/>
  <c r="S66" i="5"/>
  <c r="AE65" i="5"/>
  <c r="AC65" i="5"/>
  <c r="AA65" i="5"/>
  <c r="Y65" i="5"/>
  <c r="W65" i="5"/>
  <c r="U65" i="5"/>
  <c r="S65" i="5"/>
  <c r="AE64" i="5"/>
  <c r="AC64" i="5"/>
  <c r="AA64" i="5"/>
  <c r="Y64" i="5"/>
  <c r="W64" i="5"/>
  <c r="U64" i="5"/>
  <c r="S64" i="5"/>
  <c r="AC63" i="5"/>
  <c r="AA63" i="5"/>
  <c r="Y63" i="5"/>
  <c r="W63" i="5"/>
  <c r="AE62" i="5"/>
  <c r="AC62" i="5"/>
  <c r="AA62" i="5"/>
  <c r="Y62" i="5"/>
  <c r="W62" i="5"/>
  <c r="U62" i="5"/>
  <c r="S62" i="5"/>
  <c r="AE61" i="5"/>
  <c r="AC61" i="5"/>
  <c r="AA61" i="5"/>
  <c r="Y61" i="5"/>
  <c r="W61" i="5"/>
  <c r="U61" i="5"/>
  <c r="S61" i="5"/>
  <c r="AC59" i="5"/>
  <c r="AA59" i="5"/>
  <c r="Y59" i="5"/>
  <c r="W59" i="5"/>
  <c r="U59" i="5"/>
  <c r="S59" i="5"/>
  <c r="AC58" i="5"/>
  <c r="AA58" i="5"/>
  <c r="Y58" i="5"/>
  <c r="W58" i="5"/>
  <c r="U58" i="5"/>
  <c r="S58" i="5"/>
  <c r="AE57" i="5"/>
  <c r="AC57" i="5"/>
  <c r="AA57" i="5"/>
  <c r="Y57" i="5"/>
  <c r="W57" i="5"/>
  <c r="U57" i="5"/>
  <c r="S57" i="5"/>
  <c r="AC56" i="5"/>
  <c r="AA56" i="5"/>
  <c r="Y56" i="5"/>
  <c r="W56" i="5"/>
  <c r="U56" i="5"/>
  <c r="S56" i="5"/>
  <c r="AE55" i="5"/>
  <c r="AC55" i="5"/>
  <c r="AA55" i="5"/>
  <c r="Y55" i="5"/>
  <c r="W55" i="5"/>
  <c r="U55" i="5"/>
  <c r="S55" i="5"/>
  <c r="AE54" i="5"/>
  <c r="AC54" i="5"/>
  <c r="AA54" i="5"/>
  <c r="Y54" i="5"/>
  <c r="W54" i="5"/>
  <c r="U54" i="5"/>
  <c r="S54" i="5"/>
  <c r="AE53" i="5"/>
  <c r="AC53" i="5"/>
  <c r="AA53" i="5"/>
  <c r="Y53" i="5"/>
  <c r="W53" i="5"/>
  <c r="U53" i="5"/>
  <c r="S53" i="5"/>
  <c r="AE52" i="5"/>
  <c r="AC52" i="5"/>
  <c r="AA52" i="5"/>
  <c r="Y52" i="5"/>
  <c r="W52" i="5"/>
  <c r="U52" i="5"/>
  <c r="S52" i="5"/>
  <c r="AC51" i="5"/>
  <c r="AA51" i="5"/>
  <c r="Y51" i="5"/>
  <c r="W51" i="5"/>
  <c r="U51" i="5"/>
  <c r="S51" i="5"/>
  <c r="AE50" i="5"/>
  <c r="AC50" i="5"/>
  <c r="AA50" i="5"/>
  <c r="Y50" i="5"/>
  <c r="W50" i="5"/>
  <c r="U50" i="5"/>
  <c r="S50" i="5"/>
  <c r="AE49" i="5"/>
  <c r="AC49" i="5"/>
  <c r="AA49" i="5"/>
  <c r="Y49" i="5"/>
  <c r="W49" i="5"/>
  <c r="U49" i="5"/>
  <c r="S49" i="5"/>
  <c r="AE48" i="5"/>
  <c r="AC48" i="5"/>
  <c r="AA48" i="5"/>
  <c r="Y48" i="5"/>
  <c r="W48" i="5"/>
  <c r="U48" i="5"/>
  <c r="S48" i="5"/>
  <c r="AE47" i="5"/>
  <c r="AC47" i="5"/>
  <c r="AA47" i="5"/>
  <c r="Y47" i="5"/>
  <c r="W47" i="5"/>
  <c r="U47" i="5"/>
  <c r="S47" i="5"/>
  <c r="AE46" i="5"/>
  <c r="AC46" i="5"/>
  <c r="AA46" i="5"/>
  <c r="Y46" i="5"/>
  <c r="W46" i="5"/>
  <c r="U46" i="5"/>
  <c r="S46" i="5"/>
  <c r="AE45" i="5"/>
  <c r="AC45" i="5"/>
  <c r="AA45" i="5"/>
  <c r="Y45" i="5"/>
  <c r="W45" i="5"/>
  <c r="U45" i="5"/>
  <c r="S45" i="5"/>
  <c r="AE44" i="5"/>
  <c r="AC44" i="5"/>
  <c r="AA44" i="5"/>
  <c r="Y44" i="5"/>
  <c r="W44" i="5"/>
  <c r="U44" i="5"/>
  <c r="S44" i="5"/>
  <c r="AE43" i="5"/>
  <c r="AC43" i="5"/>
  <c r="AA43" i="5"/>
  <c r="Y43" i="5"/>
  <c r="W43" i="5"/>
  <c r="U43" i="5"/>
  <c r="S43" i="5"/>
  <c r="AE42" i="5"/>
  <c r="AC42" i="5"/>
  <c r="AA42" i="5"/>
  <c r="Y42" i="5"/>
  <c r="W42" i="5"/>
  <c r="U42" i="5"/>
  <c r="S42" i="5"/>
  <c r="AE41" i="5"/>
  <c r="AC41" i="5"/>
  <c r="AA41" i="5"/>
  <c r="Y41" i="5"/>
  <c r="W41" i="5"/>
  <c r="U41" i="5"/>
  <c r="S41" i="5"/>
  <c r="AE40" i="5"/>
  <c r="AC40" i="5"/>
  <c r="AA40" i="5"/>
  <c r="Y40" i="5"/>
  <c r="W40" i="5"/>
  <c r="U40" i="5"/>
  <c r="S40" i="5"/>
  <c r="AE39" i="5"/>
  <c r="AC39" i="5"/>
  <c r="AA39" i="5"/>
  <c r="Y39" i="5"/>
  <c r="W39" i="5"/>
  <c r="U39" i="5"/>
  <c r="S39" i="5"/>
  <c r="AE38" i="5"/>
  <c r="AC38" i="5"/>
  <c r="AA38" i="5"/>
  <c r="Y38" i="5"/>
  <c r="W38" i="5"/>
  <c r="S38" i="5"/>
  <c r="AE37" i="5"/>
  <c r="AC37" i="5"/>
  <c r="AA37" i="5"/>
  <c r="Y37" i="5"/>
  <c r="W37" i="5"/>
  <c r="U37" i="5"/>
  <c r="S37" i="5"/>
  <c r="AC36" i="5"/>
  <c r="AA36" i="5"/>
  <c r="Y36" i="5"/>
  <c r="W36" i="5"/>
  <c r="U36" i="5"/>
  <c r="S36" i="5"/>
  <c r="AE35" i="5"/>
  <c r="AC35" i="5"/>
  <c r="AA35" i="5"/>
  <c r="Y35" i="5"/>
  <c r="W35" i="5"/>
  <c r="U35" i="5"/>
  <c r="S35" i="5"/>
  <c r="AE34" i="5"/>
  <c r="AC34" i="5"/>
  <c r="AA34" i="5"/>
  <c r="Y34" i="5"/>
  <c r="W34" i="5"/>
  <c r="U34" i="5"/>
  <c r="S34" i="5"/>
  <c r="AE33" i="5"/>
  <c r="AC33" i="5"/>
  <c r="AA33" i="5"/>
  <c r="Y33" i="5"/>
  <c r="W33" i="5"/>
  <c r="U33" i="5"/>
  <c r="S33" i="5"/>
  <c r="AE32" i="5"/>
  <c r="AC32" i="5"/>
  <c r="AA32" i="5"/>
  <c r="Y32" i="5"/>
  <c r="W32" i="5"/>
  <c r="U32" i="5"/>
  <c r="S32" i="5"/>
  <c r="AC31" i="5"/>
  <c r="AA31" i="5"/>
  <c r="Y31" i="5"/>
  <c r="W31" i="5"/>
  <c r="U31" i="5"/>
  <c r="AE30" i="5"/>
  <c r="AC30" i="5"/>
  <c r="AA30" i="5"/>
  <c r="Y30" i="5"/>
  <c r="W30" i="5"/>
  <c r="U30" i="5"/>
  <c r="S30" i="5"/>
  <c r="AE29" i="5"/>
  <c r="AC29" i="5"/>
  <c r="AA29" i="5"/>
  <c r="Y29" i="5"/>
  <c r="W29" i="5"/>
  <c r="U29" i="5"/>
  <c r="S29" i="5"/>
  <c r="AE28" i="5"/>
  <c r="AC28" i="5"/>
  <c r="AA28" i="5"/>
  <c r="Y28" i="5"/>
  <c r="W28" i="5"/>
  <c r="U28" i="5"/>
  <c r="S28" i="5"/>
  <c r="AE27" i="5"/>
  <c r="AC27" i="5"/>
  <c r="AA27" i="5"/>
  <c r="Y27" i="5"/>
  <c r="W27" i="5"/>
  <c r="U27" i="5"/>
  <c r="S27" i="5"/>
  <c r="AC25" i="5"/>
  <c r="AA25" i="5"/>
  <c r="Y25" i="5"/>
  <c r="W25" i="5"/>
  <c r="U25" i="5"/>
  <c r="S25" i="5"/>
  <c r="AE21" i="5"/>
  <c r="AC21" i="5"/>
  <c r="AA21" i="5"/>
  <c r="Y21" i="5"/>
  <c r="W21" i="5"/>
  <c r="U21" i="5"/>
  <c r="S21" i="5"/>
  <c r="AE20" i="5"/>
  <c r="AC20" i="5"/>
  <c r="AA20" i="5"/>
  <c r="Y20" i="5"/>
  <c r="W20" i="5"/>
  <c r="U20" i="5"/>
  <c r="S20" i="5"/>
  <c r="AE19" i="5"/>
  <c r="AC19" i="5"/>
  <c r="AA19" i="5"/>
  <c r="Y19" i="5"/>
  <c r="W19" i="5"/>
  <c r="U19" i="5"/>
  <c r="S19" i="5"/>
  <c r="AE18" i="5"/>
  <c r="AC18" i="5"/>
  <c r="AA18" i="5"/>
  <c r="Y18" i="5"/>
  <c r="W18" i="5"/>
  <c r="U18" i="5"/>
  <c r="S18" i="5"/>
  <c r="AE17" i="5"/>
  <c r="AC17" i="5"/>
  <c r="AA17" i="5"/>
  <c r="Y17" i="5"/>
  <c r="W17" i="5"/>
  <c r="U17" i="5"/>
  <c r="S17" i="5"/>
  <c r="AE16" i="5"/>
  <c r="AC16" i="5"/>
  <c r="AA16" i="5"/>
  <c r="Y16" i="5"/>
  <c r="W16" i="5"/>
  <c r="U16" i="5"/>
  <c r="S16" i="5"/>
  <c r="AE15" i="5"/>
  <c r="AC15" i="5"/>
  <c r="AA15" i="5"/>
  <c r="Y15" i="5"/>
  <c r="W15" i="5"/>
  <c r="U15" i="5"/>
  <c r="AE14" i="5"/>
  <c r="AC14" i="5"/>
  <c r="AA14" i="5"/>
  <c r="Y14" i="5"/>
  <c r="W14" i="5"/>
  <c r="U14" i="5"/>
  <c r="S14" i="5"/>
  <c r="AE13" i="5"/>
  <c r="AC13" i="5"/>
  <c r="AA13" i="5"/>
  <c r="Y13" i="5"/>
  <c r="W13" i="5"/>
  <c r="U13" i="5"/>
  <c r="S13" i="5"/>
  <c r="AE12" i="5"/>
  <c r="AC12" i="5"/>
  <c r="AA12" i="5"/>
  <c r="Y12" i="5"/>
  <c r="W12" i="5"/>
  <c r="U12" i="5"/>
  <c r="S12" i="5"/>
  <c r="AE11" i="5"/>
  <c r="AC11" i="5"/>
  <c r="AA11" i="5"/>
  <c r="Y11" i="5"/>
  <c r="W11" i="5"/>
  <c r="U11" i="5"/>
  <c r="S11" i="5"/>
  <c r="D9" i="4"/>
  <c r="C9" i="4"/>
  <c r="A1" i="5"/>
  <c r="A1" i="4"/>
  <c r="A1" i="1"/>
  <c r="A2" i="5"/>
  <c r="A2" i="4"/>
  <c r="U9" i="5"/>
  <c r="W9" i="5"/>
  <c r="Y9" i="5"/>
  <c r="AA9" i="5"/>
  <c r="AC9" i="5"/>
  <c r="AE9" i="5"/>
  <c r="S9" i="5"/>
  <c r="AN39" i="4" l="1"/>
  <c r="AH205" i="5"/>
  <c r="AH210" i="5"/>
  <c r="AH208" i="5"/>
  <c r="AN42" i="4"/>
  <c r="AH207" i="5"/>
  <c r="AN43" i="4"/>
  <c r="AN38" i="4"/>
  <c r="AH188" i="5"/>
  <c r="AH185" i="5"/>
  <c r="AN45" i="4"/>
  <c r="AN44" i="4"/>
  <c r="AH181" i="5"/>
  <c r="AH183" i="5"/>
  <c r="AH212" i="5"/>
  <c r="AN40" i="4"/>
  <c r="AH209" i="5"/>
  <c r="AH204" i="5"/>
  <c r="AH184" i="5"/>
  <c r="AH202" i="5"/>
  <c r="AH187" i="5"/>
  <c r="AH206" i="5"/>
  <c r="AH203" i="5"/>
  <c r="AH182" i="5"/>
  <c r="AH186" i="5"/>
  <c r="AH211" i="5"/>
  <c r="AN41" i="4"/>
  <c r="AN46" i="4"/>
  <c r="D201" i="5"/>
  <c r="E201" i="5" s="1"/>
  <c r="C201" i="5"/>
  <c r="D200" i="5"/>
  <c r="E200" i="5" s="1"/>
  <c r="C200" i="5"/>
  <c r="D199" i="5"/>
  <c r="E199" i="5" s="1"/>
  <c r="C199" i="5"/>
  <c r="D198" i="5"/>
  <c r="E198" i="5" s="1"/>
  <c r="C198" i="5"/>
  <c r="D197" i="5"/>
  <c r="E197" i="5" s="1"/>
  <c r="C197" i="5"/>
  <c r="D196" i="5"/>
  <c r="E196" i="5" s="1"/>
  <c r="C196" i="5"/>
  <c r="A197" i="5"/>
  <c r="A198" i="5" s="1"/>
  <c r="A199" i="5" s="1"/>
  <c r="A200" i="5" s="1"/>
  <c r="A201" i="5" s="1"/>
  <c r="C217" i="5" s="1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5" i="5"/>
  <c r="D21" i="5"/>
  <c r="D20" i="5"/>
  <c r="D19" i="5"/>
  <c r="D18" i="5"/>
  <c r="D17" i="5"/>
  <c r="D16" i="5"/>
  <c r="D15" i="5"/>
  <c r="D14" i="5"/>
  <c r="D13" i="5"/>
  <c r="D12" i="5"/>
  <c r="D11" i="5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37" i="4"/>
  <c r="D36" i="4"/>
  <c r="D35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16" i="1"/>
  <c r="D215" i="1"/>
  <c r="D214" i="1"/>
  <c r="D213" i="1"/>
  <c r="D212" i="1"/>
  <c r="D211" i="1"/>
  <c r="D210" i="1"/>
  <c r="D209" i="1"/>
  <c r="D208" i="1"/>
  <c r="D207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E10" i="1"/>
  <c r="O49" i="2"/>
  <c r="O45" i="2"/>
  <c r="O26" i="2"/>
  <c r="O22" i="2"/>
  <c r="O12" i="2"/>
  <c r="E12" i="2" s="1"/>
  <c r="P238" i="6"/>
  <c r="P237" i="6"/>
  <c r="P236" i="6"/>
  <c r="P235" i="6"/>
  <c r="E37" i="4" l="1"/>
  <c r="C37" i="4"/>
  <c r="E36" i="4"/>
  <c r="C36" i="4"/>
  <c r="E35" i="4"/>
  <c r="C35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E16" i="4"/>
  <c r="C16" i="4"/>
  <c r="E15" i="4"/>
  <c r="C15" i="4"/>
  <c r="E14" i="4"/>
  <c r="C14" i="4"/>
  <c r="E13" i="4"/>
  <c r="C13" i="4"/>
  <c r="E12" i="4"/>
  <c r="C12" i="4"/>
  <c r="E11" i="4"/>
  <c r="C11" i="4"/>
  <c r="E10" i="4"/>
  <c r="C10" i="4"/>
  <c r="AK9" i="4"/>
  <c r="AI9" i="4"/>
  <c r="AG9" i="4"/>
  <c r="AE9" i="4"/>
  <c r="AC9" i="4"/>
  <c r="AA9" i="4"/>
  <c r="Y9" i="4"/>
  <c r="E9" i="4"/>
  <c r="A10" i="4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E16" i="5"/>
  <c r="C16" i="5"/>
  <c r="A34" i="4" l="1"/>
  <c r="A35" i="4" s="1"/>
  <c r="A36" i="4" s="1"/>
  <c r="A37" i="4" s="1"/>
  <c r="C51" i="4" s="1"/>
  <c r="H220" i="1"/>
  <c r="A151" i="2" l="1"/>
  <c r="A155" i="2"/>
  <c r="H10" i="1" l="1"/>
  <c r="F507" i="2"/>
  <c r="E507" i="2"/>
  <c r="F498" i="2"/>
  <c r="E498" i="2"/>
  <c r="F491" i="2"/>
  <c r="E491" i="2"/>
  <c r="F484" i="2"/>
  <c r="E484" i="2"/>
  <c r="F466" i="2"/>
  <c r="E466" i="2"/>
  <c r="F459" i="2"/>
  <c r="E459" i="2"/>
  <c r="F452" i="2"/>
  <c r="E452" i="2"/>
  <c r="F427" i="2"/>
  <c r="E427" i="2"/>
  <c r="F420" i="2"/>
  <c r="E420" i="2"/>
  <c r="F405" i="2"/>
  <c r="E405" i="2"/>
  <c r="F398" i="2"/>
  <c r="E398" i="2"/>
  <c r="F391" i="2"/>
  <c r="E391" i="2"/>
  <c r="F383" i="2"/>
  <c r="E383" i="2"/>
  <c r="F376" i="2"/>
  <c r="E376" i="2"/>
  <c r="F369" i="2"/>
  <c r="E369" i="2"/>
  <c r="F361" i="2"/>
  <c r="E361" i="2"/>
  <c r="F353" i="2"/>
  <c r="E353" i="2"/>
  <c r="F346" i="2"/>
  <c r="E346" i="2"/>
  <c r="F342" i="2"/>
  <c r="E342" i="2"/>
  <c r="F335" i="2"/>
  <c r="E335" i="2"/>
  <c r="F328" i="2"/>
  <c r="E328" i="2"/>
  <c r="F321" i="2"/>
  <c r="E321" i="2"/>
  <c r="F313" i="2"/>
  <c r="E313" i="2"/>
  <c r="F302" i="2"/>
  <c r="E302" i="2"/>
  <c r="F298" i="2"/>
  <c r="E298" i="2"/>
  <c r="F291" i="2"/>
  <c r="E291" i="2"/>
  <c r="F283" i="2"/>
  <c r="E283" i="2"/>
  <c r="F275" i="2"/>
  <c r="E275" i="2"/>
  <c r="F270" i="2"/>
  <c r="E270" i="2"/>
  <c r="F263" i="2"/>
  <c r="E263" i="2"/>
  <c r="F257" i="2"/>
  <c r="E257" i="2"/>
  <c r="F246" i="2"/>
  <c r="E246" i="2"/>
  <c r="F234" i="2"/>
  <c r="F236" i="2" s="1"/>
  <c r="E234" i="2"/>
  <c r="E236" i="2" s="1"/>
  <c r="F227" i="2"/>
  <c r="E227" i="2"/>
  <c r="F217" i="2"/>
  <c r="E217" i="2"/>
  <c r="F210" i="2"/>
  <c r="E210" i="2"/>
  <c r="F200" i="2"/>
  <c r="E200" i="2"/>
  <c r="F179" i="2"/>
  <c r="F182" i="2" s="1"/>
  <c r="E179" i="2"/>
  <c r="E182" i="2" s="1"/>
  <c r="F167" i="2"/>
  <c r="F169" i="2" s="1"/>
  <c r="E167" i="2"/>
  <c r="E169" i="2" s="1"/>
  <c r="L7" i="2"/>
  <c r="A546" i="2"/>
  <c r="B10" i="15"/>
  <c r="L437" i="2" l="1"/>
  <c r="M437" i="2" s="1"/>
  <c r="E546" i="2"/>
  <c r="E304" i="2"/>
  <c r="F277" i="2"/>
  <c r="F304" i="2"/>
  <c r="E277" i="2"/>
  <c r="O437" i="2" l="1"/>
  <c r="P437" i="2"/>
  <c r="A28" i="15"/>
  <c r="A27" i="15"/>
  <c r="A26" i="15"/>
  <c r="A25" i="15"/>
  <c r="A24" i="15"/>
  <c r="A23" i="15"/>
  <c r="E115" i="1" l="1"/>
  <c r="E98" i="1" l="1"/>
  <c r="E29" i="1" l="1"/>
  <c r="E27" i="1"/>
  <c r="E104" i="5"/>
  <c r="C104" i="5"/>
  <c r="E61" i="5"/>
  <c r="C61" i="5"/>
  <c r="E71" i="5"/>
  <c r="C71" i="5"/>
  <c r="E94" i="5"/>
  <c r="C94" i="5"/>
  <c r="AG161" i="5" l="1"/>
  <c r="AG104" i="5"/>
  <c r="AG83" i="5"/>
  <c r="AG82" i="5"/>
  <c r="AG71" i="5"/>
  <c r="AG61" i="5"/>
  <c r="J115" i="1"/>
  <c r="I115" i="1"/>
  <c r="H115" i="1"/>
  <c r="G115" i="1"/>
  <c r="F115" i="1"/>
  <c r="AM28" i="4" l="1"/>
  <c r="R28" i="4" s="1"/>
  <c r="J68" i="1" l="1"/>
  <c r="I68" i="1"/>
  <c r="H68" i="1"/>
  <c r="G68" i="1"/>
  <c r="J29" i="1"/>
  <c r="L29" i="1" s="1"/>
  <c r="I29" i="1"/>
  <c r="H29" i="1"/>
  <c r="G29" i="1"/>
  <c r="F29" i="1"/>
  <c r="J98" i="1"/>
  <c r="I98" i="1"/>
  <c r="H98" i="1"/>
  <c r="G98" i="1"/>
  <c r="F98" i="1"/>
  <c r="J191" i="1"/>
  <c r="L191" i="1" s="1"/>
  <c r="I191" i="1"/>
  <c r="H191" i="1"/>
  <c r="G191" i="1"/>
  <c r="F191" i="1"/>
  <c r="J81" i="1"/>
  <c r="L81" i="1" s="1"/>
  <c r="I81" i="1"/>
  <c r="H81" i="1"/>
  <c r="G81" i="1"/>
  <c r="F81" i="1"/>
  <c r="J105" i="1"/>
  <c r="I105" i="1"/>
  <c r="H105" i="1"/>
  <c r="G105" i="1"/>
  <c r="F105" i="1"/>
  <c r="E171" i="1" l="1"/>
  <c r="E170" i="1"/>
  <c r="J93" i="1" l="1"/>
  <c r="I93" i="1"/>
  <c r="H93" i="1"/>
  <c r="G93" i="1"/>
  <c r="F93" i="1"/>
  <c r="J92" i="1"/>
  <c r="I92" i="1"/>
  <c r="H92" i="1"/>
  <c r="G92" i="1"/>
  <c r="F92" i="1"/>
  <c r="E83" i="5"/>
  <c r="E82" i="5"/>
  <c r="E161" i="5" l="1"/>
  <c r="E160" i="5"/>
  <c r="AC72" i="4" l="1"/>
  <c r="AC69" i="4"/>
  <c r="Z215" i="5"/>
  <c r="E135" i="5"/>
  <c r="AE49" i="4" l="1"/>
  <c r="P7" i="6"/>
  <c r="AM77" i="4" l="1"/>
  <c r="AL77" i="4"/>
  <c r="AK77" i="4"/>
  <c r="AI77" i="4"/>
  <c r="AG77" i="4"/>
  <c r="AA77" i="4"/>
  <c r="Y77" i="4"/>
  <c r="AM76" i="4"/>
  <c r="AL76" i="4"/>
  <c r="AK76" i="4"/>
  <c r="AI76" i="4"/>
  <c r="AG76" i="4"/>
  <c r="AA76" i="4"/>
  <c r="Y76" i="4"/>
  <c r="AM75" i="4"/>
  <c r="AL75" i="4"/>
  <c r="AK75" i="4"/>
  <c r="AI75" i="4"/>
  <c r="AG75" i="4"/>
  <c r="AA75" i="4"/>
  <c r="Y75" i="4"/>
  <c r="AK72" i="4"/>
  <c r="AI72" i="4"/>
  <c r="Y72" i="4"/>
  <c r="AK71" i="4"/>
  <c r="AI71" i="4"/>
  <c r="Y71" i="4"/>
  <c r="AK70" i="4"/>
  <c r="AI70" i="4"/>
  <c r="Y70" i="4"/>
  <c r="AK69" i="4"/>
  <c r="AI69" i="4"/>
  <c r="Y69" i="4"/>
  <c r="E7" i="6"/>
  <c r="E206" i="5"/>
  <c r="E205" i="5"/>
  <c r="E204" i="5"/>
  <c r="E203" i="5"/>
  <c r="E202" i="5"/>
  <c r="E178" i="5"/>
  <c r="C178" i="5"/>
  <c r="E177" i="5"/>
  <c r="C177" i="5"/>
  <c r="E176" i="5"/>
  <c r="C176" i="5"/>
  <c r="E175" i="5"/>
  <c r="C175" i="5"/>
  <c r="E174" i="5"/>
  <c r="C174" i="5"/>
  <c r="E173" i="5"/>
  <c r="C173" i="5"/>
  <c r="E172" i="5"/>
  <c r="C172" i="5"/>
  <c r="E171" i="5"/>
  <c r="C171" i="5"/>
  <c r="E170" i="5"/>
  <c r="C170" i="5"/>
  <c r="E169" i="5"/>
  <c r="C169" i="5"/>
  <c r="E168" i="5"/>
  <c r="C168" i="5"/>
  <c r="E167" i="5"/>
  <c r="C167" i="5"/>
  <c r="E166" i="5"/>
  <c r="C166" i="5"/>
  <c r="E165" i="5"/>
  <c r="C165" i="5"/>
  <c r="E164" i="5"/>
  <c r="C164" i="5"/>
  <c r="E163" i="5"/>
  <c r="C163" i="5"/>
  <c r="E162" i="5"/>
  <c r="C162" i="5"/>
  <c r="E159" i="5"/>
  <c r="C159" i="5"/>
  <c r="E158" i="5"/>
  <c r="C158" i="5"/>
  <c r="E157" i="5"/>
  <c r="C157" i="5"/>
  <c r="E156" i="5"/>
  <c r="C156" i="5"/>
  <c r="E155" i="5"/>
  <c r="C155" i="5"/>
  <c r="E153" i="5"/>
  <c r="C153" i="5"/>
  <c r="E151" i="5"/>
  <c r="C151" i="5"/>
  <c r="E150" i="5"/>
  <c r="C150" i="5"/>
  <c r="E149" i="5"/>
  <c r="C149" i="5"/>
  <c r="E148" i="5"/>
  <c r="C148" i="5"/>
  <c r="E147" i="5"/>
  <c r="C147" i="5"/>
  <c r="E146" i="5"/>
  <c r="C146" i="5"/>
  <c r="E145" i="5"/>
  <c r="C145" i="5"/>
  <c r="E144" i="5"/>
  <c r="C144" i="5"/>
  <c r="E143" i="5"/>
  <c r="C143" i="5"/>
  <c r="E141" i="5"/>
  <c r="C141" i="5"/>
  <c r="E140" i="5"/>
  <c r="C140" i="5"/>
  <c r="E139" i="5"/>
  <c r="C139" i="5"/>
  <c r="E137" i="5"/>
  <c r="C137" i="5"/>
  <c r="E136" i="5"/>
  <c r="C136" i="5"/>
  <c r="C135" i="5"/>
  <c r="E134" i="5"/>
  <c r="C134" i="5"/>
  <c r="E133" i="5"/>
  <c r="C133" i="5"/>
  <c r="E132" i="5"/>
  <c r="C132" i="5"/>
  <c r="E131" i="5"/>
  <c r="C131" i="5"/>
  <c r="E130" i="5"/>
  <c r="C130" i="5"/>
  <c r="E129" i="5"/>
  <c r="C129" i="5"/>
  <c r="E128" i="5"/>
  <c r="C128" i="5"/>
  <c r="E127" i="5"/>
  <c r="C127" i="5"/>
  <c r="E126" i="5"/>
  <c r="C126" i="5"/>
  <c r="E125" i="5"/>
  <c r="C125" i="5"/>
  <c r="E124" i="5"/>
  <c r="C124" i="5"/>
  <c r="E123" i="5"/>
  <c r="C123" i="5"/>
  <c r="E122" i="5"/>
  <c r="C122" i="5"/>
  <c r="E120" i="5"/>
  <c r="C120" i="5"/>
  <c r="E119" i="5"/>
  <c r="C119" i="5"/>
  <c r="E118" i="5"/>
  <c r="C118" i="5"/>
  <c r="E117" i="5"/>
  <c r="C117" i="5"/>
  <c r="E116" i="5"/>
  <c r="C116" i="5"/>
  <c r="E115" i="5"/>
  <c r="C115" i="5"/>
  <c r="E114" i="5"/>
  <c r="C114" i="5"/>
  <c r="E113" i="5"/>
  <c r="C113" i="5"/>
  <c r="E111" i="5"/>
  <c r="C111" i="5"/>
  <c r="E110" i="5"/>
  <c r="C110" i="5"/>
  <c r="E109" i="5"/>
  <c r="C109" i="5"/>
  <c r="E108" i="5"/>
  <c r="C108" i="5"/>
  <c r="E107" i="5"/>
  <c r="C107" i="5"/>
  <c r="E106" i="5"/>
  <c r="C106" i="5"/>
  <c r="E105" i="5"/>
  <c r="C105" i="5"/>
  <c r="E103" i="5"/>
  <c r="C103" i="5"/>
  <c r="E102" i="5"/>
  <c r="C102" i="5"/>
  <c r="E101" i="5"/>
  <c r="C101" i="5"/>
  <c r="E100" i="5"/>
  <c r="C100" i="5"/>
  <c r="E99" i="5"/>
  <c r="C99" i="5"/>
  <c r="E98" i="5"/>
  <c r="C98" i="5"/>
  <c r="E97" i="5"/>
  <c r="C97" i="5"/>
  <c r="E96" i="5"/>
  <c r="C96" i="5"/>
  <c r="E95" i="5"/>
  <c r="C95" i="5"/>
  <c r="E93" i="5"/>
  <c r="C93" i="5"/>
  <c r="E92" i="5"/>
  <c r="C92" i="5"/>
  <c r="E91" i="5"/>
  <c r="C91" i="5"/>
  <c r="E90" i="5"/>
  <c r="C90" i="5"/>
  <c r="E89" i="5"/>
  <c r="C89" i="5"/>
  <c r="E88" i="5"/>
  <c r="C88" i="5"/>
  <c r="E87" i="5"/>
  <c r="C87" i="5"/>
  <c r="E86" i="5"/>
  <c r="C86" i="5"/>
  <c r="E85" i="5"/>
  <c r="C85" i="5"/>
  <c r="E84" i="5"/>
  <c r="C84" i="5"/>
  <c r="E81" i="5"/>
  <c r="C81" i="5"/>
  <c r="E80" i="5"/>
  <c r="C80" i="5"/>
  <c r="E79" i="5"/>
  <c r="C79" i="5"/>
  <c r="E78" i="5"/>
  <c r="C78" i="5"/>
  <c r="E77" i="5"/>
  <c r="C77" i="5"/>
  <c r="E76" i="5"/>
  <c r="C76" i="5"/>
  <c r="E75" i="5"/>
  <c r="C75" i="5"/>
  <c r="E74" i="5"/>
  <c r="C74" i="5"/>
  <c r="E73" i="5"/>
  <c r="C73" i="5"/>
  <c r="E72" i="5"/>
  <c r="C72" i="5"/>
  <c r="E70" i="5"/>
  <c r="C70" i="5"/>
  <c r="E69" i="5"/>
  <c r="C69" i="5"/>
  <c r="E68" i="5"/>
  <c r="C68" i="5"/>
  <c r="E67" i="5"/>
  <c r="C67" i="5"/>
  <c r="E66" i="5"/>
  <c r="C66" i="5"/>
  <c r="E65" i="5"/>
  <c r="C65" i="5"/>
  <c r="E64" i="5"/>
  <c r="C64" i="5"/>
  <c r="E63" i="5"/>
  <c r="C63" i="5"/>
  <c r="E62" i="5"/>
  <c r="C62" i="5"/>
  <c r="E59" i="5"/>
  <c r="C59" i="5"/>
  <c r="E58" i="5"/>
  <c r="C58" i="5"/>
  <c r="E57" i="5"/>
  <c r="C57" i="5"/>
  <c r="E56" i="5"/>
  <c r="C56" i="5"/>
  <c r="E55" i="5"/>
  <c r="C55" i="5"/>
  <c r="E54" i="5"/>
  <c r="C54" i="5"/>
  <c r="E53" i="5"/>
  <c r="C53" i="5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E25" i="5"/>
  <c r="E21" i="5"/>
  <c r="C21" i="5"/>
  <c r="E20" i="5"/>
  <c r="C20" i="5"/>
  <c r="E19" i="5"/>
  <c r="C19" i="5"/>
  <c r="E18" i="5"/>
  <c r="C18" i="5"/>
  <c r="E17" i="5"/>
  <c r="C17" i="5"/>
  <c r="E15" i="5"/>
  <c r="C15" i="5"/>
  <c r="E14" i="5"/>
  <c r="C14" i="5"/>
  <c r="E13" i="5"/>
  <c r="C13" i="5"/>
  <c r="E12" i="5"/>
  <c r="C12" i="5"/>
  <c r="E11" i="5"/>
  <c r="C11" i="5"/>
  <c r="E9" i="5"/>
  <c r="C9" i="5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V7" i="6"/>
  <c r="AN76" i="4" l="1"/>
  <c r="AN75" i="4"/>
  <c r="AN77" i="4"/>
  <c r="AG9" i="5"/>
  <c r="G7" i="6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G11" i="5"/>
  <c r="AG12" i="5"/>
  <c r="AG13" i="5"/>
  <c r="AG14" i="5"/>
  <c r="AG15" i="5"/>
  <c r="AG16" i="5"/>
  <c r="AG17" i="5"/>
  <c r="AG18" i="5"/>
  <c r="AG19" i="5"/>
  <c r="AG20" i="5"/>
  <c r="AG21" i="5"/>
  <c r="AM9" i="4"/>
  <c r="R9" i="4" s="1"/>
  <c r="AG25" i="5"/>
  <c r="AG27" i="5"/>
  <c r="AG28" i="5"/>
  <c r="AG29" i="5"/>
  <c r="AG30" i="5"/>
  <c r="AM55" i="4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2" i="5"/>
  <c r="AG63" i="5"/>
  <c r="AG64" i="5"/>
  <c r="AG65" i="5"/>
  <c r="AG66" i="5"/>
  <c r="AG67" i="5"/>
  <c r="AG68" i="5"/>
  <c r="AG69" i="5"/>
  <c r="AG196" i="5"/>
  <c r="AG70" i="5"/>
  <c r="AG72" i="5"/>
  <c r="AG73" i="5"/>
  <c r="AG74" i="5"/>
  <c r="AG75" i="5"/>
  <c r="AG76" i="5"/>
  <c r="AG77" i="5"/>
  <c r="AG78" i="5"/>
  <c r="AG79" i="5"/>
  <c r="AG80" i="5"/>
  <c r="AG81" i="5"/>
  <c r="AG84" i="5"/>
  <c r="AG85" i="5"/>
  <c r="AG197" i="5"/>
  <c r="AG86" i="5"/>
  <c r="AG87" i="5"/>
  <c r="AG88" i="5"/>
  <c r="AG89" i="5"/>
  <c r="AG90" i="5"/>
  <c r="AG91" i="5"/>
  <c r="AG92" i="5"/>
  <c r="AG198" i="5"/>
  <c r="R61" i="4"/>
  <c r="AM60" i="4"/>
  <c r="AG199" i="5"/>
  <c r="R68" i="4"/>
  <c r="AG93" i="5"/>
  <c r="AG95" i="5"/>
  <c r="AG200" i="5"/>
  <c r="AG96" i="5"/>
  <c r="AG97" i="5"/>
  <c r="AG98" i="5"/>
  <c r="AG99" i="5"/>
  <c r="AG100" i="5"/>
  <c r="AG101" i="5"/>
  <c r="AG102" i="5"/>
  <c r="AG103" i="5"/>
  <c r="AG105" i="5"/>
  <c r="AG106" i="5"/>
  <c r="AG107" i="5"/>
  <c r="AG108" i="5"/>
  <c r="AG109" i="5"/>
  <c r="AG110" i="5"/>
  <c r="AG111" i="5"/>
  <c r="AG113" i="5"/>
  <c r="AG114" i="5"/>
  <c r="AG115" i="5"/>
  <c r="AG116" i="5"/>
  <c r="AG117" i="5"/>
  <c r="AG118" i="5"/>
  <c r="AG119" i="5"/>
  <c r="AG120" i="5"/>
  <c r="AG122" i="5"/>
  <c r="AG123" i="5"/>
  <c r="AG124" i="5"/>
  <c r="AG125" i="5"/>
  <c r="AG126" i="5"/>
  <c r="AG127" i="5"/>
  <c r="AG128" i="5"/>
  <c r="AG129" i="5"/>
  <c r="AG130" i="5"/>
  <c r="AG131" i="5"/>
  <c r="AG132" i="5"/>
  <c r="AG133" i="5"/>
  <c r="AG134" i="5"/>
  <c r="AG135" i="5"/>
  <c r="AG136" i="5"/>
  <c r="AG137" i="5"/>
  <c r="AG139" i="5"/>
  <c r="AG201" i="5"/>
  <c r="AM19" i="4"/>
  <c r="AG140" i="5"/>
  <c r="AG141" i="5"/>
  <c r="AM69" i="4"/>
  <c r="R69" i="4" s="1"/>
  <c r="AG143" i="5"/>
  <c r="AG144" i="5"/>
  <c r="AG145" i="5"/>
  <c r="AG146" i="5"/>
  <c r="AG147" i="5"/>
  <c r="AM70" i="4"/>
  <c r="R70" i="4" s="1"/>
  <c r="AG148" i="5"/>
  <c r="AG149" i="5"/>
  <c r="AG150" i="5"/>
  <c r="AG151" i="5"/>
  <c r="AG153" i="5"/>
  <c r="AG155" i="5"/>
  <c r="AG156" i="5"/>
  <c r="AG157" i="5"/>
  <c r="AG158" i="5"/>
  <c r="AG159" i="5"/>
  <c r="AM33" i="4"/>
  <c r="R33" i="4" s="1"/>
  <c r="AG162" i="5"/>
  <c r="AG163" i="5"/>
  <c r="AG164" i="5"/>
  <c r="AG165" i="5"/>
  <c r="AG166" i="5"/>
  <c r="AG167" i="5"/>
  <c r="AG168" i="5"/>
  <c r="AG169" i="5"/>
  <c r="AG170" i="5"/>
  <c r="AG171" i="5"/>
  <c r="AG172" i="5"/>
  <c r="AG173" i="5"/>
  <c r="AG174" i="5"/>
  <c r="AG175" i="5"/>
  <c r="AG176" i="5"/>
  <c r="AG177" i="5"/>
  <c r="AG178" i="5"/>
  <c r="AG179" i="5"/>
  <c r="V235" i="6"/>
  <c r="V236" i="6"/>
  <c r="V237" i="6"/>
  <c r="V238" i="6"/>
  <c r="N240" i="6"/>
  <c r="Q240" i="6"/>
  <c r="U240" i="6"/>
  <c r="X240" i="6"/>
  <c r="Z240" i="6"/>
  <c r="AB240" i="6"/>
  <c r="L5" i="1"/>
  <c r="AM67" i="4" l="1"/>
  <c r="R67" i="4" s="1"/>
  <c r="AM21" i="4"/>
  <c r="R21" i="4" s="1"/>
  <c r="AM56" i="4"/>
  <c r="R56" i="4" s="1"/>
  <c r="AM25" i="4"/>
  <c r="R25" i="4" s="1"/>
  <c r="AM66" i="4"/>
  <c r="R66" i="4" s="1"/>
  <c r="AM65" i="4"/>
  <c r="R65" i="4" s="1"/>
  <c r="AM64" i="4"/>
  <c r="R64" i="4" s="1"/>
  <c r="AM62" i="4"/>
  <c r="R62" i="4" s="1"/>
  <c r="AM12" i="4"/>
  <c r="R12" i="4" s="1"/>
  <c r="AM32" i="4"/>
  <c r="R32" i="4" s="1"/>
  <c r="AM35" i="4"/>
  <c r="R35" i="4" s="1"/>
  <c r="AM30" i="4"/>
  <c r="R30" i="4" s="1"/>
  <c r="AM11" i="4"/>
  <c r="R11" i="4" s="1"/>
  <c r="AM37" i="4"/>
  <c r="R37" i="4" s="1"/>
  <c r="AM31" i="4"/>
  <c r="R31" i="4" s="1"/>
  <c r="AM23" i="4"/>
  <c r="R23" i="4" s="1"/>
  <c r="AM15" i="4"/>
  <c r="R15" i="4" s="1"/>
  <c r="AM57" i="4"/>
  <c r="R57" i="4" s="1"/>
  <c r="AM20" i="4"/>
  <c r="R20" i="4" s="1"/>
  <c r="AM36" i="4"/>
  <c r="R36" i="4" s="1"/>
  <c r="AM24" i="4"/>
  <c r="R24" i="4" s="1"/>
  <c r="AM14" i="4"/>
  <c r="R14" i="4" s="1"/>
  <c r="AM29" i="4"/>
  <c r="R29" i="4" s="1"/>
  <c r="AM18" i="4"/>
  <c r="R18" i="4" s="1"/>
  <c r="AM17" i="4"/>
  <c r="R17" i="4" s="1"/>
  <c r="AM13" i="4"/>
  <c r="R13" i="4" s="1"/>
  <c r="AM10" i="4"/>
  <c r="R10" i="4" s="1"/>
  <c r="AM63" i="4"/>
  <c r="R63" i="4" s="1"/>
  <c r="AM22" i="4"/>
  <c r="R22" i="4" s="1"/>
  <c r="AM27" i="4"/>
  <c r="R27" i="4" s="1"/>
  <c r="AM16" i="4"/>
  <c r="R16" i="4" s="1"/>
  <c r="AM26" i="4"/>
  <c r="R26" i="4" s="1"/>
  <c r="AM59" i="4"/>
  <c r="R59" i="4" s="1"/>
  <c r="R19" i="4"/>
  <c r="R58" i="4"/>
  <c r="R55" i="4"/>
  <c r="AM72" i="4"/>
  <c r="R72" i="4" s="1"/>
  <c r="R60" i="4"/>
  <c r="AM71" i="4"/>
  <c r="R71" i="4" s="1"/>
  <c r="V240" i="6"/>
  <c r="A497" i="2" l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16" i="1"/>
  <c r="E215" i="1"/>
  <c r="E214" i="1"/>
  <c r="E213" i="1"/>
  <c r="E212" i="1"/>
  <c r="E211" i="1"/>
  <c r="E210" i="1"/>
  <c r="E209" i="1"/>
  <c r="E208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4" i="1"/>
  <c r="E113" i="1"/>
  <c r="E112" i="1"/>
  <c r="E111" i="1"/>
  <c r="E110" i="1"/>
  <c r="E109" i="1"/>
  <c r="E108" i="1"/>
  <c r="E107" i="1"/>
  <c r="E106" i="1"/>
  <c r="E104" i="1"/>
  <c r="E103" i="1"/>
  <c r="E102" i="1"/>
  <c r="E101" i="1"/>
  <c r="E100" i="1"/>
  <c r="E99" i="1"/>
  <c r="E97" i="1"/>
  <c r="E96" i="1"/>
  <c r="E95" i="1"/>
  <c r="E94" i="1"/>
  <c r="E91" i="1"/>
  <c r="E90" i="1"/>
  <c r="E89" i="1"/>
  <c r="E88" i="1"/>
  <c r="E87" i="1"/>
  <c r="E86" i="1"/>
  <c r="E85" i="1"/>
  <c r="E84" i="1"/>
  <c r="E83" i="1"/>
  <c r="E82" i="1"/>
  <c r="E80" i="1"/>
  <c r="E79" i="1"/>
  <c r="E78" i="1"/>
  <c r="E77" i="1"/>
  <c r="E76" i="1"/>
  <c r="E75" i="1"/>
  <c r="E74" i="1"/>
  <c r="E73" i="1"/>
  <c r="E72" i="1"/>
  <c r="E71" i="1"/>
  <c r="E70" i="1"/>
  <c r="E69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C54" i="4"/>
  <c r="E61" i="4" l="1"/>
  <c r="J167" i="1"/>
  <c r="I167" i="1"/>
  <c r="H167" i="1"/>
  <c r="G167" i="1"/>
  <c r="F167" i="1"/>
  <c r="J166" i="1"/>
  <c r="I166" i="1"/>
  <c r="H166" i="1"/>
  <c r="G166" i="1"/>
  <c r="F166" i="1"/>
  <c r="F5" i="1"/>
  <c r="W30" i="4" l="1"/>
  <c r="W14" i="4"/>
  <c r="W13" i="4"/>
  <c r="W57" i="4"/>
  <c r="W71" i="4"/>
  <c r="W70" i="4"/>
  <c r="W22" i="4"/>
  <c r="AK22" i="4" s="1"/>
  <c r="W21" i="4"/>
  <c r="W34" i="4"/>
  <c r="AK34" i="4" s="1"/>
  <c r="W33" i="4"/>
  <c r="W32" i="4"/>
  <c r="W29" i="4"/>
  <c r="W69" i="4"/>
  <c r="W20" i="4"/>
  <c r="W18" i="4"/>
  <c r="AK18" i="4" s="1"/>
  <c r="W28" i="4"/>
  <c r="W12" i="4"/>
  <c r="W26" i="4"/>
  <c r="W72" i="4"/>
  <c r="W9" i="4"/>
  <c r="W56" i="4"/>
  <c r="W23" i="4"/>
  <c r="W35" i="4"/>
  <c r="W17" i="4"/>
  <c r="W16" i="4"/>
  <c r="W15" i="4"/>
  <c r="W27" i="4"/>
  <c r="W11" i="4"/>
  <c r="W10" i="4"/>
  <c r="W25" i="4"/>
  <c r="W24" i="4"/>
  <c r="W55" i="4"/>
  <c r="W54" i="4"/>
  <c r="W37" i="4"/>
  <c r="W36" i="4"/>
  <c r="W19" i="4"/>
  <c r="W31" i="4"/>
  <c r="C82" i="4"/>
  <c r="AR4" i="4"/>
  <c r="T3" i="4"/>
  <c r="AQ4" i="4"/>
  <c r="R3" i="4"/>
  <c r="M3" i="5" s="1"/>
  <c r="J109" i="1"/>
  <c r="L109" i="1" s="1"/>
  <c r="I109" i="1"/>
  <c r="H109" i="1"/>
  <c r="G109" i="1"/>
  <c r="F109" i="1"/>
  <c r="J216" i="1"/>
  <c r="I216" i="1"/>
  <c r="H216" i="1"/>
  <c r="G216" i="1"/>
  <c r="F216" i="1"/>
  <c r="J215" i="1"/>
  <c r="I215" i="1"/>
  <c r="H215" i="1"/>
  <c r="G215" i="1"/>
  <c r="F215" i="1"/>
  <c r="J214" i="1"/>
  <c r="I214" i="1"/>
  <c r="H214" i="1"/>
  <c r="G214" i="1"/>
  <c r="F214" i="1"/>
  <c r="J209" i="1"/>
  <c r="L209" i="1" s="1"/>
  <c r="I209" i="1"/>
  <c r="H209" i="1"/>
  <c r="G209" i="1"/>
  <c r="F209" i="1"/>
  <c r="J208" i="1"/>
  <c r="L208" i="1" s="1"/>
  <c r="I208" i="1"/>
  <c r="H208" i="1"/>
  <c r="G208" i="1"/>
  <c r="F208" i="1"/>
  <c r="J207" i="1"/>
  <c r="I207" i="1"/>
  <c r="H207" i="1"/>
  <c r="G207" i="1"/>
  <c r="F207" i="1"/>
  <c r="J205" i="1"/>
  <c r="I205" i="1"/>
  <c r="H205" i="1"/>
  <c r="G205" i="1"/>
  <c r="F205" i="1"/>
  <c r="J204" i="1"/>
  <c r="I204" i="1"/>
  <c r="H204" i="1"/>
  <c r="G204" i="1"/>
  <c r="F204" i="1"/>
  <c r="J203" i="1"/>
  <c r="I203" i="1"/>
  <c r="H203" i="1"/>
  <c r="G203" i="1"/>
  <c r="F203" i="1"/>
  <c r="I199" i="1"/>
  <c r="H199" i="1"/>
  <c r="G199" i="1"/>
  <c r="F199" i="1"/>
  <c r="J198" i="1"/>
  <c r="I198" i="1"/>
  <c r="H198" i="1"/>
  <c r="G198" i="1"/>
  <c r="F198" i="1"/>
  <c r="J197" i="1"/>
  <c r="I197" i="1"/>
  <c r="H197" i="1"/>
  <c r="G197" i="1"/>
  <c r="F197" i="1"/>
  <c r="J196" i="1"/>
  <c r="I196" i="1"/>
  <c r="H196" i="1"/>
  <c r="G196" i="1"/>
  <c r="F196" i="1"/>
  <c r="I192" i="1"/>
  <c r="H192" i="1"/>
  <c r="G192" i="1"/>
  <c r="F192" i="1"/>
  <c r="I189" i="1"/>
  <c r="H189" i="1"/>
  <c r="G189" i="1"/>
  <c r="F189" i="1"/>
  <c r="J188" i="1"/>
  <c r="I188" i="1"/>
  <c r="H188" i="1"/>
  <c r="G188" i="1"/>
  <c r="F188" i="1"/>
  <c r="J187" i="1"/>
  <c r="L187" i="1" s="1"/>
  <c r="I187" i="1"/>
  <c r="H187" i="1"/>
  <c r="G187" i="1"/>
  <c r="F187" i="1"/>
  <c r="J186" i="1"/>
  <c r="I186" i="1"/>
  <c r="H186" i="1"/>
  <c r="G186" i="1"/>
  <c r="F186" i="1"/>
  <c r="J185" i="1"/>
  <c r="L185" i="1" s="1"/>
  <c r="I185" i="1"/>
  <c r="H185" i="1"/>
  <c r="G185" i="1"/>
  <c r="F185" i="1"/>
  <c r="I175" i="1"/>
  <c r="H175" i="1"/>
  <c r="G175" i="1"/>
  <c r="F175" i="1"/>
  <c r="I173" i="1"/>
  <c r="H173" i="1"/>
  <c r="G173" i="1"/>
  <c r="F173" i="1"/>
  <c r="J168" i="1"/>
  <c r="L168" i="1" s="1"/>
  <c r="I168" i="1"/>
  <c r="H168" i="1"/>
  <c r="G168" i="1"/>
  <c r="F168" i="1"/>
  <c r="J159" i="1"/>
  <c r="I159" i="1"/>
  <c r="H159" i="1"/>
  <c r="G159" i="1"/>
  <c r="F159" i="1"/>
  <c r="J158" i="1"/>
  <c r="I158" i="1"/>
  <c r="H158" i="1"/>
  <c r="G158" i="1"/>
  <c r="F158" i="1"/>
  <c r="J155" i="1"/>
  <c r="I155" i="1"/>
  <c r="H155" i="1"/>
  <c r="G155" i="1"/>
  <c r="F155" i="1"/>
  <c r="J154" i="1"/>
  <c r="I154" i="1"/>
  <c r="H154" i="1"/>
  <c r="G154" i="1"/>
  <c r="F154" i="1"/>
  <c r="J153" i="1"/>
  <c r="I153" i="1"/>
  <c r="H153" i="1"/>
  <c r="G153" i="1"/>
  <c r="F153" i="1"/>
  <c r="J152" i="1"/>
  <c r="I152" i="1"/>
  <c r="H152" i="1"/>
  <c r="G152" i="1"/>
  <c r="F152" i="1"/>
  <c r="J151" i="1"/>
  <c r="I151" i="1"/>
  <c r="H151" i="1"/>
  <c r="G151" i="1"/>
  <c r="F151" i="1"/>
  <c r="J150" i="1"/>
  <c r="I150" i="1"/>
  <c r="H150" i="1"/>
  <c r="G150" i="1"/>
  <c r="F150" i="1"/>
  <c r="J149" i="1"/>
  <c r="I149" i="1"/>
  <c r="H149" i="1"/>
  <c r="G149" i="1"/>
  <c r="F149" i="1"/>
  <c r="J148" i="1"/>
  <c r="I148" i="1"/>
  <c r="H148" i="1"/>
  <c r="G148" i="1"/>
  <c r="F148" i="1"/>
  <c r="J147" i="1"/>
  <c r="L147" i="1" s="1"/>
  <c r="I147" i="1"/>
  <c r="H147" i="1"/>
  <c r="G147" i="1"/>
  <c r="F147" i="1"/>
  <c r="J146" i="1"/>
  <c r="L146" i="1" s="1"/>
  <c r="I146" i="1"/>
  <c r="H146" i="1"/>
  <c r="G146" i="1"/>
  <c r="F146" i="1"/>
  <c r="J145" i="1"/>
  <c r="I145" i="1"/>
  <c r="H145" i="1"/>
  <c r="G145" i="1"/>
  <c r="F145" i="1"/>
  <c r="J144" i="1"/>
  <c r="I144" i="1"/>
  <c r="H144" i="1"/>
  <c r="G144" i="1"/>
  <c r="F144" i="1"/>
  <c r="J143" i="1"/>
  <c r="I143" i="1"/>
  <c r="H143" i="1"/>
  <c r="G143" i="1"/>
  <c r="F143" i="1"/>
  <c r="J142" i="1"/>
  <c r="I142" i="1"/>
  <c r="H142" i="1"/>
  <c r="G142" i="1"/>
  <c r="F142" i="1"/>
  <c r="J141" i="1"/>
  <c r="I141" i="1"/>
  <c r="H141" i="1"/>
  <c r="G141" i="1"/>
  <c r="F141" i="1"/>
  <c r="J140" i="1"/>
  <c r="I140" i="1"/>
  <c r="H140" i="1"/>
  <c r="G140" i="1"/>
  <c r="F140" i="1"/>
  <c r="I136" i="1"/>
  <c r="H136" i="1"/>
  <c r="G136" i="1"/>
  <c r="D367" i="2" s="1"/>
  <c r="F136" i="1"/>
  <c r="C367" i="2" s="1"/>
  <c r="J135" i="1"/>
  <c r="I135" i="1"/>
  <c r="H135" i="1"/>
  <c r="G135" i="1"/>
  <c r="F135" i="1"/>
  <c r="J134" i="1"/>
  <c r="L134" i="1" s="1"/>
  <c r="I134" i="1"/>
  <c r="H134" i="1"/>
  <c r="G134" i="1"/>
  <c r="F134" i="1"/>
  <c r="J133" i="1"/>
  <c r="I133" i="1"/>
  <c r="H133" i="1"/>
  <c r="G133" i="1"/>
  <c r="F133" i="1"/>
  <c r="J132" i="1"/>
  <c r="I132" i="1"/>
  <c r="H132" i="1"/>
  <c r="G132" i="1"/>
  <c r="F132" i="1"/>
  <c r="J131" i="1"/>
  <c r="I131" i="1"/>
  <c r="H131" i="1"/>
  <c r="G131" i="1"/>
  <c r="F131" i="1"/>
  <c r="J130" i="1"/>
  <c r="I130" i="1"/>
  <c r="H130" i="1"/>
  <c r="G130" i="1"/>
  <c r="F130" i="1"/>
  <c r="J129" i="1"/>
  <c r="I129" i="1"/>
  <c r="H129" i="1"/>
  <c r="G129" i="1"/>
  <c r="F129" i="1"/>
  <c r="J128" i="1"/>
  <c r="I128" i="1"/>
  <c r="H128" i="1"/>
  <c r="G128" i="1"/>
  <c r="F128" i="1"/>
  <c r="J127" i="1"/>
  <c r="I127" i="1"/>
  <c r="H127" i="1"/>
  <c r="G127" i="1"/>
  <c r="F127" i="1"/>
  <c r="J126" i="1"/>
  <c r="I126" i="1"/>
  <c r="H126" i="1"/>
  <c r="G126" i="1"/>
  <c r="F126" i="1"/>
  <c r="J125" i="1"/>
  <c r="I125" i="1"/>
  <c r="H125" i="1"/>
  <c r="G125" i="1"/>
  <c r="F125" i="1"/>
  <c r="J122" i="1"/>
  <c r="I122" i="1"/>
  <c r="H122" i="1"/>
  <c r="G122" i="1"/>
  <c r="F122" i="1"/>
  <c r="J121" i="1"/>
  <c r="I121" i="1"/>
  <c r="H121" i="1"/>
  <c r="G121" i="1"/>
  <c r="F121" i="1"/>
  <c r="J120" i="1"/>
  <c r="I120" i="1"/>
  <c r="H120" i="1"/>
  <c r="G120" i="1"/>
  <c r="F120" i="1"/>
  <c r="J119" i="1"/>
  <c r="I119" i="1"/>
  <c r="H119" i="1"/>
  <c r="G119" i="1"/>
  <c r="F119" i="1"/>
  <c r="J118" i="1"/>
  <c r="I118" i="1"/>
  <c r="H118" i="1"/>
  <c r="G118" i="1"/>
  <c r="F118" i="1"/>
  <c r="J117" i="1"/>
  <c r="I117" i="1"/>
  <c r="H117" i="1"/>
  <c r="G117" i="1"/>
  <c r="F117" i="1"/>
  <c r="J116" i="1"/>
  <c r="I116" i="1"/>
  <c r="H116" i="1"/>
  <c r="G116" i="1"/>
  <c r="F116" i="1"/>
  <c r="J114" i="1"/>
  <c r="I114" i="1"/>
  <c r="H114" i="1"/>
  <c r="G114" i="1"/>
  <c r="F114" i="1"/>
  <c r="J113" i="1"/>
  <c r="L113" i="1" s="1"/>
  <c r="I113" i="1"/>
  <c r="H113" i="1"/>
  <c r="G113" i="1"/>
  <c r="F113" i="1"/>
  <c r="J112" i="1"/>
  <c r="L112" i="1" s="1"/>
  <c r="I112" i="1"/>
  <c r="H112" i="1"/>
  <c r="G112" i="1"/>
  <c r="F112" i="1"/>
  <c r="J111" i="1"/>
  <c r="I111" i="1"/>
  <c r="H111" i="1"/>
  <c r="G111" i="1"/>
  <c r="F111" i="1"/>
  <c r="J110" i="1"/>
  <c r="I110" i="1"/>
  <c r="H110" i="1"/>
  <c r="G110" i="1"/>
  <c r="F110" i="1"/>
  <c r="J108" i="1"/>
  <c r="I108" i="1"/>
  <c r="H108" i="1"/>
  <c r="G108" i="1"/>
  <c r="F108" i="1"/>
  <c r="J107" i="1"/>
  <c r="I107" i="1"/>
  <c r="H107" i="1"/>
  <c r="G107" i="1"/>
  <c r="F107" i="1"/>
  <c r="J106" i="1"/>
  <c r="I106" i="1"/>
  <c r="H106" i="1"/>
  <c r="G106" i="1"/>
  <c r="F106" i="1"/>
  <c r="J104" i="1"/>
  <c r="I104" i="1"/>
  <c r="H104" i="1"/>
  <c r="G104" i="1"/>
  <c r="D269" i="2" s="1"/>
  <c r="F104" i="1"/>
  <c r="C269" i="2" s="1"/>
  <c r="J103" i="1"/>
  <c r="I103" i="1"/>
  <c r="H103" i="1"/>
  <c r="G103" i="1"/>
  <c r="D268" i="2" s="1"/>
  <c r="F103" i="1"/>
  <c r="C268" i="2" s="1"/>
  <c r="J102" i="1"/>
  <c r="I102" i="1"/>
  <c r="H102" i="1"/>
  <c r="G102" i="1"/>
  <c r="F102" i="1"/>
  <c r="J101" i="1"/>
  <c r="I101" i="1"/>
  <c r="H101" i="1"/>
  <c r="G101" i="1"/>
  <c r="F101" i="1"/>
  <c r="J100" i="1"/>
  <c r="I100" i="1"/>
  <c r="H100" i="1"/>
  <c r="G100" i="1"/>
  <c r="F100" i="1"/>
  <c r="J99" i="1"/>
  <c r="I99" i="1"/>
  <c r="H99" i="1"/>
  <c r="G99" i="1"/>
  <c r="F99" i="1"/>
  <c r="J97" i="1"/>
  <c r="I97" i="1"/>
  <c r="H97" i="1"/>
  <c r="G97" i="1"/>
  <c r="F97" i="1"/>
  <c r="J96" i="1"/>
  <c r="I96" i="1"/>
  <c r="H96" i="1"/>
  <c r="G96" i="1"/>
  <c r="F96" i="1"/>
  <c r="J95" i="1"/>
  <c r="I95" i="1"/>
  <c r="H95" i="1"/>
  <c r="G95" i="1"/>
  <c r="F95" i="1"/>
  <c r="J94" i="1"/>
  <c r="I94" i="1"/>
  <c r="H94" i="1"/>
  <c r="G94" i="1"/>
  <c r="F94" i="1"/>
  <c r="J91" i="1"/>
  <c r="L91" i="1" s="1"/>
  <c r="I91" i="1"/>
  <c r="H91" i="1"/>
  <c r="G91" i="1"/>
  <c r="F91" i="1"/>
  <c r="J88" i="1"/>
  <c r="I88" i="1"/>
  <c r="H88" i="1"/>
  <c r="G88" i="1"/>
  <c r="F88" i="1"/>
  <c r="J87" i="1"/>
  <c r="I87" i="1"/>
  <c r="H87" i="1"/>
  <c r="G87" i="1"/>
  <c r="F87" i="1"/>
  <c r="J86" i="1"/>
  <c r="I86" i="1"/>
  <c r="H86" i="1"/>
  <c r="G86" i="1"/>
  <c r="F86" i="1"/>
  <c r="J85" i="1"/>
  <c r="I85" i="1"/>
  <c r="H85" i="1"/>
  <c r="G85" i="1"/>
  <c r="F85" i="1"/>
  <c r="J84" i="1"/>
  <c r="I84" i="1"/>
  <c r="H84" i="1"/>
  <c r="G84" i="1"/>
  <c r="F84" i="1"/>
  <c r="J83" i="1"/>
  <c r="L83" i="1" s="1"/>
  <c r="I83" i="1"/>
  <c r="H83" i="1"/>
  <c r="G83" i="1"/>
  <c r="F83" i="1"/>
  <c r="J82" i="1"/>
  <c r="I82" i="1"/>
  <c r="H82" i="1"/>
  <c r="G82" i="1"/>
  <c r="F82" i="1"/>
  <c r="J78" i="1"/>
  <c r="I78" i="1"/>
  <c r="H78" i="1"/>
  <c r="G78" i="1"/>
  <c r="F78" i="1"/>
  <c r="J77" i="1"/>
  <c r="I77" i="1"/>
  <c r="H77" i="1"/>
  <c r="G77" i="1"/>
  <c r="F77" i="1"/>
  <c r="J76" i="1"/>
  <c r="L76" i="1" s="1"/>
  <c r="I76" i="1"/>
  <c r="H76" i="1"/>
  <c r="G76" i="1"/>
  <c r="F76" i="1"/>
  <c r="J75" i="1"/>
  <c r="L75" i="1" s="1"/>
  <c r="I75" i="1"/>
  <c r="H75" i="1"/>
  <c r="G75" i="1"/>
  <c r="F75" i="1"/>
  <c r="J74" i="1"/>
  <c r="L74" i="1" s="1"/>
  <c r="I74" i="1"/>
  <c r="H74" i="1"/>
  <c r="G74" i="1"/>
  <c r="F74" i="1"/>
  <c r="J73" i="1"/>
  <c r="L73" i="1" s="1"/>
  <c r="I73" i="1"/>
  <c r="H73" i="1"/>
  <c r="G73" i="1"/>
  <c r="F73" i="1"/>
  <c r="J72" i="1"/>
  <c r="I72" i="1"/>
  <c r="H72" i="1"/>
  <c r="G72" i="1"/>
  <c r="F72" i="1"/>
  <c r="J71" i="1"/>
  <c r="I71" i="1"/>
  <c r="H71" i="1"/>
  <c r="E157" i="2" s="1"/>
  <c r="G71" i="1"/>
  <c r="F71" i="1"/>
  <c r="J70" i="1"/>
  <c r="I70" i="1"/>
  <c r="H70" i="1"/>
  <c r="E156" i="2" s="1"/>
  <c r="G70" i="1"/>
  <c r="F70" i="1"/>
  <c r="J69" i="1"/>
  <c r="I69" i="1"/>
  <c r="H69" i="1"/>
  <c r="E190" i="2" s="1"/>
  <c r="G69" i="1"/>
  <c r="F69" i="1"/>
  <c r="J67" i="1"/>
  <c r="I67" i="1"/>
  <c r="H67" i="1"/>
  <c r="G67" i="1"/>
  <c r="F67" i="1"/>
  <c r="J66" i="1"/>
  <c r="I66" i="1"/>
  <c r="H66" i="1"/>
  <c r="G66" i="1"/>
  <c r="F66" i="1"/>
  <c r="J65" i="1"/>
  <c r="I65" i="1"/>
  <c r="H65" i="1"/>
  <c r="G65" i="1"/>
  <c r="F65" i="1"/>
  <c r="J64" i="1"/>
  <c r="I64" i="1"/>
  <c r="H64" i="1"/>
  <c r="G64" i="1"/>
  <c r="F64" i="1"/>
  <c r="J62" i="1"/>
  <c r="I62" i="1"/>
  <c r="H62" i="1"/>
  <c r="G62" i="1"/>
  <c r="F62" i="1"/>
  <c r="J61" i="1"/>
  <c r="I61" i="1"/>
  <c r="H61" i="1"/>
  <c r="G61" i="1"/>
  <c r="F61" i="1"/>
  <c r="J60" i="1"/>
  <c r="I60" i="1"/>
  <c r="H60" i="1"/>
  <c r="G60" i="1"/>
  <c r="F60" i="1"/>
  <c r="J59" i="1"/>
  <c r="I59" i="1"/>
  <c r="H59" i="1"/>
  <c r="G59" i="1"/>
  <c r="F59" i="1"/>
  <c r="J57" i="1"/>
  <c r="I57" i="1"/>
  <c r="H57" i="1"/>
  <c r="G57" i="1"/>
  <c r="F57" i="1"/>
  <c r="J56" i="1"/>
  <c r="I56" i="1"/>
  <c r="H56" i="1"/>
  <c r="G56" i="1"/>
  <c r="F56" i="1"/>
  <c r="J55" i="1"/>
  <c r="I55" i="1"/>
  <c r="H55" i="1"/>
  <c r="G55" i="1"/>
  <c r="F55" i="1"/>
  <c r="J54" i="1"/>
  <c r="I54" i="1"/>
  <c r="H54" i="1"/>
  <c r="G54" i="1"/>
  <c r="F54" i="1"/>
  <c r="J53" i="1"/>
  <c r="I53" i="1"/>
  <c r="H53" i="1"/>
  <c r="G53" i="1"/>
  <c r="F53" i="1"/>
  <c r="J51" i="1"/>
  <c r="I51" i="1"/>
  <c r="H51" i="1"/>
  <c r="G51" i="1"/>
  <c r="F51" i="1"/>
  <c r="J50" i="1"/>
  <c r="I50" i="1"/>
  <c r="H50" i="1"/>
  <c r="G50" i="1"/>
  <c r="F50" i="1"/>
  <c r="J49" i="1"/>
  <c r="I49" i="1"/>
  <c r="H49" i="1"/>
  <c r="G49" i="1"/>
  <c r="F49" i="1"/>
  <c r="J48" i="1"/>
  <c r="I48" i="1"/>
  <c r="H48" i="1"/>
  <c r="G48" i="1"/>
  <c r="F48" i="1"/>
  <c r="J46" i="1"/>
  <c r="I46" i="1"/>
  <c r="H46" i="1"/>
  <c r="G46" i="1"/>
  <c r="F46" i="1"/>
  <c r="J45" i="1"/>
  <c r="I45" i="1"/>
  <c r="H45" i="1"/>
  <c r="G45" i="1"/>
  <c r="F45" i="1"/>
  <c r="J44" i="1"/>
  <c r="L44" i="1" s="1"/>
  <c r="I44" i="1"/>
  <c r="H44" i="1"/>
  <c r="G44" i="1"/>
  <c r="F44" i="1"/>
  <c r="J43" i="1"/>
  <c r="I43" i="1"/>
  <c r="H43" i="1"/>
  <c r="G43" i="1"/>
  <c r="F43" i="1"/>
  <c r="J42" i="1"/>
  <c r="I42" i="1"/>
  <c r="H42" i="1"/>
  <c r="E152" i="2" s="1"/>
  <c r="G42" i="1"/>
  <c r="F42" i="1"/>
  <c r="J41" i="1"/>
  <c r="I41" i="1"/>
  <c r="H41" i="1"/>
  <c r="E151" i="2" s="1"/>
  <c r="G41" i="1"/>
  <c r="F41" i="1"/>
  <c r="J40" i="1"/>
  <c r="I40" i="1"/>
  <c r="H40" i="1"/>
  <c r="E155" i="2" s="1"/>
  <c r="G40" i="1"/>
  <c r="F40" i="1"/>
  <c r="J39" i="1"/>
  <c r="I39" i="1"/>
  <c r="H39" i="1"/>
  <c r="G39" i="1"/>
  <c r="F39" i="1"/>
  <c r="J38" i="1"/>
  <c r="I38" i="1"/>
  <c r="H38" i="1"/>
  <c r="G38" i="1"/>
  <c r="F38" i="1"/>
  <c r="J37" i="1"/>
  <c r="I37" i="1"/>
  <c r="H37" i="1"/>
  <c r="G37" i="1"/>
  <c r="F37" i="1"/>
  <c r="J36" i="1"/>
  <c r="I36" i="1"/>
  <c r="H36" i="1"/>
  <c r="G36" i="1"/>
  <c r="F36" i="1"/>
  <c r="J34" i="1"/>
  <c r="L34" i="1" s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25" i="1"/>
  <c r="I25" i="1"/>
  <c r="H25" i="1"/>
  <c r="G25" i="1"/>
  <c r="F25" i="1"/>
  <c r="J24" i="1"/>
  <c r="I24" i="1"/>
  <c r="H24" i="1"/>
  <c r="G24" i="1"/>
  <c r="F24" i="1"/>
  <c r="J23" i="1"/>
  <c r="L23" i="1" s="1"/>
  <c r="I23" i="1"/>
  <c r="H23" i="1"/>
  <c r="G23" i="1"/>
  <c r="F23" i="1"/>
  <c r="J22" i="1"/>
  <c r="L22" i="1" s="1"/>
  <c r="I22" i="1"/>
  <c r="H22" i="1"/>
  <c r="G22" i="1"/>
  <c r="F22" i="1"/>
  <c r="J21" i="1"/>
  <c r="I21" i="1"/>
  <c r="H21" i="1"/>
  <c r="G21" i="1"/>
  <c r="F21" i="1"/>
  <c r="J20" i="1"/>
  <c r="I20" i="1"/>
  <c r="H20" i="1"/>
  <c r="G20" i="1"/>
  <c r="F20" i="1"/>
  <c r="J19" i="1"/>
  <c r="I19" i="1"/>
  <c r="H19" i="1"/>
  <c r="G19" i="1"/>
  <c r="F19" i="1"/>
  <c r="J18" i="1"/>
  <c r="L18" i="1" s="1"/>
  <c r="I18" i="1"/>
  <c r="H18" i="1"/>
  <c r="G18" i="1"/>
  <c r="F18" i="1"/>
  <c r="J16" i="1"/>
  <c r="I16" i="1"/>
  <c r="H16" i="1"/>
  <c r="E150" i="2" s="1"/>
  <c r="G16" i="1"/>
  <c r="F16" i="1"/>
  <c r="J15" i="1"/>
  <c r="I15" i="1"/>
  <c r="H15" i="1"/>
  <c r="G15" i="1"/>
  <c r="F15" i="1"/>
  <c r="J14" i="1"/>
  <c r="I14" i="1"/>
  <c r="H14" i="1"/>
  <c r="G14" i="1"/>
  <c r="F14" i="1"/>
  <c r="J13" i="1"/>
  <c r="I13" i="1"/>
  <c r="H13" i="1"/>
  <c r="G13" i="1"/>
  <c r="F13" i="1"/>
  <c r="J12" i="1"/>
  <c r="I12" i="1"/>
  <c r="H12" i="1"/>
  <c r="G12" i="1"/>
  <c r="F12" i="1"/>
  <c r="D82" i="4" l="1"/>
  <c r="D221" i="5" s="1"/>
  <c r="G268" i="2"/>
  <c r="G269" i="2"/>
  <c r="G155" i="2"/>
  <c r="F155" i="2"/>
  <c r="C155" i="2"/>
  <c r="D155" i="2"/>
  <c r="AG65" i="4"/>
  <c r="AC49" i="4"/>
  <c r="AE69" i="4"/>
  <c r="AC70" i="4"/>
  <c r="AE70" i="4"/>
  <c r="AC54" i="4"/>
  <c r="AE54" i="4"/>
  <c r="AE72" i="4"/>
  <c r="AE71" i="4"/>
  <c r="AC71" i="4"/>
  <c r="H506" i="2"/>
  <c r="G506" i="2"/>
  <c r="D506" i="2"/>
  <c r="C506" i="2"/>
  <c r="D505" i="2"/>
  <c r="C505" i="2"/>
  <c r="AC80" i="4" l="1"/>
  <c r="AC82" i="4" s="1"/>
  <c r="AE80" i="4"/>
  <c r="AE82" i="4" s="1"/>
  <c r="I506" i="2"/>
  <c r="G505" i="2"/>
  <c r="H178" i="1" l="1"/>
  <c r="N3" i="5"/>
  <c r="B5" i="2" l="1"/>
  <c r="H483" i="2" l="1"/>
  <c r="H482" i="2"/>
  <c r="H481" i="2"/>
  <c r="H480" i="2"/>
  <c r="H479" i="2"/>
  <c r="H472" i="2"/>
  <c r="G483" i="2"/>
  <c r="D483" i="2"/>
  <c r="C483" i="2"/>
  <c r="G482" i="2"/>
  <c r="D482" i="2"/>
  <c r="C482" i="2"/>
  <c r="G481" i="2"/>
  <c r="D481" i="2"/>
  <c r="C481" i="2"/>
  <c r="G480" i="2"/>
  <c r="D480" i="2"/>
  <c r="C480" i="2"/>
  <c r="G479" i="2"/>
  <c r="D479" i="2"/>
  <c r="C479" i="2"/>
  <c r="G478" i="2"/>
  <c r="D478" i="2"/>
  <c r="C478" i="2"/>
  <c r="G477" i="2"/>
  <c r="D477" i="2"/>
  <c r="C477" i="2"/>
  <c r="A418" i="2"/>
  <c r="A319" i="2"/>
  <c r="A320" i="2" s="1"/>
  <c r="E54" i="4"/>
  <c r="E55" i="4"/>
  <c r="E56" i="4"/>
  <c r="E57" i="4"/>
  <c r="E58" i="4"/>
  <c r="E59" i="4"/>
  <c r="I282" i="1"/>
  <c r="G282" i="1"/>
  <c r="F282" i="1"/>
  <c r="I281" i="1"/>
  <c r="G281" i="1"/>
  <c r="F281" i="1"/>
  <c r="I280" i="1"/>
  <c r="G280" i="1"/>
  <c r="F280" i="1"/>
  <c r="G418" i="2"/>
  <c r="D418" i="2"/>
  <c r="C418" i="2"/>
  <c r="G417" i="2"/>
  <c r="F130" i="2"/>
  <c r="E130" i="2"/>
  <c r="F117" i="2"/>
  <c r="F118" i="2" s="1"/>
  <c r="E118" i="2"/>
  <c r="G475" i="2"/>
  <c r="D475" i="2"/>
  <c r="C475" i="2"/>
  <c r="F127" i="2"/>
  <c r="E127" i="2"/>
  <c r="F129" i="2"/>
  <c r="E129" i="2"/>
  <c r="F133" i="2"/>
  <c r="F134" i="2" s="1"/>
  <c r="E133" i="2"/>
  <c r="E134" i="2" s="1"/>
  <c r="F128" i="2"/>
  <c r="E128" i="2"/>
  <c r="F157" i="2"/>
  <c r="F156" i="2"/>
  <c r="F190" i="2"/>
  <c r="F443" i="2"/>
  <c r="F152" i="2"/>
  <c r="F151" i="2"/>
  <c r="G476" i="2"/>
  <c r="D476" i="2"/>
  <c r="C476" i="2"/>
  <c r="F150" i="2"/>
  <c r="J10" i="1"/>
  <c r="I10" i="1"/>
  <c r="G10" i="1"/>
  <c r="F10" i="1"/>
  <c r="E72" i="4"/>
  <c r="E71" i="4"/>
  <c r="E70" i="4"/>
  <c r="E69" i="4"/>
  <c r="E68" i="4"/>
  <c r="E67" i="4"/>
  <c r="E66" i="4"/>
  <c r="E65" i="4"/>
  <c r="E64" i="4"/>
  <c r="E63" i="4"/>
  <c r="E62" i="4"/>
  <c r="E60" i="4"/>
  <c r="F126" i="2" l="1"/>
  <c r="A419" i="2"/>
  <c r="C546" i="2"/>
  <c r="D546" i="2"/>
  <c r="F546" i="2"/>
  <c r="G546" i="2"/>
  <c r="F153" i="2"/>
  <c r="F158" i="2"/>
  <c r="F160" i="2" s="1"/>
  <c r="E158" i="2"/>
  <c r="E160" i="2" s="1"/>
  <c r="E153" i="2"/>
  <c r="E445" i="2"/>
  <c r="I480" i="2"/>
  <c r="I483" i="2"/>
  <c r="I481" i="2"/>
  <c r="I479" i="2"/>
  <c r="I482" i="2"/>
  <c r="J4" i="6" l="1"/>
  <c r="J119" i="6" l="1"/>
  <c r="L119" i="6"/>
  <c r="J7" i="6"/>
  <c r="L181" i="6"/>
  <c r="L234" i="6"/>
  <c r="J234" i="6"/>
  <c r="L150" i="6"/>
  <c r="J150" i="6"/>
  <c r="H150" i="6" s="1"/>
  <c r="L203" i="6"/>
  <c r="L21" i="6"/>
  <c r="J21" i="6"/>
  <c r="H21" i="6" s="1"/>
  <c r="L115" i="6"/>
  <c r="J181" i="6"/>
  <c r="J203" i="6"/>
  <c r="J115" i="6"/>
  <c r="L65" i="6"/>
  <c r="J65" i="6"/>
  <c r="H65" i="6" s="1"/>
  <c r="L167" i="6"/>
  <c r="J167" i="6"/>
  <c r="H167" i="6" s="1"/>
  <c r="J13" i="6"/>
  <c r="L33" i="6"/>
  <c r="J228" i="6"/>
  <c r="L225" i="6"/>
  <c r="L222" i="6"/>
  <c r="J212" i="6"/>
  <c r="L209" i="6"/>
  <c r="J200" i="6"/>
  <c r="L197" i="6"/>
  <c r="J186" i="6"/>
  <c r="J175" i="6"/>
  <c r="L172" i="6"/>
  <c r="J164" i="6"/>
  <c r="J152" i="6"/>
  <c r="L148" i="6"/>
  <c r="J142" i="6"/>
  <c r="L139" i="6"/>
  <c r="L132" i="6"/>
  <c r="J124" i="6"/>
  <c r="J121" i="6"/>
  <c r="L116" i="6"/>
  <c r="L113" i="6"/>
  <c r="L104" i="6"/>
  <c r="L97" i="6"/>
  <c r="J85" i="6"/>
  <c r="L82" i="6"/>
  <c r="J76" i="6"/>
  <c r="L73" i="6"/>
  <c r="J64" i="6"/>
  <c r="L50" i="6"/>
  <c r="J39" i="6"/>
  <c r="L36" i="6"/>
  <c r="J23" i="6"/>
  <c r="J14" i="6"/>
  <c r="J11" i="6"/>
  <c r="L8" i="6"/>
  <c r="J159" i="6"/>
  <c r="H159" i="6" s="1"/>
  <c r="L157" i="6"/>
  <c r="L145" i="6"/>
  <c r="L129" i="6"/>
  <c r="L107" i="6"/>
  <c r="J100" i="6"/>
  <c r="J95" i="6"/>
  <c r="L79" i="6"/>
  <c r="L55" i="6"/>
  <c r="L44" i="6"/>
  <c r="J30" i="6"/>
  <c r="L233" i="6"/>
  <c r="J225" i="6"/>
  <c r="J222" i="6"/>
  <c r="L219" i="6"/>
  <c r="J209" i="6"/>
  <c r="H209" i="6" s="1"/>
  <c r="L206" i="6"/>
  <c r="J197" i="6"/>
  <c r="J172" i="6"/>
  <c r="L162" i="6"/>
  <c r="L159" i="6"/>
  <c r="J148" i="6"/>
  <c r="J139" i="6"/>
  <c r="J132" i="6"/>
  <c r="H132" i="6" s="1"/>
  <c r="J116" i="6"/>
  <c r="H116" i="6" s="1"/>
  <c r="J113" i="6"/>
  <c r="J104" i="6"/>
  <c r="H104" i="6" s="1"/>
  <c r="L100" i="6"/>
  <c r="J97" i="6"/>
  <c r="H97" i="6" s="1"/>
  <c r="L95" i="6"/>
  <c r="J82" i="6"/>
  <c r="J73" i="6"/>
  <c r="L68" i="6"/>
  <c r="L61" i="6"/>
  <c r="J50" i="6"/>
  <c r="H50" i="6" s="1"/>
  <c r="L47" i="6"/>
  <c r="J36" i="6"/>
  <c r="L30" i="6"/>
  <c r="L19" i="6"/>
  <c r="J8" i="6"/>
  <c r="H8" i="6" s="1"/>
  <c r="J233" i="6"/>
  <c r="H233" i="6" s="1"/>
  <c r="J219" i="6"/>
  <c r="J206" i="6"/>
  <c r="L202" i="6"/>
  <c r="L194" i="6"/>
  <c r="L191" i="6"/>
  <c r="L183" i="6"/>
  <c r="J162" i="6"/>
  <c r="L109" i="6"/>
  <c r="L77" i="6"/>
  <c r="J68" i="6"/>
  <c r="H68" i="6" s="1"/>
  <c r="J61" i="6"/>
  <c r="H61" i="6" s="1"/>
  <c r="J47" i="6"/>
  <c r="H47" i="6" s="1"/>
  <c r="J33" i="6"/>
  <c r="J19" i="6"/>
  <c r="L230" i="6"/>
  <c r="L216" i="6"/>
  <c r="J202" i="6"/>
  <c r="H202" i="6" s="1"/>
  <c r="J194" i="6"/>
  <c r="H194" i="6" s="1"/>
  <c r="J191" i="6"/>
  <c r="L188" i="6"/>
  <c r="J183" i="6"/>
  <c r="L180" i="6"/>
  <c r="L170" i="6"/>
  <c r="J157" i="6"/>
  <c r="H157" i="6" s="1"/>
  <c r="L154" i="6"/>
  <c r="J145" i="6"/>
  <c r="L144" i="6"/>
  <c r="J129" i="6"/>
  <c r="L220" i="6"/>
  <c r="L217" i="6"/>
  <c r="J214" i="6"/>
  <c r="L212" i="6"/>
  <c r="L174" i="6"/>
  <c r="L171" i="6"/>
  <c r="L158" i="6"/>
  <c r="L155" i="6"/>
  <c r="L152" i="6"/>
  <c r="J135" i="6"/>
  <c r="J133" i="6"/>
  <c r="J130" i="6"/>
  <c r="L112" i="6"/>
  <c r="L105" i="6"/>
  <c r="L103" i="6"/>
  <c r="J101" i="6"/>
  <c r="J92" i="6"/>
  <c r="J89" i="6"/>
  <c r="L86" i="6"/>
  <c r="L84" i="6"/>
  <c r="L74" i="6"/>
  <c r="L71" i="6"/>
  <c r="J58" i="6"/>
  <c r="J52" i="6"/>
  <c r="J15" i="6"/>
  <c r="L223" i="6"/>
  <c r="J220" i="6"/>
  <c r="J217" i="6"/>
  <c r="H217" i="6" s="1"/>
  <c r="L189" i="6"/>
  <c r="L186" i="6"/>
  <c r="J180" i="6"/>
  <c r="L177" i="6"/>
  <c r="J174" i="6"/>
  <c r="J171" i="6"/>
  <c r="L160" i="6"/>
  <c r="J158" i="6"/>
  <c r="J155" i="6"/>
  <c r="J112" i="6"/>
  <c r="J105" i="6"/>
  <c r="J103" i="6"/>
  <c r="H103" i="6" s="1"/>
  <c r="J86" i="6"/>
  <c r="J84" i="6"/>
  <c r="J74" i="6"/>
  <c r="H74" i="6" s="1"/>
  <c r="J71" i="6"/>
  <c r="H71" i="6" s="1"/>
  <c r="L232" i="6"/>
  <c r="J223" i="6"/>
  <c r="L205" i="6"/>
  <c r="L195" i="6"/>
  <c r="L192" i="6"/>
  <c r="J189" i="6"/>
  <c r="J177" i="6"/>
  <c r="L169" i="6"/>
  <c r="J160" i="6"/>
  <c r="L143" i="6"/>
  <c r="L120" i="6"/>
  <c r="J229" i="6"/>
  <c r="J226" i="6"/>
  <c r="J216" i="6"/>
  <c r="H216" i="6" s="1"/>
  <c r="L213" i="6"/>
  <c r="L211" i="6"/>
  <c r="L179" i="6"/>
  <c r="J154" i="6"/>
  <c r="H154" i="6" s="1"/>
  <c r="L151" i="6"/>
  <c r="J147" i="6"/>
  <c r="J140" i="6"/>
  <c r="J110" i="6"/>
  <c r="J108" i="6"/>
  <c r="H108" i="6" s="1"/>
  <c r="J106" i="6"/>
  <c r="J94" i="6"/>
  <c r="J91" i="6"/>
  <c r="J88" i="6"/>
  <c r="L83" i="6"/>
  <c r="J80" i="6"/>
  <c r="L78" i="6"/>
  <c r="J57" i="6"/>
  <c r="L51" i="6"/>
  <c r="J32" i="6"/>
  <c r="J24" i="6"/>
  <c r="L22" i="6"/>
  <c r="J20" i="6"/>
  <c r="J213" i="6"/>
  <c r="J211" i="6"/>
  <c r="H211" i="6" s="1"/>
  <c r="J188" i="6"/>
  <c r="H188" i="6" s="1"/>
  <c r="L185" i="6"/>
  <c r="L182" i="6"/>
  <c r="J179" i="6"/>
  <c r="L176" i="6"/>
  <c r="J151" i="6"/>
  <c r="H151" i="6" s="1"/>
  <c r="J215" i="6"/>
  <c r="J195" i="6"/>
  <c r="H195" i="6" s="1"/>
  <c r="L168" i="6"/>
  <c r="J156" i="6"/>
  <c r="J131" i="6"/>
  <c r="J102" i="6"/>
  <c r="L88" i="6"/>
  <c r="L11" i="6"/>
  <c r="J232" i="6"/>
  <c r="H232" i="6" s="1"/>
  <c r="L226" i="6"/>
  <c r="L218" i="6"/>
  <c r="J205" i="6"/>
  <c r="L201" i="6"/>
  <c r="L198" i="6"/>
  <c r="J168" i="6"/>
  <c r="L164" i="6"/>
  <c r="L134" i="6"/>
  <c r="L108" i="6"/>
  <c r="L56" i="6"/>
  <c r="L53" i="6"/>
  <c r="L43" i="6"/>
  <c r="L14" i="6"/>
  <c r="L229" i="6"/>
  <c r="J218" i="6"/>
  <c r="H218" i="6" s="1"/>
  <c r="L208" i="6"/>
  <c r="J201" i="6"/>
  <c r="H201" i="6" s="1"/>
  <c r="J198" i="6"/>
  <c r="H198" i="6" s="1"/>
  <c r="J134" i="6"/>
  <c r="H134" i="6" s="1"/>
  <c r="L110" i="6"/>
  <c r="L91" i="6"/>
  <c r="L67" i="6"/>
  <c r="J56" i="6"/>
  <c r="J53" i="6"/>
  <c r="H53" i="6" s="1"/>
  <c r="J43" i="6"/>
  <c r="L40" i="6"/>
  <c r="L34" i="6"/>
  <c r="L27" i="6"/>
  <c r="J208" i="6"/>
  <c r="H208" i="6" s="1"/>
  <c r="L147" i="6"/>
  <c r="L136" i="6"/>
  <c r="L127" i="6"/>
  <c r="L121" i="6"/>
  <c r="L85" i="6"/>
  <c r="L81" i="6"/>
  <c r="J67" i="6"/>
  <c r="H67" i="6" s="1"/>
  <c r="L62" i="6"/>
  <c r="L59" i="6"/>
  <c r="L46" i="6"/>
  <c r="J40" i="6"/>
  <c r="H40" i="6" s="1"/>
  <c r="L37" i="6"/>
  <c r="J34" i="6"/>
  <c r="J27" i="6"/>
  <c r="L18" i="6"/>
  <c r="L214" i="6"/>
  <c r="L187" i="6"/>
  <c r="L184" i="6"/>
  <c r="L173" i="6"/>
  <c r="L142" i="6"/>
  <c r="J136" i="6"/>
  <c r="J127" i="6"/>
  <c r="H127" i="6" s="1"/>
  <c r="L124" i="6"/>
  <c r="L101" i="6"/>
  <c r="L94" i="6"/>
  <c r="J81" i="6"/>
  <c r="H81" i="6" s="1"/>
  <c r="L70" i="6"/>
  <c r="J62" i="6"/>
  <c r="J59" i="6"/>
  <c r="L49" i="6"/>
  <c r="J46" i="6"/>
  <c r="J37" i="6"/>
  <c r="J18" i="6"/>
  <c r="H18" i="6" s="1"/>
  <c r="L221" i="6"/>
  <c r="J187" i="6"/>
  <c r="J184" i="6"/>
  <c r="H184" i="6" s="1"/>
  <c r="J173" i="6"/>
  <c r="H173" i="6" s="1"/>
  <c r="L161" i="6"/>
  <c r="L130" i="6"/>
  <c r="J107" i="6"/>
  <c r="L87" i="6"/>
  <c r="J70" i="6"/>
  <c r="H70" i="6" s="1"/>
  <c r="J49" i="6"/>
  <c r="H49" i="6" s="1"/>
  <c r="L20" i="6"/>
  <c r="L13" i="6"/>
  <c r="L10" i="6"/>
  <c r="L231" i="6"/>
  <c r="L228" i="6"/>
  <c r="J221" i="6"/>
  <c r="H221" i="6" s="1"/>
  <c r="L204" i="6"/>
  <c r="L166" i="6"/>
  <c r="J161" i="6"/>
  <c r="L133" i="6"/>
  <c r="J87" i="6"/>
  <c r="L76" i="6"/>
  <c r="J55" i="6"/>
  <c r="H55" i="6" s="1"/>
  <c r="L29" i="6"/>
  <c r="J182" i="6"/>
  <c r="J178" i="6"/>
  <c r="L153" i="6"/>
  <c r="J111" i="6"/>
  <c r="J96" i="6"/>
  <c r="L89" i="6"/>
  <c r="J66" i="6"/>
  <c r="L63" i="6"/>
  <c r="J41" i="6"/>
  <c r="L26" i="6"/>
  <c r="L224" i="6"/>
  <c r="L193" i="6"/>
  <c r="J166" i="6"/>
  <c r="H166" i="6" s="1"/>
  <c r="J153" i="6"/>
  <c r="L122" i="6"/>
  <c r="J63" i="6"/>
  <c r="H63" i="6" s="1"/>
  <c r="L52" i="6"/>
  <c r="L48" i="6"/>
  <c r="J26" i="6"/>
  <c r="J224" i="6"/>
  <c r="J193" i="6"/>
  <c r="H193" i="6" s="1"/>
  <c r="J122" i="6"/>
  <c r="H122" i="6" s="1"/>
  <c r="L72" i="6"/>
  <c r="L69" i="6"/>
  <c r="J48" i="6"/>
  <c r="H48" i="6" s="1"/>
  <c r="J44" i="6"/>
  <c r="J29" i="6"/>
  <c r="H29" i="6" s="1"/>
  <c r="J10" i="6"/>
  <c r="H10" i="6" s="1"/>
  <c r="L200" i="6"/>
  <c r="J185" i="6"/>
  <c r="H185" i="6" s="1"/>
  <c r="L156" i="6"/>
  <c r="L125" i="6"/>
  <c r="L98" i="6"/>
  <c r="L92" i="6"/>
  <c r="J72" i="6"/>
  <c r="H72" i="6" s="1"/>
  <c r="J69" i="6"/>
  <c r="H69" i="6" s="1"/>
  <c r="J231" i="6"/>
  <c r="H231" i="6" s="1"/>
  <c r="L215" i="6"/>
  <c r="L196" i="6"/>
  <c r="J170" i="6"/>
  <c r="H170" i="6" s="1"/>
  <c r="L163" i="6"/>
  <c r="L135" i="6"/>
  <c r="L128" i="6"/>
  <c r="J125" i="6"/>
  <c r="H125" i="6" s="1"/>
  <c r="L99" i="6"/>
  <c r="J98" i="6"/>
  <c r="L23" i="6"/>
  <c r="J204" i="6"/>
  <c r="J196" i="6"/>
  <c r="J163" i="6"/>
  <c r="L138" i="6"/>
  <c r="J128" i="6"/>
  <c r="H128" i="6" s="1"/>
  <c r="J99" i="6"/>
  <c r="H99" i="6" s="1"/>
  <c r="J78" i="6"/>
  <c r="H78" i="6" s="1"/>
  <c r="L32" i="6"/>
  <c r="L227" i="6"/>
  <c r="L165" i="6"/>
  <c r="J138" i="6"/>
  <c r="H138" i="6" s="1"/>
  <c r="L75" i="6"/>
  <c r="J51" i="6"/>
  <c r="H51" i="6" s="1"/>
  <c r="L25" i="6"/>
  <c r="J227" i="6"/>
  <c r="J192" i="6"/>
  <c r="H192" i="6" s="1"/>
  <c r="J165" i="6"/>
  <c r="H165" i="6" s="1"/>
  <c r="L141" i="6"/>
  <c r="L80" i="6"/>
  <c r="J75" i="6"/>
  <c r="L54" i="6"/>
  <c r="L28" i="6"/>
  <c r="J25" i="6"/>
  <c r="H25" i="6" s="1"/>
  <c r="L9" i="6"/>
  <c r="L207" i="6"/>
  <c r="L199" i="6"/>
  <c r="J176" i="6"/>
  <c r="H176" i="6" s="1"/>
  <c r="J141" i="6"/>
  <c r="L131" i="6"/>
  <c r="J109" i="6"/>
  <c r="H109" i="6" s="1"/>
  <c r="L58" i="6"/>
  <c r="J54" i="6"/>
  <c r="L39" i="6"/>
  <c r="J28" i="6"/>
  <c r="H28" i="6" s="1"/>
  <c r="L16" i="6"/>
  <c r="L12" i="6"/>
  <c r="J9" i="6"/>
  <c r="J230" i="6"/>
  <c r="J207" i="6"/>
  <c r="H207" i="6" s="1"/>
  <c r="J199" i="6"/>
  <c r="H199" i="6" s="1"/>
  <c r="J169" i="6"/>
  <c r="H169" i="6" s="1"/>
  <c r="L146" i="6"/>
  <c r="L102" i="6"/>
  <c r="J77" i="6"/>
  <c r="H77" i="6" s="1"/>
  <c r="L31" i="6"/>
  <c r="J16" i="6"/>
  <c r="J12" i="6"/>
  <c r="H12" i="6" s="1"/>
  <c r="J146" i="6"/>
  <c r="J144" i="6"/>
  <c r="J120" i="6"/>
  <c r="L42" i="6"/>
  <c r="L35" i="6"/>
  <c r="J31" i="6"/>
  <c r="H31" i="6" s="1"/>
  <c r="L17" i="6"/>
  <c r="L210" i="6"/>
  <c r="L137" i="6"/>
  <c r="L90" i="6"/>
  <c r="J83" i="6"/>
  <c r="H83" i="6" s="1"/>
  <c r="L64" i="6"/>
  <c r="J42" i="6"/>
  <c r="J35" i="6"/>
  <c r="J17" i="6"/>
  <c r="J210" i="6"/>
  <c r="H210" i="6" s="1"/>
  <c r="L149" i="6"/>
  <c r="J137" i="6"/>
  <c r="L123" i="6"/>
  <c r="L114" i="6"/>
  <c r="J90" i="6"/>
  <c r="L57" i="6"/>
  <c r="L45" i="6"/>
  <c r="L175" i="6"/>
  <c r="J149" i="6"/>
  <c r="L140" i="6"/>
  <c r="L126" i="6"/>
  <c r="J123" i="6"/>
  <c r="J114" i="6"/>
  <c r="H114" i="6" s="1"/>
  <c r="L93" i="6"/>
  <c r="J79" i="6"/>
  <c r="J45" i="6"/>
  <c r="L38" i="6"/>
  <c r="J22" i="6"/>
  <c r="L15" i="6"/>
  <c r="L190" i="6"/>
  <c r="J143" i="6"/>
  <c r="J126" i="6"/>
  <c r="L106" i="6"/>
  <c r="J93" i="6"/>
  <c r="L60" i="6"/>
  <c r="J38" i="6"/>
  <c r="J190" i="6"/>
  <c r="L178" i="6"/>
  <c r="L111" i="6"/>
  <c r="L96" i="6"/>
  <c r="L66" i="6"/>
  <c r="J60" i="6"/>
  <c r="L41" i="6"/>
  <c r="L24" i="6"/>
  <c r="L7" i="6"/>
  <c r="AW240" i="6"/>
  <c r="L4" i="6"/>
  <c r="P4" i="6"/>
  <c r="R4" i="6"/>
  <c r="U4" i="6"/>
  <c r="H137" i="6" l="1"/>
  <c r="H142" i="6"/>
  <c r="H9" i="6"/>
  <c r="H112" i="6"/>
  <c r="H191" i="6"/>
  <c r="H148" i="6"/>
  <c r="H60" i="6"/>
  <c r="H224" i="6"/>
  <c r="H59" i="6"/>
  <c r="H75" i="6"/>
  <c r="H62" i="6"/>
  <c r="H223" i="6"/>
  <c r="H172" i="6"/>
  <c r="H45" i="6"/>
  <c r="H197" i="6"/>
  <c r="H141" i="6"/>
  <c r="H24" i="6"/>
  <c r="H84" i="6"/>
  <c r="H89" i="6"/>
  <c r="H123" i="6"/>
  <c r="H163" i="6"/>
  <c r="H222" i="6"/>
  <c r="H17" i="6"/>
  <c r="H204" i="6"/>
  <c r="H136" i="6"/>
  <c r="H177" i="6"/>
  <c r="H146" i="6"/>
  <c r="H20" i="6"/>
  <c r="H139" i="6"/>
  <c r="H80" i="6"/>
  <c r="H155" i="6"/>
  <c r="H15" i="6"/>
  <c r="H44" i="6"/>
  <c r="H14" i="6"/>
  <c r="H56" i="6"/>
  <c r="H58" i="6"/>
  <c r="H121" i="6"/>
  <c r="H115" i="6"/>
  <c r="H161" i="6"/>
  <c r="H206" i="6"/>
  <c r="H88" i="6"/>
  <c r="H133" i="6"/>
  <c r="H79" i="6"/>
  <c r="H200" i="6"/>
  <c r="H96" i="6"/>
  <c r="H27" i="6"/>
  <c r="H156" i="6"/>
  <c r="H106" i="6"/>
  <c r="H229" i="6"/>
  <c r="H107" i="6"/>
  <c r="H64" i="6"/>
  <c r="H76" i="6"/>
  <c r="H93" i="6"/>
  <c r="H227" i="6"/>
  <c r="H153" i="6"/>
  <c r="H178" i="6"/>
  <c r="H187" i="6"/>
  <c r="H215" i="6"/>
  <c r="H32" i="6"/>
  <c r="H140" i="6"/>
  <c r="H160" i="6"/>
  <c r="H86" i="6"/>
  <c r="H92" i="6"/>
  <c r="H152" i="6"/>
  <c r="P11" i="6"/>
  <c r="R11" i="6" s="1"/>
  <c r="P34" i="6"/>
  <c r="R34" i="6" s="1"/>
  <c r="P46" i="6"/>
  <c r="R46" i="6" s="1"/>
  <c r="P16" i="6"/>
  <c r="R16" i="6" s="1"/>
  <c r="P214" i="6"/>
  <c r="R214" i="6" s="1"/>
  <c r="P180" i="6"/>
  <c r="R180" i="6" s="1"/>
  <c r="H168" i="6"/>
  <c r="H120" i="6"/>
  <c r="H230" i="6"/>
  <c r="H196" i="6"/>
  <c r="H182" i="6"/>
  <c r="H205" i="6"/>
  <c r="H147" i="6"/>
  <c r="H101" i="6"/>
  <c r="H36" i="6"/>
  <c r="H225" i="6"/>
  <c r="H85" i="6"/>
  <c r="H164" i="6"/>
  <c r="H13" i="6"/>
  <c r="H110" i="6"/>
  <c r="H35" i="6"/>
  <c r="H144" i="6"/>
  <c r="H57" i="6"/>
  <c r="H220" i="6"/>
  <c r="H162" i="6"/>
  <c r="H228" i="6"/>
  <c r="H143" i="6"/>
  <c r="H149" i="6"/>
  <c r="H42" i="6"/>
  <c r="H37" i="6"/>
  <c r="H43" i="6"/>
  <c r="H179" i="6"/>
  <c r="H189" i="6"/>
  <c r="H175" i="6"/>
  <c r="H234" i="6"/>
  <c r="H186" i="6"/>
  <c r="H16" i="6"/>
  <c r="H41" i="6"/>
  <c r="H87" i="6"/>
  <c r="H158" i="6"/>
  <c r="H52" i="6"/>
  <c r="H130" i="6"/>
  <c r="H129" i="6"/>
  <c r="H23" i="6"/>
  <c r="H73" i="6"/>
  <c r="H7" i="6"/>
  <c r="H90" i="6"/>
  <c r="H54" i="6"/>
  <c r="H26" i="6"/>
  <c r="H66" i="6"/>
  <c r="H102" i="6"/>
  <c r="H91" i="6"/>
  <c r="H171" i="6"/>
  <c r="H135" i="6"/>
  <c r="H145" i="6"/>
  <c r="H19" i="6"/>
  <c r="H82" i="6"/>
  <c r="H95" i="6"/>
  <c r="H39" i="6"/>
  <c r="H124" i="6"/>
  <c r="H203" i="6"/>
  <c r="H22" i="6"/>
  <c r="H131" i="6"/>
  <c r="H213" i="6"/>
  <c r="H94" i="6"/>
  <c r="H226" i="6"/>
  <c r="H174" i="6"/>
  <c r="H219" i="6"/>
  <c r="H100" i="6"/>
  <c r="H212" i="6"/>
  <c r="H181" i="6"/>
  <c r="H119" i="6"/>
  <c r="F119" i="6" s="1"/>
  <c r="AL88" i="4" s="1"/>
  <c r="AN88" i="4" s="1"/>
  <c r="F88" i="4" s="1"/>
  <c r="H113" i="6"/>
  <c r="BA119" i="6"/>
  <c r="BB119" i="6" s="1"/>
  <c r="BC119" i="6" s="1"/>
  <c r="AL240" i="6"/>
  <c r="AU240" i="6"/>
  <c r="P30" i="6"/>
  <c r="R30" i="6" s="1"/>
  <c r="P183" i="6"/>
  <c r="H183" i="6" s="1"/>
  <c r="P33" i="6"/>
  <c r="R33" i="6" s="1"/>
  <c r="P126" i="6"/>
  <c r="R126" i="6" s="1"/>
  <c r="P110" i="6"/>
  <c r="R110" i="6" s="1"/>
  <c r="P190" i="6"/>
  <c r="R190" i="6" s="1"/>
  <c r="P98" i="6"/>
  <c r="R98" i="6" s="1"/>
  <c r="P105" i="6"/>
  <c r="R105" i="6" s="1"/>
  <c r="P38" i="6"/>
  <c r="R38" i="6" s="1"/>
  <c r="P111" i="6"/>
  <c r="R111" i="6" s="1"/>
  <c r="J240" i="6"/>
  <c r="L240" i="6"/>
  <c r="H46" i="6" l="1"/>
  <c r="H34" i="6"/>
  <c r="H180" i="6"/>
  <c r="H98" i="6"/>
  <c r="H214" i="6"/>
  <c r="H11" i="6"/>
  <c r="H126" i="6"/>
  <c r="H111" i="6"/>
  <c r="H38" i="6"/>
  <c r="H33" i="6"/>
  <c r="H30" i="6"/>
  <c r="F30" i="6" s="1"/>
  <c r="H105" i="6"/>
  <c r="H190" i="6"/>
  <c r="G88" i="4"/>
  <c r="J88" i="4" s="1"/>
  <c r="I88" i="4"/>
  <c r="F171" i="6"/>
  <c r="AL19" i="4" s="1"/>
  <c r="F19" i="6"/>
  <c r="F230" i="6"/>
  <c r="F110" i="6"/>
  <c r="F162" i="6"/>
  <c r="F148" i="6"/>
  <c r="F109" i="6"/>
  <c r="F84" i="6"/>
  <c r="F125" i="6"/>
  <c r="F222" i="6"/>
  <c r="F93" i="6"/>
  <c r="F146" i="6"/>
  <c r="F150" i="6"/>
  <c r="F156" i="6"/>
  <c r="F88" i="6"/>
  <c r="F210" i="6"/>
  <c r="F233" i="6"/>
  <c r="F14" i="6"/>
  <c r="F204" i="6"/>
  <c r="F85" i="6"/>
  <c r="F21" i="6"/>
  <c r="F90" i="6"/>
  <c r="F44" i="6"/>
  <c r="F68" i="6"/>
  <c r="F151" i="6"/>
  <c r="F41" i="6"/>
  <c r="F223" i="6"/>
  <c r="F145" i="6"/>
  <c r="F189" i="6"/>
  <c r="F46" i="6"/>
  <c r="F232" i="6"/>
  <c r="F99" i="6"/>
  <c r="F207" i="6"/>
  <c r="F173" i="6"/>
  <c r="F161" i="6"/>
  <c r="F153" i="6"/>
  <c r="F215" i="6"/>
  <c r="F76" i="6"/>
  <c r="F79" i="6"/>
  <c r="F25" i="6"/>
  <c r="F91" i="6"/>
  <c r="F108" i="6"/>
  <c r="F152" i="6"/>
  <c r="F32" i="6"/>
  <c r="F137" i="6"/>
  <c r="AL16" i="4" s="1"/>
  <c r="F102" i="6"/>
  <c r="F111" i="6"/>
  <c r="F73" i="6"/>
  <c r="F134" i="6"/>
  <c r="F195" i="6"/>
  <c r="F193" i="6"/>
  <c r="F135" i="6"/>
  <c r="F132" i="6"/>
  <c r="F40" i="6"/>
  <c r="F42" i="6"/>
  <c r="F56" i="6"/>
  <c r="F26" i="6"/>
  <c r="F75" i="6"/>
  <c r="F97" i="6"/>
  <c r="F227" i="6"/>
  <c r="F24" i="6"/>
  <c r="F50" i="6"/>
  <c r="F18" i="6"/>
  <c r="F212" i="6"/>
  <c r="F217" i="6"/>
  <c r="F198" i="6"/>
  <c r="F154" i="6"/>
  <c r="F225" i="6"/>
  <c r="F218" i="6"/>
  <c r="F43" i="6"/>
  <c r="F136" i="6"/>
  <c r="F158" i="6"/>
  <c r="F202" i="6"/>
  <c r="F57" i="6"/>
  <c r="F74" i="6"/>
  <c r="F95" i="6"/>
  <c r="F169" i="6"/>
  <c r="F45" i="6"/>
  <c r="F27" i="6"/>
  <c r="F231" i="6"/>
  <c r="F140" i="6"/>
  <c r="AF238" i="5" s="1"/>
  <c r="AH238" i="5" s="1"/>
  <c r="F238" i="5" s="1"/>
  <c r="F221" i="6"/>
  <c r="F35" i="6"/>
  <c r="F170" i="6"/>
  <c r="F201" i="6"/>
  <c r="F200" i="6"/>
  <c r="F163" i="6"/>
  <c r="F69" i="6"/>
  <c r="F229" i="6"/>
  <c r="AL35" i="4" s="1"/>
  <c r="F165" i="6"/>
  <c r="F155" i="6"/>
  <c r="F209" i="6"/>
  <c r="F160" i="6"/>
  <c r="F181" i="6"/>
  <c r="F147" i="6"/>
  <c r="F219" i="6"/>
  <c r="F174" i="6"/>
  <c r="AL20" i="4" s="1"/>
  <c r="F98" i="6"/>
  <c r="F208" i="6"/>
  <c r="F180" i="6"/>
  <c r="F17" i="6"/>
  <c r="F191" i="6"/>
  <c r="F168" i="6"/>
  <c r="F20" i="6"/>
  <c r="F112" i="6"/>
  <c r="F86" i="6"/>
  <c r="F122" i="6"/>
  <c r="F100" i="6"/>
  <c r="F178" i="6"/>
  <c r="F187" i="6"/>
  <c r="F60" i="6"/>
  <c r="F226" i="6"/>
  <c r="F96" i="6"/>
  <c r="F126" i="6"/>
  <c r="F81" i="6"/>
  <c r="F107" i="6"/>
  <c r="F128" i="6"/>
  <c r="F205" i="6"/>
  <c r="F184" i="6"/>
  <c r="F51" i="6"/>
  <c r="F142" i="6"/>
  <c r="AF240" i="5" s="1"/>
  <c r="AH240" i="5" s="1"/>
  <c r="F240" i="5" s="1"/>
  <c r="F196" i="6"/>
  <c r="AF241" i="5" s="1"/>
  <c r="AH241" i="5" s="1"/>
  <c r="F241" i="5" s="1"/>
  <c r="F199" i="6"/>
  <c r="F63" i="6"/>
  <c r="F105" i="6"/>
  <c r="F54" i="6"/>
  <c r="F177" i="6"/>
  <c r="F144" i="6"/>
  <c r="F213" i="6"/>
  <c r="F143" i="6"/>
  <c r="F89" i="6"/>
  <c r="F12" i="6"/>
  <c r="F8" i="6"/>
  <c r="F182" i="6"/>
  <c r="F72" i="6"/>
  <c r="F186" i="6"/>
  <c r="AL28" i="4" s="1"/>
  <c r="F167" i="6"/>
  <c r="F31" i="6"/>
  <c r="F55" i="6"/>
  <c r="F39" i="6"/>
  <c r="F159" i="6"/>
  <c r="F214" i="6"/>
  <c r="F172" i="6"/>
  <c r="F228" i="6"/>
  <c r="F206" i="6"/>
  <c r="F61" i="6"/>
  <c r="F37" i="6"/>
  <c r="F103" i="6"/>
  <c r="F133" i="6"/>
  <c r="F94" i="6"/>
  <c r="F82" i="6"/>
  <c r="F49" i="6"/>
  <c r="F115" i="6"/>
  <c r="F124" i="6"/>
  <c r="F188" i="6"/>
  <c r="F101" i="6"/>
  <c r="F80" i="6"/>
  <c r="F34" i="6"/>
  <c r="F47" i="6"/>
  <c r="F138" i="6"/>
  <c r="AL17" i="4" s="1"/>
  <c r="F70" i="6"/>
  <c r="F149" i="6"/>
  <c r="F48" i="6"/>
  <c r="F38" i="6"/>
  <c r="F33" i="6"/>
  <c r="F66" i="6"/>
  <c r="F113" i="6"/>
  <c r="F36" i="6"/>
  <c r="F176" i="6"/>
  <c r="F64" i="6"/>
  <c r="F157" i="6"/>
  <c r="F203" i="6"/>
  <c r="F78" i="6"/>
  <c r="F16" i="6"/>
  <c r="F175" i="6"/>
  <c r="F58" i="6"/>
  <c r="F185" i="6"/>
  <c r="F190" i="6"/>
  <c r="F116" i="6"/>
  <c r="F211" i="6"/>
  <c r="AF242" i="5" s="1"/>
  <c r="AH242" i="5" s="1"/>
  <c r="F242" i="5" s="1"/>
  <c r="F29" i="6"/>
  <c r="F104" i="6"/>
  <c r="F77" i="6"/>
  <c r="F130" i="6"/>
  <c r="F53" i="6"/>
  <c r="F234" i="6"/>
  <c r="F139" i="6"/>
  <c r="F13" i="6"/>
  <c r="F65" i="6"/>
  <c r="F92" i="6"/>
  <c r="F106" i="6"/>
  <c r="F114" i="6"/>
  <c r="AF93" i="5" s="1"/>
  <c r="F71" i="6"/>
  <c r="F15" i="6"/>
  <c r="F197" i="6"/>
  <c r="F28" i="6"/>
  <c r="F216" i="6"/>
  <c r="F120" i="6"/>
  <c r="F194" i="6"/>
  <c r="F23" i="6"/>
  <c r="F131" i="6"/>
  <c r="F127" i="6"/>
  <c r="F11" i="6"/>
  <c r="F59" i="6"/>
  <c r="F67" i="6"/>
  <c r="F129" i="6"/>
  <c r="F166" i="6"/>
  <c r="F220" i="6"/>
  <c r="F62" i="6"/>
  <c r="F87" i="6"/>
  <c r="F10" i="6"/>
  <c r="F164" i="6"/>
  <c r="F9" i="6"/>
  <c r="F183" i="6"/>
  <c r="F224" i="6"/>
  <c r="F121" i="6"/>
  <c r="F192" i="6"/>
  <c r="F83" i="6"/>
  <c r="F141" i="6"/>
  <c r="AF239" i="5" s="1"/>
  <c r="AH239" i="5" s="1"/>
  <c r="F239" i="5" s="1"/>
  <c r="F52" i="6"/>
  <c r="F123" i="6"/>
  <c r="F7" i="6"/>
  <c r="AS240" i="6" s="1"/>
  <c r="AL36" i="4"/>
  <c r="AL37" i="4"/>
  <c r="AL23" i="4"/>
  <c r="AL30" i="4"/>
  <c r="AN58" i="4"/>
  <c r="AN61" i="4"/>
  <c r="AN68" i="4"/>
  <c r="P240" i="6"/>
  <c r="K88" i="4" l="1"/>
  <c r="AL11" i="4"/>
  <c r="AF98" i="5"/>
  <c r="AF30" i="5"/>
  <c r="AL60" i="4"/>
  <c r="AF20" i="5"/>
  <c r="AF131" i="5"/>
  <c r="AF167" i="5"/>
  <c r="AF47" i="5"/>
  <c r="AF198" i="5"/>
  <c r="AF70" i="5"/>
  <c r="AF43" i="5"/>
  <c r="AL64" i="4"/>
  <c r="AF49" i="5"/>
  <c r="AF135" i="5"/>
  <c r="AF29" i="5"/>
  <c r="AF38" i="5"/>
  <c r="AF92" i="5"/>
  <c r="AL59" i="4"/>
  <c r="AF39" i="5"/>
  <c r="AF58" i="5"/>
  <c r="AF146" i="5"/>
  <c r="AF121" i="5"/>
  <c r="AF113" i="5"/>
  <c r="AF145" i="5"/>
  <c r="AF73" i="5"/>
  <c r="AF159" i="5"/>
  <c r="AF69" i="5"/>
  <c r="AF32" i="5"/>
  <c r="AF117" i="5"/>
  <c r="AF79" i="5"/>
  <c r="AL71" i="4"/>
  <c r="AF101" i="5"/>
  <c r="AF78" i="5"/>
  <c r="AF89" i="5"/>
  <c r="AF136" i="5"/>
  <c r="AF170" i="5"/>
  <c r="AF52" i="5"/>
  <c r="AF132" i="5"/>
  <c r="AF155" i="5"/>
  <c r="AF85" i="5"/>
  <c r="AL13" i="4"/>
  <c r="AF148" i="5"/>
  <c r="AF57" i="5"/>
  <c r="AF106" i="5"/>
  <c r="AF66" i="5"/>
  <c r="AF50" i="5"/>
  <c r="AL27" i="4"/>
  <c r="AL22" i="4"/>
  <c r="AF65" i="5"/>
  <c r="AF94" i="5"/>
  <c r="AF157" i="5"/>
  <c r="AF138" i="5"/>
  <c r="AF162" i="5"/>
  <c r="AF144" i="5"/>
  <c r="AF103" i="5"/>
  <c r="AF84" i="5"/>
  <c r="AF19" i="5"/>
  <c r="AF61" i="5"/>
  <c r="AF34" i="5"/>
  <c r="AF197" i="5"/>
  <c r="AF163" i="5"/>
  <c r="AF143" i="5"/>
  <c r="AF51" i="5"/>
  <c r="AF42" i="5"/>
  <c r="AF21" i="5"/>
  <c r="AL12" i="4"/>
  <c r="AL66" i="4"/>
  <c r="AF76" i="5"/>
  <c r="AF62" i="5"/>
  <c r="AF72" i="5"/>
  <c r="AF40" i="5"/>
  <c r="AF127" i="5"/>
  <c r="AF16" i="5"/>
  <c r="AF95" i="5"/>
  <c r="AF81" i="5"/>
  <c r="AF151" i="5"/>
  <c r="AL24" i="4"/>
  <c r="AF179" i="5"/>
  <c r="AF99" i="5"/>
  <c r="AF88" i="5"/>
  <c r="AF123" i="5"/>
  <c r="AF172" i="5"/>
  <c r="AL65" i="4"/>
  <c r="AL69" i="4"/>
  <c r="AF87" i="5"/>
  <c r="AL67" i="4"/>
  <c r="AF153" i="5"/>
  <c r="AF150" i="5"/>
  <c r="AF196" i="5"/>
  <c r="AL32" i="4"/>
  <c r="AL63" i="4"/>
  <c r="AF141" i="5"/>
  <c r="AF41" i="5"/>
  <c r="AF17" i="5"/>
  <c r="AF171" i="5"/>
  <c r="AF142" i="5"/>
  <c r="AF80" i="5"/>
  <c r="AF165" i="5"/>
  <c r="AF130" i="5"/>
  <c r="AF201" i="5"/>
  <c r="AL18" i="4"/>
  <c r="AF169" i="5"/>
  <c r="AF24" i="5"/>
  <c r="AL34" i="4"/>
  <c r="AF115" i="5"/>
  <c r="AL29" i="4"/>
  <c r="AL56" i="4"/>
  <c r="AF12" i="5"/>
  <c r="AF11" i="5"/>
  <c r="AF82" i="5"/>
  <c r="AF54" i="5"/>
  <c r="AF15" i="5"/>
  <c r="AL62" i="4"/>
  <c r="AF86" i="5"/>
  <c r="AF176" i="5"/>
  <c r="AF102" i="5"/>
  <c r="AF48" i="5"/>
  <c r="AF175" i="5"/>
  <c r="AF168" i="5"/>
  <c r="AF64" i="5"/>
  <c r="AF129" i="5"/>
  <c r="AF166" i="5"/>
  <c r="AF27" i="5"/>
  <c r="AF109" i="5"/>
  <c r="AF83" i="5"/>
  <c r="AF158" i="5"/>
  <c r="AF122" i="5"/>
  <c r="AF178" i="5"/>
  <c r="AL55" i="4"/>
  <c r="AL9" i="4"/>
  <c r="AF156" i="5"/>
  <c r="AF71" i="5"/>
  <c r="AF60" i="5"/>
  <c r="AF104" i="5"/>
  <c r="AF91" i="5"/>
  <c r="AF160" i="5"/>
  <c r="AF174" i="5"/>
  <c r="AF14" i="5"/>
  <c r="AL72" i="4"/>
  <c r="AF59" i="5"/>
  <c r="AF114" i="5"/>
  <c r="AF96" i="5"/>
  <c r="AF105" i="5"/>
  <c r="AF53" i="5"/>
  <c r="AF36" i="5"/>
  <c r="AF46" i="5"/>
  <c r="AF137" i="5"/>
  <c r="AF199" i="5"/>
  <c r="AL21" i="4"/>
  <c r="AF44" i="5"/>
  <c r="AF67" i="5"/>
  <c r="AF200" i="5"/>
  <c r="AL70" i="4"/>
  <c r="AL57" i="4"/>
  <c r="AF177" i="5"/>
  <c r="AF33" i="5"/>
  <c r="AF108" i="5"/>
  <c r="AF154" i="5"/>
  <c r="AL15" i="4"/>
  <c r="AF25" i="5"/>
  <c r="AF107" i="5"/>
  <c r="AF164" i="5"/>
  <c r="AF23" i="5"/>
  <c r="AF119" i="5"/>
  <c r="AF13" i="5"/>
  <c r="AF149" i="5"/>
  <c r="AF128" i="5"/>
  <c r="AF45" i="5"/>
  <c r="AF37" i="5"/>
  <c r="AF97" i="5"/>
  <c r="AF126" i="5"/>
  <c r="AF35" i="5"/>
  <c r="AF125" i="5"/>
  <c r="AF110" i="5"/>
  <c r="AF124" i="5"/>
  <c r="AF116" i="5"/>
  <c r="AF77" i="5"/>
  <c r="AF133" i="5"/>
  <c r="AF75" i="5"/>
  <c r="AF18" i="5"/>
  <c r="AF147" i="5"/>
  <c r="AF120" i="5"/>
  <c r="AF56" i="5"/>
  <c r="AF31" i="5"/>
  <c r="AF173" i="5"/>
  <c r="AL14" i="4"/>
  <c r="AF74" i="5"/>
  <c r="AF140" i="5"/>
  <c r="AL31" i="4"/>
  <c r="F179" i="6"/>
  <c r="AL26" i="4"/>
  <c r="AF55" i="5"/>
  <c r="AF139" i="5"/>
  <c r="AF118" i="5"/>
  <c r="AF134" i="5"/>
  <c r="AF28" i="5"/>
  <c r="AF111" i="5"/>
  <c r="AL33" i="4"/>
  <c r="AF68" i="5"/>
  <c r="AF90" i="5"/>
  <c r="AF63" i="5"/>
  <c r="AF161" i="5"/>
  <c r="AF100" i="5"/>
  <c r="AF9" i="5"/>
  <c r="R240" i="6"/>
  <c r="H184" i="1"/>
  <c r="E21" i="2" s="1"/>
  <c r="E22" i="2" s="1"/>
  <c r="H202" i="1"/>
  <c r="E44" i="2" s="1"/>
  <c r="H201" i="1"/>
  <c r="E48" i="2" s="1"/>
  <c r="E49" i="2" s="1"/>
  <c r="H176" i="1"/>
  <c r="E42" i="2" s="1"/>
  <c r="F171" i="1"/>
  <c r="H200" i="1"/>
  <c r="E43" i="2" s="1"/>
  <c r="J175" i="1"/>
  <c r="L175" i="1" s="1"/>
  <c r="J173" i="1"/>
  <c r="F170" i="1"/>
  <c r="F210" i="1"/>
  <c r="F213" i="1"/>
  <c r="F211" i="1"/>
  <c r="F31" i="1"/>
  <c r="AL25" i="4" l="1"/>
  <c r="F22" i="6"/>
  <c r="AL10" i="4" s="1"/>
  <c r="E45" i="2"/>
  <c r="G210" i="1"/>
  <c r="J220" i="1"/>
  <c r="F178" i="1"/>
  <c r="F212" i="1"/>
  <c r="H28" i="1"/>
  <c r="H211" i="1"/>
  <c r="H212" i="1"/>
  <c r="H26" i="1"/>
  <c r="H31" i="1"/>
  <c r="H213" i="1"/>
  <c r="G31" i="1"/>
  <c r="G178" i="1"/>
  <c r="G212" i="1"/>
  <c r="F240" i="6" l="1"/>
  <c r="I210" i="1"/>
  <c r="G211" i="1"/>
  <c r="G213" i="1"/>
  <c r="I31" i="1"/>
  <c r="J211" i="1"/>
  <c r="I212" i="1"/>
  <c r="J31" i="1" l="1"/>
  <c r="J213" i="1"/>
  <c r="I211" i="1"/>
  <c r="I213" i="1"/>
  <c r="J178" i="1"/>
  <c r="I178" i="1"/>
  <c r="J212" i="1"/>
  <c r="L31" i="1" l="1"/>
  <c r="N31" i="1" s="1"/>
  <c r="AM54" i="4" l="1"/>
  <c r="AG215" i="5" l="1"/>
  <c r="AG191" i="5"/>
  <c r="AG217" i="5" l="1"/>
  <c r="Q5" i="5" l="1"/>
  <c r="G472" i="2"/>
  <c r="I472" i="2" s="1"/>
  <c r="D472" i="2"/>
  <c r="C472" i="2"/>
  <c r="A472" i="2"/>
  <c r="A473" i="2" s="1"/>
  <c r="AM80" i="4"/>
  <c r="AM49" i="4"/>
  <c r="R54" i="4"/>
  <c r="Q89" i="5" l="1"/>
  <c r="Q130" i="5"/>
  <c r="Q119" i="5"/>
  <c r="Q170" i="5"/>
  <c r="Q97" i="5"/>
  <c r="Q58" i="5"/>
  <c r="N22" i="1"/>
  <c r="N29" i="1"/>
  <c r="F182" i="5"/>
  <c r="F181" i="5"/>
  <c r="F187" i="5"/>
  <c r="F183" i="5"/>
  <c r="F186" i="5"/>
  <c r="F185" i="5"/>
  <c r="F188" i="5"/>
  <c r="F184" i="5"/>
  <c r="AM82" i="4"/>
  <c r="N191" i="1" l="1"/>
  <c r="N134" i="1"/>
  <c r="N23" i="1"/>
  <c r="N112" i="1"/>
  <c r="N83" i="1"/>
  <c r="N146" i="1"/>
  <c r="N44" i="1"/>
  <c r="N168" i="1"/>
  <c r="N76" i="1"/>
  <c r="N73" i="1"/>
  <c r="N91" i="1"/>
  <c r="N147" i="1"/>
  <c r="N75" i="1"/>
  <c r="N34" i="1"/>
  <c r="N113" i="1"/>
  <c r="N109" i="1"/>
  <c r="N18" i="1"/>
  <c r="AL54" i="4"/>
  <c r="N187" i="1" l="1"/>
  <c r="N81" i="1"/>
  <c r="N74" i="1"/>
  <c r="H478" i="2"/>
  <c r="I478" i="2" s="1"/>
  <c r="F17" i="1"/>
  <c r="F26" i="1"/>
  <c r="N208" i="1" l="1"/>
  <c r="N185" i="1"/>
  <c r="G17" i="1"/>
  <c r="G26" i="1"/>
  <c r="N175" i="1" l="1"/>
  <c r="D11" i="2"/>
  <c r="I17" i="1"/>
  <c r="I26" i="1"/>
  <c r="AF215" i="5"/>
  <c r="AD215" i="5"/>
  <c r="AB215" i="5"/>
  <c r="T215" i="5"/>
  <c r="R215" i="5"/>
  <c r="P215" i="5"/>
  <c r="F11" i="2" l="1"/>
  <c r="F12" i="2" s="1"/>
  <c r="F284" i="1"/>
  <c r="I284" i="1"/>
  <c r="F125" i="2" l="1"/>
  <c r="F131" i="2" s="1"/>
  <c r="F136" i="2" s="1"/>
  <c r="G284" i="1"/>
  <c r="G175" i="2"/>
  <c r="D175" i="2"/>
  <c r="C175" i="2"/>
  <c r="H171" i="1" l="1"/>
  <c r="H124" i="1"/>
  <c r="I175" i="2"/>
  <c r="G170" i="1" l="1"/>
  <c r="I170" i="1" l="1"/>
  <c r="F80" i="1"/>
  <c r="H79" i="1" l="1"/>
  <c r="H80" i="1"/>
  <c r="G80" i="1"/>
  <c r="J80" i="1" l="1"/>
  <c r="I80" i="1"/>
  <c r="H163" i="1" l="1"/>
  <c r="H161" i="1" l="1"/>
  <c r="F123" i="1" l="1"/>
  <c r="F124" i="1"/>
  <c r="H123" i="1"/>
  <c r="G123" i="1" l="1"/>
  <c r="G124" i="1"/>
  <c r="F156" i="1"/>
  <c r="F162" i="1" l="1"/>
  <c r="F163" i="1"/>
  <c r="J123" i="1"/>
  <c r="J124" i="1"/>
  <c r="I123" i="1"/>
  <c r="I124" i="1"/>
  <c r="H162" i="1"/>
  <c r="H156" i="1"/>
  <c r="F157" i="1"/>
  <c r="G156" i="1"/>
  <c r="G318" i="2"/>
  <c r="D318" i="2"/>
  <c r="C318" i="2"/>
  <c r="J136" i="1" l="1"/>
  <c r="G367" i="2" s="1"/>
  <c r="G162" i="1"/>
  <c r="G163" i="1"/>
  <c r="H157" i="1"/>
  <c r="J156" i="1"/>
  <c r="I156" i="1"/>
  <c r="G157" i="1"/>
  <c r="G226" i="2"/>
  <c r="C226" i="2"/>
  <c r="D226" i="2"/>
  <c r="G150" i="2"/>
  <c r="D309" i="2"/>
  <c r="C199" i="2"/>
  <c r="D198" i="2"/>
  <c r="D150" i="2"/>
  <c r="C309" i="2"/>
  <c r="C150" i="2"/>
  <c r="D12" i="2"/>
  <c r="D199" i="2"/>
  <c r="G198" i="2"/>
  <c r="G199" i="2"/>
  <c r="C11" i="2"/>
  <c r="G309" i="2"/>
  <c r="C198" i="2"/>
  <c r="D457" i="2"/>
  <c r="C133" i="2"/>
  <c r="G127" i="2"/>
  <c r="G133" i="2"/>
  <c r="G134" i="2" s="1"/>
  <c r="G457" i="2"/>
  <c r="D133" i="2"/>
  <c r="D134" i="2" s="1"/>
  <c r="G381" i="2"/>
  <c r="D129" i="2"/>
  <c r="C127" i="2"/>
  <c r="C457" i="2"/>
  <c r="D127" i="2"/>
  <c r="C129" i="2"/>
  <c r="G129" i="2"/>
  <c r="C381" i="2"/>
  <c r="D381" i="2"/>
  <c r="C205" i="2"/>
  <c r="D233" i="2"/>
  <c r="D403" i="2"/>
  <c r="G205" i="2"/>
  <c r="C403" i="2"/>
  <c r="G403" i="2"/>
  <c r="C282" i="2"/>
  <c r="C496" i="2"/>
  <c r="D497" i="2"/>
  <c r="G344" i="2"/>
  <c r="C490" i="2"/>
  <c r="D503" i="2"/>
  <c r="C267" i="2"/>
  <c r="D425" i="2"/>
  <c r="G388" i="2"/>
  <c r="C252" i="2"/>
  <c r="D254" i="2"/>
  <c r="D282" i="2"/>
  <c r="D358" i="2"/>
  <c r="C157" i="2"/>
  <c r="D464" i="2"/>
  <c r="C165" i="2"/>
  <c r="D366" i="2"/>
  <c r="G333" i="2"/>
  <c r="C266" i="2"/>
  <c r="G334" i="2"/>
  <c r="D374" i="2"/>
  <c r="G166" i="2"/>
  <c r="G310" i="2"/>
  <c r="C312" i="2"/>
  <c r="C215" i="2"/>
  <c r="G262" i="2"/>
  <c r="G263" i="2" s="1"/>
  <c r="C489" i="2"/>
  <c r="D473" i="2"/>
  <c r="G474" i="2"/>
  <c r="G360" i="2"/>
  <c r="D151" i="2"/>
  <c r="C255" i="2"/>
  <c r="D223" i="2"/>
  <c r="G366" i="2"/>
  <c r="C273" i="2"/>
  <c r="D266" i="2"/>
  <c r="C296" i="2"/>
  <c r="C232" i="2"/>
  <c r="C311" i="2"/>
  <c r="D312" i="2"/>
  <c r="C216" i="2"/>
  <c r="D215" i="2"/>
  <c r="D489" i="2"/>
  <c r="D490" i="2"/>
  <c r="G503" i="2"/>
  <c r="D267" i="2"/>
  <c r="G425" i="2"/>
  <c r="D252" i="2"/>
  <c r="G254" i="2"/>
  <c r="C241" i="2"/>
  <c r="C274" i="2"/>
  <c r="C176" i="2"/>
  <c r="G152" i="2"/>
  <c r="D340" i="2"/>
  <c r="C224" i="2"/>
  <c r="D290" i="2"/>
  <c r="D165" i="2"/>
  <c r="C443" i="2"/>
  <c r="G340" i="2"/>
  <c r="D224" i="2"/>
  <c r="D289" i="2"/>
  <c r="G497" i="2"/>
  <c r="C359" i="2"/>
  <c r="D255" i="2"/>
  <c r="G223" i="2"/>
  <c r="G290" i="2"/>
  <c r="D496" i="2"/>
  <c r="G358" i="2"/>
  <c r="D157" i="2"/>
  <c r="C352" i="2"/>
  <c r="C404" i="2"/>
  <c r="C382" i="2"/>
  <c r="C396" i="2"/>
  <c r="G151" i="2"/>
  <c r="D351" i="2"/>
  <c r="D176" i="2"/>
  <c r="G464" i="2"/>
  <c r="C288" i="2"/>
  <c r="C128" i="2"/>
  <c r="D368" i="2"/>
  <c r="D504" i="2"/>
  <c r="D288" i="2"/>
  <c r="D443" i="2"/>
  <c r="G255" i="2"/>
  <c r="G224" i="2"/>
  <c r="G289" i="2"/>
  <c r="C319" i="2"/>
  <c r="C152" i="2"/>
  <c r="G352" i="2"/>
  <c r="G496" i="2"/>
  <c r="C360" i="2"/>
  <c r="G176" i="2"/>
  <c r="G165" i="2"/>
  <c r="C333" i="2"/>
  <c r="D273" i="2"/>
  <c r="G266" i="2"/>
  <c r="C334" i="2"/>
  <c r="D296" i="2"/>
  <c r="C166" i="2"/>
  <c r="D232" i="2"/>
  <c r="C310" i="2"/>
  <c r="D311" i="2"/>
  <c r="G312" i="2"/>
  <c r="D216" i="2"/>
  <c r="G215" i="2"/>
  <c r="C262" i="2"/>
  <c r="C474" i="2"/>
  <c r="G490" i="2"/>
  <c r="G368" i="2"/>
  <c r="G504" i="2"/>
  <c r="G267" i="2"/>
  <c r="C388" i="2"/>
  <c r="G252" i="2"/>
  <c r="C253" i="2"/>
  <c r="D241" i="2"/>
  <c r="D274" i="2"/>
  <c r="G282" i="2"/>
  <c r="C233" i="2"/>
  <c r="D205" i="2"/>
  <c r="C344" i="2"/>
  <c r="G351" i="2"/>
  <c r="D359" i="2"/>
  <c r="G157" i="2"/>
  <c r="D128" i="2"/>
  <c r="G288" i="2"/>
  <c r="C151" i="2"/>
  <c r="D152" i="2"/>
  <c r="G443" i="2"/>
  <c r="C340" i="2"/>
  <c r="C223" i="2"/>
  <c r="C290" i="2"/>
  <c r="D319" i="2"/>
  <c r="C497" i="2"/>
  <c r="D344" i="2"/>
  <c r="C358" i="2"/>
  <c r="D360" i="2"/>
  <c r="G359" i="2"/>
  <c r="C464" i="2"/>
  <c r="D352" i="2"/>
  <c r="G128" i="2"/>
  <c r="C366" i="2"/>
  <c r="D333" i="2"/>
  <c r="G273" i="2"/>
  <c r="D334" i="2"/>
  <c r="G296" i="2"/>
  <c r="C374" i="2"/>
  <c r="D166" i="2"/>
  <c r="G232" i="2"/>
  <c r="D310" i="2"/>
  <c r="G311" i="2"/>
  <c r="G216" i="2"/>
  <c r="D262" i="2"/>
  <c r="D263" i="2" s="1"/>
  <c r="C473" i="2"/>
  <c r="D474" i="2"/>
  <c r="C503" i="2"/>
  <c r="D404" i="2"/>
  <c r="D382" i="2"/>
  <c r="C425" i="2"/>
  <c r="D388" i="2"/>
  <c r="C254" i="2"/>
  <c r="D253" i="2"/>
  <c r="G241" i="2"/>
  <c r="G404" i="2"/>
  <c r="C368" i="2"/>
  <c r="C504" i="2"/>
  <c r="G382" i="2"/>
  <c r="G374" i="2"/>
  <c r="G473" i="2"/>
  <c r="G489" i="2"/>
  <c r="G253" i="2" l="1"/>
  <c r="G167" i="2"/>
  <c r="G169" i="2" s="1"/>
  <c r="J162" i="1"/>
  <c r="J163" i="1"/>
  <c r="I162" i="1"/>
  <c r="I163" i="1"/>
  <c r="C153" i="2"/>
  <c r="D153" i="2"/>
  <c r="G153" i="2"/>
  <c r="C507" i="2"/>
  <c r="G507" i="2"/>
  <c r="D507" i="2"/>
  <c r="I157" i="1"/>
  <c r="J157" i="1"/>
  <c r="D383" i="2"/>
  <c r="G369" i="2"/>
  <c r="G383" i="2"/>
  <c r="G405" i="2"/>
  <c r="D234" i="2"/>
  <c r="D236" i="2" s="1"/>
  <c r="G335" i="2"/>
  <c r="G353" i="2"/>
  <c r="D283" i="2"/>
  <c r="D498" i="2"/>
  <c r="G498" i="2"/>
  <c r="D491" i="2"/>
  <c r="D369" i="2"/>
  <c r="D405" i="2"/>
  <c r="D217" i="2"/>
  <c r="D313" i="2"/>
  <c r="D353" i="2"/>
  <c r="G361" i="2"/>
  <c r="D167" i="2"/>
  <c r="D169" i="2" s="1"/>
  <c r="D270" i="2"/>
  <c r="D361" i="2"/>
  <c r="G313" i="2"/>
  <c r="G270" i="2"/>
  <c r="G217" i="2"/>
  <c r="D291" i="2"/>
  <c r="C369" i="2"/>
  <c r="D335" i="2"/>
  <c r="G291" i="2"/>
  <c r="D275" i="2"/>
  <c r="G491" i="2"/>
  <c r="L162" i="1" l="1"/>
  <c r="N162" i="1" s="1"/>
  <c r="G274" i="2"/>
  <c r="D277" i="2"/>
  <c r="F79" i="1" l="1"/>
  <c r="G275" i="2"/>
  <c r="G277" i="2" s="1"/>
  <c r="H58" i="1"/>
  <c r="C351" i="2"/>
  <c r="C156" i="2"/>
  <c r="C158" i="2" s="1"/>
  <c r="C160" i="2" s="1"/>
  <c r="C465" i="2" l="1"/>
  <c r="G79" i="1"/>
  <c r="D156" i="2"/>
  <c r="D158" i="2" s="1"/>
  <c r="D160" i="2" s="1"/>
  <c r="D465" i="2" l="1"/>
  <c r="D466" i="2" s="1"/>
  <c r="I79" i="1"/>
  <c r="J79" i="1"/>
  <c r="G156" i="2"/>
  <c r="G158" i="2" s="1"/>
  <c r="G160" i="2" s="1"/>
  <c r="G465" i="2" l="1"/>
  <c r="G466" i="2" s="1"/>
  <c r="A11" i="5" l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l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C300" i="2"/>
  <c r="C297" i="2"/>
  <c r="G300" i="2"/>
  <c r="A113" i="5" l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12" i="5"/>
  <c r="D300" i="2"/>
  <c r="D297" i="2"/>
  <c r="D298" i="2" s="1"/>
  <c r="A152" i="5" l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504" i="2"/>
  <c r="A505" i="2" s="1"/>
  <c r="A506" i="2" s="1"/>
  <c r="A490" i="2"/>
  <c r="A474" i="2"/>
  <c r="A475" i="2" s="1"/>
  <c r="A476" i="2" s="1"/>
  <c r="A477" i="2" s="1"/>
  <c r="A478" i="2" s="1"/>
  <c r="A479" i="2" s="1"/>
  <c r="A480" i="2" s="1"/>
  <c r="A481" i="2" s="1"/>
  <c r="A482" i="2" s="1"/>
  <c r="A483" i="2" s="1"/>
  <c r="D219" i="5" l="1"/>
  <c r="C193" i="5"/>
  <c r="D217" i="5" s="1"/>
  <c r="A809" i="13"/>
  <c r="A810" i="13" s="1"/>
  <c r="C317" i="1"/>
  <c r="A243" i="6"/>
  <c r="A244" i="6" s="1"/>
  <c r="C809" i="13"/>
  <c r="C810" i="13" s="1"/>
  <c r="A776" i="13"/>
  <c r="B776" i="13" s="1"/>
  <c r="AA215" i="5" l="1"/>
  <c r="AC215" i="5"/>
  <c r="AE215" i="5"/>
  <c r="A465" i="2" l="1"/>
  <c r="A359" i="2"/>
  <c r="A360" i="2" s="1"/>
  <c r="A458" i="2" l="1"/>
  <c r="A451" i="2"/>
  <c r="AF191" i="5" l="1"/>
  <c r="U5" i="5"/>
  <c r="AL49" i="4"/>
  <c r="F202" i="5" l="1"/>
  <c r="F204" i="5"/>
  <c r="F206" i="5"/>
  <c r="F203" i="5"/>
  <c r="F205" i="5"/>
  <c r="C12" i="2"/>
  <c r="C466" i="2"/>
  <c r="AF217" i="5"/>
  <c r="AA191" i="5"/>
  <c r="AA217" i="5" s="1"/>
  <c r="AC191" i="5"/>
  <c r="AC217" i="5" s="1"/>
  <c r="AA5" i="4"/>
  <c r="AA60" i="4" l="1"/>
  <c r="AA12" i="4"/>
  <c r="L12" i="2"/>
  <c r="M12" i="2" s="1"/>
  <c r="N209" i="1"/>
  <c r="H476" i="2"/>
  <c r="I476" i="2" s="1"/>
  <c r="S215" i="5"/>
  <c r="C491" i="2"/>
  <c r="H30" i="1" l="1"/>
  <c r="E25" i="2" s="1"/>
  <c r="E26" i="2" s="1"/>
  <c r="F28" i="1"/>
  <c r="F177" i="1"/>
  <c r="C450" i="2" s="1"/>
  <c r="H169" i="1"/>
  <c r="H297" i="1"/>
  <c r="F289" i="1"/>
  <c r="F283" i="1"/>
  <c r="F290" i="1"/>
  <c r="F291" i="1"/>
  <c r="H333" i="2"/>
  <c r="I333" i="2" s="1"/>
  <c r="H312" i="2"/>
  <c r="I312" i="2" s="1"/>
  <c r="I28" i="1" l="1"/>
  <c r="G28" i="1"/>
  <c r="F172" i="1"/>
  <c r="G283" i="1"/>
  <c r="F160" i="1"/>
  <c r="C242" i="2" s="1"/>
  <c r="F161" i="1"/>
  <c r="G177" i="1"/>
  <c r="D450" i="2" s="1"/>
  <c r="G171" i="1"/>
  <c r="P12" i="2"/>
  <c r="G291" i="1"/>
  <c r="F297" i="1"/>
  <c r="H160" i="1"/>
  <c r="G289" i="1"/>
  <c r="I283" i="1"/>
  <c r="G290" i="1"/>
  <c r="G297" i="1"/>
  <c r="H464" i="2"/>
  <c r="I464" i="2" s="1"/>
  <c r="J192" i="1" l="1"/>
  <c r="J189" i="1"/>
  <c r="D396" i="2"/>
  <c r="G319" i="2"/>
  <c r="C244" i="2"/>
  <c r="J28" i="1"/>
  <c r="C243" i="2"/>
  <c r="G172" i="1"/>
  <c r="G160" i="1"/>
  <c r="D242" i="2" s="1"/>
  <c r="G161" i="1"/>
  <c r="J171" i="1"/>
  <c r="I172" i="1"/>
  <c r="I177" i="1"/>
  <c r="I171" i="1"/>
  <c r="F69" i="2"/>
  <c r="F70" i="2" s="1"/>
  <c r="I290" i="1"/>
  <c r="I289" i="1"/>
  <c r="I291" i="1"/>
  <c r="C206" i="2"/>
  <c r="C389" i="2"/>
  <c r="D389" i="2"/>
  <c r="D206" i="2"/>
  <c r="G389" i="2"/>
  <c r="G206" i="2"/>
  <c r="D177" i="2"/>
  <c r="C177" i="2"/>
  <c r="F79" i="2" l="1"/>
  <c r="L192" i="1"/>
  <c r="N192" i="1" s="1"/>
  <c r="D243" i="2"/>
  <c r="D244" i="2"/>
  <c r="J160" i="1"/>
  <c r="J161" i="1"/>
  <c r="I160" i="1"/>
  <c r="I161" i="1"/>
  <c r="I297" i="1"/>
  <c r="J297" i="1"/>
  <c r="G177" i="2"/>
  <c r="G242" i="2" l="1"/>
  <c r="G243" i="2"/>
  <c r="G244" i="2"/>
  <c r="L297" i="1"/>
  <c r="H177" i="2"/>
  <c r="I177" i="2" s="1"/>
  <c r="G283" i="2"/>
  <c r="AK54" i="4"/>
  <c r="AI54" i="4"/>
  <c r="M82" i="4"/>
  <c r="H243" i="2" l="1"/>
  <c r="I243" i="2" s="1"/>
  <c r="N297" i="1"/>
  <c r="AG49" i="4"/>
  <c r="Y54" i="4"/>
  <c r="F169" i="1" l="1"/>
  <c r="C187" i="2" s="1"/>
  <c r="F164" i="1"/>
  <c r="C397" i="2" l="1"/>
  <c r="F47" i="1"/>
  <c r="F58" i="1"/>
  <c r="C345" i="2" s="1"/>
  <c r="F165" i="1"/>
  <c r="C327" i="2" s="1"/>
  <c r="D222" i="5"/>
  <c r="D225" i="5"/>
  <c r="D227" i="5" s="1"/>
  <c r="H47" i="1"/>
  <c r="H164" i="1"/>
  <c r="H165" i="1"/>
  <c r="C458" i="2"/>
  <c r="C117" i="2"/>
  <c r="C426" i="2"/>
  <c r="C320" i="2"/>
  <c r="C251" i="2"/>
  <c r="C130" i="2"/>
  <c r="C471" i="2"/>
  <c r="C484" i="2" s="1"/>
  <c r="C326" i="2"/>
  <c r="C289" i="2"/>
  <c r="C69" i="2"/>
  <c r="G164" i="1"/>
  <c r="C197" i="2" l="1"/>
  <c r="D397" i="2"/>
  <c r="D398" i="2" s="1"/>
  <c r="C451" i="2"/>
  <c r="C452" i="2" s="1"/>
  <c r="G47" i="1"/>
  <c r="G58" i="1"/>
  <c r="D345" i="2" s="1"/>
  <c r="D346" i="2" s="1"/>
  <c r="G165" i="1"/>
  <c r="D327" i="2" s="1"/>
  <c r="G169" i="1"/>
  <c r="D187" i="2" s="1"/>
  <c r="D228" i="5"/>
  <c r="I164" i="1"/>
  <c r="J164" i="1"/>
  <c r="C208" i="2"/>
  <c r="C256" i="2"/>
  <c r="D458" i="2"/>
  <c r="C459" i="2"/>
  <c r="D117" i="2"/>
  <c r="D118" i="2" s="1"/>
  <c r="D426" i="2"/>
  <c r="D427" i="2" s="1"/>
  <c r="D196" i="2"/>
  <c r="C417" i="2"/>
  <c r="C196" i="2"/>
  <c r="C209" i="2"/>
  <c r="C174" i="2"/>
  <c r="C375" i="2"/>
  <c r="C376" i="2" s="1"/>
  <c r="C390" i="2"/>
  <c r="C222" i="2"/>
  <c r="C225" i="2"/>
  <c r="C207" i="2"/>
  <c r="C178" i="2"/>
  <c r="C444" i="2"/>
  <c r="D471" i="2"/>
  <c r="D484" i="2" s="1"/>
  <c r="D326" i="2"/>
  <c r="D320" i="2"/>
  <c r="D321" i="2" s="1"/>
  <c r="D251" i="2"/>
  <c r="C301" i="2"/>
  <c r="C70" i="2"/>
  <c r="D245" i="2"/>
  <c r="D246" i="2" s="1"/>
  <c r="D69" i="2"/>
  <c r="D70" i="2" s="1"/>
  <c r="D197" i="2" l="1"/>
  <c r="D200" i="2" s="1"/>
  <c r="G397" i="2"/>
  <c r="D328" i="2"/>
  <c r="H237" i="1"/>
  <c r="D451" i="2"/>
  <c r="D452" i="2" s="1"/>
  <c r="L70" i="2"/>
  <c r="M70" i="2" s="1"/>
  <c r="P70" i="2" s="1"/>
  <c r="H210" i="1"/>
  <c r="I47" i="1"/>
  <c r="I58" i="1"/>
  <c r="J47" i="1"/>
  <c r="J58" i="1"/>
  <c r="I165" i="1"/>
  <c r="I169" i="1"/>
  <c r="J165" i="1"/>
  <c r="J169" i="1"/>
  <c r="D126" i="2"/>
  <c r="C126" i="2"/>
  <c r="C245" i="2"/>
  <c r="C190" i="2"/>
  <c r="D208" i="2"/>
  <c r="C341" i="2"/>
  <c r="D459" i="2"/>
  <c r="G117" i="2"/>
  <c r="G118" i="2" s="1"/>
  <c r="D130" i="2"/>
  <c r="D256" i="2"/>
  <c r="D257" i="2" s="1"/>
  <c r="G471" i="2"/>
  <c r="G484" i="2" s="1"/>
  <c r="D174" i="2"/>
  <c r="D375" i="2"/>
  <c r="D376" i="2" s="1"/>
  <c r="D390" i="2"/>
  <c r="D391" i="2" s="1"/>
  <c r="H471" i="2"/>
  <c r="D178" i="2"/>
  <c r="D207" i="2"/>
  <c r="D222" i="2"/>
  <c r="D225" i="2"/>
  <c r="D209" i="2"/>
  <c r="D341" i="2"/>
  <c r="D342" i="2" s="1"/>
  <c r="D301" i="2"/>
  <c r="D302" i="2" s="1"/>
  <c r="D304" i="2" s="1"/>
  <c r="C79" i="2"/>
  <c r="C125" i="2"/>
  <c r="G251" i="2"/>
  <c r="G327" i="2" l="1"/>
  <c r="J237" i="1"/>
  <c r="J210" i="1"/>
  <c r="G451" i="2"/>
  <c r="F187" i="2"/>
  <c r="G345" i="2"/>
  <c r="G346" i="2" s="1"/>
  <c r="G197" i="2"/>
  <c r="O70" i="2"/>
  <c r="H177" i="1"/>
  <c r="G190" i="2"/>
  <c r="G326" i="2"/>
  <c r="I471" i="2"/>
  <c r="D190" i="2"/>
  <c r="D210" i="2"/>
  <c r="G208" i="2"/>
  <c r="D417" i="2"/>
  <c r="H289" i="2"/>
  <c r="I289" i="2" s="1"/>
  <c r="G174" i="2"/>
  <c r="G375" i="2"/>
  <c r="G376" i="2" s="1"/>
  <c r="G222" i="2"/>
  <c r="G225" i="2"/>
  <c r="D227" i="2"/>
  <c r="G207" i="2"/>
  <c r="G178" i="2"/>
  <c r="G130" i="2"/>
  <c r="D179" i="2"/>
  <c r="D182" i="2" s="1"/>
  <c r="D444" i="2"/>
  <c r="D445" i="2" s="1"/>
  <c r="G320" i="2"/>
  <c r="G390" i="2"/>
  <c r="D79" i="2"/>
  <c r="G209" i="2"/>
  <c r="D125" i="2"/>
  <c r="D131" i="2" s="1"/>
  <c r="D136" i="2" s="1"/>
  <c r="A54" i="2"/>
  <c r="A55" i="2" s="1"/>
  <c r="A56" i="2" s="1"/>
  <c r="A345" i="2"/>
  <c r="A444" i="2"/>
  <c r="A433" i="2"/>
  <c r="A426" i="2"/>
  <c r="A411" i="2"/>
  <c r="A404" i="2"/>
  <c r="A397" i="2"/>
  <c r="A389" i="2"/>
  <c r="A390" i="2" s="1"/>
  <c r="A382" i="2"/>
  <c r="A375" i="2"/>
  <c r="A352" i="2"/>
  <c r="A341" i="2"/>
  <c r="A334" i="2"/>
  <c r="A216" i="2"/>
  <c r="A327" i="2"/>
  <c r="A16" i="2"/>
  <c r="A25" i="2"/>
  <c r="A29" i="2" s="1"/>
  <c r="A30" i="2" s="1"/>
  <c r="A38" i="2"/>
  <c r="A43" i="2"/>
  <c r="A44" i="2" s="1"/>
  <c r="A48" i="2" s="1"/>
  <c r="A60" i="2"/>
  <c r="A78" i="2"/>
  <c r="A79" i="2" s="1"/>
  <c r="A80" i="2" s="1"/>
  <c r="A81" i="2" s="1"/>
  <c r="A82" i="2" s="1"/>
  <c r="A101" i="2"/>
  <c r="A102" i="2" s="1"/>
  <c r="A111" i="2"/>
  <c r="A112" i="2" s="1"/>
  <c r="A117" i="2" s="1"/>
  <c r="A126" i="2"/>
  <c r="A127" i="2" s="1"/>
  <c r="A128" i="2" s="1"/>
  <c r="A129" i="2" s="1"/>
  <c r="A130" i="2" s="1"/>
  <c r="A142" i="2"/>
  <c r="A143" i="2" s="1"/>
  <c r="A144" i="2" s="1"/>
  <c r="A166" i="2"/>
  <c r="A175" i="2"/>
  <c r="A176" i="2" s="1"/>
  <c r="A177" i="2" s="1"/>
  <c r="A178" i="2" s="1"/>
  <c r="A188" i="2"/>
  <c r="A189" i="2" s="1"/>
  <c r="A190" i="2" s="1"/>
  <c r="A197" i="2"/>
  <c r="A198" i="2" s="1"/>
  <c r="A199" i="2" s="1"/>
  <c r="A206" i="2"/>
  <c r="A207" i="2" s="1"/>
  <c r="A223" i="2"/>
  <c r="A224" i="2" s="1"/>
  <c r="A225" i="2" s="1"/>
  <c r="A226" i="2" s="1"/>
  <c r="A233" i="2"/>
  <c r="A242" i="2"/>
  <c r="A243" i="2" s="1"/>
  <c r="A244" i="2" s="1"/>
  <c r="A245" i="2" s="1"/>
  <c r="A252" i="2"/>
  <c r="A253" i="2" s="1"/>
  <c r="A254" i="2" s="1"/>
  <c r="A255" i="2" s="1"/>
  <c r="A256" i="2" s="1"/>
  <c r="A267" i="2"/>
  <c r="A268" i="2" s="1"/>
  <c r="A269" i="2" s="1"/>
  <c r="A273" i="2"/>
  <c r="A274" i="2" s="1"/>
  <c r="A289" i="2"/>
  <c r="A290" i="2" s="1"/>
  <c r="A297" i="2"/>
  <c r="A301" i="2"/>
  <c r="A310" i="2"/>
  <c r="A311" i="2" s="1"/>
  <c r="A312" i="2" s="1"/>
  <c r="G328" i="2" l="1"/>
  <c r="G426" i="2"/>
  <c r="G427" i="2" s="1"/>
  <c r="J170" i="1"/>
  <c r="H170" i="1"/>
  <c r="E187" i="2" s="1"/>
  <c r="A434" i="2"/>
  <c r="A435" i="2" s="1"/>
  <c r="A436" i="2" s="1"/>
  <c r="A208" i="2"/>
  <c r="A209" i="2" s="1"/>
  <c r="A152" i="2"/>
  <c r="A156" i="2" s="1"/>
  <c r="A157" i="2" s="1"/>
  <c r="A133" i="2"/>
  <c r="D420" i="2"/>
  <c r="G341" i="2"/>
  <c r="G342" i="2" s="1"/>
  <c r="A61" i="2"/>
  <c r="A62" i="2" s="1"/>
  <c r="A63" i="2" s="1"/>
  <c r="A64" i="2" s="1"/>
  <c r="A69" i="2" s="1"/>
  <c r="A73" i="2" s="1"/>
  <c r="G420" i="2"/>
  <c r="G210" i="2"/>
  <c r="G227" i="2"/>
  <c r="G179" i="2"/>
  <c r="G182" i="2" s="1"/>
  <c r="G391" i="2"/>
  <c r="G321" i="2"/>
  <c r="C498" i="2"/>
  <c r="C346" i="2"/>
  <c r="C217" i="2"/>
  <c r="C342" i="2"/>
  <c r="C134" i="2"/>
  <c r="C118" i="2"/>
  <c r="C263" i="2"/>
  <c r="C316" i="1" l="1"/>
  <c r="C318" i="1" s="1"/>
  <c r="H282" i="1"/>
  <c r="H280" i="1"/>
  <c r="G187" i="2"/>
  <c r="G396" i="2"/>
  <c r="G398" i="2" s="1"/>
  <c r="H283" i="1"/>
  <c r="H172" i="1"/>
  <c r="G69" i="2"/>
  <c r="H290" i="1"/>
  <c r="E79" i="2" s="1"/>
  <c r="J172" i="1"/>
  <c r="J177" i="1"/>
  <c r="C383" i="2"/>
  <c r="C328" i="2"/>
  <c r="C167" i="2"/>
  <c r="C169" i="2" s="1"/>
  <c r="C234" i="2"/>
  <c r="C236" i="2" s="1"/>
  <c r="C398" i="2"/>
  <c r="C335" i="2"/>
  <c r="C361" i="2"/>
  <c r="C298" i="2"/>
  <c r="C283" i="2"/>
  <c r="C210" i="2"/>
  <c r="C302" i="2"/>
  <c r="C405" i="2"/>
  <c r="C270" i="2"/>
  <c r="C313" i="2"/>
  <c r="C427" i="2"/>
  <c r="C445" i="2"/>
  <c r="C420" i="2"/>
  <c r="C391" i="2"/>
  <c r="C257" i="2"/>
  <c r="C321" i="2"/>
  <c r="C275" i="2"/>
  <c r="C227" i="2"/>
  <c r="C131" i="2"/>
  <c r="C136" i="2" s="1"/>
  <c r="C353" i="2"/>
  <c r="C200" i="2"/>
  <c r="C246" i="2"/>
  <c r="C291" i="2"/>
  <c r="C179" i="2"/>
  <c r="C182" i="2" s="1"/>
  <c r="J283" i="1" l="1"/>
  <c r="J280" i="1"/>
  <c r="H284" i="1"/>
  <c r="E125" i="2" s="1"/>
  <c r="J290" i="1"/>
  <c r="G79" i="2" s="1"/>
  <c r="J284" i="1"/>
  <c r="J282" i="1"/>
  <c r="G450" i="2"/>
  <c r="G452" i="2" s="1"/>
  <c r="G256" i="2"/>
  <c r="G257" i="2" s="1"/>
  <c r="H69" i="2"/>
  <c r="H70" i="2" s="1"/>
  <c r="G70" i="2"/>
  <c r="C277" i="2"/>
  <c r="C304" i="2"/>
  <c r="G125" i="2" l="1"/>
  <c r="L282" i="1"/>
  <c r="L280" i="1"/>
  <c r="G297" i="2"/>
  <c r="G298" i="2" s="1"/>
  <c r="I69" i="2"/>
  <c r="I70" i="2" s="1"/>
  <c r="B9" i="15"/>
  <c r="B11" i="15" s="1"/>
  <c r="N282" i="1" l="1"/>
  <c r="N280" i="1"/>
  <c r="E22" i="15"/>
  <c r="H22" i="15"/>
  <c r="E27" i="15"/>
  <c r="E26" i="15"/>
  <c r="E28" i="15"/>
  <c r="E24" i="15"/>
  <c r="E23" i="15"/>
  <c r="E25" i="15"/>
  <c r="H291" i="1" l="1"/>
  <c r="E17" i="15"/>
  <c r="B13" i="15" s="1"/>
  <c r="AL80" i="4"/>
  <c r="AL82" i="4" s="1"/>
  <c r="AK80" i="4"/>
  <c r="Y80" i="4"/>
  <c r="J291" i="1" l="1"/>
  <c r="G458" i="2"/>
  <c r="L291" i="1" l="1"/>
  <c r="G459" i="2"/>
  <c r="H458" i="2"/>
  <c r="N291" i="1" l="1"/>
  <c r="I458" i="2"/>
  <c r="F285" i="1" l="1"/>
  <c r="G285" i="1" l="1"/>
  <c r="I285" i="1" l="1"/>
  <c r="H281" i="1" l="1"/>
  <c r="E126" i="2" s="1"/>
  <c r="E131" i="2" s="1"/>
  <c r="E136" i="2" s="1"/>
  <c r="H285" i="1"/>
  <c r="J281" i="1" l="1"/>
  <c r="J285" i="1"/>
  <c r="H17" i="1"/>
  <c r="G301" i="2" l="1"/>
  <c r="G302" i="2" s="1"/>
  <c r="G304" i="2" s="1"/>
  <c r="G126" i="2"/>
  <c r="G131" i="2" s="1"/>
  <c r="G136" i="2" s="1"/>
  <c r="E11" i="2"/>
  <c r="J26" i="1"/>
  <c r="L285" i="1"/>
  <c r="J17" i="1"/>
  <c r="G196" i="2" l="1"/>
  <c r="G200" i="2" s="1"/>
  <c r="L26" i="1"/>
  <c r="H196" i="2" s="1"/>
  <c r="N285" i="1"/>
  <c r="G11" i="2"/>
  <c r="I196" i="2" l="1"/>
  <c r="N26" i="1"/>
  <c r="G12" i="2"/>
  <c r="A3" i="1" l="1"/>
  <c r="A3" i="6"/>
  <c r="T4" i="5"/>
  <c r="Z4" i="4"/>
  <c r="H289" i="1" l="1"/>
  <c r="J289" i="1" l="1"/>
  <c r="L289" i="1" s="1"/>
  <c r="N289" i="1" l="1"/>
  <c r="G444" i="2" l="1"/>
  <c r="G445" i="2" s="1"/>
  <c r="G245" i="2"/>
  <c r="G246" i="2" s="1"/>
  <c r="J199" i="1"/>
  <c r="G233" i="2" s="1"/>
  <c r="G234" i="2" s="1"/>
  <c r="G236" i="2" s="1"/>
  <c r="F444" i="2"/>
  <c r="F445" i="2" s="1"/>
  <c r="AK25" i="4"/>
  <c r="AN25" i="4" s="1"/>
  <c r="F25" i="4" s="1"/>
  <c r="G25" i="4" s="1"/>
  <c r="K25" i="4" s="1"/>
  <c r="J184" i="1" s="1"/>
  <c r="AN26" i="4"/>
  <c r="F26" i="4" s="1"/>
  <c r="AG70" i="4"/>
  <c r="AG62" i="4"/>
  <c r="AN22" i="4"/>
  <c r="F22" i="4" s="1"/>
  <c r="G22" i="4" s="1"/>
  <c r="AN35" i="4"/>
  <c r="F35" i="4" s="1"/>
  <c r="F61" i="4"/>
  <c r="AN27" i="4"/>
  <c r="F27" i="4" s="1"/>
  <c r="AA66" i="4"/>
  <c r="AG67" i="4"/>
  <c r="AN36" i="4"/>
  <c r="F36" i="4" s="1"/>
  <c r="F58" i="4"/>
  <c r="AN9" i="4"/>
  <c r="F9" i="4" s="1"/>
  <c r="AN17" i="4"/>
  <c r="F17" i="4" s="1"/>
  <c r="F139" i="1" s="1"/>
  <c r="C87" i="2" s="1"/>
  <c r="C88" i="2" s="1"/>
  <c r="AN16" i="4"/>
  <c r="F16" i="4" s="1"/>
  <c r="AN28" i="4"/>
  <c r="F28" i="4" s="1"/>
  <c r="F68" i="4"/>
  <c r="AN33" i="4"/>
  <c r="F33" i="4" s="1"/>
  <c r="AA69" i="4"/>
  <c r="AN32" i="4"/>
  <c r="F32" i="4" s="1"/>
  <c r="AN20" i="4"/>
  <c r="F20" i="4" s="1"/>
  <c r="AN15" i="4"/>
  <c r="F15" i="4" s="1"/>
  <c r="G15" i="4" s="1"/>
  <c r="G90" i="1" s="1"/>
  <c r="D62" i="2" s="1"/>
  <c r="AN18" i="4"/>
  <c r="F18" i="4" s="1"/>
  <c r="F174" i="1" s="1"/>
  <c r="C15" i="2" s="1"/>
  <c r="AN11" i="4"/>
  <c r="F11" i="4" s="1"/>
  <c r="F35" i="1" s="1"/>
  <c r="C63" i="2" s="1"/>
  <c r="S60" i="2" s="1"/>
  <c r="AI65" i="4"/>
  <c r="AI80" i="4" s="1"/>
  <c r="AN19" i="4"/>
  <c r="F19" i="4" s="1"/>
  <c r="AK30" i="4"/>
  <c r="AN30" i="4" s="1"/>
  <c r="F30" i="4" s="1"/>
  <c r="AN24" i="4"/>
  <c r="F24" i="4" s="1"/>
  <c r="AN13" i="4"/>
  <c r="F13" i="4" s="1"/>
  <c r="Y34" i="4"/>
  <c r="AN34" i="4" s="1"/>
  <c r="F34" i="4" s="1"/>
  <c r="AK23" i="4"/>
  <c r="AN23" i="4" s="1"/>
  <c r="F23" i="4" s="1"/>
  <c r="AN37" i="4"/>
  <c r="F37" i="4" s="1"/>
  <c r="G37" i="4" s="1"/>
  <c r="G241" i="1" s="1"/>
  <c r="D142" i="2" s="1"/>
  <c r="AA57" i="4"/>
  <c r="Y12" i="4"/>
  <c r="AN12" i="4" s="1"/>
  <c r="F12" i="4" s="1"/>
  <c r="AA64" i="4"/>
  <c r="AK10" i="4"/>
  <c r="AA63" i="4"/>
  <c r="AG56" i="4"/>
  <c r="AN31" i="4"/>
  <c r="F31" i="4" s="1"/>
  <c r="AN14" i="4"/>
  <c r="F14" i="4" s="1"/>
  <c r="AK21" i="4"/>
  <c r="T60" i="2" l="1"/>
  <c r="I28" i="4"/>
  <c r="H194" i="1" s="1"/>
  <c r="E434" i="2" s="1"/>
  <c r="F194" i="1"/>
  <c r="C434" i="2" s="1"/>
  <c r="G24" i="4"/>
  <c r="F183" i="1"/>
  <c r="C53" i="2" s="1"/>
  <c r="AG63" i="4"/>
  <c r="AN63" i="4" s="1"/>
  <c r="F63" i="4" s="1"/>
  <c r="AA65" i="4"/>
  <c r="AN65" i="4" s="1"/>
  <c r="F65" i="4" s="1"/>
  <c r="S82" i="2" s="1"/>
  <c r="T82" i="2" s="1"/>
  <c r="U82" i="2" s="1"/>
  <c r="I16" i="4"/>
  <c r="H138" i="1" s="1"/>
  <c r="E436" i="2" s="1"/>
  <c r="G16" i="4"/>
  <c r="G138" i="1" s="1"/>
  <c r="D436" i="2" s="1"/>
  <c r="AA62" i="4"/>
  <c r="AA10" i="4"/>
  <c r="AN10" i="4" s="1"/>
  <c r="F10" i="4" s="1"/>
  <c r="AA67" i="4"/>
  <c r="AN67" i="4" s="1"/>
  <c r="F67" i="4" s="1"/>
  <c r="I9" i="4"/>
  <c r="H27" i="1" s="1"/>
  <c r="G9" i="4"/>
  <c r="F200" i="1"/>
  <c r="C43" i="2" s="1"/>
  <c r="G30" i="4"/>
  <c r="J30" i="4" s="1"/>
  <c r="I200" i="1" s="1"/>
  <c r="F43" i="2" s="1"/>
  <c r="AA56" i="4"/>
  <c r="AG69" i="4"/>
  <c r="AG57" i="4"/>
  <c r="AN57" i="4" s="1"/>
  <c r="I18" i="4"/>
  <c r="H174" i="1" s="1"/>
  <c r="E15" i="2" s="1"/>
  <c r="G19" i="4"/>
  <c r="G176" i="1" s="1"/>
  <c r="D42" i="2" s="1"/>
  <c r="F176" i="1"/>
  <c r="C42" i="2" s="1"/>
  <c r="I20" i="4"/>
  <c r="H179" i="1" s="1"/>
  <c r="E54" i="2" s="1"/>
  <c r="F179" i="1"/>
  <c r="C54" i="2" s="1"/>
  <c r="G20" i="4"/>
  <c r="G179" i="1" s="1"/>
  <c r="D54" i="2" s="1"/>
  <c r="AA72" i="4"/>
  <c r="AG72" i="4"/>
  <c r="W80" i="4"/>
  <c r="G181" i="1"/>
  <c r="D37" i="2" s="1"/>
  <c r="I61" i="4"/>
  <c r="H287" i="1" s="1"/>
  <c r="E102" i="2" s="1"/>
  <c r="G61" i="4"/>
  <c r="G287" i="1" s="1"/>
  <c r="D102" i="2" s="1"/>
  <c r="F287" i="1"/>
  <c r="C102" i="2" s="1"/>
  <c r="F239" i="1"/>
  <c r="C144" i="2" s="1"/>
  <c r="G35" i="4"/>
  <c r="G239" i="1" s="1"/>
  <c r="D144" i="2" s="1"/>
  <c r="I35" i="4"/>
  <c r="H239" i="1" s="1"/>
  <c r="E144" i="2" s="1"/>
  <c r="AG71" i="4"/>
  <c r="AA71" i="4"/>
  <c r="I14" i="4"/>
  <c r="H89" i="1" s="1"/>
  <c r="E61" i="2" s="1"/>
  <c r="F89" i="1"/>
  <c r="C61" i="2" s="1"/>
  <c r="S61" i="2" s="1"/>
  <c r="T61" i="2" s="1"/>
  <c r="G14" i="4"/>
  <c r="G89" i="1" s="1"/>
  <c r="D61" i="2" s="1"/>
  <c r="J37" i="4"/>
  <c r="I241" i="1" s="1"/>
  <c r="F142" i="2" s="1"/>
  <c r="F241" i="1"/>
  <c r="C142" i="2" s="1"/>
  <c r="I37" i="4"/>
  <c r="H241" i="1" s="1"/>
  <c r="E142" i="2" s="1"/>
  <c r="F202" i="1"/>
  <c r="C44" i="2" s="1"/>
  <c r="G32" i="4"/>
  <c r="G202" i="1" s="1"/>
  <c r="D44" i="2" s="1"/>
  <c r="G31" i="4"/>
  <c r="G201" i="1" s="1"/>
  <c r="D48" i="2" s="1"/>
  <c r="D49" i="2" s="1"/>
  <c r="F201" i="1"/>
  <c r="C48" i="2" s="1"/>
  <c r="C49" i="2" s="1"/>
  <c r="G26" i="4"/>
  <c r="I26" i="4"/>
  <c r="H190" i="1" s="1"/>
  <c r="E112" i="2" s="1"/>
  <c r="G17" i="4"/>
  <c r="G139" i="1" s="1"/>
  <c r="D87" i="2" s="1"/>
  <c r="D88" i="2" s="1"/>
  <c r="I17" i="4"/>
  <c r="H139" i="1" s="1"/>
  <c r="E87" i="2" s="1"/>
  <c r="E88" i="2" s="1"/>
  <c r="W49" i="4"/>
  <c r="AN21" i="4"/>
  <c r="F21" i="4" s="1"/>
  <c r="AA54" i="4"/>
  <c r="L88" i="2"/>
  <c r="M88" i="2" s="1"/>
  <c r="I15" i="4"/>
  <c r="H90" i="1" s="1"/>
  <c r="E62" i="2" s="1"/>
  <c r="F90" i="1"/>
  <c r="C62" i="2" s="1"/>
  <c r="S62" i="2" s="1"/>
  <c r="T62" i="2" s="1"/>
  <c r="J15" i="4"/>
  <c r="I90" i="1" s="1"/>
  <c r="F62" i="2" s="1"/>
  <c r="G28" i="4"/>
  <c r="G194" i="1" s="1"/>
  <c r="D434" i="2" s="1"/>
  <c r="I58" i="4"/>
  <c r="H279" i="1" s="1"/>
  <c r="E100" i="2" s="1"/>
  <c r="G58" i="4"/>
  <c r="F279" i="1"/>
  <c r="C100" i="2" s="1"/>
  <c r="G23" i="4"/>
  <c r="G182" i="1" s="1"/>
  <c r="D60" i="2" s="1"/>
  <c r="AG54" i="4"/>
  <c r="F27" i="1"/>
  <c r="F299" i="1"/>
  <c r="C101" i="2" s="1"/>
  <c r="I68" i="4"/>
  <c r="H299" i="1" s="1"/>
  <c r="E101" i="2" s="1"/>
  <c r="G68" i="4"/>
  <c r="G299" i="1" s="1"/>
  <c r="D101" i="2" s="1"/>
  <c r="G13" i="4"/>
  <c r="G63" i="1" s="1"/>
  <c r="D141" i="2" s="1"/>
  <c r="I13" i="4"/>
  <c r="H63" i="1" s="1"/>
  <c r="E141" i="2" s="1"/>
  <c r="F63" i="1"/>
  <c r="C141" i="2" s="1"/>
  <c r="L141" i="2" s="1"/>
  <c r="I23" i="4"/>
  <c r="H182" i="1" s="1"/>
  <c r="E60" i="2" s="1"/>
  <c r="F182" i="1"/>
  <c r="C60" i="2" s="1"/>
  <c r="S63" i="2" s="1"/>
  <c r="T63" i="2" s="1"/>
  <c r="G34" i="4"/>
  <c r="G238" i="1" s="1"/>
  <c r="D96" i="2" s="1"/>
  <c r="D97" i="2" s="1"/>
  <c r="I34" i="4"/>
  <c r="H238" i="1" s="1"/>
  <c r="E96" i="2" s="1"/>
  <c r="E97" i="2" s="1"/>
  <c r="F238" i="1"/>
  <c r="C96" i="2" s="1"/>
  <c r="G18" i="4"/>
  <c r="G174" i="1" s="1"/>
  <c r="D15" i="2" s="1"/>
  <c r="Y49" i="4"/>
  <c r="Y82" i="4" s="1"/>
  <c r="AA59" i="4"/>
  <c r="AG59" i="4"/>
  <c r="I22" i="4"/>
  <c r="H181" i="1" s="1"/>
  <c r="E37" i="2" s="1"/>
  <c r="F181" i="1"/>
  <c r="C37" i="2" s="1"/>
  <c r="J22" i="4"/>
  <c r="I181" i="1" s="1"/>
  <c r="F37" i="2" s="1"/>
  <c r="F190" i="1"/>
  <c r="C112" i="2" s="1"/>
  <c r="AA55" i="4"/>
  <c r="AG55" i="4"/>
  <c r="F52" i="1"/>
  <c r="C111" i="2" s="1"/>
  <c r="G12" i="4"/>
  <c r="J12" i="4" s="1"/>
  <c r="I52" i="1" s="1"/>
  <c r="F111" i="2" s="1"/>
  <c r="I12" i="4"/>
  <c r="H52" i="1" s="1"/>
  <c r="E111" i="2" s="1"/>
  <c r="I33" i="4"/>
  <c r="H221" i="1" s="1"/>
  <c r="E410" i="2" s="1"/>
  <c r="F221" i="1"/>
  <c r="C410" i="2" s="1"/>
  <c r="G33" i="4"/>
  <c r="G221" i="1" s="1"/>
  <c r="D410" i="2" s="1"/>
  <c r="I36" i="4"/>
  <c r="H240" i="1" s="1"/>
  <c r="E143" i="2" s="1"/>
  <c r="G36" i="4"/>
  <c r="F240" i="1"/>
  <c r="C143" i="2" s="1"/>
  <c r="G21" i="2"/>
  <c r="L184" i="1"/>
  <c r="H21" i="2" s="1"/>
  <c r="H22" i="2" s="1"/>
  <c r="G184" i="1"/>
  <c r="D21" i="2" s="1"/>
  <c r="D22" i="2" s="1"/>
  <c r="G27" i="4"/>
  <c r="G193" i="1" s="1"/>
  <c r="D435" i="2" s="1"/>
  <c r="F193" i="1"/>
  <c r="C435" i="2" s="1"/>
  <c r="T434" i="2" s="1"/>
  <c r="U434" i="2" s="1"/>
  <c r="I27" i="4"/>
  <c r="H193" i="1" s="1"/>
  <c r="E435" i="2" s="1"/>
  <c r="AA29" i="4"/>
  <c r="AI29" i="4"/>
  <c r="AI49" i="4" s="1"/>
  <c r="AI82" i="4" s="1"/>
  <c r="AG66" i="4"/>
  <c r="AN66" i="4" s="1"/>
  <c r="F66" i="4" s="1"/>
  <c r="F138" i="1"/>
  <c r="C436" i="2" s="1"/>
  <c r="T433" i="2" s="1"/>
  <c r="U433" i="2" s="1"/>
  <c r="AK49" i="4"/>
  <c r="AK82" i="4" s="1"/>
  <c r="AG64" i="4"/>
  <c r="I24" i="4"/>
  <c r="I11" i="4"/>
  <c r="H35" i="1" s="1"/>
  <c r="E63" i="2" s="1"/>
  <c r="G11" i="4"/>
  <c r="G35" i="1" s="1"/>
  <c r="D63" i="2" s="1"/>
  <c r="F184" i="1"/>
  <c r="C21" i="2" s="1"/>
  <c r="T21" i="2" s="1"/>
  <c r="J25" i="4"/>
  <c r="I184" i="1" s="1"/>
  <c r="F21" i="2" s="1"/>
  <c r="F22" i="2" s="1"/>
  <c r="AA70" i="4"/>
  <c r="AG60" i="4"/>
  <c r="AN60" i="4" s="1"/>
  <c r="F60" i="4" s="1"/>
  <c r="G183" i="1" l="1"/>
  <c r="D53" i="2" s="1"/>
  <c r="J24" i="4"/>
  <c r="I183" i="1" s="1"/>
  <c r="F53" i="2" s="1"/>
  <c r="E145" i="2"/>
  <c r="F96" i="2"/>
  <c r="F97" i="2" s="1"/>
  <c r="C22" i="2"/>
  <c r="L22" i="2" s="1"/>
  <c r="M22" i="2" s="1"/>
  <c r="P22" i="2" s="1"/>
  <c r="U21" i="2"/>
  <c r="V21" i="2" s="1"/>
  <c r="C97" i="2"/>
  <c r="M96" i="2"/>
  <c r="G67" i="4"/>
  <c r="L434" i="2"/>
  <c r="M434" i="2" s="1"/>
  <c r="O434" i="2" s="1"/>
  <c r="T435" i="2"/>
  <c r="U435" i="2" s="1"/>
  <c r="AN71" i="4"/>
  <c r="F71" i="4" s="1"/>
  <c r="G71" i="4" s="1"/>
  <c r="G305" i="1" s="1"/>
  <c r="D30" i="2" s="1"/>
  <c r="K20" i="4"/>
  <c r="J179" i="1" s="1"/>
  <c r="G54" i="2" s="1"/>
  <c r="K9" i="4"/>
  <c r="J27" i="1" s="1"/>
  <c r="J19" i="4"/>
  <c r="I176" i="1" s="1"/>
  <c r="F42" i="2" s="1"/>
  <c r="J31" i="4"/>
  <c r="I201" i="1" s="1"/>
  <c r="F48" i="2" s="1"/>
  <c r="F49" i="2" s="1"/>
  <c r="AN56" i="4"/>
  <c r="F56" i="4" s="1"/>
  <c r="F296" i="1"/>
  <c r="C73" i="2" s="1"/>
  <c r="AN62" i="4"/>
  <c r="F62" i="4" s="1"/>
  <c r="AN64" i="4"/>
  <c r="F64" i="4" s="1"/>
  <c r="AN55" i="4"/>
  <c r="F55" i="4" s="1"/>
  <c r="AN72" i="4"/>
  <c r="F72" i="4" s="1"/>
  <c r="AN59" i="4"/>
  <c r="F59" i="4" s="1"/>
  <c r="F57" i="4"/>
  <c r="G57" i="4" s="1"/>
  <c r="G278" i="1" s="1"/>
  <c r="D56" i="2" s="1"/>
  <c r="AN69" i="4"/>
  <c r="F69" i="4" s="1"/>
  <c r="F288" i="1"/>
  <c r="C80" i="2" s="1"/>
  <c r="S80" i="2" s="1"/>
  <c r="T80" i="2" s="1"/>
  <c r="U80" i="2" s="1"/>
  <c r="AN70" i="4"/>
  <c r="F70" i="4" s="1"/>
  <c r="AN54" i="4"/>
  <c r="F54" i="4" s="1"/>
  <c r="J34" i="4"/>
  <c r="I238" i="1" s="1"/>
  <c r="K34" i="4"/>
  <c r="J238" i="1" s="1"/>
  <c r="G96" i="2" s="1"/>
  <c r="J16" i="4"/>
  <c r="I138" i="1" s="1"/>
  <c r="F436" i="2" s="1"/>
  <c r="K16" i="4"/>
  <c r="J138" i="1" s="1"/>
  <c r="G436" i="2" s="1"/>
  <c r="G27" i="1"/>
  <c r="D432" i="2" s="1"/>
  <c r="J27" i="4"/>
  <c r="I193" i="1" s="1"/>
  <c r="F435" i="2" s="1"/>
  <c r="J9" i="4"/>
  <c r="I27" i="1" s="1"/>
  <c r="J68" i="4"/>
  <c r="I299" i="1" s="1"/>
  <c r="F101" i="2" s="1"/>
  <c r="J17" i="4"/>
  <c r="I139" i="1" s="1"/>
  <c r="F87" i="2" s="1"/>
  <c r="F88" i="2" s="1"/>
  <c r="J13" i="4"/>
  <c r="I63" i="1" s="1"/>
  <c r="F141" i="2" s="1"/>
  <c r="K31" i="4"/>
  <c r="J201" i="1" s="1"/>
  <c r="L201" i="1" s="1"/>
  <c r="H48" i="2" s="1"/>
  <c r="H49" i="2" s="1"/>
  <c r="K22" i="4"/>
  <c r="J181" i="1" s="1"/>
  <c r="G37" i="2" s="1"/>
  <c r="K61" i="4"/>
  <c r="J287" i="1" s="1"/>
  <c r="G102" i="2" s="1"/>
  <c r="K18" i="4"/>
  <c r="J174" i="1" s="1"/>
  <c r="L174" i="1" s="1"/>
  <c r="H15" i="2" s="1"/>
  <c r="I67" i="4"/>
  <c r="H298" i="1" s="1"/>
  <c r="E16" i="2" s="1"/>
  <c r="E17" i="2" s="1"/>
  <c r="K36" i="4"/>
  <c r="J240" i="1" s="1"/>
  <c r="F298" i="1"/>
  <c r="C16" i="2" s="1"/>
  <c r="C17" i="2" s="1"/>
  <c r="L17" i="2" s="1"/>
  <c r="M17" i="2" s="1"/>
  <c r="K19" i="4"/>
  <c r="J176" i="1" s="1"/>
  <c r="L176" i="1" s="1"/>
  <c r="H42" i="2" s="1"/>
  <c r="K17" i="4"/>
  <c r="J139" i="1" s="1"/>
  <c r="G87" i="2" s="1"/>
  <c r="K27" i="4"/>
  <c r="J193" i="1" s="1"/>
  <c r="L193" i="1" s="1"/>
  <c r="K15" i="4"/>
  <c r="J90" i="1" s="1"/>
  <c r="L90" i="1" s="1"/>
  <c r="H62" i="2" s="1"/>
  <c r="K30" i="4"/>
  <c r="J200" i="1" s="1"/>
  <c r="G200" i="1"/>
  <c r="D43" i="2" s="1"/>
  <c r="D45" i="2" s="1"/>
  <c r="K11" i="4"/>
  <c r="J35" i="1" s="1"/>
  <c r="G63" i="2" s="1"/>
  <c r="G22" i="2"/>
  <c r="I21" i="2"/>
  <c r="I22" i="2" s="1"/>
  <c r="H183" i="1"/>
  <c r="E53" i="2" s="1"/>
  <c r="K24" i="4"/>
  <c r="J183" i="1" s="1"/>
  <c r="G279" i="1"/>
  <c r="D100" i="2" s="1"/>
  <c r="D103" i="2" s="1"/>
  <c r="D105" i="2" s="1"/>
  <c r="J58" i="4"/>
  <c r="I279" i="1" s="1"/>
  <c r="F100" i="2" s="1"/>
  <c r="J18" i="4"/>
  <c r="I174" i="1" s="1"/>
  <c r="F15" i="2" s="1"/>
  <c r="J14" i="4"/>
  <c r="I89" i="1" s="1"/>
  <c r="F61" i="2" s="1"/>
  <c r="L49" i="2"/>
  <c r="M49" i="2" s="1"/>
  <c r="P49" i="2" s="1"/>
  <c r="J28" i="4"/>
  <c r="I194" i="1" s="1"/>
  <c r="F434" i="2" s="1"/>
  <c r="W82" i="4"/>
  <c r="L435" i="2"/>
  <c r="M435" i="2" s="1"/>
  <c r="K33" i="4"/>
  <c r="J221" i="1" s="1"/>
  <c r="C432" i="2"/>
  <c r="T432" i="2" s="1"/>
  <c r="E432" i="2"/>
  <c r="J33" i="4"/>
  <c r="I221" i="1" s="1"/>
  <c r="F410" i="2" s="1"/>
  <c r="K32" i="4"/>
  <c r="J202" i="1" s="1"/>
  <c r="K35" i="4"/>
  <c r="J239" i="1" s="1"/>
  <c r="G144" i="2" s="1"/>
  <c r="P88" i="2"/>
  <c r="O88" i="2"/>
  <c r="K23" i="4"/>
  <c r="J182" i="1" s="1"/>
  <c r="J32" i="4"/>
  <c r="I202" i="1" s="1"/>
  <c r="F44" i="2" s="1"/>
  <c r="J35" i="4"/>
  <c r="I239" i="1" s="1"/>
  <c r="F144" i="2" s="1"/>
  <c r="L102" i="2"/>
  <c r="M102" i="2" s="1"/>
  <c r="G240" i="1"/>
  <c r="D143" i="2" s="1"/>
  <c r="D145" i="2" s="1"/>
  <c r="J36" i="4"/>
  <c r="I240" i="1" s="1"/>
  <c r="F143" i="2" s="1"/>
  <c r="F295" i="1"/>
  <c r="C82" i="2" s="1"/>
  <c r="G65" i="4"/>
  <c r="G295" i="1" s="1"/>
  <c r="D82" i="2" s="1"/>
  <c r="I65" i="4"/>
  <c r="H295" i="1" s="1"/>
  <c r="E82" i="2" s="1"/>
  <c r="L436" i="2"/>
  <c r="M436" i="2" s="1"/>
  <c r="AN29" i="4"/>
  <c r="F29" i="4" s="1"/>
  <c r="L101" i="2"/>
  <c r="M101" i="2" s="1"/>
  <c r="J11" i="4"/>
  <c r="I35" i="1" s="1"/>
  <c r="F63" i="2" s="1"/>
  <c r="G10" i="4"/>
  <c r="K10" i="4" s="1"/>
  <c r="J30" i="1" s="1"/>
  <c r="F30" i="1"/>
  <c r="C25" i="2" s="1"/>
  <c r="T25" i="2" s="1"/>
  <c r="U25" i="2" s="1"/>
  <c r="V25" i="2" s="1"/>
  <c r="G190" i="1"/>
  <c r="D112" i="2" s="1"/>
  <c r="K26" i="4"/>
  <c r="J190" i="1" s="1"/>
  <c r="C103" i="2"/>
  <c r="L100" i="2"/>
  <c r="M100" i="2" s="1"/>
  <c r="J26" i="4"/>
  <c r="I190" i="1" s="1"/>
  <c r="F112" i="2" s="1"/>
  <c r="AA80" i="4"/>
  <c r="K14" i="4"/>
  <c r="J89" i="1" s="1"/>
  <c r="F293" i="1"/>
  <c r="C189" i="2" s="1"/>
  <c r="I63" i="4"/>
  <c r="H293" i="1" s="1"/>
  <c r="E189" i="2" s="1"/>
  <c r="G63" i="4"/>
  <c r="G293" i="1" s="1"/>
  <c r="D189" i="2" s="1"/>
  <c r="K68" i="4"/>
  <c r="J299" i="1" s="1"/>
  <c r="K28" i="4"/>
  <c r="J194" i="1" s="1"/>
  <c r="N184" i="1"/>
  <c r="G52" i="1"/>
  <c r="D111" i="2" s="1"/>
  <c r="K12" i="4"/>
  <c r="J52" i="1" s="1"/>
  <c r="C145" i="2"/>
  <c r="AA49" i="4"/>
  <c r="K37" i="4"/>
  <c r="J241" i="1" s="1"/>
  <c r="G142" i="2" s="1"/>
  <c r="C45" i="2"/>
  <c r="K58" i="4"/>
  <c r="J279" i="1" s="1"/>
  <c r="G21" i="4"/>
  <c r="G180" i="1" s="1"/>
  <c r="D55" i="2" s="1"/>
  <c r="F180" i="1"/>
  <c r="C55" i="2" s="1"/>
  <c r="I21" i="4"/>
  <c r="H180" i="1" s="1"/>
  <c r="E55" i="2" s="1"/>
  <c r="E103" i="2"/>
  <c r="E105" i="2" s="1"/>
  <c r="J23" i="4"/>
  <c r="I182" i="1" s="1"/>
  <c r="F60" i="2" s="1"/>
  <c r="J20" i="4"/>
  <c r="I179" i="1" s="1"/>
  <c r="F54" i="2" s="1"/>
  <c r="K13" i="4"/>
  <c r="J63" i="1" s="1"/>
  <c r="G141" i="2" s="1"/>
  <c r="AG80" i="4"/>
  <c r="AG82" i="4" s="1"/>
  <c r="J61" i="4"/>
  <c r="I287" i="1" s="1"/>
  <c r="F102" i="2" s="1"/>
  <c r="C105" i="2" l="1"/>
  <c r="L240" i="1"/>
  <c r="G143" i="2"/>
  <c r="C26" i="2"/>
  <c r="G298" i="1"/>
  <c r="D16" i="2" s="1"/>
  <c r="D17" i="2" s="1"/>
  <c r="J67" i="4"/>
  <c r="I298" i="1" s="1"/>
  <c r="F16" i="2" s="1"/>
  <c r="F17" i="2" s="1"/>
  <c r="G70" i="4"/>
  <c r="I59" i="4"/>
  <c r="H286" i="1" s="1"/>
  <c r="E78" i="2" s="1"/>
  <c r="F306" i="1"/>
  <c r="C188" i="2" s="1"/>
  <c r="C74" i="2"/>
  <c r="L74" i="2" s="1"/>
  <c r="M74" i="2" s="1"/>
  <c r="S73" i="2"/>
  <c r="T73" i="2" s="1"/>
  <c r="U73" i="2" s="1"/>
  <c r="L179" i="1"/>
  <c r="H54" i="2" s="1"/>
  <c r="I54" i="2" s="1"/>
  <c r="I66" i="4"/>
  <c r="H296" i="1" s="1"/>
  <c r="E73" i="2" s="1"/>
  <c r="E74" i="2" s="1"/>
  <c r="L138" i="1"/>
  <c r="H436" i="2" s="1"/>
  <c r="I436" i="2" s="1"/>
  <c r="G66" i="4"/>
  <c r="G296" i="1" s="1"/>
  <c r="D73" i="2" s="1"/>
  <c r="D74" i="2" s="1"/>
  <c r="F45" i="2"/>
  <c r="L238" i="1"/>
  <c r="H96" i="2" s="1"/>
  <c r="H97" i="2" s="1"/>
  <c r="F278" i="1"/>
  <c r="C56" i="2" s="1"/>
  <c r="C57" i="2" s="1"/>
  <c r="L57" i="2" s="1"/>
  <c r="M57" i="2" s="1"/>
  <c r="I60" i="4"/>
  <c r="H288" i="1" s="1"/>
  <c r="E80" i="2" s="1"/>
  <c r="G300" i="1"/>
  <c r="D110" i="2" s="1"/>
  <c r="D113" i="2" s="1"/>
  <c r="D120" i="2" s="1"/>
  <c r="H300" i="1"/>
  <c r="E110" i="2" s="1"/>
  <c r="E113" i="2" s="1"/>
  <c r="E120" i="2" s="1"/>
  <c r="F300" i="1"/>
  <c r="C110" i="2" s="1"/>
  <c r="C113" i="2" s="1"/>
  <c r="C120" i="2" s="1"/>
  <c r="G62" i="4"/>
  <c r="G292" i="1" s="1"/>
  <c r="D38" i="2" s="1"/>
  <c r="D39" i="2" s="1"/>
  <c r="I62" i="4"/>
  <c r="H292" i="1" s="1"/>
  <c r="E38" i="2" s="1"/>
  <c r="E39" i="2" s="1"/>
  <c r="F292" i="1"/>
  <c r="C38" i="2" s="1"/>
  <c r="C39" i="2" s="1"/>
  <c r="L39" i="2" s="1"/>
  <c r="M39" i="2" s="1"/>
  <c r="O39" i="2" s="1"/>
  <c r="G69" i="4"/>
  <c r="G303" i="1" s="1"/>
  <c r="D29" i="2" s="1"/>
  <c r="D31" i="2" s="1"/>
  <c r="I69" i="4"/>
  <c r="H303" i="1" s="1"/>
  <c r="E29" i="2" s="1"/>
  <c r="F303" i="1"/>
  <c r="C29" i="2" s="1"/>
  <c r="F276" i="1"/>
  <c r="C77" i="2" s="1"/>
  <c r="L77" i="2" s="1"/>
  <c r="M77" i="2" s="1"/>
  <c r="G55" i="4"/>
  <c r="G276" i="1" s="1"/>
  <c r="D77" i="2" s="1"/>
  <c r="I55" i="4"/>
  <c r="H276" i="1" s="1"/>
  <c r="E77" i="2" s="1"/>
  <c r="G64" i="4"/>
  <c r="G294" i="1" s="1"/>
  <c r="D81" i="2" s="1"/>
  <c r="I64" i="4"/>
  <c r="H294" i="1" s="1"/>
  <c r="E81" i="2" s="1"/>
  <c r="F294" i="1"/>
  <c r="C81" i="2" s="1"/>
  <c r="L81" i="2" s="1"/>
  <c r="M81" i="2" s="1"/>
  <c r="I56" i="4"/>
  <c r="H277" i="1" s="1"/>
  <c r="E545" i="2" s="1"/>
  <c r="E579" i="2" s="1"/>
  <c r="F277" i="1"/>
  <c r="C545" i="2" s="1"/>
  <c r="C579" i="2" s="1"/>
  <c r="G56" i="4"/>
  <c r="G277" i="1" s="1"/>
  <c r="D545" i="2" s="1"/>
  <c r="D579" i="2" s="1"/>
  <c r="F304" i="1"/>
  <c r="C64" i="2" s="1"/>
  <c r="S64" i="2" s="1"/>
  <c r="S65" i="2" s="1"/>
  <c r="T65" i="2" s="1"/>
  <c r="V65" i="2" s="1"/>
  <c r="I70" i="4"/>
  <c r="H304" i="1" s="1"/>
  <c r="E64" i="2" s="1"/>
  <c r="E65" i="2" s="1"/>
  <c r="J57" i="4"/>
  <c r="I278" i="1" s="1"/>
  <c r="F56" i="2" s="1"/>
  <c r="D57" i="2"/>
  <c r="G60" i="4"/>
  <c r="G288" i="1" s="1"/>
  <c r="D80" i="2" s="1"/>
  <c r="I57" i="4"/>
  <c r="H278" i="1" s="1"/>
  <c r="E56" i="2" s="1"/>
  <c r="E57" i="2" s="1"/>
  <c r="P434" i="2"/>
  <c r="G15" i="2"/>
  <c r="I15" i="2" s="1"/>
  <c r="G48" i="2"/>
  <c r="I48" i="2" s="1"/>
  <c r="I49" i="2" s="1"/>
  <c r="L287" i="1"/>
  <c r="H102" i="2" s="1"/>
  <c r="I102" i="2" s="1"/>
  <c r="L181" i="1"/>
  <c r="H37" i="2" s="1"/>
  <c r="I37" i="2" s="1"/>
  <c r="J10" i="4"/>
  <c r="I30" i="1" s="1"/>
  <c r="F25" i="2" s="1"/>
  <c r="F26" i="2" s="1"/>
  <c r="F305" i="1"/>
  <c r="C30" i="2" s="1"/>
  <c r="I71" i="4"/>
  <c r="H305" i="1" s="1"/>
  <c r="E30" i="2" s="1"/>
  <c r="L139" i="1"/>
  <c r="H87" i="2" s="1"/>
  <c r="H88" i="2" s="1"/>
  <c r="K67" i="4"/>
  <c r="J298" i="1" s="1"/>
  <c r="G16" i="2" s="1"/>
  <c r="G42" i="2"/>
  <c r="I42" i="2" s="1"/>
  <c r="G72" i="4"/>
  <c r="G306" i="1" s="1"/>
  <c r="D188" i="2" s="1"/>
  <c r="D191" i="2" s="1"/>
  <c r="I72" i="4"/>
  <c r="H306" i="1" s="1"/>
  <c r="E188" i="2" s="1"/>
  <c r="E191" i="2" s="1"/>
  <c r="G62" i="2"/>
  <c r="I62" i="2" s="1"/>
  <c r="H435" i="2"/>
  <c r="N193" i="1"/>
  <c r="J63" i="4"/>
  <c r="I293" i="1" s="1"/>
  <c r="F189" i="2" s="1"/>
  <c r="G435" i="2"/>
  <c r="F145" i="2"/>
  <c r="N176" i="1"/>
  <c r="AN49" i="4"/>
  <c r="AA82" i="4"/>
  <c r="AN80" i="4"/>
  <c r="I300" i="1"/>
  <c r="F110" i="2" s="1"/>
  <c r="F113" i="2" s="1"/>
  <c r="F120" i="2" s="1"/>
  <c r="F103" i="2"/>
  <c r="F105" i="2" s="1"/>
  <c r="F286" i="1"/>
  <c r="C78" i="2" s="1"/>
  <c r="L78" i="2" s="1"/>
  <c r="L35" i="1"/>
  <c r="H63" i="2" s="1"/>
  <c r="I63" i="2" s="1"/>
  <c r="G43" i="2"/>
  <c r="L200" i="1"/>
  <c r="H43" i="2" s="1"/>
  <c r="J21" i="4"/>
  <c r="I180" i="1" s="1"/>
  <c r="F55" i="2" s="1"/>
  <c r="G59" i="4"/>
  <c r="G286" i="1" s="1"/>
  <c r="D78" i="2" s="1"/>
  <c r="O101" i="2"/>
  <c r="P101" i="2"/>
  <c r="P102" i="2"/>
  <c r="O102" i="2"/>
  <c r="P436" i="2"/>
  <c r="O436" i="2"/>
  <c r="O435" i="2"/>
  <c r="P435" i="2"/>
  <c r="O17" i="2"/>
  <c r="P17" i="2"/>
  <c r="G100" i="2"/>
  <c r="L279" i="1"/>
  <c r="H100" i="2" s="1"/>
  <c r="I29" i="4"/>
  <c r="G29" i="4"/>
  <c r="G195" i="1" s="1"/>
  <c r="D433" i="2" s="1"/>
  <c r="D438" i="2" s="1"/>
  <c r="F195" i="1"/>
  <c r="C433" i="2" s="1"/>
  <c r="T436" i="2" s="1"/>
  <c r="U436" i="2" s="1"/>
  <c r="F80" i="4"/>
  <c r="I54" i="4"/>
  <c r="G54" i="4"/>
  <c r="J54" i="4" s="1"/>
  <c r="F275" i="1"/>
  <c r="K63" i="4"/>
  <c r="J293" i="1" s="1"/>
  <c r="N90" i="1"/>
  <c r="G434" i="2"/>
  <c r="L194" i="1"/>
  <c r="H434" i="2" s="1"/>
  <c r="J71" i="4"/>
  <c r="I305" i="1" s="1"/>
  <c r="F30" i="2" s="1"/>
  <c r="L182" i="1"/>
  <c r="H60" i="2" s="1"/>
  <c r="G60" i="2"/>
  <c r="G432" i="2"/>
  <c r="L27" i="1"/>
  <c r="N27" i="1" s="1"/>
  <c r="L241" i="1"/>
  <c r="H142" i="2" s="1"/>
  <c r="L432" i="2"/>
  <c r="M432" i="2" s="1"/>
  <c r="L30" i="1"/>
  <c r="H25" i="2" s="1"/>
  <c r="H26" i="2" s="1"/>
  <c r="G25" i="2"/>
  <c r="K65" i="4"/>
  <c r="J295" i="1" s="1"/>
  <c r="G44" i="2"/>
  <c r="L202" i="1"/>
  <c r="H44" i="2" s="1"/>
  <c r="G101" i="2"/>
  <c r="L299" i="1"/>
  <c r="H101" i="2" s="1"/>
  <c r="L145" i="2"/>
  <c r="M145" i="2" s="1"/>
  <c r="L89" i="1"/>
  <c r="H61" i="2" s="1"/>
  <c r="G61" i="2"/>
  <c r="N201" i="1"/>
  <c r="G97" i="2"/>
  <c r="L26" i="2"/>
  <c r="M26" i="2" s="1"/>
  <c r="P26" i="2" s="1"/>
  <c r="O100" i="2"/>
  <c r="P100" i="2"/>
  <c r="G30" i="1"/>
  <c r="J65" i="4"/>
  <c r="I295" i="1" s="1"/>
  <c r="F82" i="2" s="1"/>
  <c r="L239" i="1"/>
  <c r="H144" i="2" s="1"/>
  <c r="L63" i="1"/>
  <c r="H141" i="2" s="1"/>
  <c r="L189" i="2"/>
  <c r="M189" i="2" s="1"/>
  <c r="F432" i="2"/>
  <c r="N174" i="1"/>
  <c r="L80" i="2"/>
  <c r="M80" i="2" s="1"/>
  <c r="G410" i="2"/>
  <c r="L221" i="1"/>
  <c r="H410" i="2" s="1"/>
  <c r="G53" i="2"/>
  <c r="L183" i="1"/>
  <c r="H53" i="2" s="1"/>
  <c r="L82" i="2"/>
  <c r="M82" i="2" s="1"/>
  <c r="L45" i="2"/>
  <c r="M45" i="2" s="1"/>
  <c r="P45" i="2" s="1"/>
  <c r="G112" i="2"/>
  <c r="L190" i="1"/>
  <c r="H112" i="2" s="1"/>
  <c r="F49" i="4"/>
  <c r="K21" i="4"/>
  <c r="J180" i="1" s="1"/>
  <c r="L52" i="1"/>
  <c r="H111" i="2" s="1"/>
  <c r="G111" i="2"/>
  <c r="G88" i="2"/>
  <c r="H143" i="2" l="1"/>
  <c r="N240" i="1"/>
  <c r="L188" i="2"/>
  <c r="M188" i="2" s="1"/>
  <c r="C191" i="2"/>
  <c r="N138" i="1"/>
  <c r="N179" i="1"/>
  <c r="J66" i="4"/>
  <c r="I296" i="1" s="1"/>
  <c r="F73" i="2" s="1"/>
  <c r="F74" i="2" s="1"/>
  <c r="G304" i="1"/>
  <c r="D64" i="2" s="1"/>
  <c r="D65" i="2" s="1"/>
  <c r="J70" i="4"/>
  <c r="I304" i="1" s="1"/>
  <c r="F64" i="2" s="1"/>
  <c r="F65" i="2" s="1"/>
  <c r="K66" i="4"/>
  <c r="J296" i="1" s="1"/>
  <c r="C65" i="2"/>
  <c r="L65" i="2" s="1"/>
  <c r="M65" i="2" s="1"/>
  <c r="T64" i="2"/>
  <c r="K69" i="4"/>
  <c r="J303" i="1" s="1"/>
  <c r="L303" i="1" s="1"/>
  <c r="H29" i="2" s="1"/>
  <c r="K56" i="4"/>
  <c r="J277" i="1" s="1"/>
  <c r="L277" i="1" s="1"/>
  <c r="H545" i="2" s="1"/>
  <c r="N238" i="1"/>
  <c r="K70" i="4"/>
  <c r="J304" i="1" s="1"/>
  <c r="J60" i="4"/>
  <c r="I288" i="1" s="1"/>
  <c r="F80" i="2" s="1"/>
  <c r="G49" i="2"/>
  <c r="I96" i="2"/>
  <c r="I97" i="2" s="1"/>
  <c r="J56" i="4"/>
  <c r="I277" i="1" s="1"/>
  <c r="F545" i="2" s="1"/>
  <c r="F579" i="2" s="1"/>
  <c r="L545" i="2"/>
  <c r="M545" i="2" s="1"/>
  <c r="P545" i="2" s="1"/>
  <c r="P39" i="2"/>
  <c r="J69" i="4"/>
  <c r="I303" i="1" s="1"/>
  <c r="F29" i="2" s="1"/>
  <c r="F31" i="2" s="1"/>
  <c r="F33" i="2" s="1"/>
  <c r="F221" i="5"/>
  <c r="J64" i="4"/>
  <c r="I294" i="1" s="1"/>
  <c r="F81" i="2" s="1"/>
  <c r="J300" i="1"/>
  <c r="G110" i="2" s="1"/>
  <c r="N200" i="1"/>
  <c r="I435" i="2"/>
  <c r="K62" i="4"/>
  <c r="J292" i="1" s="1"/>
  <c r="G38" i="2" s="1"/>
  <c r="G39" i="2" s="1"/>
  <c r="E83" i="2"/>
  <c r="C31" i="2"/>
  <c r="C33" i="2" s="1"/>
  <c r="E31" i="2"/>
  <c r="E33" i="2" s="1"/>
  <c r="F57" i="2"/>
  <c r="I61" i="2"/>
  <c r="K64" i="4"/>
  <c r="J294" i="1" s="1"/>
  <c r="D83" i="2"/>
  <c r="N287" i="1"/>
  <c r="J62" i="4"/>
  <c r="I292" i="1" s="1"/>
  <c r="F38" i="2" s="1"/>
  <c r="F39" i="2" s="1"/>
  <c r="L113" i="2"/>
  <c r="M113" i="2" s="1"/>
  <c r="O113" i="2" s="1"/>
  <c r="K60" i="4"/>
  <c r="J288" i="1" s="1"/>
  <c r="G80" i="2" s="1"/>
  <c r="K54" i="4"/>
  <c r="K57" i="4"/>
  <c r="J278" i="1" s="1"/>
  <c r="G56" i="2" s="1"/>
  <c r="K55" i="4"/>
  <c r="J276" i="1" s="1"/>
  <c r="G77" i="2" s="1"/>
  <c r="J55" i="4"/>
  <c r="I276" i="1" s="1"/>
  <c r="F77" i="2" s="1"/>
  <c r="G17" i="2"/>
  <c r="N89" i="1"/>
  <c r="N181" i="1"/>
  <c r="N139" i="1"/>
  <c r="J72" i="4"/>
  <c r="I306" i="1" s="1"/>
  <c r="F188" i="2" s="1"/>
  <c r="F191" i="2" s="1"/>
  <c r="K71" i="4"/>
  <c r="J305" i="1" s="1"/>
  <c r="L305" i="1" s="1"/>
  <c r="C83" i="2"/>
  <c r="L83" i="2" s="1"/>
  <c r="L298" i="1"/>
  <c r="H16" i="2" s="1"/>
  <c r="H17" i="2" s="1"/>
  <c r="I87" i="2"/>
  <c r="I88" i="2" s="1"/>
  <c r="N52" i="1"/>
  <c r="J59" i="4"/>
  <c r="I286" i="1" s="1"/>
  <c r="F78" i="2" s="1"/>
  <c r="H45" i="2"/>
  <c r="K72" i="4"/>
  <c r="J306" i="1" s="1"/>
  <c r="L306" i="1" s="1"/>
  <c r="H188" i="2" s="1"/>
  <c r="N183" i="1"/>
  <c r="K59" i="4"/>
  <c r="J286" i="1" s="1"/>
  <c r="L286" i="1" s="1"/>
  <c r="H78" i="2" s="1"/>
  <c r="N182" i="1"/>
  <c r="I43" i="2"/>
  <c r="AN82" i="4"/>
  <c r="I111" i="2"/>
  <c r="F82" i="4"/>
  <c r="F317" i="1" s="1"/>
  <c r="N221" i="1"/>
  <c r="M78" i="2"/>
  <c r="O78" i="2" s="1"/>
  <c r="Q103" i="2"/>
  <c r="Q104" i="2" s="1"/>
  <c r="H103" i="2"/>
  <c r="H105" i="2" s="1"/>
  <c r="N35" i="1"/>
  <c r="P77" i="2"/>
  <c r="O77" i="2"/>
  <c r="O57" i="2"/>
  <c r="P57" i="2"/>
  <c r="P145" i="2"/>
  <c r="O145" i="2"/>
  <c r="P188" i="2"/>
  <c r="O188" i="2"/>
  <c r="P189" i="2"/>
  <c r="O189" i="2"/>
  <c r="O81" i="2"/>
  <c r="P81" i="2"/>
  <c r="O82" i="2"/>
  <c r="P82" i="2"/>
  <c r="I275" i="1"/>
  <c r="O432" i="2"/>
  <c r="P432" i="2"/>
  <c r="N194" i="1"/>
  <c r="I434" i="2"/>
  <c r="N190" i="1"/>
  <c r="D25" i="2"/>
  <c r="D26" i="2" s="1"/>
  <c r="D33" i="2" s="1"/>
  <c r="G271" i="1"/>
  <c r="H432" i="2"/>
  <c r="I432" i="2" s="1"/>
  <c r="I100" i="2"/>
  <c r="G103" i="2"/>
  <c r="G105" i="2" s="1"/>
  <c r="L433" i="2"/>
  <c r="M433" i="2" s="1"/>
  <c r="N63" i="1"/>
  <c r="C438" i="2"/>
  <c r="I141" i="2"/>
  <c r="G145" i="2"/>
  <c r="N239" i="1"/>
  <c r="N241" i="1"/>
  <c r="I112" i="2"/>
  <c r="I60" i="2"/>
  <c r="I80" i="4"/>
  <c r="H275" i="1"/>
  <c r="I101" i="2"/>
  <c r="G189" i="2"/>
  <c r="L293" i="1"/>
  <c r="H189" i="2" s="1"/>
  <c r="I44" i="2"/>
  <c r="I53" i="2"/>
  <c r="C411" i="2"/>
  <c r="C412" i="2" s="1"/>
  <c r="F313" i="1"/>
  <c r="G49" i="4"/>
  <c r="N299" i="1"/>
  <c r="F271" i="1"/>
  <c r="H195" i="1"/>
  <c r="I49" i="4"/>
  <c r="K29" i="4"/>
  <c r="G45" i="2"/>
  <c r="I142" i="2"/>
  <c r="G275" i="1"/>
  <c r="G80" i="4"/>
  <c r="N279" i="1"/>
  <c r="I410" i="2"/>
  <c r="G55" i="2"/>
  <c r="L180" i="1"/>
  <c r="H55" i="2" s="1"/>
  <c r="I25" i="2"/>
  <c r="I26" i="2" s="1"/>
  <c r="G26" i="2"/>
  <c r="N30" i="1"/>
  <c r="P80" i="2"/>
  <c r="O80" i="2"/>
  <c r="J29" i="4"/>
  <c r="I144" i="2"/>
  <c r="N202" i="1"/>
  <c r="L295" i="1"/>
  <c r="H82" i="2" s="1"/>
  <c r="G82" i="2"/>
  <c r="P74" i="2"/>
  <c r="O74" i="2"/>
  <c r="L91" i="2" l="1"/>
  <c r="I143" i="2"/>
  <c r="I145" i="2" s="1"/>
  <c r="H145" i="2"/>
  <c r="L296" i="1"/>
  <c r="G73" i="2"/>
  <c r="P65" i="2"/>
  <c r="O65" i="2"/>
  <c r="L304" i="1"/>
  <c r="G64" i="2"/>
  <c r="G545" i="2"/>
  <c r="I545" i="2" s="1"/>
  <c r="N303" i="1"/>
  <c r="G29" i="2"/>
  <c r="I29" i="2" s="1"/>
  <c r="O545" i="2"/>
  <c r="L300" i="1"/>
  <c r="H110" i="2" s="1"/>
  <c r="H113" i="2" s="1"/>
  <c r="D91" i="2"/>
  <c r="E91" i="2"/>
  <c r="F83" i="2"/>
  <c r="F91" i="2" s="1"/>
  <c r="P113" i="2"/>
  <c r="L276" i="1"/>
  <c r="H77" i="2" s="1"/>
  <c r="I77" i="2" s="1"/>
  <c r="L278" i="1"/>
  <c r="H56" i="2" s="1"/>
  <c r="I56" i="2" s="1"/>
  <c r="L292" i="1"/>
  <c r="H38" i="2" s="1"/>
  <c r="H39" i="2" s="1"/>
  <c r="L31" i="2"/>
  <c r="M31" i="2" s="1"/>
  <c r="P31" i="2" s="1"/>
  <c r="L288" i="1"/>
  <c r="H80" i="2" s="1"/>
  <c r="I80" i="2" s="1"/>
  <c r="L294" i="1"/>
  <c r="G81" i="2"/>
  <c r="J80" i="4"/>
  <c r="G188" i="2"/>
  <c r="G191" i="2" s="1"/>
  <c r="C91" i="2"/>
  <c r="G30" i="2"/>
  <c r="N298" i="1"/>
  <c r="I82" i="2"/>
  <c r="H30" i="2"/>
  <c r="H31" i="2" s="1"/>
  <c r="H33" i="2" s="1"/>
  <c r="N305" i="1"/>
  <c r="I16" i="2"/>
  <c r="I17" i="2" s="1"/>
  <c r="G78" i="2"/>
  <c r="I78" i="2" s="1"/>
  <c r="N293" i="1"/>
  <c r="N277" i="1"/>
  <c r="I45" i="2"/>
  <c r="P78" i="2"/>
  <c r="I82" i="4"/>
  <c r="H317" i="1" s="1"/>
  <c r="I55" i="2"/>
  <c r="N306" i="1"/>
  <c r="G57" i="2"/>
  <c r="P433" i="2"/>
  <c r="O433" i="2"/>
  <c r="F316" i="1"/>
  <c r="F320" i="1"/>
  <c r="M83" i="2"/>
  <c r="M91" i="2" s="1"/>
  <c r="L438" i="2"/>
  <c r="M438" i="2" s="1"/>
  <c r="I103" i="2"/>
  <c r="I105" i="2" s="1"/>
  <c r="N286" i="1"/>
  <c r="K80" i="4"/>
  <c r="J275" i="1"/>
  <c r="G113" i="2"/>
  <c r="G120" i="2" s="1"/>
  <c r="F411" i="2"/>
  <c r="F412" i="2" s="1"/>
  <c r="I313" i="1"/>
  <c r="E411" i="2"/>
  <c r="E412" i="2" s="1"/>
  <c r="H313" i="1"/>
  <c r="G313" i="1"/>
  <c r="G316" i="1" s="1"/>
  <c r="D411" i="2"/>
  <c r="D412" i="2" s="1"/>
  <c r="G82" i="4"/>
  <c r="G317" i="1" s="1"/>
  <c r="N180" i="1"/>
  <c r="I195" i="1"/>
  <c r="J49" i="4"/>
  <c r="I189" i="2"/>
  <c r="O83" i="2"/>
  <c r="E433" i="2"/>
  <c r="E438" i="2" s="1"/>
  <c r="H271" i="1"/>
  <c r="N295" i="1"/>
  <c r="J195" i="1"/>
  <c r="K49" i="4"/>
  <c r="L412" i="2"/>
  <c r="M412" i="2" s="1"/>
  <c r="H73" i="2" l="1"/>
  <c r="N296" i="1"/>
  <c r="G74" i="2"/>
  <c r="H64" i="2"/>
  <c r="N304" i="1"/>
  <c r="G65" i="2"/>
  <c r="G579" i="2"/>
  <c r="G31" i="2"/>
  <c r="G33" i="2" s="1"/>
  <c r="C583" i="2"/>
  <c r="C5" i="2" s="1"/>
  <c r="E583" i="2"/>
  <c r="E5" i="2" s="1"/>
  <c r="D583" i="2"/>
  <c r="D5" i="2" s="1"/>
  <c r="N276" i="1"/>
  <c r="N300" i="1"/>
  <c r="I110" i="2"/>
  <c r="I113" i="2" s="1"/>
  <c r="N292" i="1"/>
  <c r="N288" i="1"/>
  <c r="N278" i="1"/>
  <c r="H57" i="2"/>
  <c r="I57" i="2"/>
  <c r="I38" i="2"/>
  <c r="I39" i="2" s="1"/>
  <c r="O31" i="2"/>
  <c r="H81" i="2"/>
  <c r="I81" i="2" s="1"/>
  <c r="N294" i="1"/>
  <c r="I188" i="2"/>
  <c r="I30" i="2"/>
  <c r="I31" i="2" s="1"/>
  <c r="I33" i="2" s="1"/>
  <c r="G83" i="2"/>
  <c r="G318" i="1"/>
  <c r="K82" i="4"/>
  <c r="J317" i="1" s="1"/>
  <c r="F321" i="1"/>
  <c r="H321" i="1" s="1"/>
  <c r="O412" i="2"/>
  <c r="P412" i="2"/>
  <c r="L275" i="1"/>
  <c r="G411" i="2"/>
  <c r="J313" i="1"/>
  <c r="P438" i="2"/>
  <c r="O438" i="2"/>
  <c r="J82" i="4"/>
  <c r="I317" i="1" s="1"/>
  <c r="F318" i="1"/>
  <c r="F433" i="2"/>
  <c r="F438" i="2" s="1"/>
  <c r="I271" i="1"/>
  <c r="I316" i="1" s="1"/>
  <c r="L195" i="1"/>
  <c r="N195" i="1" s="1"/>
  <c r="G433" i="2"/>
  <c r="J271" i="1"/>
  <c r="H316" i="1"/>
  <c r="H318" i="1" s="1"/>
  <c r="F322" i="1"/>
  <c r="H74" i="2" l="1"/>
  <c r="I73" i="2"/>
  <c r="I74" i="2" s="1"/>
  <c r="H65" i="2"/>
  <c r="I64" i="2"/>
  <c r="I65" i="2" s="1"/>
  <c r="G91" i="2"/>
  <c r="F583" i="2"/>
  <c r="F5" i="2" s="1"/>
  <c r="F323" i="1"/>
  <c r="J316" i="1"/>
  <c r="J318" i="1" s="1"/>
  <c r="C587" i="2"/>
  <c r="G412" i="2"/>
  <c r="H411" i="2"/>
  <c r="H412" i="2" s="1"/>
  <c r="H433" i="2"/>
  <c r="H438" i="2" s="1"/>
  <c r="N275" i="1"/>
  <c r="I318" i="1"/>
  <c r="G438" i="2"/>
  <c r="G583" i="2" l="1"/>
  <c r="G5" i="2" s="1"/>
  <c r="C588" i="2"/>
  <c r="C589" i="2" s="1"/>
  <c r="I433" i="2"/>
  <c r="I438" i="2" s="1"/>
  <c r="I411" i="2"/>
  <c r="I412" i="2" s="1"/>
  <c r="AH119" i="5"/>
  <c r="F119" i="5" s="1"/>
  <c r="L151" i="1" s="1"/>
  <c r="N151" i="1" s="1"/>
  <c r="AH130" i="5"/>
  <c r="F130" i="5" s="1"/>
  <c r="L163" i="1" s="1"/>
  <c r="N163" i="1" s="1"/>
  <c r="AH97" i="5"/>
  <c r="F97" i="5" s="1"/>
  <c r="L121" i="1" s="1"/>
  <c r="H475" i="2" s="1"/>
  <c r="I475" i="2" s="1"/>
  <c r="L143" i="1"/>
  <c r="AH170" i="5"/>
  <c r="F170" i="5" s="1"/>
  <c r="L231" i="1" s="1"/>
  <c r="AH89" i="5"/>
  <c r="F89" i="5" s="1"/>
  <c r="L111" i="1" s="1"/>
  <c r="L220" i="1"/>
  <c r="N220" i="1" s="1"/>
  <c r="L141" i="1"/>
  <c r="AE36" i="5"/>
  <c r="Q197" i="5"/>
  <c r="L142" i="1"/>
  <c r="Q200" i="5"/>
  <c r="U200" i="5" s="1"/>
  <c r="U198" i="5" l="1"/>
  <c r="U196" i="5"/>
  <c r="I368" i="2"/>
  <c r="H404" i="2"/>
  <c r="I404" i="2" s="1"/>
  <c r="AH200" i="5"/>
  <c r="F200" i="5" s="1"/>
  <c r="L301" i="1" s="1"/>
  <c r="H245" i="2" s="1"/>
  <c r="I245" i="2" s="1"/>
  <c r="L203" i="1"/>
  <c r="N203" i="1" s="1"/>
  <c r="H251" i="2"/>
  <c r="I251" i="2" s="1"/>
  <c r="N231" i="1"/>
  <c r="AE155" i="5"/>
  <c r="N142" i="1"/>
  <c r="N111" i="1"/>
  <c r="H226" i="2"/>
  <c r="I226" i="2" s="1"/>
  <c r="N141" i="1"/>
  <c r="AE58" i="5"/>
  <c r="AH58" i="5" s="1"/>
  <c r="F58" i="5" s="1"/>
  <c r="L70" i="1" s="1"/>
  <c r="N121" i="1"/>
  <c r="N143" i="1"/>
  <c r="U197" i="5"/>
  <c r="N301" i="1" l="1"/>
  <c r="AH197" i="5"/>
  <c r="H156" i="2"/>
  <c r="I156" i="2" s="1"/>
  <c r="N70" i="1"/>
  <c r="F197" i="5" l="1"/>
  <c r="L283" i="1" l="1"/>
  <c r="H301" i="2" l="1"/>
  <c r="N283" i="1"/>
  <c r="I301" i="2" l="1"/>
  <c r="L206" i="1" l="1"/>
  <c r="N206" i="1" s="1"/>
  <c r="S67" i="5"/>
  <c r="L59" i="1"/>
  <c r="L92" i="1"/>
  <c r="N92" i="1" s="1"/>
  <c r="Q160" i="5"/>
  <c r="AH160" i="5" s="1"/>
  <c r="F160" i="5" s="1"/>
  <c r="L218" i="1" s="1"/>
  <c r="N218" i="1" s="1"/>
  <c r="Q175" i="5"/>
  <c r="Q102" i="5"/>
  <c r="Q173" i="5"/>
  <c r="Q60" i="5"/>
  <c r="Q95" i="5"/>
  <c r="AH95" i="5" s="1"/>
  <c r="F95" i="5" s="1"/>
  <c r="L119" i="1" s="1"/>
  <c r="Q88" i="5"/>
  <c r="AH88" i="5" s="1"/>
  <c r="F88" i="5" s="1"/>
  <c r="L110" i="1" s="1"/>
  <c r="Q82" i="5"/>
  <c r="Q32" i="5"/>
  <c r="Q31" i="5"/>
  <c r="AE31" i="5" s="1"/>
  <c r="Q98" i="5"/>
  <c r="AH98" i="5" s="1"/>
  <c r="F98" i="5" s="1"/>
  <c r="L122" i="1" s="1"/>
  <c r="Q30" i="5"/>
  <c r="AH30" i="5" s="1"/>
  <c r="F30" i="5" s="1"/>
  <c r="L39" i="1" s="1"/>
  <c r="Q127" i="5"/>
  <c r="Q39" i="5"/>
  <c r="Q37" i="5"/>
  <c r="AH37" i="5" s="1"/>
  <c r="F37" i="5" s="1"/>
  <c r="L47" i="1" s="1"/>
  <c r="Q85" i="5"/>
  <c r="AH85" i="5" s="1"/>
  <c r="Q108" i="5"/>
  <c r="AH108" i="5" s="1"/>
  <c r="F108" i="5" s="1"/>
  <c r="L132" i="1" s="1"/>
  <c r="N132" i="1" s="1"/>
  <c r="Q41" i="5"/>
  <c r="AH41" i="5" s="1"/>
  <c r="F41" i="5" s="1"/>
  <c r="L51" i="1" s="1"/>
  <c r="Q91" i="5"/>
  <c r="AH91" i="5" s="1"/>
  <c r="F91" i="5" s="1"/>
  <c r="L115" i="1" s="1"/>
  <c r="Q70" i="5"/>
  <c r="AH70" i="5" s="1"/>
  <c r="F70" i="5" s="1"/>
  <c r="L88" i="1" s="1"/>
  <c r="N88" i="1" s="1"/>
  <c r="Q79" i="5"/>
  <c r="Q29" i="5"/>
  <c r="AH29" i="5" s="1"/>
  <c r="F29" i="5" s="1"/>
  <c r="L38" i="1" s="1"/>
  <c r="N38" i="1" s="1"/>
  <c r="Q72" i="5"/>
  <c r="S72" i="5" s="1"/>
  <c r="AH72" i="5" s="1"/>
  <c r="F72" i="5" s="1"/>
  <c r="L93" i="1" s="1"/>
  <c r="Q62" i="5"/>
  <c r="AH62" i="5" s="1"/>
  <c r="F62" i="5" s="1"/>
  <c r="L78" i="1" s="1"/>
  <c r="Q104" i="5"/>
  <c r="AH104" i="5" s="1"/>
  <c r="F104" i="5" s="1"/>
  <c r="L127" i="1" s="1"/>
  <c r="Q111" i="5"/>
  <c r="AH111" i="5" s="1"/>
  <c r="F111" i="5" s="1"/>
  <c r="L136" i="1" s="1"/>
  <c r="Q199" i="5"/>
  <c r="Q180" i="5"/>
  <c r="AH180" i="5" s="1"/>
  <c r="F180" i="5" s="1"/>
  <c r="Q144" i="5"/>
  <c r="Q112" i="5"/>
  <c r="AH112" i="5" s="1"/>
  <c r="Q9" i="5"/>
  <c r="Q152" i="5"/>
  <c r="AH152" i="5" s="1"/>
  <c r="Q168" i="5"/>
  <c r="Q136" i="5"/>
  <c r="Q106" i="5"/>
  <c r="Q164" i="5"/>
  <c r="AH164" i="5" s="1"/>
  <c r="F164" i="5" s="1"/>
  <c r="L225" i="1" s="1"/>
  <c r="Q12" i="5"/>
  <c r="AH12" i="5" s="1"/>
  <c r="F12" i="5" s="1"/>
  <c r="L13" i="1" s="1"/>
  <c r="Q87" i="5"/>
  <c r="Q59" i="5"/>
  <c r="Q101" i="5"/>
  <c r="AH101" i="5" s="1"/>
  <c r="F101" i="5" s="1"/>
  <c r="L125" i="1" s="1"/>
  <c r="Q84" i="5"/>
  <c r="AH84" i="5" s="1"/>
  <c r="F84" i="5" s="1"/>
  <c r="L105" i="1" s="1"/>
  <c r="Q67" i="5"/>
  <c r="AH67" i="5" s="1"/>
  <c r="F67" i="5" s="1"/>
  <c r="L85" i="1" s="1"/>
  <c r="Q50" i="5"/>
  <c r="AH50" i="5" s="1"/>
  <c r="F50" i="5" s="1"/>
  <c r="L61" i="1" s="1"/>
  <c r="Q34" i="5"/>
  <c r="AH34" i="5" s="1"/>
  <c r="F34" i="5" s="1"/>
  <c r="L43" i="1" s="1"/>
  <c r="Q16" i="5"/>
  <c r="AH16" i="5" s="1"/>
  <c r="F16" i="5" s="1"/>
  <c r="L17" i="1" s="1"/>
  <c r="Q49" i="5"/>
  <c r="AH49" i="5" s="1"/>
  <c r="F49" i="5" s="1"/>
  <c r="L60" i="1" s="1"/>
  <c r="Q17" i="5"/>
  <c r="AH17" i="5" s="1"/>
  <c r="F17" i="5" s="1"/>
  <c r="L19" i="1" s="1"/>
  <c r="N19" i="1" s="1"/>
  <c r="Q129" i="5"/>
  <c r="AH129" i="5" s="1"/>
  <c r="F129" i="5" s="1"/>
  <c r="L161" i="1" s="1"/>
  <c r="Q38" i="5"/>
  <c r="Q114" i="5"/>
  <c r="AH114" i="5" s="1"/>
  <c r="F114" i="5" s="1"/>
  <c r="L144" i="1" s="1"/>
  <c r="N144" i="1" s="1"/>
  <c r="Q48" i="5"/>
  <c r="Q14" i="5"/>
  <c r="AH14" i="5" s="1"/>
  <c r="F14" i="5" s="1"/>
  <c r="L15" i="1" s="1"/>
  <c r="N15" i="1" s="1"/>
  <c r="Q125" i="5"/>
  <c r="Q80" i="5"/>
  <c r="AH80" i="5" s="1"/>
  <c r="F80" i="5" s="1"/>
  <c r="L101" i="1" s="1"/>
  <c r="N101" i="1" s="1"/>
  <c r="Q107" i="5"/>
  <c r="AH107" i="5" s="1"/>
  <c r="F107" i="5" s="1"/>
  <c r="L131" i="1" s="1"/>
  <c r="Q171" i="5"/>
  <c r="AH171" i="5" s="1"/>
  <c r="F171" i="5" s="1"/>
  <c r="L232" i="1" s="1"/>
  <c r="Q154" i="5"/>
  <c r="AH154" i="5" s="1"/>
  <c r="F154" i="5" s="1"/>
  <c r="L211" i="1" s="1"/>
  <c r="N211" i="1" s="1"/>
  <c r="Q159" i="5"/>
  <c r="AH159" i="5" s="1"/>
  <c r="F159" i="5" s="1"/>
  <c r="L216" i="1" s="1"/>
  <c r="N216" i="1" s="1"/>
  <c r="Q73" i="5"/>
  <c r="AH73" i="5" s="1"/>
  <c r="F73" i="5" s="1"/>
  <c r="Q120" i="5"/>
  <c r="AH120" i="5" s="1"/>
  <c r="F120" i="5" s="1"/>
  <c r="L152" i="1" s="1"/>
  <c r="N152" i="1" s="1"/>
  <c r="Q113" i="5"/>
  <c r="AH113" i="5" s="1"/>
  <c r="F113" i="5" s="1"/>
  <c r="L140" i="1" s="1"/>
  <c r="Q69" i="5"/>
  <c r="AH69" i="5" s="1"/>
  <c r="F69" i="5" s="1"/>
  <c r="L87" i="1" s="1"/>
  <c r="Q11" i="5"/>
  <c r="AH11" i="5" s="1"/>
  <c r="F11" i="5" s="1"/>
  <c r="L12" i="1" s="1"/>
  <c r="N12" i="1" s="1"/>
  <c r="Q146" i="5"/>
  <c r="Q121" i="5"/>
  <c r="AH121" i="5" s="1"/>
  <c r="F121" i="5" s="1"/>
  <c r="L153" i="1" s="1"/>
  <c r="N153" i="1" s="1"/>
  <c r="Q27" i="5"/>
  <c r="AH27" i="5" s="1"/>
  <c r="Q40" i="5"/>
  <c r="AH40" i="5" s="1"/>
  <c r="F40" i="5" s="1"/>
  <c r="L50" i="1" s="1"/>
  <c r="Q138" i="5"/>
  <c r="AH138" i="5" s="1"/>
  <c r="F138" i="5" s="1"/>
  <c r="L172" i="1" s="1"/>
  <c r="N172" i="1" s="1"/>
  <c r="Q123" i="5"/>
  <c r="AH123" i="5" s="1"/>
  <c r="F123" i="5" s="1"/>
  <c r="L155" i="1" s="1"/>
  <c r="Q55" i="5"/>
  <c r="AH55" i="5" s="1"/>
  <c r="F55" i="5" s="1"/>
  <c r="L67" i="1" s="1"/>
  <c r="Q105" i="5"/>
  <c r="AH105" i="5" s="1"/>
  <c r="F105" i="5" s="1"/>
  <c r="L129" i="1" s="1"/>
  <c r="N129" i="1" s="1"/>
  <c r="Q19" i="5"/>
  <c r="Q57" i="5"/>
  <c r="AH57" i="5" s="1"/>
  <c r="F57" i="5" s="1"/>
  <c r="L69" i="1" s="1"/>
  <c r="Q47" i="5"/>
  <c r="AH47" i="5" s="1"/>
  <c r="F47" i="5" s="1"/>
  <c r="L58" i="1" s="1"/>
  <c r="Q24" i="5"/>
  <c r="AH24" i="5" s="1"/>
  <c r="F24" i="5" s="1"/>
  <c r="L32" i="1" s="1"/>
  <c r="N32" i="1" s="1"/>
  <c r="Q54" i="5"/>
  <c r="AH54" i="5" s="1"/>
  <c r="F54" i="5" s="1"/>
  <c r="L66" i="1" s="1"/>
  <c r="Q148" i="5"/>
  <c r="Q46" i="5"/>
  <c r="AH46" i="5" s="1"/>
  <c r="F46" i="5" s="1"/>
  <c r="L57" i="1" s="1"/>
  <c r="Q61" i="5"/>
  <c r="Q126" i="5"/>
  <c r="AH126" i="5" s="1"/>
  <c r="F126" i="5" s="1"/>
  <c r="L158" i="1" s="1"/>
  <c r="N158" i="1" s="1"/>
  <c r="Q86" i="5"/>
  <c r="AH86" i="5" s="1"/>
  <c r="F86" i="5" s="1"/>
  <c r="L107" i="1" s="1"/>
  <c r="Q134" i="5"/>
  <c r="Q51" i="5"/>
  <c r="Q150" i="5"/>
  <c r="Q132" i="5"/>
  <c r="AH132" i="5" s="1"/>
  <c r="F132" i="5" s="1"/>
  <c r="L165" i="1" s="1"/>
  <c r="Q115" i="5"/>
  <c r="AH115" i="5" s="1"/>
  <c r="F115" i="5" s="1"/>
  <c r="L145" i="1" s="1"/>
  <c r="N145" i="1" s="1"/>
  <c r="Q100" i="5"/>
  <c r="Q83" i="5"/>
  <c r="AH83" i="5" s="1"/>
  <c r="F83" i="5" s="1"/>
  <c r="L104" i="1" s="1"/>
  <c r="Q66" i="5"/>
  <c r="AE66" i="5" s="1"/>
  <c r="Q33" i="5"/>
  <c r="AH33" i="5" s="1"/>
  <c r="F33" i="5" s="1"/>
  <c r="L42" i="1" s="1"/>
  <c r="Q56" i="5"/>
  <c r="Q13" i="5"/>
  <c r="AH13" i="5" s="1"/>
  <c r="F13" i="5" s="1"/>
  <c r="L14" i="1" s="1"/>
  <c r="N14" i="1" s="1"/>
  <c r="Q93" i="5"/>
  <c r="AH93" i="5" s="1"/>
  <c r="F93" i="5" s="1"/>
  <c r="L117" i="1" s="1"/>
  <c r="Q63" i="5"/>
  <c r="U63" i="5" s="1"/>
  <c r="Q94" i="5"/>
  <c r="AH94" i="5" s="1"/>
  <c r="F94" i="5" s="1"/>
  <c r="L118" i="1" s="1"/>
  <c r="N118" i="1" s="1"/>
  <c r="Q166" i="5"/>
  <c r="AH166" i="5" s="1"/>
  <c r="F166" i="5" s="1"/>
  <c r="L227" i="1" s="1"/>
  <c r="Q99" i="5"/>
  <c r="Q65" i="5"/>
  <c r="AH65" i="5" s="1"/>
  <c r="F65" i="5" s="1"/>
  <c r="L82" i="1" s="1"/>
  <c r="Q64" i="5"/>
  <c r="AH64" i="5" s="1"/>
  <c r="F64" i="5" s="1"/>
  <c r="L80" i="1" s="1"/>
  <c r="N80" i="1" s="1"/>
  <c r="Q140" i="5"/>
  <c r="AH140" i="5" s="1"/>
  <c r="F140" i="5" s="1"/>
  <c r="L177" i="1" s="1"/>
  <c r="Q25" i="5"/>
  <c r="Q158" i="5"/>
  <c r="AH158" i="5" s="1"/>
  <c r="F158" i="5" s="1"/>
  <c r="L215" i="1" s="1"/>
  <c r="N215" i="1" s="1"/>
  <c r="Q103" i="5"/>
  <c r="AH103" i="5" s="1"/>
  <c r="F103" i="5" s="1"/>
  <c r="L128" i="1" s="1"/>
  <c r="Q23" i="5"/>
  <c r="AH23" i="5" s="1"/>
  <c r="F23" i="5" s="1"/>
  <c r="L28" i="1" s="1"/>
  <c r="N28" i="1" s="1"/>
  <c r="Q122" i="5"/>
  <c r="AH122" i="5" s="1"/>
  <c r="F122" i="5" s="1"/>
  <c r="L154" i="1" s="1"/>
  <c r="Q20" i="5"/>
  <c r="AH20" i="5" s="1"/>
  <c r="F20" i="5" s="1"/>
  <c r="L24" i="1" s="1"/>
  <c r="Q156" i="5"/>
  <c r="AH156" i="5" s="1"/>
  <c r="F156" i="5" s="1"/>
  <c r="L213" i="1" s="1"/>
  <c r="N213" i="1" s="1"/>
  <c r="Q45" i="5"/>
  <c r="AH45" i="5" s="1"/>
  <c r="F45" i="5" s="1"/>
  <c r="L56" i="1" s="1"/>
  <c r="N56" i="1" s="1"/>
  <c r="Q53" i="5"/>
  <c r="AH53" i="5" s="1"/>
  <c r="F53" i="5" s="1"/>
  <c r="L65" i="1" s="1"/>
  <c r="Q179" i="5"/>
  <c r="AH179" i="5" s="1"/>
  <c r="Q96" i="5"/>
  <c r="Q118" i="5"/>
  <c r="AH118" i="5" s="1"/>
  <c r="F118" i="5" s="1"/>
  <c r="L150" i="1" s="1"/>
  <c r="Q178" i="5"/>
  <c r="AH178" i="5" s="1"/>
  <c r="F178" i="5" s="1"/>
  <c r="L243" i="1" s="1"/>
  <c r="N243" i="1" s="1"/>
  <c r="Q21" i="5"/>
  <c r="AH21" i="5" s="1"/>
  <c r="F21" i="5" s="1"/>
  <c r="L25" i="1" s="1"/>
  <c r="Q44" i="5"/>
  <c r="AH44" i="5" s="1"/>
  <c r="F44" i="5" s="1"/>
  <c r="L55" i="1" s="1"/>
  <c r="N55" i="1" s="1"/>
  <c r="Q90" i="5"/>
  <c r="AH90" i="5" s="1"/>
  <c r="F90" i="5" s="1"/>
  <c r="L114" i="1" s="1"/>
  <c r="Q124" i="5"/>
  <c r="AH124" i="5" s="1"/>
  <c r="F124" i="5" s="1"/>
  <c r="L156" i="1" s="1"/>
  <c r="Q176" i="5"/>
  <c r="AH176" i="5" s="1"/>
  <c r="F176" i="5" s="1"/>
  <c r="L237" i="1" s="1"/>
  <c r="Q143" i="5"/>
  <c r="AH143" i="5" s="1"/>
  <c r="F143" i="5" s="1"/>
  <c r="L188" i="1" s="1"/>
  <c r="N188" i="1" s="1"/>
  <c r="Q78" i="5"/>
  <c r="Q147" i="5"/>
  <c r="Q74" i="5"/>
  <c r="AH74" i="5" s="1"/>
  <c r="F74" i="5" s="1"/>
  <c r="L95" i="1" s="1"/>
  <c r="N95" i="1" s="1"/>
  <c r="AH125" i="5"/>
  <c r="F125" i="5"/>
  <c r="L157" i="1"/>
  <c r="N157" i="1" s="1"/>
  <c r="AE79" i="5"/>
  <c r="AH150" i="5"/>
  <c r="F150" i="5" s="1"/>
  <c r="L205" i="1" s="1"/>
  <c r="Q172" i="5"/>
  <c r="AH172" i="5" s="1"/>
  <c r="F172" i="5" s="1"/>
  <c r="L233" i="1" s="1"/>
  <c r="AH48" i="5"/>
  <c r="AH100" i="5"/>
  <c r="F100" i="5" s="1"/>
  <c r="L124" i="1" s="1"/>
  <c r="AH96" i="5"/>
  <c r="F96" i="5" s="1"/>
  <c r="L120" i="1" s="1"/>
  <c r="AE99" i="5"/>
  <c r="Q169" i="5"/>
  <c r="AH169" i="5" s="1"/>
  <c r="F169" i="5" s="1"/>
  <c r="L230" i="1" s="1"/>
  <c r="Q133" i="5"/>
  <c r="AH133" i="5" s="1"/>
  <c r="F133" i="5" s="1"/>
  <c r="L166" i="1" s="1"/>
  <c r="Q161" i="5"/>
  <c r="AH161" i="5"/>
  <c r="F161" i="5" s="1"/>
  <c r="L219" i="1" s="1"/>
  <c r="N219" i="1" s="1"/>
  <c r="Q116" i="5"/>
  <c r="AE116" i="5" s="1"/>
  <c r="AH116" i="5" s="1"/>
  <c r="F116" i="5" s="1"/>
  <c r="L148" i="1" s="1"/>
  <c r="Q157" i="5"/>
  <c r="AH157" i="5"/>
  <c r="F157" i="5" s="1"/>
  <c r="L214" i="1" s="1"/>
  <c r="N214" i="1" s="1"/>
  <c r="Q68" i="5"/>
  <c r="AH68" i="5"/>
  <c r="F68" i="5"/>
  <c r="L86" i="1"/>
  <c r="Q139" i="5"/>
  <c r="AH139" i="5"/>
  <c r="F139" i="5"/>
  <c r="L173" i="1"/>
  <c r="N173" i="1" s="1"/>
  <c r="Q198" i="5"/>
  <c r="AH198" i="5" s="1"/>
  <c r="F198" i="5" s="1"/>
  <c r="L284" i="1" s="1"/>
  <c r="Q174" i="5"/>
  <c r="AH174" i="5"/>
  <c r="F174" i="5"/>
  <c r="L235" i="1"/>
  <c r="N235" i="1" s="1"/>
  <c r="AH61" i="5"/>
  <c r="F61" i="5" s="1"/>
  <c r="L77" i="1" s="1"/>
  <c r="N77" i="1" s="1"/>
  <c r="Q142" i="5"/>
  <c r="AH142" i="5"/>
  <c r="F142" i="5"/>
  <c r="L186" i="1" s="1"/>
  <c r="N186" i="1" s="1"/>
  <c r="Q42" i="5"/>
  <c r="AH42" i="5"/>
  <c r="F42" i="5"/>
  <c r="L53" i="1"/>
  <c r="Q15" i="5"/>
  <c r="S15" i="5"/>
  <c r="S175" i="5"/>
  <c r="Q145" i="5"/>
  <c r="AE145" i="5"/>
  <c r="Q77" i="5"/>
  <c r="AH77" i="5" s="1"/>
  <c r="F77" i="5" s="1"/>
  <c r="L98" i="1" s="1"/>
  <c r="N98" i="1" s="1"/>
  <c r="AH102" i="5"/>
  <c r="F102" i="5"/>
  <c r="L126" i="1" s="1"/>
  <c r="Q201" i="5"/>
  <c r="AH173" i="5"/>
  <c r="F173" i="5"/>
  <c r="L234" i="1"/>
  <c r="Q149" i="5"/>
  <c r="AH149" i="5" s="1"/>
  <c r="F149" i="5" s="1"/>
  <c r="L204" i="1" s="1"/>
  <c r="AH134" i="5"/>
  <c r="F134" i="5"/>
  <c r="L167" i="1" s="1"/>
  <c r="AH127" i="5"/>
  <c r="F127" i="5"/>
  <c r="L159" i="1"/>
  <c r="AH9" i="5"/>
  <c r="F9" i="5" s="1"/>
  <c r="L10" i="1" s="1"/>
  <c r="AH144" i="5"/>
  <c r="F144" i="5"/>
  <c r="L189" i="1"/>
  <c r="Q131" i="5"/>
  <c r="AH131" i="5" s="1"/>
  <c r="F131" i="5" s="1"/>
  <c r="L164" i="1" s="1"/>
  <c r="Q153" i="5"/>
  <c r="AH153" i="5" s="1"/>
  <c r="F153" i="5" s="1"/>
  <c r="L210" i="1" s="1"/>
  <c r="N210" i="1" s="1"/>
  <c r="Q151" i="5"/>
  <c r="AH151" i="5"/>
  <c r="F151" i="5" s="1"/>
  <c r="L207" i="1" s="1"/>
  <c r="Q196" i="5"/>
  <c r="AH196" i="5" s="1"/>
  <c r="F196" i="5" s="1"/>
  <c r="L281" i="1" s="1"/>
  <c r="Q81" i="5"/>
  <c r="AH81" i="5"/>
  <c r="F81" i="5"/>
  <c r="L102" i="1" s="1"/>
  <c r="Q52" i="5"/>
  <c r="AH52" i="5"/>
  <c r="F52" i="5"/>
  <c r="L64" i="1"/>
  <c r="Q75" i="5"/>
  <c r="AH75" i="5"/>
  <c r="F75" i="5"/>
  <c r="L96" i="1"/>
  <c r="N96" i="1" s="1"/>
  <c r="Q43" i="5"/>
  <c r="AH43" i="5" s="1"/>
  <c r="F43" i="5" s="1"/>
  <c r="L54" i="1" s="1"/>
  <c r="Q117" i="5"/>
  <c r="AH117" i="5"/>
  <c r="F117" i="5"/>
  <c r="L149" i="1" s="1"/>
  <c r="Q137" i="5"/>
  <c r="AH137" i="5" s="1"/>
  <c r="F137" i="5" s="1"/>
  <c r="L171" i="1" s="1"/>
  <c r="AH148" i="5"/>
  <c r="F148" i="5"/>
  <c r="L199" i="1"/>
  <c r="AH106" i="5"/>
  <c r="F106" i="5"/>
  <c r="L130" i="1" s="1"/>
  <c r="N130" i="1" s="1"/>
  <c r="Q141" i="5"/>
  <c r="AH141" i="5"/>
  <c r="F141" i="5"/>
  <c r="L178" i="1"/>
  <c r="N178" i="1" s="1"/>
  <c r="Q177" i="5"/>
  <c r="AH177" i="5" s="1"/>
  <c r="F177" i="5" s="1"/>
  <c r="L242" i="1" s="1"/>
  <c r="N242" i="1" s="1"/>
  <c r="Q18" i="5"/>
  <c r="AH18" i="5" s="1"/>
  <c r="F18" i="5" s="1"/>
  <c r="L20" i="1" s="1"/>
  <c r="N20" i="1" s="1"/>
  <c r="Q92" i="5"/>
  <c r="AH92" i="5"/>
  <c r="F92" i="5"/>
  <c r="L116" i="1"/>
  <c r="N116" i="1" s="1"/>
  <c r="AH32" i="5"/>
  <c r="F32" i="5" s="1"/>
  <c r="L41" i="1" s="1"/>
  <c r="AH60" i="5"/>
  <c r="F60" i="5"/>
  <c r="L72" i="1"/>
  <c r="N72" i="1" s="1"/>
  <c r="Q110" i="5"/>
  <c r="AH110" i="5"/>
  <c r="AH82" i="5"/>
  <c r="F82" i="5" s="1"/>
  <c r="L103" i="1" s="1"/>
  <c r="Q135" i="5"/>
  <c r="AH135" i="5"/>
  <c r="F135" i="5"/>
  <c r="L169" i="1"/>
  <c r="N169" i="1" s="1"/>
  <c r="Q162" i="5"/>
  <c r="AH162" i="5"/>
  <c r="F162" i="5"/>
  <c r="L223" i="1" s="1"/>
  <c r="Q28" i="5"/>
  <c r="AH28" i="5" s="1"/>
  <c r="F28" i="5" s="1"/>
  <c r="L37" i="1" s="1"/>
  <c r="N37" i="1" s="1"/>
  <c r="Q71" i="5"/>
  <c r="AH71" i="5" s="1"/>
  <c r="Q76" i="5"/>
  <c r="AH76" i="5"/>
  <c r="F76" i="5"/>
  <c r="L97" i="1"/>
  <c r="N97" i="1" s="1"/>
  <c r="AH39" i="5"/>
  <c r="F39" i="5"/>
  <c r="L49" i="1"/>
  <c r="Q128" i="5"/>
  <c r="U128" i="5" s="1"/>
  <c r="AH128" i="5" s="1"/>
  <c r="F128" i="5" s="1"/>
  <c r="L160" i="1" s="1"/>
  <c r="AH19" i="5"/>
  <c r="F19" i="5"/>
  <c r="L21" i="1"/>
  <c r="Q165" i="5"/>
  <c r="AH165" i="5"/>
  <c r="F165" i="5"/>
  <c r="L226" i="1" s="1"/>
  <c r="Q167" i="5"/>
  <c r="AH167" i="5"/>
  <c r="F167" i="5"/>
  <c r="L228" i="1"/>
  <c r="F110" i="5"/>
  <c r="L135" i="1" s="1"/>
  <c r="Q109" i="5"/>
  <c r="AH109" i="5" s="1"/>
  <c r="F109" i="5" s="1"/>
  <c r="L133" i="1" s="1"/>
  <c r="Q35" i="5"/>
  <c r="AH35" i="5" s="1"/>
  <c r="F35" i="5" s="1"/>
  <c r="L45" i="1" s="1"/>
  <c r="AH15" i="5"/>
  <c r="Q163" i="5"/>
  <c r="AE175" i="5"/>
  <c r="AH175" i="5"/>
  <c r="F175" i="5"/>
  <c r="L236" i="1"/>
  <c r="N236" i="1" s="1"/>
  <c r="Q155" i="5"/>
  <c r="AH155" i="5" s="1"/>
  <c r="F155" i="5" s="1"/>
  <c r="L212" i="1" s="1"/>
  <c r="F15" i="5"/>
  <c r="L16" i="1"/>
  <c r="Q36" i="5"/>
  <c r="AH36" i="5"/>
  <c r="F36" i="5"/>
  <c r="L46" i="1"/>
  <c r="H419" i="2" l="1"/>
  <c r="I419" i="2" s="1"/>
  <c r="N223" i="1"/>
  <c r="H256" i="2"/>
  <c r="I256" i="2" s="1"/>
  <c r="N281" i="1"/>
  <c r="H126" i="2"/>
  <c r="I126" i="2" s="1"/>
  <c r="N166" i="1"/>
  <c r="H451" i="2"/>
  <c r="I451" i="2" s="1"/>
  <c r="N103" i="1"/>
  <c r="H268" i="2"/>
  <c r="I268" i="2" s="1"/>
  <c r="H174" i="2"/>
  <c r="I174" i="2" s="1"/>
  <c r="F27" i="5"/>
  <c r="L36" i="1" s="1"/>
  <c r="N36" i="1" s="1"/>
  <c r="F179" i="5"/>
  <c r="L244" i="1" s="1"/>
  <c r="N244" i="1" s="1"/>
  <c r="F85" i="5"/>
  <c r="L106" i="1" s="1"/>
  <c r="N106" i="1" s="1"/>
  <c r="AH66" i="5"/>
  <c r="F66" i="5" s="1"/>
  <c r="L84" i="1" s="1"/>
  <c r="H128" i="2" s="1"/>
  <c r="I128" i="2" s="1"/>
  <c r="Q215" i="5"/>
  <c r="AH145" i="5"/>
  <c r="F145" i="5" s="1"/>
  <c r="L196" i="1" s="1"/>
  <c r="H297" i="2" s="1"/>
  <c r="I297" i="2" s="1"/>
  <c r="H366" i="2"/>
  <c r="Q191" i="5"/>
  <c r="Q217" i="5" s="1"/>
  <c r="H496" i="2"/>
  <c r="I496" i="2" s="1"/>
  <c r="N59" i="1"/>
  <c r="H546" i="2"/>
  <c r="N10" i="1"/>
  <c r="H241" i="2"/>
  <c r="I241" i="2" s="1"/>
  <c r="N159" i="1"/>
  <c r="N102" i="1"/>
  <c r="H334" i="2"/>
  <c r="N64" i="1"/>
  <c r="H351" i="2"/>
  <c r="I351" i="2" s="1"/>
  <c r="N21" i="1"/>
  <c r="H309" i="2"/>
  <c r="I309" i="2" s="1"/>
  <c r="H255" i="2"/>
  <c r="I255" i="2" s="1"/>
  <c r="N45" i="1"/>
  <c r="H117" i="2"/>
  <c r="N189" i="1"/>
  <c r="N207" i="1"/>
  <c r="H320" i="2"/>
  <c r="I320" i="2" s="1"/>
  <c r="N226" i="1"/>
  <c r="H207" i="2"/>
  <c r="I207" i="2" s="1"/>
  <c r="N46" i="1"/>
  <c r="H340" i="2"/>
  <c r="I340" i="2" s="1"/>
  <c r="N119" i="1"/>
  <c r="H215" i="2"/>
  <c r="N110" i="1"/>
  <c r="H232" i="2"/>
  <c r="S31" i="5"/>
  <c r="AH31" i="5" s="1"/>
  <c r="F31" i="5" s="1"/>
  <c r="L40" i="1" s="1"/>
  <c r="H477" i="2"/>
  <c r="I477" i="2" s="1"/>
  <c r="N122" i="1"/>
  <c r="H197" i="2"/>
  <c r="N47" i="1"/>
  <c r="H222" i="2"/>
  <c r="N51" i="1"/>
  <c r="H311" i="2"/>
  <c r="I311" i="2" s="1"/>
  <c r="N115" i="1"/>
  <c r="S79" i="5"/>
  <c r="AH79" i="5"/>
  <c r="F79" i="5" s="1"/>
  <c r="L100" i="1" s="1"/>
  <c r="N93" i="1"/>
  <c r="H165" i="2"/>
  <c r="H352" i="2"/>
  <c r="N78" i="1"/>
  <c r="N127" i="1"/>
  <c r="H505" i="2"/>
  <c r="I505" i="2" s="1"/>
  <c r="N136" i="1"/>
  <c r="H367" i="2"/>
  <c r="U199" i="5"/>
  <c r="AH199" i="5" s="1"/>
  <c r="AE168" i="5"/>
  <c r="AH168" i="5" s="1"/>
  <c r="F168" i="5" s="1"/>
  <c r="L229" i="1" s="1"/>
  <c r="S136" i="5"/>
  <c r="AH136" i="5" s="1"/>
  <c r="F136" i="5" s="1"/>
  <c r="L170" i="1" s="1"/>
  <c r="AE136" i="5"/>
  <c r="N225" i="1"/>
  <c r="H206" i="2"/>
  <c r="I206" i="2" s="1"/>
  <c r="H318" i="2"/>
  <c r="N13" i="1"/>
  <c r="S87" i="5"/>
  <c r="AH87" i="5" s="1"/>
  <c r="F87" i="5" s="1"/>
  <c r="L108" i="1" s="1"/>
  <c r="AE59" i="5"/>
  <c r="AH59" i="5" s="1"/>
  <c r="F59" i="5" s="1"/>
  <c r="L71" i="1" s="1"/>
  <c r="N125" i="1"/>
  <c r="H473" i="2"/>
  <c r="N105" i="1"/>
  <c r="H296" i="2"/>
  <c r="N85" i="1"/>
  <c r="H133" i="2"/>
  <c r="N61" i="1"/>
  <c r="H344" i="2"/>
  <c r="N43" i="1"/>
  <c r="H443" i="2"/>
  <c r="N17" i="1"/>
  <c r="H11" i="2"/>
  <c r="H497" i="2"/>
  <c r="N60" i="1"/>
  <c r="H244" i="2"/>
  <c r="I244" i="2" s="1"/>
  <c r="N161" i="1"/>
  <c r="U38" i="5"/>
  <c r="AH38" i="5"/>
  <c r="F38" i="5" s="1"/>
  <c r="L48" i="1" s="1"/>
  <c r="H490" i="2"/>
  <c r="I490" i="2" s="1"/>
  <c r="N131" i="1"/>
  <c r="H178" i="2"/>
  <c r="I178" i="2" s="1"/>
  <c r="N232" i="1"/>
  <c r="L94" i="1"/>
  <c r="N94" i="1" s="1"/>
  <c r="N140" i="1"/>
  <c r="H382" i="2"/>
  <c r="I382" i="2" s="1"/>
  <c r="N87" i="1"/>
  <c r="H127" i="2"/>
  <c r="I127" i="2" s="1"/>
  <c r="AE146" i="5"/>
  <c r="AH146" i="5" s="1"/>
  <c r="F146" i="5" s="1"/>
  <c r="L197" i="1" s="1"/>
  <c r="H225" i="2"/>
  <c r="I225" i="2" s="1"/>
  <c r="N50" i="1"/>
  <c r="H254" i="2"/>
  <c r="I254" i="2" s="1"/>
  <c r="N155" i="1"/>
  <c r="H359" i="2"/>
  <c r="I359" i="2" s="1"/>
  <c r="N67" i="1"/>
  <c r="H190" i="2"/>
  <c r="I190" i="2" s="1"/>
  <c r="N69" i="1"/>
  <c r="H345" i="2"/>
  <c r="I345" i="2" s="1"/>
  <c r="N58" i="1"/>
  <c r="H319" i="2"/>
  <c r="I319" i="2" s="1"/>
  <c r="N57" i="1"/>
  <c r="N107" i="1"/>
  <c r="H374" i="2"/>
  <c r="AE51" i="5"/>
  <c r="AH51" i="5" s="1"/>
  <c r="F51" i="5" s="1"/>
  <c r="L62" i="1" s="1"/>
  <c r="H327" i="2"/>
  <c r="I327" i="2" s="1"/>
  <c r="N165" i="1"/>
  <c r="H152" i="2"/>
  <c r="I152" i="2" s="1"/>
  <c r="N42" i="1"/>
  <c r="AE56" i="5"/>
  <c r="AH56" i="5" s="1"/>
  <c r="F56" i="5" s="1"/>
  <c r="L68" i="1" s="1"/>
  <c r="N117" i="1"/>
  <c r="H216" i="2"/>
  <c r="I216" i="2" s="1"/>
  <c r="AE63" i="5"/>
  <c r="S63" i="5"/>
  <c r="H209" i="2"/>
  <c r="I209" i="2" s="1"/>
  <c r="N227" i="1"/>
  <c r="U99" i="5"/>
  <c r="S99" i="5"/>
  <c r="AH99" i="5" s="1"/>
  <c r="F99" i="5" s="1"/>
  <c r="L123" i="1" s="1"/>
  <c r="N82" i="1"/>
  <c r="H457" i="2"/>
  <c r="H450" i="2"/>
  <c r="N177" i="1"/>
  <c r="AE25" i="5"/>
  <c r="AH25" i="5" s="1"/>
  <c r="N128" i="1"/>
  <c r="H504" i="2"/>
  <c r="I504" i="2" s="1"/>
  <c r="H199" i="2"/>
  <c r="I199" i="2" s="1"/>
  <c r="N24" i="1"/>
  <c r="H358" i="2"/>
  <c r="N65" i="1"/>
  <c r="H388" i="2"/>
  <c r="N150" i="1"/>
  <c r="H198" i="2"/>
  <c r="I198" i="2" s="1"/>
  <c r="N25" i="1"/>
  <c r="N114" i="1"/>
  <c r="H310" i="2"/>
  <c r="N156" i="1"/>
  <c r="H253" i="2"/>
  <c r="I253" i="2" s="1"/>
  <c r="H426" i="2"/>
  <c r="I426" i="2" s="1"/>
  <c r="N237" i="1"/>
  <c r="AE78" i="5"/>
  <c r="S78" i="5"/>
  <c r="AH78" i="5" s="1"/>
  <c r="F78" i="5" s="1"/>
  <c r="L99" i="1" s="1"/>
  <c r="U78" i="5"/>
  <c r="AE147" i="5"/>
  <c r="S147" i="5"/>
  <c r="U147" i="5"/>
  <c r="AH147" i="5" s="1"/>
  <c r="F147" i="5" s="1"/>
  <c r="L198" i="1" s="1"/>
  <c r="H390" i="2"/>
  <c r="I390" i="2" s="1"/>
  <c r="N205" i="1"/>
  <c r="H417" i="2"/>
  <c r="N233" i="1"/>
  <c r="N124" i="1"/>
  <c r="H489" i="2"/>
  <c r="H252" i="2"/>
  <c r="N154" i="1"/>
  <c r="N120" i="1"/>
  <c r="H262" i="2"/>
  <c r="H375" i="2"/>
  <c r="I375" i="2" s="1"/>
  <c r="N230" i="1"/>
  <c r="H267" i="2"/>
  <c r="I267" i="2" s="1"/>
  <c r="N148" i="1"/>
  <c r="H129" i="2"/>
  <c r="I129" i="2" s="1"/>
  <c r="N86" i="1"/>
  <c r="N284" i="1"/>
  <c r="H125" i="2"/>
  <c r="N53" i="1"/>
  <c r="H290" i="2"/>
  <c r="I290" i="2" s="1"/>
  <c r="H474" i="2"/>
  <c r="I474" i="2" s="1"/>
  <c r="N126" i="1"/>
  <c r="U201" i="5"/>
  <c r="AH201" i="5"/>
  <c r="F201" i="5" s="1"/>
  <c r="L302" i="1" s="1"/>
  <c r="N66" i="1"/>
  <c r="H360" i="2"/>
  <c r="I360" i="2" s="1"/>
  <c r="N234" i="1"/>
  <c r="H418" i="2"/>
  <c r="I418" i="2" s="1"/>
  <c r="N204" i="1"/>
  <c r="H389" i="2"/>
  <c r="I389" i="2" s="1"/>
  <c r="N167" i="1"/>
  <c r="H274" i="2"/>
  <c r="I274" i="2" s="1"/>
  <c r="H397" i="2"/>
  <c r="I397" i="2" s="1"/>
  <c r="N164" i="1"/>
  <c r="H288" i="2"/>
  <c r="N39" i="1"/>
  <c r="H326" i="2"/>
  <c r="N54" i="1"/>
  <c r="H425" i="2"/>
  <c r="N149" i="1"/>
  <c r="H396" i="2"/>
  <c r="N171" i="1"/>
  <c r="H233" i="2"/>
  <c r="I233" i="2" s="1"/>
  <c r="N199" i="1"/>
  <c r="N104" i="1"/>
  <c r="H269" i="2"/>
  <c r="I269" i="2" s="1"/>
  <c r="N49" i="1"/>
  <c r="H223" i="2"/>
  <c r="I223" i="2" s="1"/>
  <c r="H242" i="2"/>
  <c r="N160" i="1"/>
  <c r="H208" i="2"/>
  <c r="I208" i="2" s="1"/>
  <c r="N228" i="1"/>
  <c r="N135" i="1"/>
  <c r="H403" i="2"/>
  <c r="N133" i="1"/>
  <c r="H503" i="2"/>
  <c r="H151" i="2"/>
  <c r="I151" i="2" s="1"/>
  <c r="N41" i="1"/>
  <c r="AE163" i="5"/>
  <c r="S163" i="5"/>
  <c r="AH163" i="5" s="1"/>
  <c r="F163" i="5" s="1"/>
  <c r="L224" i="1" s="1"/>
  <c r="N224" i="1" s="1"/>
  <c r="H205" i="2"/>
  <c r="N212" i="1"/>
  <c r="I366" i="2"/>
  <c r="H150" i="2"/>
  <c r="N16" i="1"/>
  <c r="N84" i="1" l="1"/>
  <c r="N196" i="1"/>
  <c r="AH63" i="5"/>
  <c r="F63" i="5" s="1"/>
  <c r="L79" i="1" s="1"/>
  <c r="N79" i="1" s="1"/>
  <c r="H579" i="2"/>
  <c r="I546" i="2"/>
  <c r="I579" i="2" s="1"/>
  <c r="I334" i="2"/>
  <c r="I335" i="2" s="1"/>
  <c r="H335" i="2"/>
  <c r="H118" i="2"/>
  <c r="H120" i="2" s="1"/>
  <c r="I117" i="2"/>
  <c r="I118" i="2" s="1"/>
  <c r="I120" i="2" s="1"/>
  <c r="I352" i="2"/>
  <c r="I353" i="2" s="1"/>
  <c r="H353" i="2"/>
  <c r="H217" i="2"/>
  <c r="I215" i="2"/>
  <c r="I217" i="2" s="1"/>
  <c r="H234" i="2"/>
  <c r="H236" i="2" s="1"/>
  <c r="I232" i="2"/>
  <c r="I234" i="2" s="1"/>
  <c r="I236" i="2" s="1"/>
  <c r="H155" i="2"/>
  <c r="N40" i="1"/>
  <c r="H200" i="2"/>
  <c r="I197" i="2"/>
  <c r="I200" i="2" s="1"/>
  <c r="I222" i="2"/>
  <c r="N100" i="1"/>
  <c r="H266" i="2"/>
  <c r="I165" i="2"/>
  <c r="AH215" i="5"/>
  <c r="F199" i="5"/>
  <c r="H130" i="2"/>
  <c r="N229" i="1"/>
  <c r="H187" i="2"/>
  <c r="N170" i="1"/>
  <c r="H321" i="2"/>
  <c r="I318" i="2"/>
  <c r="I321" i="2" s="1"/>
  <c r="N108" i="1"/>
  <c r="H166" i="2"/>
  <c r="H157" i="2"/>
  <c r="I157" i="2" s="1"/>
  <c r="N71" i="1"/>
  <c r="H484" i="2"/>
  <c r="I473" i="2"/>
  <c r="I484" i="2" s="1"/>
  <c r="H298" i="2"/>
  <c r="I296" i="2"/>
  <c r="I298" i="2" s="1"/>
  <c r="H134" i="2"/>
  <c r="I133" i="2"/>
  <c r="I134" i="2" s="1"/>
  <c r="I344" i="2"/>
  <c r="I346" i="2" s="1"/>
  <c r="H346" i="2"/>
  <c r="I443" i="2"/>
  <c r="H12" i="2"/>
  <c r="I11" i="2"/>
  <c r="I12" i="2" s="1"/>
  <c r="H224" i="2"/>
  <c r="N48" i="1"/>
  <c r="H300" i="2"/>
  <c r="N197" i="1"/>
  <c r="I374" i="2"/>
  <c r="I376" i="2" s="1"/>
  <c r="H376" i="2"/>
  <c r="H341" i="2"/>
  <c r="N62" i="1"/>
  <c r="N68" i="1"/>
  <c r="H176" i="2"/>
  <c r="H465" i="2"/>
  <c r="N123" i="1"/>
  <c r="H381" i="2"/>
  <c r="I457" i="2"/>
  <c r="I459" i="2" s="1"/>
  <c r="H459" i="2"/>
  <c r="I450" i="2"/>
  <c r="I452" i="2" s="1"/>
  <c r="H452" i="2"/>
  <c r="H361" i="2"/>
  <c r="I358" i="2"/>
  <c r="I361" i="2" s="1"/>
  <c r="I388" i="2"/>
  <c r="I391" i="2" s="1"/>
  <c r="H391" i="2"/>
  <c r="H313" i="2"/>
  <c r="I310" i="2"/>
  <c r="I313" i="2" s="1"/>
  <c r="N99" i="1"/>
  <c r="H273" i="2"/>
  <c r="H282" i="2"/>
  <c r="N198" i="1"/>
  <c r="H420" i="2"/>
  <c r="I417" i="2"/>
  <c r="I420" i="2" s="1"/>
  <c r="H491" i="2"/>
  <c r="I489" i="2"/>
  <c r="I491" i="2" s="1"/>
  <c r="H257" i="2"/>
  <c r="I252" i="2"/>
  <c r="I257" i="2" s="1"/>
  <c r="H263" i="2"/>
  <c r="I262" i="2"/>
  <c r="I263" i="2" s="1"/>
  <c r="I125" i="2"/>
  <c r="H444" i="2"/>
  <c r="N302" i="1"/>
  <c r="H291" i="2"/>
  <c r="I288" i="2"/>
  <c r="I291" i="2" s="1"/>
  <c r="H328" i="2"/>
  <c r="I326" i="2"/>
  <c r="I328" i="2" s="1"/>
  <c r="H427" i="2"/>
  <c r="I425" i="2"/>
  <c r="I427" i="2" s="1"/>
  <c r="H398" i="2"/>
  <c r="I396" i="2"/>
  <c r="I398" i="2" s="1"/>
  <c r="H405" i="2"/>
  <c r="I403" i="2"/>
  <c r="I405" i="2" s="1"/>
  <c r="H507" i="2"/>
  <c r="I503" i="2"/>
  <c r="I507" i="2" s="1"/>
  <c r="H210" i="2"/>
  <c r="I205" i="2"/>
  <c r="I210" i="2" s="1"/>
  <c r="H153" i="2"/>
  <c r="I150" i="2"/>
  <c r="I153" i="2" s="1"/>
  <c r="S191" i="5"/>
  <c r="S217" i="5" s="1"/>
  <c r="U215" i="5"/>
  <c r="U191" i="5"/>
  <c r="U217" i="5" s="1"/>
  <c r="AE191" i="5"/>
  <c r="AE217" i="5" s="1"/>
  <c r="I367" i="2"/>
  <c r="I369" i="2" s="1"/>
  <c r="H369" i="2"/>
  <c r="I497" i="2"/>
  <c r="I498" i="2" s="1"/>
  <c r="H498" i="2"/>
  <c r="AH191" i="5"/>
  <c r="F25" i="5"/>
  <c r="I242" i="2"/>
  <c r="I246" i="2" s="1"/>
  <c r="H246" i="2"/>
  <c r="I155" i="2" l="1"/>
  <c r="I158" i="2" s="1"/>
  <c r="I160" i="2" s="1"/>
  <c r="H158" i="2"/>
  <c r="H160" i="2" s="1"/>
  <c r="I266" i="2"/>
  <c r="I270" i="2" s="1"/>
  <c r="H270" i="2"/>
  <c r="F215" i="5"/>
  <c r="L290" i="1"/>
  <c r="H191" i="2"/>
  <c r="I187" i="2"/>
  <c r="I191" i="2" s="1"/>
  <c r="H302" i="2"/>
  <c r="H304" i="2" s="1"/>
  <c r="I300" i="2"/>
  <c r="I302" i="2" s="1"/>
  <c r="I304" i="2" s="1"/>
  <c r="H342" i="2"/>
  <c r="I341" i="2"/>
  <c r="I342" i="2" s="1"/>
  <c r="H179" i="2"/>
  <c r="H182" i="2" s="1"/>
  <c r="I176" i="2"/>
  <c r="I179" i="2" s="1"/>
  <c r="I182" i="2" s="1"/>
  <c r="I465" i="2"/>
  <c r="I466" i="2" s="1"/>
  <c r="H466" i="2"/>
  <c r="H383" i="2"/>
  <c r="I381" i="2"/>
  <c r="I383" i="2" s="1"/>
  <c r="I273" i="2"/>
  <c r="I275" i="2" s="1"/>
  <c r="H275" i="2"/>
  <c r="H283" i="2"/>
  <c r="I282" i="2"/>
  <c r="I283" i="2" s="1"/>
  <c r="F191" i="5"/>
  <c r="L33" i="1"/>
  <c r="AH217" i="5"/>
  <c r="I130" i="2"/>
  <c r="I131" i="2" s="1"/>
  <c r="I136" i="2" s="1"/>
  <c r="H131" i="2"/>
  <c r="H136" i="2" s="1"/>
  <c r="I166" i="2"/>
  <c r="I167" i="2" s="1"/>
  <c r="I169" i="2" s="1"/>
  <c r="H167" i="2"/>
  <c r="H169" i="2" s="1"/>
  <c r="I224" i="2"/>
  <c r="I227" i="2" s="1"/>
  <c r="H227" i="2"/>
  <c r="I444" i="2"/>
  <c r="I445" i="2" s="1"/>
  <c r="H445" i="2"/>
  <c r="I277" i="2" l="1"/>
  <c r="H277" i="2"/>
  <c r="L313" i="1"/>
  <c r="N290" i="1"/>
  <c r="N313" i="1" s="1"/>
  <c r="H79" i="2"/>
  <c r="F217" i="5"/>
  <c r="I191" i="5"/>
  <c r="F219" i="5"/>
  <c r="F222" i="5" s="1"/>
  <c r="L271" i="1"/>
  <c r="N33" i="1"/>
  <c r="N271" i="1" s="1"/>
  <c r="N316" i="1" s="1"/>
  <c r="I79" i="2" l="1"/>
  <c r="I83" i="2" s="1"/>
  <c r="I91" i="2" s="1"/>
  <c r="I583" i="2" s="1"/>
  <c r="H83" i="2"/>
  <c r="H91" i="2" s="1"/>
  <c r="H583" i="2" s="1"/>
  <c r="H5" i="2" s="1"/>
  <c r="C591" i="2"/>
  <c r="L317" i="1"/>
  <c r="F325" i="1"/>
  <c r="F328" i="1" s="1"/>
  <c r="F330" i="1" s="1"/>
  <c r="L316" i="1"/>
  <c r="I588" i="2" l="1"/>
  <c r="I5" i="2"/>
  <c r="G330" i="1"/>
  <c r="F333" i="1"/>
  <c r="G333" i="1" s="1"/>
  <c r="L318" i="1"/>
  <c r="I587" i="2"/>
  <c r="O316" i="1"/>
  <c r="C592" i="2"/>
  <c r="C593" i="2" s="1"/>
  <c r="F336" i="1"/>
  <c r="I589" i="2" l="1"/>
  <c r="I333" i="1"/>
</calcChain>
</file>

<file path=xl/sharedStrings.xml><?xml version="1.0" encoding="utf-8"?>
<sst xmlns="http://schemas.openxmlformats.org/spreadsheetml/2006/main" count="6815" uniqueCount="1141">
  <si>
    <t>PERSONAS  NATURALES Y PERSONAS JURÍDICAS</t>
  </si>
  <si>
    <t>PERSONAS  NATURALES</t>
  </si>
  <si>
    <t>No.</t>
  </si>
  <si>
    <t>PERSONAS JURÍDICAS</t>
  </si>
  <si>
    <t>ACEVEDO VELÁSQUEZ LUZ ELENA</t>
  </si>
  <si>
    <t>ÁLVAREZ ÁLVAREZ CARLOS ENRIQUE</t>
  </si>
  <si>
    <t>ÁLVAREZ BERMÚDEZ CRUZ MARÍA</t>
  </si>
  <si>
    <t>ÁLVAREZ LONDOÑO MARTHA</t>
  </si>
  <si>
    <t>ÁLVAREZ LONDOÑO OLGA STELLA</t>
  </si>
  <si>
    <t>ARANGO MEJÍA MARÍA ALICIA DEL SOCORRO</t>
  </si>
  <si>
    <t>ARBELÁEZ COCK ÁNGELA MARÍA DEL CARMEN</t>
  </si>
  <si>
    <t>ARBELÁEZ COCK GABRIEL JAIME</t>
  </si>
  <si>
    <t>ARBELÁEZ RESTREPO FRANCISCO RODRIGO</t>
  </si>
  <si>
    <t>ARBOLEDA PÉREZ DOLLY</t>
  </si>
  <si>
    <t>ARROYAVE JIMÉNEZ RUBÉN DARIO</t>
  </si>
  <si>
    <t>BETANCUR RESTREPO SARA LUISA</t>
  </si>
  <si>
    <t>BOTERO FERNÁNDEZ GUILLERMO</t>
  </si>
  <si>
    <t>CADAVID GALLEGO JULIA CRISTINA</t>
  </si>
  <si>
    <t>CALLE ARANGO CARLOS ENRIQUE</t>
  </si>
  <si>
    <t>CALLE BUILES MARTA ISABEL</t>
  </si>
  <si>
    <t>CANCINO CORREA CRISTINA</t>
  </si>
  <si>
    <t>CÁRDENAS ÁLVAREZ CATALINA MARÍA</t>
  </si>
  <si>
    <t>CÁRDENAS ÁLVAREZ JUAN DIEGO</t>
  </si>
  <si>
    <t>CÁRDENAS GUTIÉRREZ SERGIO</t>
  </si>
  <si>
    <t>CARVAJAL ARIAS AMBROSIO</t>
  </si>
  <si>
    <t>CHAVARRIAGA DE DUQUE MARÍA ROCÍO DEL PILAR</t>
  </si>
  <si>
    <t>CEBALLOS GIRALDO CATALINA</t>
  </si>
  <si>
    <t>CÉSPEDES ROJAS ANTONIO JOSÉ</t>
  </si>
  <si>
    <t>COCK DE ARBELÁEZ OLGA LUCIA</t>
  </si>
  <si>
    <t>COCK DE LAVERDE LUZ ELENA</t>
  </si>
  <si>
    <t>COCK HERNÁNDEZ CHRISTIAN</t>
  </si>
  <si>
    <t>COCK HERNÁNDEZ HILDA</t>
  </si>
  <si>
    <t>COCK HERNÁNDEZ MARTÍN</t>
  </si>
  <si>
    <t>CORREA DE RÍOS MIRYAM DEL SOCORRO</t>
  </si>
  <si>
    <t>CORREA JARAMILLO ANTONIO JESÚS</t>
  </si>
  <si>
    <t>CORREA JARAMILLO MARÍA ADELAIDA</t>
  </si>
  <si>
    <t>CORREA JARAMILLO MAURICIO</t>
  </si>
  <si>
    <t>CUERVO SIERRA JORGE</t>
  </si>
  <si>
    <t>DÁVILA DE ZULETA MARÍA LILIAM DEL SOCORRO</t>
  </si>
  <si>
    <t>DUQUE ECHEVERRÍ GERMÁN</t>
  </si>
  <si>
    <t>DUQUE CHAVARRIAGA SANTIAGO</t>
  </si>
  <si>
    <t xml:space="preserve">ECHAVARRÍA DE VILLEGAS ANA ISABEL </t>
  </si>
  <si>
    <t>ECHEVERRY ARENAS LINA MARÍA</t>
  </si>
  <si>
    <t>ELEJALDE ESCOBAR MÓNICA CRISTINA</t>
  </si>
  <si>
    <t>ELEJALDE JARAMILLO JOSÉ TOMÁS</t>
  </si>
  <si>
    <t>ESCOBAR FERNÁNDEZ LUÍS LEÓN</t>
  </si>
  <si>
    <t>ESCOBAR PELÁEZ JULIANA</t>
  </si>
  <si>
    <t>ESCORCIA CÁRDENAS EMILIO</t>
  </si>
  <si>
    <t>ESCORCIA CÁRDENAS PAULINA</t>
  </si>
  <si>
    <t>FERNÁNDEZ DE ESCOBAR LETICIA</t>
  </si>
  <si>
    <t>FERNÁNDEZ DE POSADA MIRYAM ALICIA</t>
  </si>
  <si>
    <t>FERNÁNDEZ FERNÁNDEZ GERMÁN TULIO</t>
  </si>
  <si>
    <t>FERNÁNDEZ MC CANN DAVID STEPHEN</t>
  </si>
  <si>
    <t>FERNÁNDEZ RESTREPO ÁLVARO</t>
  </si>
  <si>
    <t>FERNÁNDEZ TOBAR FABIO ERNESTO</t>
  </si>
  <si>
    <t>FLURY CARLI</t>
  </si>
  <si>
    <t>FLURY VALENCIA BREETH</t>
  </si>
  <si>
    <t>FLURY VALENCIA ERIKA</t>
  </si>
  <si>
    <t>FLURY VALENCIA GERALDINE</t>
  </si>
  <si>
    <t>GALLEGO ARIAS MIRIAM DEL SOCORRO</t>
  </si>
  <si>
    <t>GALLEGO CARDEÑO MARGARITA MARÍA</t>
  </si>
  <si>
    <t>GAVIRIA GUTIÉRREZ CARLOS MARIO</t>
  </si>
  <si>
    <t>GAVIRIA MONCADA GIOVANNI</t>
  </si>
  <si>
    <t>GAVIRIA ORTIZ LIBARDO ALBERTO</t>
  </si>
  <si>
    <t>GAVIRIA VÉLEZ SEBASTIAN</t>
  </si>
  <si>
    <t>GIRALDO CASTRO MARTHA EUGENIA</t>
  </si>
  <si>
    <t>GONZÁLEZ HOYOS EUDORO</t>
  </si>
  <si>
    <t>GONZÁLEZ LEMOS JUAN CARLOS</t>
  </si>
  <si>
    <t>GONZÁLEZ LEMOS MAURICIO</t>
  </si>
  <si>
    <t>GONZÁLEZ MARTÍNEZ LUÍS FERNANDO</t>
  </si>
  <si>
    <t>GONZÁLEZ MORENO BETTY DE JESÚS</t>
  </si>
  <si>
    <t>GONZÁLEZ MORENO ELSY DEL SOCORRO</t>
  </si>
  <si>
    <t>GUERRA LUÍS ALBEIRO</t>
  </si>
  <si>
    <t>GUERRERO BERTEL BETTY</t>
  </si>
  <si>
    <t>GUTIÉRREZ VALLEJO HERNÁN ALONSO</t>
  </si>
  <si>
    <t>HERNÁNDEZ DE COCK BEATRIZ</t>
  </si>
  <si>
    <t>HOYOS ARANGO ALEJANDRO</t>
  </si>
  <si>
    <t>HOYOS ARANGO ANDRÉS</t>
  </si>
  <si>
    <t>HOYOS ARANGO DANIEL</t>
  </si>
  <si>
    <t>HURTADO GONZÁLEZ KATHERIN LIZETH</t>
  </si>
  <si>
    <t>JARAMILLO DE CORREA MARÍA EFIGENIA</t>
  </si>
  <si>
    <t>JARAMILLO SÁNCHEZ DIANA MARÍA</t>
  </si>
  <si>
    <t>LAVERDE ESCOBAR SAÚL DE JESÚS</t>
  </si>
  <si>
    <t>LEMOS DE GONZÁLEZ AMPARO DE JESÚS</t>
  </si>
  <si>
    <t>MALAGÓN ROJAS MARTHA ISABEL</t>
  </si>
  <si>
    <t>MARTÍNEZ CARDONA OSCAR DE JESÚS</t>
  </si>
  <si>
    <t>MARTÍNEZ DE SANDOVAL LIBIA EDDY</t>
  </si>
  <si>
    <t>MARTÍNEZ IREGUI ALEJANDRO</t>
  </si>
  <si>
    <t>MARULANDA GIRALDO JAIRO DE JESÚS</t>
  </si>
  <si>
    <t>MEJÍA DUQUE LINA MARÍA</t>
  </si>
  <si>
    <t>MEJÍA JARAMILLO BEATRIZ VIRGINIA</t>
  </si>
  <si>
    <t>MEJÍA RESTREPO DIEGO LUÍS</t>
  </si>
  <si>
    <t>MEJÍA TORRES CAMILA</t>
  </si>
  <si>
    <t>MEJÍA TORRES LUÍS</t>
  </si>
  <si>
    <t>MENDIETA LEÓN LEONARDO ANDRÉS</t>
  </si>
  <si>
    <t>MESA BERMÚDEZ JESÚS FEDERMÁN</t>
  </si>
  <si>
    <t>MESA RESTREPO ANA MARÍA</t>
  </si>
  <si>
    <t>MESA RESTREPO LUÍS GERMÁN</t>
  </si>
  <si>
    <t>MIRA GONZÁLEZ ADRIANA</t>
  </si>
  <si>
    <t>MOLINA RESTREPO MARÍA EUGENIA</t>
  </si>
  <si>
    <t>MONSALVE JUAN AICARDO</t>
  </si>
  <si>
    <t>MORENO MAYA GABRIEL JAIME</t>
  </si>
  <si>
    <t>OCHOA CARDONA RODRIGO</t>
  </si>
  <si>
    <t>OCHOA VELÁSQUEZ BEATRIZ</t>
  </si>
  <si>
    <t>OCHOA VELÁSQUEZ RAFAEL</t>
  </si>
  <si>
    <t>ORTEGA ARANGO JUVENAL DE JESÚS</t>
  </si>
  <si>
    <t>ORTEGA MADRID DIEGO SAÚL</t>
  </si>
  <si>
    <t>ORTEGA MADRID GABRIELA DEL SOCORRO</t>
  </si>
  <si>
    <t>ORTEGA MADRID JUVENAL DE JESÚS</t>
  </si>
  <si>
    <t>ORTIZ MEJÍA LUÍS JOSUÉ</t>
  </si>
  <si>
    <t>OSORIO ARCILA LUZ MERCEDES</t>
  </si>
  <si>
    <t>PALACIO RESTREPO LUZ ADRIANA</t>
  </si>
  <si>
    <t>PATIÑO DE AMARILES ROSA MARGARITA</t>
  </si>
  <si>
    <t>PELÁEZ VALDÉS MARÍA DE LAS MERCEDES</t>
  </si>
  <si>
    <t>PEÑA SANTAMARÍA FEDERICO ERNESTO</t>
  </si>
  <si>
    <t>POSADA DE VÉLEZ AMANDA</t>
  </si>
  <si>
    <t>REALES BELTRÁN JESÚS MARÍA</t>
  </si>
  <si>
    <t>RESTREPO ÁLVAREZ LUÍS EMILIO</t>
  </si>
  <si>
    <t>RESTREPO CORREA ISMAEL ALBERTO</t>
  </si>
  <si>
    <t>RESTREPO DE MESA GABRIELA</t>
  </si>
  <si>
    <t>RESTREPO DE SÁNCHEZ MARÍA ISABEL</t>
  </si>
  <si>
    <t>RESTREPO MEJÍA MARÍA LUISA</t>
  </si>
  <si>
    <t>RESTREPO MEJÍA SEBASTIAN</t>
  </si>
  <si>
    <t>RESTREPO MEJÍA TOMÁS</t>
  </si>
  <si>
    <t>RESTREPO POSADA ÁNGELA MARÍA</t>
  </si>
  <si>
    <t>RESTREPO POSADA CLARA INÉS</t>
  </si>
  <si>
    <t>RESTREPO POSADA EMILIO ANTONIO</t>
  </si>
  <si>
    <t>RESTREPO POSADA JUAN JOSÉ</t>
  </si>
  <si>
    <t>RESTREPO POSADA SILVIA ELENA</t>
  </si>
  <si>
    <t>RICO VIUDA DE ÁLVAREZ ANA MARIELA</t>
  </si>
  <si>
    <t>RÍOS CORREA JAVIER ADOLFO</t>
  </si>
  <si>
    <t>RÍOS FRANCISCO JAVIER</t>
  </si>
  <si>
    <t>SALDARRIAGA GONZÁLEZ ANDREA</t>
  </si>
  <si>
    <t>SALDARRIAGA GONZÁLEZ CAROLINA</t>
  </si>
  <si>
    <t>SALDARRIAGA RESTREPO LUÍS JAIME</t>
  </si>
  <si>
    <t>SALDARRIAGA RESTREPO MARTHA OLGA</t>
  </si>
  <si>
    <t>SÁNCHEZ GÓMEZ SARA MARÍA</t>
  </si>
  <si>
    <t>SÁNCHEZ RESTREPO JUAN DAVID</t>
  </si>
  <si>
    <t>SÁNCHEZ RESTREPO MARGARITA ROSA</t>
  </si>
  <si>
    <t>SÁNCHEZ RUBIO JOSÉ MARDOQUEO</t>
  </si>
  <si>
    <t>SANDOVAL NOGUERA JOSÉ MIGUEL</t>
  </si>
  <si>
    <t>SARRAZOLA CHANCI LURDAISY</t>
  </si>
  <si>
    <t>SARRAZOLA SANTA GABRIEL ÁNGEL</t>
  </si>
  <si>
    <t>TAMAYO CÓRDOBA GLORIA CECILIA</t>
  </si>
  <si>
    <t>TAMAYO URIBE CLEMENCIA DE SAN GERMÁN</t>
  </si>
  <si>
    <t>TOBÓN MARTHA GLADYS</t>
  </si>
  <si>
    <t>TOBÓN SERNA GLADYS DE JESÚS</t>
  </si>
  <si>
    <t>TORRES MEJÍA CARMEN ANDREA</t>
  </si>
  <si>
    <t>TORRES SÁNCHEZ OMAR WINSTON</t>
  </si>
  <si>
    <t>UPEGUI GONZÁLEZ LÍA CRISTINA</t>
  </si>
  <si>
    <t>URIBE DE TAMAYO MARÍA HILDA</t>
  </si>
  <si>
    <t>URIBE DE URIBE MARIELA</t>
  </si>
  <si>
    <t>URIBE RESTREPO MIRYAM AMANDA</t>
  </si>
  <si>
    <t>URIBE URIBE CARLOS ALBERTO DE SAN FRANCISCO</t>
  </si>
  <si>
    <t>VALENCIA HOYOS BEATRIZ</t>
  </si>
  <si>
    <t>VÁSQUEZ SALAZAR GUILLERMO LEÓN</t>
  </si>
  <si>
    <t>VELÁSQUEZ DE OCHOA SOCORRO</t>
  </si>
  <si>
    <t>VÉLEZ ESCOBAR NICOLÁS</t>
  </si>
  <si>
    <t>VÉLEZ GARCÉS CLAUDIA INÉS</t>
  </si>
  <si>
    <t>VÉLEZ GARCÉS MARÍA NELLY</t>
  </si>
  <si>
    <t>VÉLEZ POSADA LUÍS ALBERTO</t>
  </si>
  <si>
    <t>VICTORIA PELÁEZ PATRICIA</t>
  </si>
  <si>
    <t>VILLA MOLINA ANA MARÍA</t>
  </si>
  <si>
    <t>VILLEGAS DE ECHAVARRÍA MARÍA CLARA</t>
  </si>
  <si>
    <t>VILLEGAS ECHAVARRÍA ANDRÉS</t>
  </si>
  <si>
    <t>VILLEGAS ECHAVARRÍA LUÍS CARLOS GILBERTO</t>
  </si>
  <si>
    <t>VILLEGAS LONDOÑO ALVARO DE JESÚS</t>
  </si>
  <si>
    <t>VILLEGAS LONDOÑO BLANCA CECILIA</t>
  </si>
  <si>
    <t>VILLEGAS LONDOÑO LUÍS HERNANDO</t>
  </si>
  <si>
    <t>YEPES OSORIO LUÍS BERNARDO</t>
  </si>
  <si>
    <t>ZULETA DÁVILA CRISTINA MARÍA</t>
  </si>
  <si>
    <t>ZULETA DÁVILA JUAN FERNANDO</t>
  </si>
  <si>
    <t>ZULETA MARÍN JOSÉ GUSTAVO</t>
  </si>
  <si>
    <t>CAÑO PALMA S A S</t>
  </si>
  <si>
    <t>ENCHAPES GUERRA S A S</t>
  </si>
  <si>
    <t>FLURY VALENCIA Y CÍA S EN C</t>
  </si>
  <si>
    <t>IE CONSULTING S A S</t>
  </si>
  <si>
    <t>INDUSTRIAS DE ACEROS DEL CARIBE LTDA EN CAUSAL DE DISOLUCIÓN</t>
  </si>
  <si>
    <t>INDUSTRIAS METÁLICAS FERCANN LTDA</t>
  </si>
  <si>
    <t>INMOBILIARIA CÉSPEDES LTDA</t>
  </si>
  <si>
    <t>INVEFRA S A S</t>
  </si>
  <si>
    <t>INVERSIONES BARILOCHE DE LA POSADA Y CÍA S C A EN LIQUIDACIÓN</t>
  </si>
  <si>
    <t>INVERSIONES CÁRDENAS ÁLVAREZ Y CÍA LTDA LA FERIA DE LONDRES EN LIQUIDACIÓN</t>
  </si>
  <si>
    <t>INVERSIONES CIRPUL SAS</t>
  </si>
  <si>
    <t>INVERSIONES EL OYETO S A S</t>
  </si>
  <si>
    <t>INVERSIONES LA CONGA S A S</t>
  </si>
  <si>
    <t>INVERSIONES LONDOÑO ECHAVARRÍA &amp; CÍA S C A</t>
  </si>
  <si>
    <t>INVERSIONES LUÍS EMILIO RESTREPO ÁLVAREZ LIMITADA</t>
  </si>
  <si>
    <t>INVERSIONES TALAVERA S A S</t>
  </si>
  <si>
    <t>LADRILLERA EL SOCORRO LIMITADA EN LIQUIDACIÓN</t>
  </si>
  <si>
    <t>LONDOÑO VILLEGAS &amp; CÍA S C A</t>
  </si>
  <si>
    <t>MEDIOS CONSTRUCTORES S A S</t>
  </si>
  <si>
    <t>MINERÍA Y ENERGÍA MINESA S A</t>
  </si>
  <si>
    <t>RESCON S A S</t>
  </si>
  <si>
    <t>SOCIEDAD DE AMIGOS DE BIOREGIONES SAB BIOREGIÓN CHOCÓ GOLFO DE TRIBUGA NUQUÍ</t>
  </si>
  <si>
    <t>SWANKA S A S</t>
  </si>
  <si>
    <t>TIERRAS DE PROMISIÓN S A</t>
  </si>
  <si>
    <t>AGUIRRE CASTAÑO LUZ CECILIA</t>
  </si>
  <si>
    <t>AGUIRRE CASTAÑO GABRIEL JAVIER</t>
  </si>
  <si>
    <t>SEPÚLVEDA LONDOÑO MANUEL ANTONIO</t>
  </si>
  <si>
    <t>TOTAL</t>
  </si>
  <si>
    <t>OBSERVACIONES</t>
  </si>
  <si>
    <t>GRUPOS FAMILIARES</t>
  </si>
  <si>
    <t>FAMILIA RESTREPO POSADA</t>
  </si>
  <si>
    <t>SUB TOTAL</t>
  </si>
  <si>
    <t>SUB TOTAL PERSONAS JURÍDICAS</t>
  </si>
  <si>
    <t>TOTAL ACUMULADO FAMILIA RESTREPO POSADA</t>
  </si>
  <si>
    <t>DR. ESTEBAN ECHAVARRÍA</t>
  </si>
  <si>
    <t>FAMILIA ECHAVARRÍA</t>
  </si>
  <si>
    <t>JAVIER RÍOS</t>
  </si>
  <si>
    <t>CARLI FLURY</t>
  </si>
  <si>
    <t>TOTAL ACUMULADO FAMILIA FLURY VALENCIA</t>
  </si>
  <si>
    <t>LUÍS H. VILLEGAS LONDOÑO</t>
  </si>
  <si>
    <t>SERGIO CÁRDENAS GUTIÉRREZ</t>
  </si>
  <si>
    <t>FAMILIA LUÍS ALBERTO VÉLEZ POSADA</t>
  </si>
  <si>
    <t>FAMILIA MARÍA MERCEDES PELÁEZ VALDÉS</t>
  </si>
  <si>
    <t>FAMILIA RODRIGO ARBELÁEZ RESTREPO</t>
  </si>
  <si>
    <t>FAMILIA URIBE</t>
  </si>
  <si>
    <t>FAMILIA CARLOS COCK LONDOÑO</t>
  </si>
  <si>
    <t>FAMILIA GUTIÉRREZ VALLEJO</t>
  </si>
  <si>
    <t>FAMILIA ORTEGA MADRID</t>
  </si>
  <si>
    <t>FAMILIA OCHOA VELÁSQUEZ</t>
  </si>
  <si>
    <t>FAMILIA GONZÁLEZ LEMOS</t>
  </si>
  <si>
    <t>FAMILIA SALDARRIAGA RESTREPO</t>
  </si>
  <si>
    <t>FAMILIA CORREA JARAMILLO</t>
  </si>
  <si>
    <t>FAMILIA SALDARRIAGA GONZÁLEZ</t>
  </si>
  <si>
    <t>TOTAL ACUMULADO FAMILIA SALDARRIAGA GONZÁLEZ</t>
  </si>
  <si>
    <t>FAMILIA DOÑA ALICIA ARANGO</t>
  </si>
  <si>
    <t>GRAN TOTAL</t>
  </si>
  <si>
    <t>Luís Emilio</t>
  </si>
  <si>
    <t>Doña Silvia</t>
  </si>
  <si>
    <t>Doña Clara</t>
  </si>
  <si>
    <t>Doña María Isabel</t>
  </si>
  <si>
    <t>Don Juan José</t>
  </si>
  <si>
    <t>Don Emilio</t>
  </si>
  <si>
    <t>Doña MIRIAM y Don EMILIO</t>
  </si>
  <si>
    <t>MAURICIO y Sra.</t>
  </si>
  <si>
    <t>JUAN CARLOS y Sra.</t>
  </si>
  <si>
    <t>RESTREPO JARAMILLO MARTHA ELENA</t>
  </si>
  <si>
    <t>ECHAVARRÍA VILLEGAS MIGUEL</t>
  </si>
  <si>
    <t>GRUPO CASAGO S A S</t>
  </si>
  <si>
    <t>DÍAZ REYES DORYS DUBITH</t>
  </si>
  <si>
    <t>JARAMILLO DE LONDOÑO GLORIA DEL CARMEN</t>
  </si>
  <si>
    <t>JARAMILLO URIBE ALICIA HELENA</t>
  </si>
  <si>
    <t>OSORIO VEGA CARMEN ROSA</t>
  </si>
  <si>
    <t>RESTREPO SALDARRIAGA VERÓNICA ALEJANDRA</t>
  </si>
  <si>
    <t>GUTIÉRREZ VALLEJO SYLVIA MARCELA</t>
  </si>
  <si>
    <t>LÓPEZ ACEVEDO LILIANA</t>
  </si>
  <si>
    <t>VITALE GÓMEZ JENNIFER FELICIA</t>
  </si>
  <si>
    <t>TOBÓN ARANGO ANA CELSA</t>
  </si>
  <si>
    <t>FEDERMÁN MESA Y COMPAÑÍA LIMITADA</t>
  </si>
  <si>
    <t>ARRENDAMIENTOS EL CAMPESTRE S A S</t>
  </si>
  <si>
    <t>NORMA SEPÚLVEDA</t>
  </si>
  <si>
    <t>Dr. JORGE CUERVO SIERRA</t>
  </si>
  <si>
    <t>ALICIA JARAMILLO URIBE</t>
  </si>
  <si>
    <t>Dr. EUDORO GONZÁLEZ</t>
  </si>
  <si>
    <t>Dr. GERMÁN DUQUE ECHEVERRÍ</t>
  </si>
  <si>
    <t>MÓNICA ELEJALDE</t>
  </si>
  <si>
    <t>JAIRO MARULANDA</t>
  </si>
  <si>
    <t>GUILLERMO VÁSQUEZ SALAZAR</t>
  </si>
  <si>
    <t>Dr. OSCAR LONDOÑO ÁNGEL</t>
  </si>
  <si>
    <t>JUAN AICARDO MONSALVE</t>
  </si>
  <si>
    <t>Dr. FEDERICO ERNESTO PEÑA S.</t>
  </si>
  <si>
    <t>JOSÉ MIGUEL SANDOVAL N.</t>
  </si>
  <si>
    <t>FAMILIA VÉLEZ GARCÉS</t>
  </si>
  <si>
    <t>FAMILIA Don GONZALO VILLA</t>
  </si>
  <si>
    <t>NO</t>
  </si>
  <si>
    <t>RUIZ GONZÁLEZ ÁLVARO HUMBERTO</t>
  </si>
  <si>
    <t>INVERSIONES DON EME S A S</t>
  </si>
  <si>
    <t>ECHAVARRÍA Y COMPAÑÍA LTDA EN LIQUIDACIÓN</t>
  </si>
  <si>
    <t>SAN CIPRIANO VS S A S</t>
  </si>
  <si>
    <t>RICO FLURY SABRINA</t>
  </si>
  <si>
    <t>DAVID STEPHEN FERNÁNDEZ MC CANN</t>
  </si>
  <si>
    <t>DÍAZ VÉLEZ MARCELA</t>
  </si>
  <si>
    <t>CADAVID PARRA CATALINA</t>
  </si>
  <si>
    <t>TOTAL ACUMULADO FAMILIA RÍOS CORREA</t>
  </si>
  <si>
    <t>I V A</t>
  </si>
  <si>
    <t>SALDARRIAGA RIERA MÓNICA ALEJANDRA</t>
  </si>
  <si>
    <t>FACTURA No.</t>
  </si>
  <si>
    <t>APELLIDOS Y NOMBRES o RAZÓN SOCIAL</t>
  </si>
  <si>
    <t>NIT No.</t>
  </si>
  <si>
    <t>VALOR DECLARACIÓN RENTA</t>
  </si>
  <si>
    <t>VALOR MEDIOS MAGNÉTICOS</t>
  </si>
  <si>
    <t>VALOR DECLARACIÓN ACTIVOS EN EL EXTERIOR</t>
  </si>
  <si>
    <t>VALOR OTRAS ASESORÍAS</t>
  </si>
  <si>
    <t>SI o  NO</t>
  </si>
  <si>
    <t>TOTAL PRESUPUESTADO</t>
  </si>
  <si>
    <t>ESTADO DEL COBRO</t>
  </si>
  <si>
    <t>FECHA</t>
  </si>
  <si>
    <t>TOTAL PERSONAS NATURALES</t>
  </si>
  <si>
    <t>TOTAL PERSONAS JURÍDICAS</t>
  </si>
  <si>
    <t>ACUMULADO CLIENTES</t>
  </si>
  <si>
    <t>CUENTA DE COBRO No.</t>
  </si>
  <si>
    <t>ACUMULADO CLIENTES -CONSOLIDADO-</t>
  </si>
  <si>
    <t>GAVIRIA GAVIRIA MIGUEL ÁNGEL</t>
  </si>
  <si>
    <t>GUTIÉRREZ DE GAVIRIA BLANCA LIBIA</t>
  </si>
  <si>
    <t>FAMILIA GAVIRIA GUTIÉRREZ</t>
  </si>
  <si>
    <t>VALOR FACTURA</t>
  </si>
  <si>
    <t>VALOR CUENTA DE COBRO</t>
  </si>
  <si>
    <t>TOTAL ACUMULADO FAMILIA GUTIÉRREZ VALLEJO</t>
  </si>
  <si>
    <t>TOTAL ACUMULADO FAMILIA GONZÁLEZ LEMOS</t>
  </si>
  <si>
    <t>TOTAL ACUMULADO FAMILIA VÉLEZ POSADA</t>
  </si>
  <si>
    <t>TOTAL ACUMULADO FAMILIA GAVIRIA GUTIÉRREZ</t>
  </si>
  <si>
    <t>TOTAL ACUMULADO DR ESTEBAN</t>
  </si>
  <si>
    <t>Facturas</t>
  </si>
  <si>
    <t>C de C</t>
  </si>
  <si>
    <t>Consolidado</t>
  </si>
  <si>
    <t>Bruto acumulado</t>
  </si>
  <si>
    <t>FERNÁNDEZ ZAPATA CAMILO ERNESTO</t>
  </si>
  <si>
    <t>MERCADO CASTILLO PEDRO ANTONIO</t>
  </si>
  <si>
    <t>RESTREPO FERNÁNDEZ JUAN CARLOS</t>
  </si>
  <si>
    <t>ZAPATA RESTREPO ELENA DEL SOCORRO</t>
  </si>
  <si>
    <t>OSPINA GALEANO LILIANA PATRICIA</t>
  </si>
  <si>
    <t>ESCOBAR DE ELEJALDE LUZ ELENA DEL CARMEN</t>
  </si>
  <si>
    <t>FERNÁNDEZ RESTREPO TULIO IVÁN DE JESÚS</t>
  </si>
  <si>
    <t>FERNÁNDEZ RESTREPO TULIO IVÁN</t>
  </si>
  <si>
    <t>YEPES OSORIO JOSÉ HAROLD</t>
  </si>
  <si>
    <t>CORTIJO DE RESTREPO S A S</t>
  </si>
  <si>
    <t>SI</t>
  </si>
  <si>
    <t>FERNÁNDEZ FERNÁNDEZ DIEGO ALBERTO</t>
  </si>
  <si>
    <t>RESTREPO FERNÁNDEZ LUÍS ROBERTO</t>
  </si>
  <si>
    <t>DIEZ GILDARDO ANTONIO</t>
  </si>
  <si>
    <t>SIERRA GÓMEZ CLARA ELENA DEL SOCORRO</t>
  </si>
  <si>
    <t>LONDOÑO DE LÓPEZ ÁNGELA MARÍA</t>
  </si>
  <si>
    <t>DE LA CALLE BOTERO MARÍA TERESA</t>
  </si>
  <si>
    <t>LONDOÑO HERRERA GIOVANNA</t>
  </si>
  <si>
    <t>LOPERA MALAGÓN TATIANA MARÍA</t>
  </si>
  <si>
    <t>LONDOÑO HERRERA DANIEL</t>
  </si>
  <si>
    <t>LÓPEZ ARCILA HUGO</t>
  </si>
  <si>
    <t>HERRERA TAMAYO MARÍA CONSUELO</t>
  </si>
  <si>
    <t>FAMILIA CONSUELO HERRERA TAMAYO</t>
  </si>
  <si>
    <t>POSADA SIERRA WALTER EDGAR</t>
  </si>
  <si>
    <t>GONZÁLEZ LEMOS SERGIO</t>
  </si>
  <si>
    <t>D. V.</t>
  </si>
  <si>
    <t>FLÓREZ MARÍN FRANCISCO DE JESÚS</t>
  </si>
  <si>
    <t>DE LA CALLE BOTERO ANA CRISTINA</t>
  </si>
  <si>
    <t>BARRENECHE GALLEGO GLORIA DE JESÚS</t>
  </si>
  <si>
    <t>INVERSIONES LONDOÑO HERRERA Y CIA S EN C</t>
  </si>
  <si>
    <t>CONTROL -Facturas y Cuentas de Cobro</t>
  </si>
  <si>
    <t>Total Facturado</t>
  </si>
  <si>
    <t>Más IVA</t>
  </si>
  <si>
    <t>Menos Ret Fte</t>
  </si>
  <si>
    <t>Total Cuentas de Cobro</t>
  </si>
  <si>
    <t>TOTAL NETO A RECIBIR</t>
  </si>
  <si>
    <t>Diferencias</t>
  </si>
  <si>
    <t>LINABI SAS</t>
  </si>
  <si>
    <t>VALOR DECLARACIÓN I AL P</t>
  </si>
  <si>
    <t>PARA CALCULAR EL VALOR A COBRAR POR EL PRESENTE AÑO</t>
  </si>
  <si>
    <t>TORM HOLDING S A S</t>
  </si>
  <si>
    <t>INVERSIONES COBALTO S A S</t>
  </si>
  <si>
    <t>PERSONAS NATURALES Y PERSONAS JURÍDICAS</t>
  </si>
  <si>
    <t>BARRENECHE GALLEGO BLANCA INÉS</t>
  </si>
  <si>
    <t>GERMÁN TULIO FERNÁNDEZ FERNÁNDEZ</t>
  </si>
  <si>
    <t>APELLIDOS Y NOMBRES</t>
  </si>
  <si>
    <t>LONDOÑO ÁNGEL OSCAR DARÍO</t>
  </si>
  <si>
    <t>AMARILES RÍOS RAMÓN ELÍAS</t>
  </si>
  <si>
    <t>ÁLVAREZ HERNÁNDEZ JUAN RODRIGO</t>
  </si>
  <si>
    <t>COCK LONDOÑO CARLOS DEL ESPÍRITU SANTO</t>
  </si>
  <si>
    <t xml:space="preserve">BOTERO ESCOBAR JUAN FRANCISCO JAVIER </t>
  </si>
  <si>
    <t>UPEGUI GARCÍA HÉCTOR AUGUSTO</t>
  </si>
  <si>
    <t>AGUDELO GARCÍA GUSTAVO ALONSO</t>
  </si>
  <si>
    <t>TORO FERNÁNDEZ JAIRO NELSON</t>
  </si>
  <si>
    <t>BARRENECHE GALLEGO GLORIA</t>
  </si>
  <si>
    <t>INMOBILIARIA EL CARMELO S A S EN LIQUIDACIÓN</t>
  </si>
  <si>
    <t>INMOBILIARIA EL MONTE S A S</t>
  </si>
  <si>
    <t>ASESORIAS Y PROMOCIONES ZULETA DÁVILA  LIMITADA AGENCIA DE SEGUROS</t>
  </si>
  <si>
    <t>INVERSIONES CIRPUL S A S</t>
  </si>
  <si>
    <t>INVERSIONES LONDOÑO HERRERA Y CÍA S EN C</t>
  </si>
  <si>
    <t>RESTREPO POSADA Y CÍA S EN C EN LIQUIDACIÓN</t>
  </si>
  <si>
    <t>ITR INVERSIONES SAS</t>
  </si>
  <si>
    <t>INVERSIONES SAN OCTAVIO S A S</t>
  </si>
  <si>
    <t>ACUMULADO ASESORÍAS AÑO</t>
  </si>
  <si>
    <t>REGISTRO DE ASESORÍAS</t>
  </si>
  <si>
    <t>ESTADOS FROS</t>
  </si>
  <si>
    <t>CANT</t>
  </si>
  <si>
    <t>DEVOLUCIÓN IMPUESTOS</t>
  </si>
  <si>
    <r>
      <t xml:space="preserve">VALOR FORMATO  2516 </t>
    </r>
    <r>
      <rPr>
        <b/>
        <sz val="8"/>
        <color rgb="FF00B0F0"/>
        <rFont val="Verdana"/>
        <family val="2"/>
      </rPr>
      <t>TRANSMITIR</t>
    </r>
  </si>
  <si>
    <t>DECLARACIÓN IVA</t>
  </si>
  <si>
    <t>DECLARACIÓN RET FTE</t>
  </si>
  <si>
    <t>Menos Reembolso de préstamos</t>
  </si>
  <si>
    <t>PRÉSTAMOS</t>
  </si>
  <si>
    <t>VALOR CUENTA DE COBRO -POR PRÉSTAMOS-</t>
  </si>
  <si>
    <t>ORTIZ PÉREZ JOHANA ANDREA</t>
  </si>
  <si>
    <t>ZAPATA BERRUECOS LUZ STELLA</t>
  </si>
  <si>
    <t>GONZÁLEZ ESCOBAR LUÍS FERNANDO</t>
  </si>
  <si>
    <t>TOTALES</t>
  </si>
  <si>
    <t>PRÉSTAMOS -PAGOS OFICINA</t>
  </si>
  <si>
    <t>PRÉSTAMOS -SEG SOC</t>
  </si>
  <si>
    <t>PRÉSTAMOS -CERTIFICADOS</t>
  </si>
  <si>
    <t>TOTAL PRÉSTAMOS</t>
  </si>
  <si>
    <t>GALLEGO ARIAS GLORIA CRISTINA</t>
  </si>
  <si>
    <t>VÉLEZ RAVE IVÁN DARIO</t>
  </si>
  <si>
    <t>OTRAS ASESORÍAS</t>
  </si>
  <si>
    <t>Otras Asesorías: OBSERVACIONES</t>
  </si>
  <si>
    <t>FORMATO 2517</t>
  </si>
  <si>
    <t>ACTIVOS EN EL EXTERIOR</t>
  </si>
  <si>
    <t>-</t>
  </si>
  <si>
    <t>MAYA JIMÉNEZ MARÍA TERESA</t>
  </si>
  <si>
    <t>RESTREPO VALDÉS DAVID ESTEBAN</t>
  </si>
  <si>
    <t>BOSSIO ZAPATA FELIPE</t>
  </si>
  <si>
    <t>LOAIZA HERRERA DAVID</t>
  </si>
  <si>
    <t>RUIZ ARBOLEDA ELIZABETH</t>
  </si>
  <si>
    <t>RAMÍREZ RESTREPO LUÍS FERNANDO</t>
  </si>
  <si>
    <t>VÉLEZ GARCÉS CARLOS ALBERTO</t>
  </si>
  <si>
    <r>
      <t xml:space="preserve">VENCIMIENTOS </t>
    </r>
    <r>
      <rPr>
        <b/>
        <sz val="10"/>
        <color indexed="8"/>
        <rFont val="Verdana"/>
        <family val="2"/>
      </rPr>
      <t>IMPUESTO DE RENTA Y COMPLEMENTARIOS - ACTIVOS EN EL EXTERIOR</t>
    </r>
  </si>
  <si>
    <t>LÓPEZ ACEVEDO JUAN FERNANDO</t>
  </si>
  <si>
    <t>GÓMEZ BOTERO GLORIA LUCÍA</t>
  </si>
  <si>
    <t>ARBELÁEZ ÁLVAREZ BIBIANA FARLEY</t>
  </si>
  <si>
    <t>MUÑOZ SIERRA FANNY DEL SOCORRO</t>
  </si>
  <si>
    <t>FRANCO JIMÉNEZ VIANEY DEL SOCORRO</t>
  </si>
  <si>
    <t>ARANGO VERGARA GABRIEL ÁNGEL</t>
  </si>
  <si>
    <t>RESTREPO VÉLEZ JUAN CAMILO</t>
  </si>
  <si>
    <t>VÉLEZ MOSCOSO RUTH YOLANDA</t>
  </si>
  <si>
    <t>PIEDRAHITA CORREA MANUELA</t>
  </si>
  <si>
    <t>FUNDACIÓN HARIHARANANDA KRIYA YOGA</t>
  </si>
  <si>
    <t>CONSERVAR</t>
  </si>
  <si>
    <t>PRESENTAR</t>
  </si>
  <si>
    <t>REVISIÓN</t>
  </si>
  <si>
    <t>BASE DE DATOS Y CÓDIGOS</t>
  </si>
  <si>
    <t>CÓDIGO</t>
  </si>
  <si>
    <t>BANCOLOMBIA SA -Ahorros DAFF-</t>
  </si>
  <si>
    <t>BANCOLOMBIA SA -Ahorros GTFF-</t>
  </si>
  <si>
    <t>BARRERA VÁSQUEZ WUEIMAR ANTONIO</t>
  </si>
  <si>
    <t>C I LA PANELITA S A</t>
  </si>
  <si>
    <t>CETA -CENTRO DE ESTUDIOS TRIBUTARIOS DE ANTIOQUIA</t>
  </si>
  <si>
    <t>CONCEPTOS CONSTRUCTIVOS LTDA</t>
  </si>
  <si>
    <t>CONSIGNACIÓN POR IDENTIFICAR</t>
  </si>
  <si>
    <t>COOPERATIVA JFK -Ahorros GTFF-</t>
  </si>
  <si>
    <t>DÍEZ GILDARDO ANTONIO</t>
  </si>
  <si>
    <t>DÍEZ VALENCIA VICTOR MANUEL</t>
  </si>
  <si>
    <t>DRINK GROUP SAS</t>
  </si>
  <si>
    <t>DUARTE HOYOS JUAN CARLOS</t>
  </si>
  <si>
    <t>ESCOBAR FERNÁNDEZ ANA SOFÍA</t>
  </si>
  <si>
    <t>FERNÁNDEZ FERNÁNDEZ ADOLFO LEÓN</t>
  </si>
  <si>
    <t>FERNÁNDEZ FERNÁNDEZ JULIANA MARÍA</t>
  </si>
  <si>
    <t>FERNÁNDEZ MC CANN DANIEL ALBERTO</t>
  </si>
  <si>
    <t>FERNÁNDEZ RESTREPO CECILIA ELENA</t>
  </si>
  <si>
    <t>FERNÁNDEZ RESTREPO GERMÁN OMAR</t>
  </si>
  <si>
    <t>FERNÁNDEZ RESTREPO SOLEDAD MERCEDES</t>
  </si>
  <si>
    <t>FERNÁNDEZ VELÁSQUEZ ISABEL</t>
  </si>
  <si>
    <t>FERNÁNDEZ VELÁSQUEZ SUSANA</t>
  </si>
  <si>
    <t>GALLEGO RESTREPO LUÍS ALFONSO</t>
  </si>
  <si>
    <t>GIRALDO GIRALDO JUAN GUILLERMO</t>
  </si>
  <si>
    <t>GONZÁLEZ DE ELEJALDE FABIOLA</t>
  </si>
  <si>
    <t>GONZÁLEZ MORENO RODRIGO DE JESÚS</t>
  </si>
  <si>
    <t>JTR S A</t>
  </si>
  <si>
    <t>LONDOÑO DE VILLEGAS BLANCA CECILIA</t>
  </si>
  <si>
    <t>MEDIOS CONSTRUCTORES SAS</t>
  </si>
  <si>
    <t>MURITO Y CÍA SCA</t>
  </si>
  <si>
    <t>OFICINA -Varios-</t>
  </si>
  <si>
    <t>PELÁEZ VALDÉS LUZ ELENA</t>
  </si>
  <si>
    <t>RAMÍREZ RESTREPO MARÍA ISABEL</t>
  </si>
  <si>
    <t>RODRÍGUEZ ECHEVERRY YAMILEZ</t>
  </si>
  <si>
    <t>OK/</t>
  </si>
  <si>
    <t>TRULY NOLEN DE COLOMBIA SAS</t>
  </si>
  <si>
    <t>URIBE DÍEZ ALICIA ELVIRA</t>
  </si>
  <si>
    <t>VELÁSQUEZ VALDÉS LIBIA</t>
  </si>
  <si>
    <t>VILLAREAL CLARA INÉS</t>
  </si>
  <si>
    <t>ZAPATA LÓPEZ JAIME HUMBERTO</t>
  </si>
  <si>
    <t>RETENCIÓN EN LA FUENTE</t>
  </si>
  <si>
    <t>VALOR FACTURA antes de RTE FTE</t>
  </si>
  <si>
    <r>
      <t xml:space="preserve">VALOR FACTURA </t>
    </r>
    <r>
      <rPr>
        <b/>
        <sz val="8"/>
        <color rgb="FF0000FF"/>
        <rFont val="Verdana"/>
        <family val="2"/>
      </rPr>
      <t>antes de RTE FTE</t>
    </r>
  </si>
  <si>
    <t>VALOR TOTAL NETO DE LA FACTURA</t>
  </si>
  <si>
    <t>SI/NO</t>
  </si>
  <si>
    <t>FACTURACIÓN ELECTRÓNICA</t>
  </si>
  <si>
    <r>
      <t xml:space="preserve">VALOR FORMATO  2516 </t>
    </r>
    <r>
      <rPr>
        <b/>
        <sz val="8"/>
        <color rgb="FF7030A0"/>
        <rFont val="Verdana"/>
        <family val="2"/>
      </rPr>
      <t>CONSERVAR</t>
    </r>
  </si>
  <si>
    <t>PROCESO CONTABLE</t>
  </si>
  <si>
    <t>ROJAS BENJUMEA MARTA YANETH</t>
  </si>
  <si>
    <t>ALZATE GIRALDO BEATRIZ EUGENIA</t>
  </si>
  <si>
    <t>AGENTE RETENEDOR</t>
  </si>
  <si>
    <t>N</t>
  </si>
  <si>
    <t>S</t>
  </si>
  <si>
    <t>CLIENTES RETIRADOS</t>
  </si>
  <si>
    <t>POSADA SIERRA LILIANA PATRICIA</t>
  </si>
  <si>
    <t>ORREGO SIERRA SILVIA DEL SOCORRO</t>
  </si>
  <si>
    <t>ROJAS CARRILLO ISABEL</t>
  </si>
  <si>
    <t>ENVIADA</t>
  </si>
  <si>
    <t>FECHA ENVIO</t>
  </si>
  <si>
    <t>FECHA DE PAGO</t>
  </si>
  <si>
    <t>OBSERVACIONES-1</t>
  </si>
  <si>
    <t>OBSERVACIONES-2</t>
  </si>
  <si>
    <t>MEDIO DE PAGO</t>
  </si>
  <si>
    <t>OROZCO BENJUMEA MILENA</t>
  </si>
  <si>
    <t>LÓPEZ RAMÍREZ OMAR DE JESÚS</t>
  </si>
  <si>
    <t>SEPÚLVEDA RINCÓN NORMA DEL SOCORRO</t>
  </si>
  <si>
    <t>GRAJALES PATIÑO CATALINA</t>
  </si>
  <si>
    <t>LOAIZA HERRERA TOMÁS</t>
  </si>
  <si>
    <t>SIERRA AMAYA MARÍA LUCERO</t>
  </si>
  <si>
    <t>POSADA SIERRA CARMEN ELIANA</t>
  </si>
  <si>
    <t>ÁLVAREZ MESA NATALIA</t>
  </si>
  <si>
    <t>ACUMULADO C de C</t>
  </si>
  <si>
    <t>ACUMULADO Fras</t>
  </si>
  <si>
    <t xml:space="preserve">GRAJALES PATIÑO CATALINA </t>
  </si>
  <si>
    <t>ANDRADE MARTÍNEZ JOSÉ DAVID</t>
  </si>
  <si>
    <t>PARRA CASTRILLÓN LEIDY YOHANA</t>
  </si>
  <si>
    <t>SaP</t>
  </si>
  <si>
    <t>SaF</t>
  </si>
  <si>
    <t>TIPO DE SALDO</t>
  </si>
  <si>
    <t>BORR</t>
  </si>
  <si>
    <t>ELAB</t>
  </si>
  <si>
    <t>PAGO</t>
  </si>
  <si>
    <t>CERO</t>
  </si>
  <si>
    <t>PERSONAS JURÍDICAS -DECLARACIÓN y pago SEGUNDA CUOTA</t>
  </si>
  <si>
    <t>FORMATO 2516</t>
  </si>
  <si>
    <t>PRESENTACIÓN DE DECLARACIÓN DE RENTA - ACTIVOS EN EL EXTERIOR</t>
  </si>
  <si>
    <t>PAGO SEGUNDA CUOTA</t>
  </si>
  <si>
    <t>FACTURAS y C de C</t>
  </si>
  <si>
    <t>INVERSIONES LOS SIETE CUEROS SAS</t>
  </si>
  <si>
    <t>JAVIER RÍOS E HIJOS Y CÍA SCA</t>
  </si>
  <si>
    <t>ARRENDAMIENTOS EL CAMPESTRE SAS</t>
  </si>
  <si>
    <t>SOCIEDAD BETANCUR RESTREPO SAS</t>
  </si>
  <si>
    <r>
      <t xml:space="preserve">VALOR DECLARACIÓN I AL P </t>
    </r>
    <r>
      <rPr>
        <b/>
        <sz val="8"/>
        <rFont val="Verdana"/>
        <family val="2"/>
      </rPr>
      <t>2023</t>
    </r>
  </si>
  <si>
    <t>Tope UVT F-2516</t>
  </si>
  <si>
    <t>Vr UVT año</t>
  </si>
  <si>
    <t>Tope en $</t>
  </si>
  <si>
    <t>RETIRADOS 2021</t>
  </si>
  <si>
    <t>RETIRADOS 2018</t>
  </si>
  <si>
    <t>900.215.291-5</t>
  </si>
  <si>
    <t>800.199.589-2</t>
  </si>
  <si>
    <t>VARIEDAD COLOMBIA S A S</t>
  </si>
  <si>
    <t>900.530.977-9</t>
  </si>
  <si>
    <t>900.855.380-8</t>
  </si>
  <si>
    <t>INVERSIONES BERPEL S A S</t>
  </si>
  <si>
    <t>900.189.286-6</t>
  </si>
  <si>
    <t>FLUX CAPITAL S A S</t>
  </si>
  <si>
    <t>900.513.847-8</t>
  </si>
  <si>
    <t>811.039.935-2</t>
  </si>
  <si>
    <t>900.046.132-7</t>
  </si>
  <si>
    <t>RETIRADOS 2019</t>
  </si>
  <si>
    <t>CORTE Y GRAFADO S A S</t>
  </si>
  <si>
    <t>David Quiñones</t>
  </si>
  <si>
    <t>TROPICPLANTAS S A S</t>
  </si>
  <si>
    <t>RETIRADOS 2020</t>
  </si>
  <si>
    <t>RETIRADOS 2023</t>
  </si>
  <si>
    <t>FERRETERIA EL SOCORRO SAS</t>
  </si>
  <si>
    <t>PERSONAS NATURALES</t>
  </si>
  <si>
    <t>DECLARACIÓN y PAGO</t>
  </si>
  <si>
    <t>RUT:   Desde 01 y 02</t>
  </si>
  <si>
    <t>RUT:   Desde 03 y 04</t>
  </si>
  <si>
    <t>RUT:   Desde 05 y 06</t>
  </si>
  <si>
    <t>RUT:   Desde 07 y 08</t>
  </si>
  <si>
    <t>RUT:   Desde 09 y 10</t>
  </si>
  <si>
    <t xml:space="preserve">RUT:   Desde 11 y 12 </t>
  </si>
  <si>
    <t>RUT:   Desde 13 y 14</t>
  </si>
  <si>
    <t>RUT:   Desde 15 y 16</t>
  </si>
  <si>
    <t>RUT:   Desde 17 y 18</t>
  </si>
  <si>
    <t>RUT:   Desde 19 y 20</t>
  </si>
  <si>
    <t>RUT:   Desde 21 y 22</t>
  </si>
  <si>
    <t>RUT:   Desde 23 y 24</t>
  </si>
  <si>
    <t>RUT:   Desde 25 y 26</t>
  </si>
  <si>
    <t>RUT:   Desde 27 y 28</t>
  </si>
  <si>
    <t>RUT:   Desde 29 y 30</t>
  </si>
  <si>
    <t>RUT:   Desde 31 y 32</t>
  </si>
  <si>
    <t>RUT:   Desde 33 y 34</t>
  </si>
  <si>
    <t>RUT:   Desde 35 y 36</t>
  </si>
  <si>
    <t>RUT:   Desde 37 y 38</t>
  </si>
  <si>
    <t>RUT:   Desde 39 y 40</t>
  </si>
  <si>
    <t>RUT:   Desde 41 y 42</t>
  </si>
  <si>
    <t>RUT:   Desde 43 y 44</t>
  </si>
  <si>
    <t>RUT:   Desde 45 y 46</t>
  </si>
  <si>
    <t>RUT:   Desde 47 y 48</t>
  </si>
  <si>
    <t>RUT:   Desde 49 y 50</t>
  </si>
  <si>
    <t>RUT:   Desde 51 y 52</t>
  </si>
  <si>
    <t>RUT:   Desde 53 y 54</t>
  </si>
  <si>
    <t>RUT:   Desde 55 y 56</t>
  </si>
  <si>
    <t>RUT:   Desde 57 y 58</t>
  </si>
  <si>
    <t>RUT:   Desde 59 y 60</t>
  </si>
  <si>
    <t>RUT:   Desde 61 y 62</t>
  </si>
  <si>
    <t>RUT:   Desde 63 y 64</t>
  </si>
  <si>
    <t>RUT:   Desde 65 y 66</t>
  </si>
  <si>
    <t>RUT:   Desde 69 y 70</t>
  </si>
  <si>
    <t>RUT:   Desde 71 y 72</t>
  </si>
  <si>
    <t>RUT:   Desde 73 y 74</t>
  </si>
  <si>
    <t>RUT:   Desde 75 y 76</t>
  </si>
  <si>
    <t>RUT:   Desde 77 y 78</t>
  </si>
  <si>
    <t>RUT:   Desde 79 y 80</t>
  </si>
  <si>
    <t>RUT:   Desde 81 y 82</t>
  </si>
  <si>
    <t>RUT:   Desde 83 y 84</t>
  </si>
  <si>
    <t>RUT:   Desde 85 y 86</t>
  </si>
  <si>
    <t>RUT:   Desde 87 y 88</t>
  </si>
  <si>
    <t>RUT:   Desde 89 y 90</t>
  </si>
  <si>
    <t>RUT:   Desde 91 y 92</t>
  </si>
  <si>
    <t>RUT:   Desde 93 y 94</t>
  </si>
  <si>
    <t>RUT:   Desde 95 y 96</t>
  </si>
  <si>
    <t>RUT:   Desde 97 y 98</t>
  </si>
  <si>
    <t>RUT:   Desde 99 y 00</t>
  </si>
  <si>
    <t>Total declaraciones I al P presentadas</t>
  </si>
  <si>
    <t>Total Medios Magnéticos presentadas</t>
  </si>
  <si>
    <t>Total Supersocs presentadas</t>
  </si>
  <si>
    <t>Total Cam Cio presentadas</t>
  </si>
  <si>
    <t>Total Decl Ind Cio presentadas</t>
  </si>
  <si>
    <t>LA HIZO EN OTRA PARTE</t>
  </si>
  <si>
    <t>NO OBLIGADO A DECLARAR</t>
  </si>
  <si>
    <t>NO OBLIGADA A DECLARAR</t>
  </si>
  <si>
    <t>NO VA A DECLARAR</t>
  </si>
  <si>
    <t>LA ELABORÓ EN OTRA PARTE</t>
  </si>
  <si>
    <t>NO OBLIGADA</t>
  </si>
  <si>
    <t>NO OBLIGADO</t>
  </si>
  <si>
    <t>FALLECIDO 2020</t>
  </si>
  <si>
    <t>DAFF</t>
  </si>
  <si>
    <t>CUENTA PÁGINA DIAN -INACTIVO-</t>
  </si>
  <si>
    <t>*</t>
  </si>
  <si>
    <t>CONFIRMAR SI SIGUE CON NOSOTROS</t>
  </si>
  <si>
    <t>REVISAR OBLIGACIÓN</t>
  </si>
  <si>
    <t>CANCELAR RUT</t>
  </si>
  <si>
    <t>Rodrigo Díez -LLamarla y verificar obligación</t>
  </si>
  <si>
    <t>REVISAR POSIBLE CORRECCIÓN</t>
  </si>
  <si>
    <t>RINCÓN TABARES DANIEL SANTIAGO</t>
  </si>
  <si>
    <t>RINCÓN RAMÍREZ JUAN CAMILO</t>
  </si>
  <si>
    <t>Pnas Nat</t>
  </si>
  <si>
    <t>Pnas Jcas</t>
  </si>
  <si>
    <t>VALORES CUENTAS DE COBRO 2023</t>
  </si>
  <si>
    <t>ENCHAPES GUERRA SAS</t>
  </si>
  <si>
    <t xml:space="preserve">FERNÁNDEZ RESTREPO TULIO IVAN </t>
  </si>
  <si>
    <t>INVEFRA SAS</t>
  </si>
  <si>
    <t>INVERSIONES SAN OCTAVIO SAS</t>
  </si>
  <si>
    <t>LONDOÑO VILLEGAS &amp; CÍA SCA</t>
  </si>
  <si>
    <t>SAN ANTONIO DE LA ALMERÍA SAS</t>
  </si>
  <si>
    <t>VÉLEZ RAVE IVÁN DARÍO</t>
  </si>
  <si>
    <t>PRESUPUESTO DE COBROS -FACTURAS-</t>
  </si>
  <si>
    <t>APELLIDOS Y NOMBRES o RAZÓN SOCIAL o CONCEPTO DEL CÓDIGO</t>
  </si>
  <si>
    <t>PRÉSTAMOS por CERTIFICADOS</t>
  </si>
  <si>
    <t>PRÉSTAMOS por PAGOS OFICINA</t>
  </si>
  <si>
    <t>ASESORÍAS</t>
  </si>
  <si>
    <t>VALOR ASESORÍAS</t>
  </si>
  <si>
    <t>VALOR PRÉSTAMOS</t>
  </si>
  <si>
    <t>PRÉSTAMOS por PAGOS SEG SOC</t>
  </si>
  <si>
    <t>RELACIÓN COBRO A CLIENTES -CONSOLIDADO-</t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</si>
  <si>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Ruiz González Álvaro H.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</si>
  <si>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Sociedad Betancur R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</si>
  <si>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Ma Isabel Restrepo de S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</si>
  <si>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Truly Nolen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</si>
  <si>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Arrtos El Campestre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</si>
  <si>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San Antonio de la Almería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</si>
  <si>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Invers. Luís Emilio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</si>
  <si>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Cortijo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</si>
  <si>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Cirpul</t>
    </r>
  </si>
  <si>
    <t>Mínima Mvto</t>
  </si>
  <si>
    <t>Mínima 1° Vez</t>
  </si>
  <si>
    <t>Mínima 1° Vez -Año anterior-</t>
  </si>
  <si>
    <t>Mínima Mvto -año anterior-</t>
  </si>
  <si>
    <t>Vr Incrementado</t>
  </si>
  <si>
    <r>
      <t xml:space="preserve">VENCIMIENTOS </t>
    </r>
    <r>
      <rPr>
        <b/>
        <sz val="10"/>
        <color indexed="8"/>
        <rFont val="Verdana"/>
        <family val="2"/>
      </rPr>
      <t>IMPUESTO DE RENTA Y COMPLEMENTARIOS</t>
    </r>
  </si>
  <si>
    <t>EXÓGENA MPIO MEDELLÍN</t>
  </si>
  <si>
    <t>REG ÚNICO de BENEFICIARIOS</t>
  </si>
  <si>
    <t>TORO LARA MARTHA CECILIA</t>
  </si>
  <si>
    <t>GONZÁLEZ MIRA MIGUEL</t>
  </si>
  <si>
    <t>BOSSIO ZAPATA ISABELLA</t>
  </si>
  <si>
    <t>RUIZ ARBOLEDA SEBASTIAN</t>
  </si>
  <si>
    <t>JARAMILLO MARTÍNEZ DANIELA</t>
  </si>
  <si>
    <t>GALVES MONCADA JULIAN DAVID</t>
  </si>
  <si>
    <t>TORO LARA MARÍA HELENA DE JESÚS</t>
  </si>
  <si>
    <t>GUTIÉRREZ MUÑOZ RUBÉN DARIO</t>
  </si>
  <si>
    <t>OJO -Formulario 110</t>
  </si>
  <si>
    <t>NO DECLARANTE DE RENTA</t>
  </si>
  <si>
    <t>FALLECIDO FEBRERO 2022</t>
  </si>
  <si>
    <t>BERRIO PÉREZ FERNANDO ALFONSO</t>
  </si>
  <si>
    <t>FERNÁNDEZ HERNÁNDEZ ÁLVARO ANDRÉS</t>
  </si>
  <si>
    <t>NO ENVÍO INFORMACIÓN PARA DECLARAR</t>
  </si>
  <si>
    <t>GONZÁLEZ MIRA MATÍAS</t>
  </si>
  <si>
    <t>HERRERA TAMAYO MARÍA REINA</t>
  </si>
  <si>
    <t>ROJAS CARILLO ISABEL</t>
  </si>
  <si>
    <t>TURIZO ZAPATA LUÍS FERNANDO</t>
  </si>
  <si>
    <t>RST - Declaración anual consolidada</t>
  </si>
  <si>
    <t>LOPERA MALAGÓN MARÍA ANDREA</t>
  </si>
  <si>
    <t>TAMAYO ÁNGEL IVÁN DE JESÚS</t>
  </si>
  <si>
    <t>PRIMERA DECL -Jairo Marulanda</t>
  </si>
  <si>
    <t>URIBE GALLEGO LUISA</t>
  </si>
  <si>
    <t>SaP 2a. CUOTA</t>
  </si>
  <si>
    <t>PARA FORMATO 2516</t>
  </si>
  <si>
    <t>OBLIGACIÓN FORMATO 2516</t>
  </si>
  <si>
    <t>INVERSIONES AMANDA S A</t>
  </si>
  <si>
    <t>INMOBILIARIA NATIVA S A S</t>
  </si>
  <si>
    <t>CORRUFORMAS S A S</t>
  </si>
  <si>
    <t>GRUPO ACASAL S A S</t>
  </si>
  <si>
    <t>SI OBLIGADO F-2516</t>
  </si>
  <si>
    <t>ÚLTIMA DECLARACIÓN</t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</si>
  <si>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-TORRES SÁNCHEZ OMAR WINSTON </t>
    </r>
    <r>
      <rPr>
        <b/>
        <sz val="10"/>
        <color rgb="FFFF0000"/>
        <rFont val="Verdana"/>
        <family val="2"/>
      </rPr>
      <t>-Ver Grupos Familiares-</t>
    </r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</si>
  <si>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-CORREA DE RÍOS MIRYAM DEL SOCORRO y RÍOS FRANCISCO JAVIER </t>
    </r>
    <r>
      <rPr>
        <b/>
        <sz val="10"/>
        <color rgb="FFFF0000"/>
        <rFont val="Verdana"/>
        <family val="2"/>
      </rPr>
      <t>-Ver Grupos Familiares-</t>
    </r>
  </si>
  <si>
    <t>NO ELABORADAS o NO COBROS</t>
  </si>
  <si>
    <t>Diferencia</t>
  </si>
  <si>
    <t>Saldo Prom mes IVA</t>
  </si>
  <si>
    <t>Saldo PROM mes</t>
  </si>
  <si>
    <t>U V T</t>
  </si>
  <si>
    <t>UVT 2023</t>
  </si>
  <si>
    <t>UVT año gravable</t>
  </si>
  <si>
    <t>RANGOS EN UVT</t>
  </si>
  <si>
    <t>TARIFA MARGINAL</t>
  </si>
  <si>
    <t>UVT a</t>
  </si>
  <si>
    <t>IMPUESTO</t>
  </si>
  <si>
    <t>DESDE</t>
  </si>
  <si>
    <t>HASTA</t>
  </si>
  <si>
    <t>ADICIONAR</t>
  </si>
  <si>
    <t>RENTA</t>
  </si>
  <si>
    <t>UVT 2022</t>
  </si>
  <si>
    <t>LIQUIDACIÓN DE RETENCIONES EN LA FUENTE</t>
  </si>
  <si>
    <r>
      <t>ARTÍCULO 383. Tarifa. La retención en la fuente aplicable a los pagos gravables</t>
    </r>
    <r>
      <rPr>
        <sz val="10"/>
        <rFont val="Verdana"/>
        <family val="2"/>
      </rPr>
      <t xml:space="preserve"> efectuados por las personas naturales o jurídicas, las sociedades de hecho, las comunidades organizadas y las sucesiones ilíquidas, originados en la relación laboral, o legal y reglamentaria, y los pagos recibidos por concepto de pensiones de jubilación, invalidez, vejez, de sobrevivientes y sobre riesgos laborales, será la que resulte de aplicar a dichos pagos la siguiente tabla de retención en la fuente:</t>
    </r>
  </si>
  <si>
    <r>
      <rPr>
        <b/>
        <sz val="10"/>
        <color rgb="FFFF0000"/>
        <rFont val="Verdana"/>
        <family val="2"/>
      </rPr>
      <t>Artículo 1.2.4.1.17. Retención en la fuente para las cédulas de rentas de trabajo y de pensiones.</t>
    </r>
    <r>
      <rPr>
        <sz val="10"/>
        <color rgb="FFFF0000"/>
        <rFont val="Verdana"/>
        <family val="2"/>
      </rPr>
      <t xml:space="preserve"> </t>
    </r>
    <r>
      <rPr>
        <sz val="10"/>
        <rFont val="Verdana"/>
        <family val="2"/>
      </rPr>
      <t xml:space="preserve">Conforme lo establece el artículo 383 del Estatuto Tributario, la retención en la fuente aplicable por las personas naturales o jurídicas, las sociedades de hecho, las comunidades organizadas y las sucesiones ilíquidas, a las personas naturales cuyos ingresos provengan de la cédula de rentas de trabajo y la cédula </t>
    </r>
  </si>
  <si>
    <t>(Base gravable en UVT menos 95 UVT) x 19%</t>
  </si>
  <si>
    <t>(Base gravable en UVT menos 150 UVT) x 28% + 10 UVT</t>
  </si>
  <si>
    <t>(Base gravable en UVT menos 360 UVT*) x 33% + 69 UVT*</t>
  </si>
  <si>
    <t>(Base gravable en UVT menos 640 UVT*) x 35% + 162 UVT*</t>
  </si>
  <si>
    <t>(Base gravable en UVT menos 945 UVT*) x 37% + 268 UVT*</t>
  </si>
  <si>
    <t>(Base gravable en UVT menos 2.300 UVT*) x 39% + 770 UVT*</t>
  </si>
  <si>
    <t>NO GRUPOS FAMILIARES</t>
  </si>
  <si>
    <t>TOTAL -NO GRUPOS FAMILIARES-</t>
  </si>
  <si>
    <t>SEGURIDAD SOCIAL</t>
  </si>
  <si>
    <t>Ingreso Base RetFte</t>
  </si>
  <si>
    <t>Vr Ingreso Base RetFte EN UVT</t>
  </si>
  <si>
    <t>Ingreso Base Retención en la Fuente</t>
  </si>
  <si>
    <t>Ingreso Base Retención en la Fuente en UVT</t>
  </si>
  <si>
    <t>RETENCIONES EN LA FUENTE</t>
  </si>
  <si>
    <t>TOTAL DOÑA SILVIA ELENA</t>
  </si>
  <si>
    <t xml:space="preserve"> LINA MARÍA MEJÍA DUQUE</t>
  </si>
  <si>
    <t>VoBo ELABORAR Fra.</t>
  </si>
  <si>
    <t>NETO A RECIBIR por facturación</t>
  </si>
  <si>
    <t>NETO A RECIBIR poe cuentas de cobro</t>
  </si>
  <si>
    <t>Saldo NETO PROM mes</t>
  </si>
  <si>
    <t>TOTAL ACUMULADO FAMILIA SERGIO CÁRDENAS GUTIÉRREZ</t>
  </si>
  <si>
    <t>IPC 2023</t>
  </si>
  <si>
    <t>AÑO  GRAVABLE 2023</t>
  </si>
  <si>
    <t>IPC</t>
  </si>
  <si>
    <t>UVT 2024</t>
  </si>
  <si>
    <t>RETENCIÓN FUENTE -Honorarios-</t>
  </si>
  <si>
    <t>SAN ANTONIO DE LA ALMERÍA S A S</t>
  </si>
  <si>
    <t>AÑO GRAVABLE 2023</t>
  </si>
  <si>
    <r>
      <t xml:space="preserve">TOTAL -Ingresos brutos </t>
    </r>
    <r>
      <rPr>
        <b/>
        <sz val="8"/>
        <color rgb="FFFF0000"/>
        <rFont val="Verdana"/>
        <family val="2"/>
      </rPr>
      <t>del AG a reportar</t>
    </r>
  </si>
  <si>
    <t>RUT:   Termina en 1</t>
  </si>
  <si>
    <t>RUT:   Termina en 2</t>
  </si>
  <si>
    <t>RUT:   Termina en 3</t>
  </si>
  <si>
    <t>RUT:   Termina en 4</t>
  </si>
  <si>
    <t>INVERSIONES EL MANGLE S A S</t>
  </si>
  <si>
    <t>RUT:   Termina en 5</t>
  </si>
  <si>
    <t>RUT:   Termina en 6</t>
  </si>
  <si>
    <t>RUT:   Termina en 7</t>
  </si>
  <si>
    <t>JAVIER RÍOS E HIJOS Y CÍA S C A</t>
  </si>
  <si>
    <t>RUT:   Termina en 8</t>
  </si>
  <si>
    <t>RUT:   Termina en 9</t>
  </si>
  <si>
    <t>INMOBILIARIA GILINVERSIONES S A S</t>
  </si>
  <si>
    <t>RUT:   Termina en 0</t>
  </si>
  <si>
    <t>SOCIEDAD BETANCUR RESTREPO S A S</t>
  </si>
  <si>
    <t>RETIRADOS 2024</t>
  </si>
  <si>
    <t>ACTA No. 08 del 25 de marzo de dos mil veintidós (2022) -1. Aprobación cuenta final y liquidación definitiva</t>
  </si>
  <si>
    <t>ACTA No. 06 del 30 de noviembre 2022</t>
  </si>
  <si>
    <t>Estados Fros</t>
  </si>
  <si>
    <t>Cancelacion por sucesion</t>
  </si>
  <si>
    <t>Respuesta a UGPP</t>
  </si>
  <si>
    <t>Respuestas y gestión a requerimiento DIAN</t>
  </si>
  <si>
    <t>Verificar</t>
  </si>
  <si>
    <t>INVERSIONES LOS SIETE CUEROS S A S</t>
  </si>
  <si>
    <t>CASTAÑEDA TOBÓN JUAN DAVID</t>
  </si>
  <si>
    <r>
      <t>VALORES A FACTURAR -</t>
    </r>
    <r>
      <rPr>
        <b/>
        <sz val="10"/>
        <color rgb="FFFF0000"/>
        <rFont val="Verdana"/>
        <family val="2"/>
      </rPr>
      <t>PRESENTE AÑO-</t>
    </r>
  </si>
  <si>
    <r>
      <rPr>
        <b/>
        <sz val="8"/>
        <color rgb="FF0000FF"/>
        <rFont val="Verdana"/>
        <family val="2"/>
      </rPr>
      <t>VALOR A PAGAR</t>
    </r>
    <r>
      <rPr>
        <b/>
        <sz val="8"/>
        <rFont val="Verdana"/>
        <family val="2"/>
      </rPr>
      <t xml:space="preserve"> </t>
    </r>
    <r>
      <rPr>
        <b/>
        <sz val="8"/>
        <color rgb="FFFF0000"/>
        <rFont val="Verdana"/>
        <family val="2"/>
      </rPr>
      <t xml:space="preserve">NETO </t>
    </r>
    <r>
      <rPr>
        <b/>
        <sz val="8"/>
        <rFont val="Verdana"/>
        <family val="2"/>
      </rPr>
      <t>DE LA FACTURA</t>
    </r>
  </si>
  <si>
    <r>
      <rPr>
        <b/>
        <sz val="8"/>
        <color rgb="FFFF0000"/>
        <rFont val="Verdana"/>
        <family val="2"/>
      </rPr>
      <t>VALOR BRUTO</t>
    </r>
    <r>
      <rPr>
        <b/>
        <sz val="8"/>
        <rFont val="Verdana"/>
        <family val="2"/>
      </rPr>
      <t xml:space="preserve"> A ELABORAR LA FACTURA</t>
    </r>
  </si>
  <si>
    <r>
      <rPr>
        <b/>
        <sz val="8"/>
        <color rgb="FFFF0000"/>
        <rFont val="Verdana"/>
        <family val="2"/>
      </rPr>
      <t>VALOR A ELABORAR</t>
    </r>
    <r>
      <rPr>
        <b/>
        <sz val="8"/>
        <rFont val="Verdana"/>
        <family val="2"/>
      </rPr>
      <t xml:space="preserve"> LA CUENTA DE COBRO</t>
    </r>
  </si>
  <si>
    <t>VALOR TOTAL A PAGAR FACTURAS  Y CUENTAS DE COBRO</t>
  </si>
  <si>
    <r>
      <rPr>
        <b/>
        <sz val="12"/>
        <rFont val="Verdana"/>
        <family val="2"/>
      </rPr>
      <t>COBROS</t>
    </r>
    <r>
      <rPr>
        <b/>
        <sz val="12"/>
        <color rgb="FFFF0000"/>
        <rFont val="Verdana"/>
        <family val="2"/>
      </rPr>
      <t xml:space="preserve"> AÑO GRAVABLE ANTERIOR</t>
    </r>
  </si>
  <si>
    <t>TOTAL ASESORÍAS AÑO</t>
  </si>
  <si>
    <t>TOTAL ACUMULADO PRÉSTAMOS</t>
  </si>
  <si>
    <t>RINCÓN RINCÓN GERMÁN DARIO</t>
  </si>
  <si>
    <t>WhatsApp</t>
  </si>
  <si>
    <t>Correo</t>
  </si>
  <si>
    <t>Transferencia</t>
  </si>
  <si>
    <t>Consignación</t>
  </si>
  <si>
    <t>Físico</t>
  </si>
  <si>
    <t>Efectivo</t>
  </si>
  <si>
    <t>Asesoría virtual del año</t>
  </si>
  <si>
    <t>REYES DÍAZ GLADIS BEATRIZ</t>
  </si>
  <si>
    <t>Contingencia del artículo 579-2 del Estatuto Tributario</t>
  </si>
  <si>
    <t>martes 20 de agosto de 2024</t>
  </si>
  <si>
    <r>
      <t xml:space="preserve">Verificar  </t>
    </r>
    <r>
      <rPr>
        <b/>
        <sz val="10"/>
        <color rgb="FFFF0000"/>
        <rFont val="Verdana"/>
        <family val="2"/>
      </rPr>
      <t>M M</t>
    </r>
  </si>
  <si>
    <t>Faltan Prediales -Revisar porque no hay Reporte DIAN</t>
  </si>
  <si>
    <t>Faltan Certifs Bcol-Vres Bcol-Global-Accs</t>
  </si>
  <si>
    <t>SE LA ELABORARON LAS NUEVAS CONTADORAS</t>
  </si>
  <si>
    <t>ESCUDERO MADRID CLAUDIA PATRICIA</t>
  </si>
  <si>
    <t>NO SE ELABORA</t>
  </si>
  <si>
    <t>NO DECLARANTE</t>
  </si>
  <si>
    <t>FALLECIDA</t>
  </si>
  <si>
    <t>ZAPATA BERRUECOS BEATRIZ ELENA</t>
  </si>
  <si>
    <t>NUEVO</t>
  </si>
  <si>
    <t>RODRIGUEZ ECHEVERRY YAMILEZ</t>
  </si>
  <si>
    <t>OJO REVISAR - DECLARAR EN 2022</t>
  </si>
  <si>
    <t>C.c. No. 1.040.182.391</t>
  </si>
  <si>
    <t>NANCLARES HOYOS JULIAN CAMILO</t>
  </si>
  <si>
    <t>NUEVO -1a. DECL</t>
  </si>
  <si>
    <t>TAMAYO CÓRDOBA LILIA DE LA TRINIDAD</t>
  </si>
  <si>
    <t>TABORDA MONTOYA RUBIELA DEL SOCORRO</t>
  </si>
  <si>
    <t>RUT:   Desde 67 y 68</t>
  </si>
  <si>
    <t>Declarado por el heredero</t>
  </si>
  <si>
    <t>TORO LARA MARÍA EUGENIA DEL CARMEN</t>
  </si>
  <si>
    <t>REVISAR</t>
  </si>
  <si>
    <t>Se CORRIGIÓ I al P</t>
  </si>
  <si>
    <t>Total declaraciones renta presentadas</t>
  </si>
  <si>
    <t>RETIRADOS 2022</t>
  </si>
  <si>
    <r>
      <rPr>
        <b/>
        <sz val="10"/>
        <color rgb="FFFF3300"/>
        <rFont val="Verdana"/>
        <family val="2"/>
      </rPr>
      <t>SEGUNDA</t>
    </r>
    <r>
      <rPr>
        <b/>
        <sz val="10"/>
        <color rgb="FF0000FF"/>
        <rFont val="Verdana"/>
        <family val="2"/>
      </rPr>
      <t xml:space="preserve"> DECL</t>
    </r>
  </si>
  <si>
    <r>
      <t xml:space="preserve">Madre de Doris Díaz Reyes </t>
    </r>
    <r>
      <rPr>
        <b/>
        <sz val="10"/>
        <color rgb="FFFF0000"/>
        <rFont val="Verdana"/>
        <family val="2"/>
      </rPr>
      <t>-</t>
    </r>
    <r>
      <rPr>
        <b/>
        <sz val="10"/>
        <color rgb="FF0000FF"/>
        <rFont val="Verdana"/>
        <family val="2"/>
      </rPr>
      <t xml:space="preserve">DECLARACIÓN 2022 EXT </t>
    </r>
    <r>
      <rPr>
        <b/>
        <sz val="10"/>
        <rFont val="Verdana"/>
        <family val="2"/>
      </rPr>
      <t>más</t>
    </r>
    <r>
      <rPr>
        <b/>
        <sz val="10"/>
        <color rgb="FF0000FF"/>
        <rFont val="Verdana"/>
        <family val="2"/>
      </rPr>
      <t xml:space="preserve"> RTA 2023</t>
    </r>
  </si>
  <si>
    <r>
      <t xml:space="preserve">FALLECIDO </t>
    </r>
    <r>
      <rPr>
        <b/>
        <sz val="10"/>
        <rFont val="Verdana"/>
        <family val="2"/>
      </rPr>
      <t>-REVISAR-</t>
    </r>
  </si>
  <si>
    <r>
      <t xml:space="preserve">Plastiglass </t>
    </r>
    <r>
      <rPr>
        <b/>
        <sz val="10"/>
        <rFont val="Verdana"/>
        <family val="2"/>
      </rPr>
      <t>-Nueva-</t>
    </r>
  </si>
  <si>
    <r>
      <t>FALLECIDO JULIO 2022 -</t>
    </r>
    <r>
      <rPr>
        <b/>
        <sz val="10"/>
        <rFont val="Verdana"/>
        <family val="2"/>
      </rPr>
      <t>REVISAR-</t>
    </r>
  </si>
  <si>
    <r>
      <t>FALLECIDO -mayo 2023-</t>
    </r>
    <r>
      <rPr>
        <b/>
        <sz val="10"/>
        <rFont val="Verdana"/>
        <family val="2"/>
      </rPr>
      <t xml:space="preserve"> -REVISAR-</t>
    </r>
  </si>
  <si>
    <r>
      <t xml:space="preserve">FALLECIDA </t>
    </r>
    <r>
      <rPr>
        <b/>
        <sz val="10"/>
        <rFont val="Verdana"/>
        <family val="2"/>
      </rPr>
      <t xml:space="preserve"> -REVISAR-</t>
    </r>
  </si>
  <si>
    <r>
      <t xml:space="preserve">FALLECIDO </t>
    </r>
    <r>
      <rPr>
        <b/>
        <sz val="10"/>
        <rFont val="Verdana"/>
        <family val="2"/>
      </rPr>
      <t>-REVISAR-</t>
    </r>
    <r>
      <rPr>
        <b/>
        <sz val="10"/>
        <color rgb="FF0000FF"/>
        <rFont val="Verdana"/>
        <family val="2"/>
      </rPr>
      <t xml:space="preserve"> </t>
    </r>
    <r>
      <rPr>
        <b/>
        <sz val="10"/>
        <color rgb="FFFF0000"/>
        <rFont val="Verdana"/>
        <family val="2"/>
      </rPr>
      <t>Si esta OBLIGADO</t>
    </r>
  </si>
  <si>
    <r>
      <rPr>
        <b/>
        <sz val="10"/>
        <color rgb="FFFF3300"/>
        <rFont val="Verdana"/>
        <family val="2"/>
      </rPr>
      <t>SEGUNDA</t>
    </r>
    <r>
      <rPr>
        <b/>
        <sz val="10"/>
        <color rgb="FF0000FF"/>
        <rFont val="Verdana"/>
        <family val="2"/>
      </rPr>
      <t xml:space="preserve"> DECL -Revisar</t>
    </r>
  </si>
  <si>
    <r>
      <t xml:space="preserve">FALLECIDO -1 de julio de 2022- </t>
    </r>
    <r>
      <rPr>
        <b/>
        <sz val="10"/>
        <rFont val="Verdana"/>
        <family val="2"/>
      </rPr>
      <t>ÚLTIMA DECLARACIÓN AG 2022</t>
    </r>
  </si>
  <si>
    <r>
      <rPr>
        <b/>
        <sz val="10"/>
        <color rgb="FFFF0000"/>
        <rFont val="Verdana"/>
        <family val="2"/>
      </rPr>
      <t>SEGUNDA</t>
    </r>
    <r>
      <rPr>
        <b/>
        <sz val="10"/>
        <color rgb="FF0000FF"/>
        <rFont val="Verdana"/>
        <family val="2"/>
      </rPr>
      <t xml:space="preserve"> DECL</t>
    </r>
  </si>
  <si>
    <t>NO COBROS</t>
  </si>
  <si>
    <t>Dr. PEÑA</t>
  </si>
  <si>
    <t>LISTADO VENCIMIENTOS</t>
  </si>
  <si>
    <t>Fras + C de C</t>
  </si>
  <si>
    <t>CONCILIACIÓN</t>
  </si>
  <si>
    <t>Cantidad a cobrar</t>
  </si>
  <si>
    <t>Diferencia -Falta por cobrarles</t>
  </si>
  <si>
    <t>SOLO I V A</t>
  </si>
  <si>
    <t>INCLUIDA en las C de C</t>
  </si>
  <si>
    <t>REVISAR -se factura a nombre de la sociedad de Manuela</t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</si>
  <si>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ECHAVARRÍA ABOGADOS SAS</t>
    </r>
  </si>
  <si>
    <t>INCLUIDA en C de C -REVISAR -si no se le ha cobrado</t>
  </si>
  <si>
    <t>FACTURAS Y CUENTAS DE COBRO</t>
  </si>
  <si>
    <t>LISTADO DE VENCIMIENTOS FINAL</t>
  </si>
  <si>
    <r>
      <rPr>
        <b/>
        <sz val="8"/>
        <rFont val="Verdana"/>
        <family val="2"/>
      </rPr>
      <t>VALOR A ELABORAR</t>
    </r>
    <r>
      <rPr>
        <b/>
        <sz val="8"/>
        <color rgb="FF00B050"/>
        <rFont val="Verdana"/>
        <family val="2"/>
      </rPr>
      <t xml:space="preserve"> LA CUENTA DE COBRO</t>
    </r>
  </si>
  <si>
    <r>
      <rPr>
        <b/>
        <sz val="10"/>
        <color rgb="FFFF0000"/>
        <rFont val="Verdana"/>
        <family val="2"/>
      </rPr>
      <t>Fra con -</t>
    </r>
    <r>
      <rPr>
        <b/>
        <sz val="10"/>
        <color rgb="FF0000FF"/>
        <rFont val="Verdana"/>
        <family val="2"/>
      </rPr>
      <t>LINABI</t>
    </r>
  </si>
  <si>
    <t>Facturas y Cuentas de Cobro</t>
  </si>
  <si>
    <t>RETIRADOS EN 2024</t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</si>
  <si>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-JUAN JOSÉ RESTREPO P. Y FAMILIA </t>
    </r>
    <r>
      <rPr>
        <b/>
        <sz val="10"/>
        <color rgb="FFFF0000"/>
        <rFont val="Verdana"/>
        <family val="2"/>
      </rPr>
      <t>-Ver Grupos Familiares-</t>
    </r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</si>
  <si>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-CLARA INÉS RESTREPO P. </t>
    </r>
    <r>
      <rPr>
        <b/>
        <sz val="10"/>
        <color rgb="FFFF0000"/>
        <rFont val="Verdana"/>
        <family val="2"/>
      </rPr>
      <t>-Ver Grupos Familiares-</t>
    </r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</si>
  <si>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-LUÍS EMILIO RESTREPO ÁLVAREZ. </t>
    </r>
    <r>
      <rPr>
        <b/>
        <sz val="10"/>
        <color rgb="FFFF0000"/>
        <rFont val="Verdana"/>
        <family val="2"/>
      </rPr>
      <t>-Ver Grupos Familiares-</t>
    </r>
  </si>
  <si>
    <r>
      <rPr>
        <b/>
        <sz val="10"/>
        <color rgb="FFFF0000"/>
        <rFont val="Verdana"/>
        <family val="2"/>
      </rPr>
      <t>Fra más</t>
    </r>
    <r>
      <rPr>
        <b/>
        <sz val="10"/>
        <color rgb="FF0000FF"/>
        <rFont val="Verdana"/>
        <family val="2"/>
      </rPr>
      <t xml:space="preserve"> -RESTREPO POSADA Y CÍA </t>
    </r>
    <r>
      <rPr>
        <b/>
        <sz val="10"/>
        <color rgb="FFFF0000"/>
        <rFont val="Verdana"/>
        <family val="2"/>
      </rPr>
      <t>-Ver Grupos Familiares-</t>
    </r>
  </si>
  <si>
    <t>VALOR NETO TOTAL FRAS + C DE C</t>
  </si>
  <si>
    <t>Valres</t>
  </si>
  <si>
    <t>Total consolidado</t>
  </si>
  <si>
    <t>Total grupos familiares</t>
  </si>
  <si>
    <t>Diferencias = a pedientes por relacionar</t>
  </si>
  <si>
    <t>TOTAL NETO EN CAJA -descontando el IVA-</t>
  </si>
  <si>
    <t>Asesoría general y reuniones con Dr. Trujillo y con Doña Andrea -Para sucesión</t>
  </si>
  <si>
    <t>Revisar</t>
  </si>
  <si>
    <t>GTFF139</t>
  </si>
  <si>
    <t>MEDIO</t>
  </si>
  <si>
    <t>ESTADO</t>
  </si>
  <si>
    <t>Correo y WhatsApp</t>
  </si>
  <si>
    <t>PENDIENTE</t>
  </si>
  <si>
    <t>GTFF136</t>
  </si>
  <si>
    <t>GTFF137</t>
  </si>
  <si>
    <t>GTFF138</t>
  </si>
  <si>
    <t>GTFF141</t>
  </si>
  <si>
    <t>GTFF140</t>
  </si>
  <si>
    <t>GTFF142</t>
  </si>
  <si>
    <t>GTFF143</t>
  </si>
  <si>
    <t>GTFF144</t>
  </si>
  <si>
    <t>GTFF145</t>
  </si>
  <si>
    <t>GTFF146</t>
  </si>
  <si>
    <t>GTFF147</t>
  </si>
  <si>
    <t>GTFF148</t>
  </si>
  <si>
    <t>GTFF149</t>
  </si>
  <si>
    <t>REVISORIA FISCAL 2019</t>
  </si>
  <si>
    <t>REVISORIA FISCAL 2020</t>
  </si>
  <si>
    <t>REVISORIA FISCAL 2021</t>
  </si>
  <si>
    <t>REVISORIA FISCAL 2022</t>
  </si>
  <si>
    <t>REVISORIA FISCAL 2023</t>
  </si>
  <si>
    <t>REVISORIA FISCAL 2024</t>
  </si>
  <si>
    <t>GTFF150</t>
  </si>
  <si>
    <t>GFTT150</t>
  </si>
  <si>
    <t>ojo truly</t>
  </si>
  <si>
    <t>Linabi</t>
  </si>
  <si>
    <t>OJO Echavarria abogados</t>
  </si>
  <si>
    <t>VALORES A FACTURAR -PRESENTE AÑO-</t>
  </si>
  <si>
    <t>PRESUPUESTOS DE COBRO -AÑO GRAVABLE 2022-</t>
  </si>
  <si>
    <t>VALOR BRUTO A ELABORAR LA FACTURA</t>
  </si>
  <si>
    <t>VALOR A PAGAR NETO DE LA FACTURA</t>
  </si>
  <si>
    <t>VALOR DECLARACIÓN I AL P 2023</t>
  </si>
  <si>
    <t>VALOR FORMATO  2516 CONSERVAR</t>
  </si>
  <si>
    <t>VALOR FORMATO  2516 TRANSMITIR</t>
  </si>
  <si>
    <t>Fra con -Ruiz González Álvaro H.</t>
  </si>
  <si>
    <t>NO RETENCIÓN</t>
  </si>
  <si>
    <t>Fra con -San Antonio de la Almería</t>
  </si>
  <si>
    <t>Fra con -Javier Ríos e Hijos</t>
  </si>
  <si>
    <t>Fra con -Truly Nolen</t>
  </si>
  <si>
    <t>Fra con -LINABI</t>
  </si>
  <si>
    <t>Fra con -Invers. Luís Emilio</t>
  </si>
  <si>
    <t>Fra con -Ma Isabel Restrepo de S</t>
  </si>
  <si>
    <t>Fra con -Cortijo</t>
  </si>
  <si>
    <t>Fra con -Cirpul</t>
  </si>
  <si>
    <t>Fra con -Arrtos El Campestre</t>
  </si>
  <si>
    <t>Fra con -ECHAVARRÍA ABOGADOS SAS</t>
  </si>
  <si>
    <t>Fra más -TORRES SÁNCHEZ OMAR WINSTON -Ver Grupos Familiares-</t>
  </si>
  <si>
    <t>Fra más -JUAN JOSÉ RESTREPO P. Y FAMILIA -Ver Grupos Familiares-</t>
  </si>
  <si>
    <t>Fra más -CLARA INÉS RESTREPO P. -Ver Grupos Familiares-</t>
  </si>
  <si>
    <t>Fra más -LUÍS EMILIO RESTREPO ÁLVAREZ. -Ver Grupos Familiares-</t>
  </si>
  <si>
    <t>Fra más -CORREA DE RÍOS MIRYAM DEL SOCORRO y RÍOS FRANCISCO JAVIER -Ver Grupos Familiares-</t>
  </si>
  <si>
    <t>Fra con -Sociedad Betancur R</t>
  </si>
  <si>
    <t>Fra más -RESTREPO POSADA Y CÍA -Ver Grupos Familiares-</t>
  </si>
  <si>
    <t>VALOR A ELABORAR LA CUENTA DE COBRO</t>
  </si>
  <si>
    <t>COBROS AÑO GRAVABLE ANTERIOR</t>
  </si>
  <si>
    <t>IPC 2024</t>
  </si>
  <si>
    <t>AÑO  GRAVABLE 2024</t>
  </si>
  <si>
    <t>PRESUPUESTOS DE COBRO:</t>
  </si>
  <si>
    <t>RETIRADOS COBROS 2025</t>
  </si>
  <si>
    <t>TOTAL Cobrado -Sin IVA ni Ret Fte</t>
  </si>
  <si>
    <t>RETIRADOS EN 2025</t>
  </si>
  <si>
    <t>UVT 2025</t>
  </si>
  <si>
    <t>AÑO GRAVABLE 2024</t>
  </si>
  <si>
    <t>Información Provisional</t>
  </si>
  <si>
    <t>Vr DEL SALDO</t>
  </si>
  <si>
    <t>Contabilidad</t>
  </si>
  <si>
    <t>IVA</t>
  </si>
  <si>
    <t>OK/Present</t>
  </si>
  <si>
    <r>
      <t xml:space="preserve">047-DIAN-declara-indisponibilidad-servicios-informaticos </t>
    </r>
    <r>
      <rPr>
        <b/>
        <sz val="8"/>
        <color rgb="FF0000FF"/>
        <rFont val="Verdana"/>
        <family val="2"/>
      </rPr>
      <t>-mayo 2025</t>
    </r>
  </si>
  <si>
    <r>
      <t xml:space="preserve">OK/Present - </t>
    </r>
    <r>
      <rPr>
        <b/>
        <sz val="8"/>
        <color rgb="FFFF0000"/>
        <rFont val="Verdana"/>
        <family val="2"/>
      </rPr>
      <t>CORR para B de A</t>
    </r>
  </si>
  <si>
    <t>OK/Present y PAGADA</t>
  </si>
  <si>
    <t>PENDIENTE PAGO</t>
  </si>
  <si>
    <r>
      <t xml:space="preserve">PENDIENTE PRESENTAR </t>
    </r>
    <r>
      <rPr>
        <b/>
        <sz val="8"/>
        <color rgb="FF00FFFF"/>
        <rFont val="Verdana"/>
        <family val="2"/>
      </rPr>
      <t>-Problema con firma Repres Legal-</t>
    </r>
  </si>
  <si>
    <t>JCDH</t>
  </si>
  <si>
    <t>PENDIENTE PRESENTAR</t>
  </si>
  <si>
    <t>Contraseña ingreso incorrecta</t>
  </si>
  <si>
    <t>????</t>
  </si>
  <si>
    <t>SAN MARDO SAS</t>
  </si>
  <si>
    <r>
      <rPr>
        <b/>
        <sz val="10"/>
        <rFont val="Verdana"/>
        <family val="2"/>
      </rPr>
      <t>NO</t>
    </r>
    <r>
      <rPr>
        <b/>
        <sz val="10"/>
        <color rgb="FFFFFF00"/>
        <rFont val="Verdana"/>
        <family val="2"/>
      </rPr>
      <t xml:space="preserve"> -JDSR que se const en el 2025</t>
    </r>
  </si>
  <si>
    <t>JDSR -Primera Declaración 2025</t>
  </si>
  <si>
    <t>RETIRADOS 2025</t>
  </si>
  <si>
    <t>MARULANDA GIRALDO JAIRO MIGUEL</t>
  </si>
  <si>
    <t>PRESUPUESTO DE COBROS</t>
  </si>
  <si>
    <t>CUENTAS DE COBRO</t>
  </si>
  <si>
    <t>REGISTRO DE OTRAS ASESORÍAS</t>
  </si>
  <si>
    <t>CH No. 0231402-4 Itaú $31.971.240</t>
  </si>
  <si>
    <t>GTFF-163</t>
  </si>
  <si>
    <t>GTFF-164</t>
  </si>
  <si>
    <t>GTFF-165</t>
  </si>
  <si>
    <t>25-003</t>
  </si>
  <si>
    <t>si</t>
  </si>
  <si>
    <t>Se le descuentan $10.000</t>
  </si>
  <si>
    <t>25-005</t>
  </si>
  <si>
    <t>CONSIGNACIÓN</t>
  </si>
  <si>
    <t>Falta elaborar cuenta de cobro</t>
  </si>
  <si>
    <t>Se puede elaborar y enviar</t>
  </si>
  <si>
    <t>Se congela en 350 revisar años siguientes</t>
  </si>
  <si>
    <t>NO SE LE VA A COBRAR POR ESTE Y EL PROXIMO AÑO</t>
  </si>
  <si>
    <t>AG 2024 y AG 2025 NO SE COBRA</t>
  </si>
  <si>
    <t>Se congela en 330.000 Por todos los años</t>
  </si>
  <si>
    <t>Se puede elaborar pero NO ENVIAR</t>
  </si>
  <si>
    <t>Se congela por 400 y se deja así varios años ir revisando</t>
  </si>
  <si>
    <t>Aumento parcial</t>
  </si>
  <si>
    <t>Se congela en 350.000 Por todos los años</t>
  </si>
  <si>
    <t>Por este año de deja igual que el anterior porque se le va a cobrar a la mamá</t>
  </si>
  <si>
    <t>NO SE LE COBRA</t>
  </si>
  <si>
    <t xml:space="preserve">BEDOYA MONTOYA DEYSI CRISTINA </t>
  </si>
  <si>
    <t>25-004</t>
  </si>
  <si>
    <t>25-007</t>
  </si>
  <si>
    <t>25-006</t>
  </si>
  <si>
    <t>25-009</t>
  </si>
  <si>
    <t>25-008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</si>
  <si>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</si>
  <si>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</si>
  <si>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</si>
  <si>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</si>
  <si>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</si>
  <si>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</si>
  <si>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</si>
  <si>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</si>
  <si>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</si>
  <si>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</si>
  <si>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</si>
  <si>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</si>
  <si>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</si>
  <si>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</si>
  <si>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</si>
  <si>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</si>
  <si>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</si>
  <si>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</si>
  <si>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</si>
  <si>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</si>
  <si>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</si>
  <si>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</si>
  <si>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</si>
  <si>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</si>
  <si>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</si>
  <si>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</si>
  <si>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</si>
  <si>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</si>
  <si>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</si>
  <si>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25-040</t>
  </si>
  <si>
    <t>25-041</t>
  </si>
  <si>
    <t>25-042</t>
  </si>
  <si>
    <t>25-043</t>
  </si>
  <si>
    <t>25-044</t>
  </si>
  <si>
    <t>25-045</t>
  </si>
  <si>
    <t>ASAAD EMILCE DEL HUERTO</t>
  </si>
  <si>
    <t>25-039</t>
  </si>
  <si>
    <t>25-046</t>
  </si>
  <si>
    <t>RESTREPO FERNANDEZ CAROLINA</t>
  </si>
  <si>
    <t>SOCIEDAD LUIS GABRIEL BOTERO</t>
  </si>
  <si>
    <t>25-047</t>
  </si>
  <si>
    <t>25-049</t>
  </si>
  <si>
    <t>25-048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</si>
  <si>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</si>
  <si>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</si>
  <si>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</si>
  <si>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</si>
  <si>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</si>
  <si>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</si>
  <si>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</si>
  <si>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</si>
  <si>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</si>
  <si>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</si>
  <si>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</si>
  <si>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</si>
  <si>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</si>
  <si>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</si>
  <si>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</si>
  <si>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</si>
  <si>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</si>
  <si>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</si>
  <si>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25-077</t>
  </si>
  <si>
    <t>25-068</t>
  </si>
  <si>
    <t>25-069</t>
  </si>
  <si>
    <t>25-070</t>
  </si>
  <si>
    <t>25-071</t>
  </si>
  <si>
    <t>25-072</t>
  </si>
  <si>
    <t>25-073</t>
  </si>
  <si>
    <t>25-093</t>
  </si>
  <si>
    <t>25-083</t>
  </si>
  <si>
    <t>25-076</t>
  </si>
  <si>
    <t>25-079</t>
  </si>
  <si>
    <t>25-074</t>
  </si>
  <si>
    <t>25-078</t>
  </si>
  <si>
    <t>25-075</t>
  </si>
  <si>
    <t>25-080</t>
  </si>
  <si>
    <t>25-081</t>
  </si>
  <si>
    <t>25-082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</si>
  <si>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</si>
  <si>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</si>
  <si>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</si>
  <si>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</si>
  <si>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</si>
  <si>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</si>
  <si>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</si>
  <si>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</si>
  <si>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</si>
  <si>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25-094</t>
  </si>
  <si>
    <t>25-095</t>
  </si>
  <si>
    <t>25-096</t>
  </si>
  <si>
    <t>25-098</t>
  </si>
  <si>
    <t>25-099</t>
  </si>
  <si>
    <t>25-097</t>
  </si>
  <si>
    <t>25-100</t>
  </si>
  <si>
    <t>25-101</t>
  </si>
  <si>
    <t>25-102</t>
  </si>
  <si>
    <t>25-103</t>
  </si>
  <si>
    <t>25-104</t>
  </si>
  <si>
    <t>25-105</t>
  </si>
  <si>
    <t>25-106</t>
  </si>
  <si>
    <t>25-107</t>
  </si>
  <si>
    <t>25-108</t>
  </si>
  <si>
    <t>25-109</t>
  </si>
  <si>
    <t>25-110</t>
  </si>
  <si>
    <t>25-111</t>
  </si>
  <si>
    <t>25-112</t>
  </si>
  <si>
    <t>25-113</t>
  </si>
  <si>
    <t>25-114</t>
  </si>
  <si>
    <t>25-115</t>
  </si>
  <si>
    <t>25-116</t>
  </si>
  <si>
    <t>25-117</t>
  </si>
  <si>
    <t>SEPULVEDA DIAZ MANUELA</t>
  </si>
  <si>
    <t>25-118</t>
  </si>
  <si>
    <t>25-119</t>
  </si>
  <si>
    <t>25-120</t>
  </si>
  <si>
    <t>25-121</t>
  </si>
  <si>
    <t>25-122</t>
  </si>
  <si>
    <t>25-123</t>
  </si>
  <si>
    <t>25-124</t>
  </si>
  <si>
    <t>25-125</t>
  </si>
  <si>
    <t>25-126</t>
  </si>
  <si>
    <t>25-127</t>
  </si>
  <si>
    <t>25-128</t>
  </si>
  <si>
    <t>25-129</t>
  </si>
  <si>
    <t>25-130</t>
  </si>
  <si>
    <t>25-131</t>
  </si>
  <si>
    <t>25-134</t>
  </si>
  <si>
    <t>25-132</t>
  </si>
  <si>
    <t>25-133</t>
  </si>
  <si>
    <t>25-136</t>
  </si>
  <si>
    <t>25-135</t>
  </si>
  <si>
    <t>26-137</t>
  </si>
  <si>
    <t>25-138</t>
  </si>
  <si>
    <t>Se envio desde felipebossz@hotmail.com</t>
  </si>
  <si>
    <t>Se deja en 250 congelado</t>
  </si>
  <si>
    <t>Con Escrituras</t>
  </si>
  <si>
    <t>NO APLICA</t>
  </si>
  <si>
    <t>Teléfono</t>
  </si>
  <si>
    <t>OJO SOLO SE COBRA ESTO.</t>
  </si>
  <si>
    <t>SE CONGELA POR ESTE PRECIO HASTA NUEVO AVISO</t>
  </si>
  <si>
    <t>Se deja fijo por este precio hasta nuevo aviso</t>
  </si>
  <si>
    <t>25-139</t>
  </si>
  <si>
    <t>y</t>
  </si>
  <si>
    <t>Facturas mensuales</t>
  </si>
  <si>
    <t>Se actualiza el valor al minimo aproximadamente- Se iguala al minímo</t>
  </si>
  <si>
    <t>GTFF-166</t>
  </si>
  <si>
    <t>GTFF-167</t>
  </si>
  <si>
    <t>Correo y Wpp</t>
  </si>
  <si>
    <t>ABONO</t>
  </si>
  <si>
    <t>Se hace cuenta de cobro</t>
  </si>
  <si>
    <t>Otras asesorías</t>
  </si>
  <si>
    <t>Se actualiza a "plan integral"</t>
  </si>
  <si>
    <t>Plan Integral - Salario Minímo</t>
  </si>
  <si>
    <t>Se ajusta base de declaración igualar a la mamá</t>
  </si>
  <si>
    <t>GTFF-168</t>
  </si>
  <si>
    <t>GTFF-170</t>
  </si>
  <si>
    <t>GTFF-169</t>
  </si>
  <si>
    <t>GTFF-171</t>
  </si>
  <si>
    <t>GTFF-172</t>
  </si>
  <si>
    <t>GTFF-173</t>
  </si>
  <si>
    <t>GTFF-174</t>
  </si>
  <si>
    <t>GTFF-175</t>
  </si>
  <si>
    <t>GTFF-176</t>
  </si>
  <si>
    <t>GTFF-177</t>
  </si>
  <si>
    <t>GTFF-178</t>
  </si>
  <si>
    <t>GTFF-179</t>
  </si>
  <si>
    <t>GTFF-180</t>
  </si>
  <si>
    <t>GTFF-181</t>
  </si>
  <si>
    <t>GTFF-182</t>
  </si>
  <si>
    <t>GTFF-183</t>
  </si>
  <si>
    <t>DEBE PASAR A CXC</t>
  </si>
  <si>
    <t>GTFF-184</t>
  </si>
  <si>
    <t>GTFF-185</t>
  </si>
  <si>
    <t>GTFF-186</t>
  </si>
  <si>
    <t>GTFF-187</t>
  </si>
  <si>
    <t>ES CXC</t>
  </si>
  <si>
    <t>N/A</t>
  </si>
  <si>
    <t>GTFF-188</t>
  </si>
  <si>
    <t>Abonaron $5.000.000 25/11/2025</t>
  </si>
  <si>
    <t>ENVIADO</t>
  </si>
  <si>
    <t>SIN ENVIAR</t>
  </si>
  <si>
    <t>25-144</t>
  </si>
  <si>
    <t>26-001</t>
  </si>
  <si>
    <t>26-002</t>
  </si>
  <si>
    <t>PAGADO</t>
  </si>
  <si>
    <t>26-003</t>
  </si>
  <si>
    <t>Tranferencia</t>
  </si>
  <si>
    <t>Transferencia Banco Nu Paga $260.000</t>
  </si>
  <si>
    <t>26-004</t>
  </si>
  <si>
    <t>Se auto descuenta y solo paga $380.000</t>
  </si>
  <si>
    <t>26-005</t>
  </si>
  <si>
    <t>AFANADOR CALDERON OLGA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</si>
</sst>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\ #,##0_);\(&quot;$&quot;\ #,##0\)"/>
    <numFmt numFmtId="165" formatCode="&quot;$&quot;\ #,##0_);[Red]\(&quot;$&quot;\ #,##0\)"/>
    <numFmt numFmtId="166" formatCode="_(&quot;$&quot;\ * #,##0.00_);_(&quot;$&quot;\ * \(#,##0.00\);_(&quot;$&quot;\ * &quot;-&quot;??_);_(@_)"/>
    <numFmt numFmtId="167" formatCode="&quot;$&quot;#,##0_);\(&quot;$&quot;#,##0\)"/>
    <numFmt numFmtId="168" formatCode="&quot;$&quot;#,##0.00_);\(&quot;$&quot;#,##0.00\)"/>
    <numFmt numFmtId="169" formatCode="[$-C0A]d\-mmm\-yyyy;@"/>
    <numFmt numFmtId="170" formatCode="[$-F800]dddd\,\ mmmm\ dd\,\ yyyy"/>
    <numFmt numFmtId="171" formatCode="0.000%"/>
    <numFmt numFmtId="172" formatCode="0.0000000%"/>
  </numFmts>
  <fonts count="109" x14ac:knownFonts="1">
    <font>
      <sz val="12"/>
      <name val="Arial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8"/>
      <name val="Verdana"/>
      <family val="2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b/>
      <sz val="8"/>
      <color indexed="10"/>
      <name val="Verdana"/>
      <family val="2"/>
    </font>
    <font>
      <b/>
      <sz val="8"/>
      <color indexed="8"/>
      <name val="Verdana"/>
      <family val="2"/>
    </font>
    <font>
      <b/>
      <sz val="8"/>
      <color indexed="12"/>
      <name val="Verdana"/>
      <family val="2"/>
    </font>
    <font>
      <b/>
      <sz val="8"/>
      <color indexed="14"/>
      <name val="Verdana"/>
      <family val="2"/>
    </font>
    <font>
      <sz val="10"/>
      <color indexed="10"/>
      <name val="Verdana"/>
      <family val="2"/>
    </font>
    <font>
      <sz val="8"/>
      <color indexed="8"/>
      <name val="Verdana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color indexed="10"/>
      <name val="Verdana"/>
      <family val="2"/>
    </font>
    <font>
      <b/>
      <sz val="10"/>
      <color indexed="12"/>
      <name val="Verdana"/>
      <family val="2"/>
    </font>
    <font>
      <sz val="10"/>
      <color indexed="17"/>
      <name val="Verdana"/>
      <family val="2"/>
    </font>
    <font>
      <sz val="10"/>
      <color indexed="12"/>
      <name val="Verdana"/>
      <family val="2"/>
    </font>
    <font>
      <b/>
      <sz val="10"/>
      <color indexed="8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i/>
      <sz val="10"/>
      <color indexed="10"/>
      <name val="Verdana"/>
      <family val="2"/>
    </font>
    <font>
      <i/>
      <sz val="10"/>
      <color indexed="8"/>
      <name val="Verdana"/>
      <family val="2"/>
    </font>
    <font>
      <b/>
      <sz val="10"/>
      <color indexed="12"/>
      <name val="Verdana"/>
      <family val="2"/>
    </font>
    <font>
      <sz val="10"/>
      <color indexed="16"/>
      <name val="Verdana"/>
      <family val="2"/>
    </font>
    <font>
      <sz val="10"/>
      <color indexed="8"/>
      <name val="Verdana"/>
      <family val="2"/>
    </font>
    <font>
      <b/>
      <sz val="10"/>
      <color indexed="16"/>
      <name val="Verdana"/>
      <family val="2"/>
    </font>
    <font>
      <sz val="10"/>
      <color indexed="12"/>
      <name val="Verdana"/>
      <family val="2"/>
    </font>
    <font>
      <b/>
      <sz val="10"/>
      <color indexed="14"/>
      <name val="Verdana"/>
      <family val="2"/>
    </font>
    <font>
      <sz val="10"/>
      <color rgb="FFFF0000"/>
      <name val="Verdana"/>
      <family val="2"/>
    </font>
    <font>
      <sz val="8"/>
      <color theme="1"/>
      <name val="Verdana"/>
      <family val="2"/>
    </font>
    <font>
      <b/>
      <sz val="8"/>
      <color rgb="FF00B050"/>
      <name val="Verdana"/>
      <family val="2"/>
    </font>
    <font>
      <b/>
      <sz val="8"/>
      <color rgb="FF0000FF"/>
      <name val="Verdana"/>
      <family val="2"/>
    </font>
    <font>
      <sz val="10"/>
      <color rgb="FF008000"/>
      <name val="Verdana"/>
      <family val="2"/>
    </font>
    <font>
      <sz val="10"/>
      <color rgb="FFFF00FF"/>
      <name val="Verdana"/>
      <family val="2"/>
    </font>
    <font>
      <b/>
      <sz val="10"/>
      <color rgb="FF00B050"/>
      <name val="Verdana"/>
      <family val="2"/>
    </font>
    <font>
      <b/>
      <sz val="10"/>
      <color rgb="FFFF6600"/>
      <name val="Verdana"/>
      <family val="2"/>
    </font>
    <font>
      <sz val="10"/>
      <color rgb="FF0000FF"/>
      <name val="Verdana"/>
      <family val="2"/>
    </font>
    <font>
      <b/>
      <sz val="10"/>
      <color rgb="FF0000FF"/>
      <name val="Verdana"/>
      <family val="2"/>
    </font>
    <font>
      <sz val="10"/>
      <color rgb="FF00B050"/>
      <name val="Verdana"/>
      <family val="2"/>
    </font>
    <font>
      <b/>
      <sz val="10"/>
      <color rgb="FFC00000"/>
      <name val="Verdana"/>
      <family val="2"/>
    </font>
    <font>
      <sz val="10"/>
      <color rgb="FFC00000"/>
      <name val="Verdana"/>
      <family val="2"/>
    </font>
    <font>
      <sz val="10"/>
      <color rgb="FFFF6600"/>
      <name val="Verdana"/>
      <family val="2"/>
    </font>
    <font>
      <b/>
      <sz val="10"/>
      <color rgb="FFFF00FF"/>
      <name val="Verdana"/>
      <family val="2"/>
    </font>
    <font>
      <b/>
      <sz val="10"/>
      <color rgb="FF008000"/>
      <name val="Verdana"/>
      <family val="2"/>
    </font>
    <font>
      <b/>
      <sz val="8"/>
      <color rgb="FFC00000"/>
      <name val="Verdana"/>
      <family val="2"/>
    </font>
    <font>
      <b/>
      <sz val="8"/>
      <color rgb="FFFF6600"/>
      <name val="Verdana"/>
      <family val="2"/>
    </font>
    <font>
      <b/>
      <sz val="8"/>
      <color rgb="FFFF00FF"/>
      <name val="Verdana"/>
      <family val="2"/>
    </font>
    <font>
      <b/>
      <sz val="12"/>
      <color rgb="FF0000FF"/>
      <name val="Verdana"/>
      <family val="2"/>
    </font>
    <font>
      <b/>
      <sz val="12"/>
      <color indexed="10"/>
      <name val="Verdana"/>
      <family val="2"/>
    </font>
    <font>
      <b/>
      <sz val="12"/>
      <color indexed="8"/>
      <name val="Verdana"/>
      <family val="2"/>
    </font>
    <font>
      <b/>
      <sz val="8"/>
      <color rgb="FF800000"/>
      <name val="Verdana"/>
      <family val="2"/>
    </font>
    <font>
      <sz val="10"/>
      <color rgb="FF800000"/>
      <name val="Verdana"/>
      <family val="2"/>
    </font>
    <font>
      <b/>
      <sz val="12"/>
      <name val="Verdana"/>
      <family val="2"/>
    </font>
    <font>
      <b/>
      <sz val="10"/>
      <color rgb="FFFFFF00"/>
      <name val="Verdana"/>
      <family val="2"/>
    </font>
    <font>
      <b/>
      <sz val="10"/>
      <color rgb="FFFF0000"/>
      <name val="Verdana"/>
      <family val="2"/>
    </font>
    <font>
      <b/>
      <sz val="8"/>
      <color rgb="FFFF0000"/>
      <name val="Verdana"/>
      <family val="2"/>
    </font>
    <font>
      <sz val="10"/>
      <color rgb="FFFFFF00"/>
      <name val="Verdana"/>
      <family val="2"/>
    </font>
    <font>
      <sz val="8"/>
      <color rgb="FFFF0000"/>
      <name val="Verdana"/>
      <family val="2"/>
    </font>
    <font>
      <sz val="12"/>
      <name val="Arial"/>
      <family val="2"/>
    </font>
    <font>
      <b/>
      <i/>
      <sz val="10"/>
      <color rgb="FF0000FF"/>
      <name val="Verdana"/>
      <family val="2"/>
    </font>
    <font>
      <b/>
      <sz val="8"/>
      <color theme="1"/>
      <name val="Verdana"/>
      <family val="2"/>
    </font>
    <font>
      <b/>
      <sz val="12"/>
      <color rgb="FF00B050"/>
      <name val="Verdana"/>
      <family val="2"/>
    </font>
    <font>
      <sz val="12"/>
      <name val="Verdana"/>
      <family val="2"/>
    </font>
    <font>
      <b/>
      <sz val="12"/>
      <color theme="1"/>
      <name val="Verdana"/>
      <family val="2"/>
    </font>
    <font>
      <b/>
      <sz val="8"/>
      <color rgb="FF00B0F0"/>
      <name val="Verdana"/>
      <family val="2"/>
    </font>
    <font>
      <b/>
      <sz val="8"/>
      <color rgb="FF7030A0"/>
      <name val="Verdana"/>
      <family val="2"/>
    </font>
    <font>
      <b/>
      <sz val="10"/>
      <color theme="1"/>
      <name val="Verdana"/>
      <family val="2"/>
    </font>
    <font>
      <b/>
      <sz val="8"/>
      <color rgb="FFFFFF00"/>
      <name val="Verdana"/>
      <family val="2"/>
    </font>
    <font>
      <sz val="8"/>
      <color rgb="FF0000FF"/>
      <name val="Verdana"/>
      <family val="2"/>
    </font>
    <font>
      <sz val="12"/>
      <name val="Arial"/>
      <family val="2"/>
    </font>
    <font>
      <sz val="10"/>
      <name val="Arial"/>
      <family val="2"/>
    </font>
    <font>
      <b/>
      <sz val="12"/>
      <color rgb="FFFF0000"/>
      <name val="Verdana"/>
      <family val="2"/>
    </font>
    <font>
      <i/>
      <sz val="10"/>
      <color indexed="14"/>
      <name val="Verdana"/>
      <family val="2"/>
    </font>
    <font>
      <sz val="10"/>
      <color indexed="14"/>
      <name val="Verdana"/>
      <family val="2"/>
    </font>
    <font>
      <b/>
      <sz val="10"/>
      <color indexed="17"/>
      <name val="Verdana"/>
      <family val="2"/>
    </font>
    <font>
      <i/>
      <sz val="10"/>
      <name val="Verdana"/>
      <family val="2"/>
    </font>
    <font>
      <i/>
      <sz val="10"/>
      <color rgb="FFFF0000"/>
      <name val="Verdana"/>
      <family val="2"/>
    </font>
    <font>
      <sz val="10"/>
      <color rgb="FFFF0000"/>
      <name val="Arial"/>
      <family val="2"/>
    </font>
    <font>
      <b/>
      <sz val="10"/>
      <color rgb="FF00478E"/>
      <name val="Verdana"/>
      <family val="2"/>
    </font>
    <font>
      <b/>
      <i/>
      <sz val="10"/>
      <color indexed="10"/>
      <name val="Verdana"/>
      <family val="2"/>
    </font>
    <font>
      <sz val="8"/>
      <name val="Arial"/>
      <family val="2"/>
    </font>
    <font>
      <sz val="8"/>
      <color rgb="FF00B050"/>
      <name val="Verdana"/>
      <family val="2"/>
    </font>
    <font>
      <b/>
      <sz val="10"/>
      <color rgb="FF7030A0"/>
      <name val="Verdana"/>
      <family val="2"/>
    </font>
    <font>
      <sz val="10"/>
      <color rgb="FF7030A0"/>
      <name val="Verdana"/>
      <family val="2"/>
    </font>
    <font>
      <sz val="10"/>
      <color theme="9" tint="-0.249977111117893"/>
      <name val="Verdana"/>
      <family val="2"/>
    </font>
    <font>
      <b/>
      <sz val="8"/>
      <color theme="9" tint="-0.249977111117893"/>
      <name val="Verdana"/>
      <family val="2"/>
    </font>
    <font>
      <b/>
      <sz val="10"/>
      <color theme="9" tint="-0.249977111117893"/>
      <name val="Verdana"/>
      <family val="2"/>
    </font>
    <font>
      <i/>
      <sz val="12"/>
      <color rgb="FF0000FF"/>
      <name val="Verdana"/>
      <family val="2"/>
    </font>
    <font>
      <i/>
      <sz val="12"/>
      <color indexed="10"/>
      <name val="Verdana"/>
      <family val="2"/>
    </font>
    <font>
      <b/>
      <sz val="10"/>
      <color rgb="FF0070C0"/>
      <name val="Verdana"/>
      <family val="2"/>
    </font>
    <font>
      <b/>
      <sz val="10"/>
      <color rgb="FFFF3300"/>
      <name val="Verdana"/>
      <family val="2"/>
    </font>
    <font>
      <b/>
      <i/>
      <sz val="10"/>
      <color rgb="FFFF0000"/>
      <name val="Verdana"/>
      <family val="2"/>
    </font>
    <font>
      <sz val="8"/>
      <color rgb="FF009900"/>
      <name val="Verdana"/>
      <family val="2"/>
    </font>
    <font>
      <sz val="10"/>
      <color rgb="FF009900"/>
      <name val="Verdana"/>
      <family val="2"/>
    </font>
    <font>
      <b/>
      <sz val="8"/>
      <color rgb="FF009900"/>
      <name val="Verdana"/>
      <family val="2"/>
    </font>
    <font>
      <b/>
      <sz val="10"/>
      <color rgb="FF009900"/>
      <name val="Verdana"/>
      <family val="2"/>
    </font>
    <font>
      <b/>
      <sz val="10"/>
      <color rgb="FF00FFFF"/>
      <name val="Verdana"/>
      <family val="2"/>
    </font>
    <font>
      <sz val="10"/>
      <color rgb="FF00FFFF"/>
      <name val="Verdana"/>
      <family val="2"/>
    </font>
    <font>
      <b/>
      <sz val="10"/>
      <color rgb="FF00FFCC"/>
      <name val="Verdana"/>
      <family val="2"/>
    </font>
    <font>
      <sz val="10"/>
      <color rgb="FF00FFCC"/>
      <name val="Verdana"/>
      <family val="2"/>
    </font>
    <font>
      <b/>
      <sz val="8"/>
      <color rgb="FF00FFFF"/>
      <name val="Verdana"/>
      <family val="2"/>
    </font>
    <font>
      <b/>
      <sz val="9"/>
      <color rgb="FF009900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6600"/>
        <bgColor indexed="64"/>
      </patternFill>
    </fill>
  </fills>
  <borders count="17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indexed="64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medium">
        <color rgb="FF0000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thin">
        <color rgb="FF0000FF"/>
      </left>
      <right/>
      <top style="medium">
        <color rgb="FF0000FF"/>
      </top>
      <bottom style="medium">
        <color rgb="FF0000FF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FF"/>
      </left>
      <right/>
      <top style="thin">
        <color rgb="FF0000FF"/>
      </top>
      <bottom style="medium">
        <color rgb="FF0000FF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rgb="FF0000FF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/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/>
      <right style="thin">
        <color rgb="FF0000FF"/>
      </right>
      <top style="thin">
        <color rgb="FF0000FF"/>
      </top>
      <bottom/>
      <diagonal/>
    </border>
    <border>
      <left style="thin">
        <color indexed="64"/>
      </left>
      <right style="medium">
        <color rgb="FF0000FF"/>
      </right>
      <top style="medium">
        <color rgb="FF0000FF"/>
      </top>
      <bottom style="thin">
        <color rgb="FF0000FF"/>
      </bottom>
      <diagonal/>
    </border>
    <border>
      <left style="thin">
        <color indexed="64"/>
      </left>
      <right style="medium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FF"/>
      </left>
      <right/>
      <top/>
      <bottom style="medium">
        <color rgb="FF0000FF"/>
      </bottom>
      <diagonal/>
    </border>
    <border>
      <left/>
      <right style="thin">
        <color rgb="FF0000FF"/>
      </right>
      <top/>
      <bottom style="medium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0000FF"/>
      </left>
      <right style="thin">
        <color rgb="FF0000FF"/>
      </right>
      <top style="medium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medium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auto="1"/>
      </right>
      <top style="medium">
        <color indexed="8"/>
      </top>
      <bottom style="medium">
        <color indexed="8"/>
      </bottom>
      <diagonal/>
    </border>
    <border>
      <left style="medium">
        <color auto="1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65" fillId="0" borderId="0" applyFont="0" applyFill="0" applyBorder="0" applyAlignment="0" applyProtection="0"/>
    <xf numFmtId="166" fontId="76" fillId="0" borderId="0" applyFont="0" applyFill="0" applyBorder="0" applyAlignment="0" applyProtection="0"/>
  </cellStyleXfs>
  <cellXfs count="1966">
    <xf numFmtId="0" fontId="0" fillId="0" borderId="0" xfId="0"/>
    <xf numFmtId="3" fontId="9" fillId="0" borderId="0" xfId="0" applyNumberFormat="1" applyFont="1" applyAlignment="1">
      <alignment vertical="center"/>
    </xf>
    <xf numFmtId="3" fontId="10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8" fillId="4" borderId="0" xfId="0" applyNumberFormat="1" applyFont="1" applyFill="1" applyAlignment="1">
      <alignment vertical="center"/>
    </xf>
    <xf numFmtId="3" fontId="19" fillId="0" borderId="0" xfId="0" applyNumberFormat="1" applyFont="1" applyAlignment="1">
      <alignment vertical="center"/>
    </xf>
    <xf numFmtId="37" fontId="9" fillId="2" borderId="0" xfId="0" applyNumberFormat="1" applyFont="1" applyFill="1" applyAlignment="1">
      <alignment horizontal="centerContinuous" vertical="center"/>
    </xf>
    <xf numFmtId="37" fontId="18" fillId="4" borderId="0" xfId="0" applyNumberFormat="1" applyFont="1" applyFill="1" applyAlignment="1">
      <alignment vertical="center"/>
    </xf>
    <xf numFmtId="37" fontId="18" fillId="4" borderId="0" xfId="0" applyNumberFormat="1" applyFont="1" applyFill="1" applyAlignment="1">
      <alignment horizontal="centerContinuous" vertical="center"/>
    </xf>
    <xf numFmtId="37" fontId="8" fillId="0" borderId="0" xfId="0" applyNumberFormat="1" applyFont="1" applyAlignment="1">
      <alignment vertical="center"/>
    </xf>
    <xf numFmtId="3" fontId="20" fillId="0" borderId="7" xfId="0" applyNumberFormat="1" applyFont="1" applyBorder="1" applyAlignment="1">
      <alignment vertical="center"/>
    </xf>
    <xf numFmtId="3" fontId="21" fillId="0" borderId="7" xfId="0" applyNumberFormat="1" applyFont="1" applyBorder="1" applyAlignment="1">
      <alignment vertical="center"/>
    </xf>
    <xf numFmtId="3" fontId="21" fillId="0" borderId="0" xfId="0" applyNumberFormat="1" applyFont="1" applyAlignment="1">
      <alignment vertical="center"/>
    </xf>
    <xf numFmtId="3" fontId="21" fillId="0" borderId="8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18" fillId="0" borderId="7" xfId="0" applyNumberFormat="1" applyFont="1" applyBorder="1" applyAlignment="1">
      <alignment vertical="center"/>
    </xf>
    <xf numFmtId="3" fontId="18" fillId="0" borderId="0" xfId="0" applyNumberFormat="1" applyFont="1" applyAlignment="1">
      <alignment vertical="center"/>
    </xf>
    <xf numFmtId="37" fontId="8" fillId="2" borderId="0" xfId="0" applyNumberFormat="1" applyFont="1" applyFill="1" applyAlignment="1">
      <alignment vertical="center"/>
    </xf>
    <xf numFmtId="3" fontId="24" fillId="0" borderId="0" xfId="0" quotePrefix="1" applyNumberFormat="1" applyFont="1" applyAlignment="1">
      <alignment vertical="center"/>
    </xf>
    <xf numFmtId="3" fontId="26" fillId="4" borderId="0" xfId="0" applyNumberFormat="1" applyFont="1" applyFill="1" applyAlignment="1">
      <alignment horizontal="centerContinuous" vertical="center"/>
    </xf>
    <xf numFmtId="3" fontId="24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Continuous" vertical="center"/>
    </xf>
    <xf numFmtId="3" fontId="26" fillId="2" borderId="0" xfId="0" applyNumberFormat="1" applyFont="1" applyFill="1" applyAlignment="1">
      <alignment vertical="center"/>
    </xf>
    <xf numFmtId="37" fontId="39" fillId="2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Continuous" vertical="center"/>
    </xf>
    <xf numFmtId="3" fontId="31" fillId="2" borderId="0" xfId="0" applyNumberFormat="1" applyFont="1" applyFill="1" applyAlignment="1">
      <alignment vertical="center"/>
    </xf>
    <xf numFmtId="0" fontId="31" fillId="2" borderId="0" xfId="0" applyFont="1" applyFill="1" applyAlignment="1">
      <alignment horizontal="center" vertical="center"/>
    </xf>
    <xf numFmtId="3" fontId="26" fillId="4" borderId="0" xfId="0" applyNumberFormat="1" applyFont="1" applyFill="1" applyAlignment="1">
      <alignment vertical="center"/>
    </xf>
    <xf numFmtId="3" fontId="31" fillId="4" borderId="0" xfId="0" applyNumberFormat="1" applyFont="1" applyFill="1" applyAlignment="1">
      <alignment vertical="center"/>
    </xf>
    <xf numFmtId="3" fontId="25" fillId="4" borderId="0" xfId="0" applyNumberFormat="1" applyFont="1" applyFill="1" applyAlignment="1">
      <alignment vertical="center"/>
    </xf>
    <xf numFmtId="0" fontId="29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horizontal="center" vertical="center"/>
    </xf>
    <xf numFmtId="0" fontId="29" fillId="4" borderId="0" xfId="0" applyFont="1" applyFill="1" applyAlignment="1">
      <alignment vertical="center"/>
    </xf>
    <xf numFmtId="0" fontId="42" fillId="4" borderId="0" xfId="0" applyFont="1" applyFill="1" applyAlignment="1">
      <alignment horizontal="center" vertical="center"/>
    </xf>
    <xf numFmtId="37" fontId="39" fillId="4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vertical="center"/>
    </xf>
    <xf numFmtId="3" fontId="25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3" fontId="41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vertical="center"/>
    </xf>
    <xf numFmtId="3" fontId="42" fillId="0" borderId="0" xfId="0" applyNumberFormat="1" applyFont="1" applyAlignment="1">
      <alignment horizontal="center" vertical="center"/>
    </xf>
    <xf numFmtId="37" fontId="39" fillId="0" borderId="0" xfId="0" applyNumberFormat="1" applyFont="1" applyAlignment="1">
      <alignment horizontal="center" vertical="center"/>
    </xf>
    <xf numFmtId="15" fontId="31" fillId="2" borderId="0" xfId="0" applyNumberFormat="1" applyFont="1" applyFill="1" applyAlignment="1">
      <alignment horizontal="centerContinuous" vertical="center"/>
    </xf>
    <xf numFmtId="3" fontId="33" fillId="0" borderId="0" xfId="0" applyNumberFormat="1" applyFont="1" applyAlignment="1">
      <alignment vertical="center"/>
    </xf>
    <xf numFmtId="37" fontId="41" fillId="2" borderId="0" xfId="0" applyNumberFormat="1" applyFont="1" applyFill="1" applyAlignment="1">
      <alignment horizontal="center" vertical="center"/>
    </xf>
    <xf numFmtId="37" fontId="42" fillId="2" borderId="0" xfId="0" applyNumberFormat="1" applyFont="1" applyFill="1" applyAlignment="1">
      <alignment horizontal="center" vertical="center"/>
    </xf>
    <xf numFmtId="37" fontId="30" fillId="2" borderId="0" xfId="0" applyNumberFormat="1" applyFont="1" applyFill="1" applyAlignment="1">
      <alignment vertical="center"/>
    </xf>
    <xf numFmtId="37" fontId="40" fillId="2" borderId="0" xfId="0" applyNumberFormat="1" applyFont="1" applyFill="1" applyAlignment="1">
      <alignment horizontal="center" vertical="center"/>
    </xf>
    <xf numFmtId="3" fontId="33" fillId="2" borderId="0" xfId="0" applyNumberFormat="1" applyFont="1" applyFill="1" applyAlignment="1">
      <alignment vertical="center"/>
    </xf>
    <xf numFmtId="3" fontId="41" fillId="2" borderId="0" xfId="0" applyNumberFormat="1" applyFont="1" applyFill="1" applyAlignment="1">
      <alignment horizontal="center" vertical="center"/>
    </xf>
    <xf numFmtId="3" fontId="29" fillId="2" borderId="0" xfId="0" applyNumberFormat="1" applyFont="1" applyFill="1" applyAlignment="1">
      <alignment horizontal="center" vertical="center"/>
    </xf>
    <xf numFmtId="3" fontId="42" fillId="2" borderId="0" xfId="0" applyNumberFormat="1" applyFont="1" applyFill="1" applyAlignment="1">
      <alignment horizontal="center" vertical="center"/>
    </xf>
    <xf numFmtId="3" fontId="30" fillId="2" borderId="0" xfId="0" applyNumberFormat="1" applyFont="1" applyFill="1" applyAlignment="1">
      <alignment vertical="center"/>
    </xf>
    <xf numFmtId="3" fontId="21" fillId="0" borderId="4" xfId="0" applyNumberFormat="1" applyFont="1" applyBorder="1" applyAlignment="1">
      <alignment vertical="center"/>
    </xf>
    <xf numFmtId="3" fontId="21" fillId="0" borderId="11" xfId="0" applyNumberFormat="1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37" fontId="9" fillId="0" borderId="2" xfId="0" applyNumberFormat="1" applyFont="1" applyBorder="1" applyAlignment="1">
      <alignment horizontal="center" vertical="center"/>
    </xf>
    <xf numFmtId="37" fontId="9" fillId="0" borderId="0" xfId="0" applyNumberFormat="1" applyFont="1" applyAlignment="1">
      <alignment horizontal="center" vertical="center"/>
    </xf>
    <xf numFmtId="37" fontId="9" fillId="0" borderId="0" xfId="0" applyNumberFormat="1" applyFont="1" applyAlignment="1">
      <alignment vertical="center"/>
    </xf>
    <xf numFmtId="3" fontId="19" fillId="2" borderId="0" xfId="0" applyNumberFormat="1" applyFont="1" applyFill="1" applyAlignment="1">
      <alignment vertical="center"/>
    </xf>
    <xf numFmtId="3" fontId="19" fillId="4" borderId="0" xfId="0" applyNumberFormat="1" applyFont="1" applyFill="1" applyAlignment="1">
      <alignment horizontal="centerContinuous" vertical="center"/>
    </xf>
    <xf numFmtId="3" fontId="19" fillId="4" borderId="0" xfId="0" applyNumberFormat="1" applyFont="1" applyFill="1" applyAlignment="1">
      <alignment horizontal="center" vertical="center"/>
    </xf>
    <xf numFmtId="37" fontId="18" fillId="0" borderId="0" xfId="0" applyNumberFormat="1" applyFont="1" applyAlignment="1">
      <alignment vertical="center"/>
    </xf>
    <xf numFmtId="37" fontId="19" fillId="4" borderId="0" xfId="0" applyNumberFormat="1" applyFont="1" applyFill="1" applyAlignment="1">
      <alignment vertical="center"/>
    </xf>
    <xf numFmtId="37" fontId="9" fillId="4" borderId="0" xfId="0" applyNumberFormat="1" applyFont="1" applyFill="1" applyAlignment="1">
      <alignment vertical="center"/>
    </xf>
    <xf numFmtId="37" fontId="15" fillId="4" borderId="0" xfId="0" applyNumberFormat="1" applyFont="1" applyFill="1" applyAlignment="1">
      <alignment vertical="center"/>
    </xf>
    <xf numFmtId="37" fontId="21" fillId="4" borderId="0" xfId="0" applyNumberFormat="1" applyFont="1" applyFill="1" applyAlignment="1">
      <alignment vertical="center"/>
    </xf>
    <xf numFmtId="37" fontId="9" fillId="2" borderId="0" xfId="0" applyNumberFormat="1" applyFont="1" applyFill="1" applyAlignment="1">
      <alignment vertical="center"/>
    </xf>
    <xf numFmtId="37" fontId="23" fillId="2" borderId="0" xfId="0" applyNumberFormat="1" applyFont="1" applyFill="1" applyAlignment="1">
      <alignment vertical="center"/>
    </xf>
    <xf numFmtId="37" fontId="15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horizontal="center" vertical="center"/>
    </xf>
    <xf numFmtId="37" fontId="18" fillId="2" borderId="0" xfId="0" applyNumberFormat="1" applyFont="1" applyFill="1" applyAlignment="1">
      <alignment vertical="center"/>
    </xf>
    <xf numFmtId="37" fontId="18" fillId="0" borderId="0" xfId="0" applyNumberFormat="1" applyFont="1"/>
    <xf numFmtId="37" fontId="24" fillId="0" borderId="0" xfId="0" quotePrefix="1" applyNumberFormat="1" applyFont="1" applyAlignment="1">
      <alignment vertical="center"/>
    </xf>
    <xf numFmtId="37" fontId="24" fillId="0" borderId="0" xfId="0" quotePrefix="1" applyNumberFormat="1" applyFont="1" applyAlignment="1">
      <alignment horizontal="center" vertical="center"/>
    </xf>
    <xf numFmtId="37" fontId="24" fillId="0" borderId="0" xfId="0" applyNumberFormat="1" applyFont="1" applyAlignment="1">
      <alignment vertical="center"/>
    </xf>
    <xf numFmtId="37" fontId="24" fillId="0" borderId="0" xfId="0" applyNumberFormat="1" applyFont="1" applyAlignment="1">
      <alignment horizontal="center" vertical="center"/>
    </xf>
    <xf numFmtId="37" fontId="18" fillId="4" borderId="0" xfId="0" applyNumberFormat="1" applyFont="1" applyFill="1" applyAlignment="1">
      <alignment horizontal="center" vertical="center"/>
    </xf>
    <xf numFmtId="37" fontId="9" fillId="0" borderId="0" xfId="0" applyNumberFormat="1" applyFont="1" applyAlignment="1">
      <alignment horizontal="centerContinuous" vertical="center"/>
    </xf>
    <xf numFmtId="37" fontId="9" fillId="2" borderId="0" xfId="0" applyNumberFormat="1" applyFont="1" applyFill="1" applyAlignment="1">
      <alignment horizontal="center" vertical="center"/>
    </xf>
    <xf numFmtId="37" fontId="44" fillId="2" borderId="0" xfId="0" applyNumberFormat="1" applyFont="1" applyFill="1" applyAlignment="1">
      <alignment horizontal="center" vertical="center"/>
    </xf>
    <xf numFmtId="37" fontId="44" fillId="2" borderId="0" xfId="0" applyNumberFormat="1" applyFont="1" applyFill="1" applyAlignment="1">
      <alignment vertical="center"/>
    </xf>
    <xf numFmtId="37" fontId="41" fillId="2" borderId="0" xfId="0" applyNumberFormat="1" applyFont="1" applyFill="1" applyAlignment="1">
      <alignment vertical="center"/>
    </xf>
    <xf numFmtId="37" fontId="46" fillId="2" borderId="0" xfId="0" applyNumberFormat="1" applyFont="1" applyFill="1" applyAlignment="1">
      <alignment horizontal="center" vertical="center"/>
    </xf>
    <xf numFmtId="37" fontId="46" fillId="2" borderId="0" xfId="0" applyNumberFormat="1" applyFont="1" applyFill="1" applyAlignment="1">
      <alignment vertical="center"/>
    </xf>
    <xf numFmtId="37" fontId="21" fillId="2" borderId="0" xfId="0" applyNumberFormat="1" applyFont="1" applyFill="1" applyAlignment="1">
      <alignment vertical="center"/>
    </xf>
    <xf numFmtId="37" fontId="30" fillId="2" borderId="0" xfId="0" applyNumberFormat="1" applyFont="1" applyFill="1" applyAlignment="1">
      <alignment horizontal="center" vertical="center"/>
    </xf>
    <xf numFmtId="37" fontId="19" fillId="2" borderId="0" xfId="0" applyNumberFormat="1" applyFont="1" applyFill="1" applyAlignment="1">
      <alignment vertical="center"/>
    </xf>
    <xf numFmtId="37" fontId="49" fillId="2" borderId="0" xfId="0" applyNumberFormat="1" applyFont="1" applyFill="1" applyAlignment="1">
      <alignment horizontal="center" vertical="center"/>
    </xf>
    <xf numFmtId="37" fontId="41" fillId="4" borderId="0" xfId="0" applyNumberFormat="1" applyFont="1" applyFill="1" applyAlignment="1">
      <alignment horizontal="center" vertical="center"/>
    </xf>
    <xf numFmtId="37" fontId="21" fillId="4" borderId="0" xfId="0" applyNumberFormat="1" applyFont="1" applyFill="1" applyAlignment="1">
      <alignment horizontal="center" vertical="center"/>
    </xf>
    <xf numFmtId="37" fontId="42" fillId="4" borderId="0" xfId="0" applyNumberFormat="1" applyFont="1" applyFill="1" applyAlignment="1">
      <alignment horizontal="center" vertical="center"/>
    </xf>
    <xf numFmtId="37" fontId="32" fillId="4" borderId="0" xfId="0" applyNumberFormat="1" applyFont="1" applyFill="1" applyAlignment="1">
      <alignment horizontal="center" vertical="center"/>
    </xf>
    <xf numFmtId="37" fontId="49" fillId="4" borderId="0" xfId="0" applyNumberFormat="1" applyFont="1" applyFill="1" applyAlignment="1">
      <alignment horizontal="center" vertical="center"/>
    </xf>
    <xf numFmtId="37" fontId="15" fillId="0" borderId="0" xfId="0" applyNumberFormat="1" applyFont="1" applyAlignment="1">
      <alignment vertical="center"/>
    </xf>
    <xf numFmtId="37" fontId="41" fillId="0" borderId="0" xfId="0" applyNumberFormat="1" applyFont="1" applyAlignment="1">
      <alignment horizontal="center" vertical="center"/>
    </xf>
    <xf numFmtId="37" fontId="21" fillId="0" borderId="0" xfId="0" applyNumberFormat="1" applyFont="1" applyAlignment="1">
      <alignment horizontal="center" vertical="center"/>
    </xf>
    <xf numFmtId="37" fontId="21" fillId="0" borderId="0" xfId="0" applyNumberFormat="1" applyFont="1" applyAlignment="1">
      <alignment vertical="center"/>
    </xf>
    <xf numFmtId="37" fontId="42" fillId="0" borderId="0" xfId="0" applyNumberFormat="1" applyFont="1" applyAlignment="1">
      <alignment horizontal="center" vertical="center"/>
    </xf>
    <xf numFmtId="37" fontId="30" fillId="0" borderId="0" xfId="0" applyNumberFormat="1" applyFont="1" applyAlignment="1">
      <alignment horizontal="center" vertical="center"/>
    </xf>
    <xf numFmtId="37" fontId="19" fillId="0" borderId="0" xfId="0" applyNumberFormat="1" applyFont="1" applyAlignment="1">
      <alignment horizontal="center" vertical="center"/>
    </xf>
    <xf numFmtId="37" fontId="49" fillId="0" borderId="0" xfId="0" applyNumberFormat="1" applyFont="1" applyAlignment="1">
      <alignment horizontal="center" vertical="center"/>
    </xf>
    <xf numFmtId="37" fontId="40" fillId="0" borderId="0" xfId="0" applyNumberFormat="1" applyFont="1" applyAlignment="1">
      <alignment horizontal="center" vertical="center"/>
    </xf>
    <xf numFmtId="37" fontId="8" fillId="4" borderId="0" xfId="0" applyNumberFormat="1" applyFont="1" applyFill="1" applyAlignment="1">
      <alignment horizontal="centerContinuous" vertical="center"/>
    </xf>
    <xf numFmtId="37" fontId="8" fillId="0" borderId="0" xfId="0" applyNumberFormat="1" applyFont="1"/>
    <xf numFmtId="49" fontId="45" fillId="4" borderId="0" xfId="0" applyNumberFormat="1" applyFont="1" applyFill="1" applyAlignment="1">
      <alignment horizontal="center" vertical="center"/>
    </xf>
    <xf numFmtId="49" fontId="45" fillId="0" borderId="0" xfId="0" applyNumberFormat="1" applyFont="1" applyAlignment="1">
      <alignment horizontal="center" vertical="center"/>
    </xf>
    <xf numFmtId="49" fontId="45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37" fontId="55" fillId="0" borderId="0" xfId="0" applyNumberFormat="1" applyFont="1" applyAlignment="1">
      <alignment vertical="center"/>
    </xf>
    <xf numFmtId="37" fontId="54" fillId="0" borderId="0" xfId="0" applyNumberFormat="1" applyFont="1" applyAlignment="1">
      <alignment vertical="center"/>
    </xf>
    <xf numFmtId="37" fontId="43" fillId="0" borderId="24" xfId="0" applyNumberFormat="1" applyFont="1" applyBorder="1" applyAlignment="1">
      <alignment vertical="center"/>
    </xf>
    <xf numFmtId="37" fontId="45" fillId="0" borderId="24" xfId="0" applyNumberFormat="1" applyFont="1" applyBorder="1" applyAlignment="1">
      <alignment vertical="center"/>
    </xf>
    <xf numFmtId="37" fontId="47" fillId="0" borderId="24" xfId="0" applyNumberFormat="1" applyFont="1" applyBorder="1" applyAlignment="1">
      <alignment vertical="center"/>
    </xf>
    <xf numFmtId="37" fontId="48" fillId="0" borderId="24" xfId="0" applyNumberFormat="1" applyFont="1" applyBorder="1" applyAlignment="1">
      <alignment vertical="center"/>
    </xf>
    <xf numFmtId="37" fontId="58" fillId="0" borderId="0" xfId="0" applyNumberFormat="1" applyFont="1" applyAlignment="1">
      <alignment horizontal="center" vertical="center"/>
    </xf>
    <xf numFmtId="37" fontId="33" fillId="0" borderId="24" xfId="0" applyNumberFormat="1" applyFont="1" applyBorder="1" applyAlignment="1">
      <alignment vertical="center"/>
    </xf>
    <xf numFmtId="37" fontId="30" fillId="0" borderId="0" xfId="0" applyNumberFormat="1" applyFont="1" applyAlignment="1">
      <alignment vertical="center"/>
    </xf>
    <xf numFmtId="3" fontId="8" fillId="4" borderId="0" xfId="0" applyNumberFormat="1" applyFont="1" applyFill="1" applyAlignment="1">
      <alignment horizontal="centerContinuous" vertical="center" wrapText="1"/>
    </xf>
    <xf numFmtId="3" fontId="8" fillId="2" borderId="0" xfId="0" applyNumberFormat="1" applyFont="1" applyFill="1" applyAlignment="1">
      <alignment vertical="center" wrapText="1"/>
    </xf>
    <xf numFmtId="10" fontId="29" fillId="2" borderId="0" xfId="0" applyNumberFormat="1" applyFont="1" applyFill="1" applyAlignment="1">
      <alignment horizontal="center" vertical="center"/>
    </xf>
    <xf numFmtId="10" fontId="46" fillId="2" borderId="0" xfId="0" applyNumberFormat="1" applyFont="1" applyFill="1" applyAlignment="1">
      <alignment horizontal="center" vertical="center"/>
    </xf>
    <xf numFmtId="3" fontId="11" fillId="3" borderId="27" xfId="0" applyNumberFormat="1" applyFont="1" applyFill="1" applyBorder="1" applyAlignment="1">
      <alignment horizontal="center" vertical="center" wrapText="1"/>
    </xf>
    <xf numFmtId="3" fontId="12" fillId="0" borderId="31" xfId="0" applyNumberFormat="1" applyFont="1" applyBorder="1" applyAlignment="1">
      <alignment horizontal="center" vertical="center" wrapText="1"/>
    </xf>
    <xf numFmtId="3" fontId="12" fillId="0" borderId="32" xfId="0" applyNumberFormat="1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37" fontId="33" fillId="2" borderId="36" xfId="0" applyNumberFormat="1" applyFont="1" applyFill="1" applyBorder="1" applyAlignment="1">
      <alignment vertical="center"/>
    </xf>
    <xf numFmtId="3" fontId="19" fillId="2" borderId="31" xfId="0" applyNumberFormat="1" applyFont="1" applyFill="1" applyBorder="1" applyAlignment="1">
      <alignment vertical="center"/>
    </xf>
    <xf numFmtId="3" fontId="19" fillId="2" borderId="39" xfId="0" applyNumberFormat="1" applyFont="1" applyFill="1" applyBorder="1" applyAlignment="1">
      <alignment vertical="center"/>
    </xf>
    <xf numFmtId="3" fontId="13" fillId="0" borderId="45" xfId="0" applyNumberFormat="1" applyFont="1" applyBorder="1" applyAlignment="1">
      <alignment horizontal="center" vertical="center" wrapText="1"/>
    </xf>
    <xf numFmtId="3" fontId="38" fillId="0" borderId="45" xfId="0" applyNumberFormat="1" applyFont="1" applyBorder="1" applyAlignment="1">
      <alignment horizontal="center" vertical="center" wrapText="1"/>
    </xf>
    <xf numFmtId="3" fontId="37" fillId="0" borderId="45" xfId="0" applyNumberFormat="1" applyFont="1" applyBorder="1" applyAlignment="1">
      <alignment horizontal="center" vertical="center" wrapText="1"/>
    </xf>
    <xf numFmtId="3" fontId="51" fillId="0" borderId="45" xfId="0" applyNumberFormat="1" applyFont="1" applyBorder="1" applyAlignment="1">
      <alignment horizontal="center" vertical="center" wrapText="1"/>
    </xf>
    <xf numFmtId="3" fontId="52" fillId="0" borderId="45" xfId="0" applyNumberFormat="1" applyFont="1" applyBorder="1" applyAlignment="1">
      <alignment horizontal="center" vertical="center" wrapText="1"/>
    </xf>
    <xf numFmtId="37" fontId="57" fillId="0" borderId="46" xfId="0" applyNumberFormat="1" applyFont="1" applyBorder="1" applyAlignment="1">
      <alignment horizontal="center" vertical="center" wrapText="1"/>
    </xf>
    <xf numFmtId="3" fontId="17" fillId="0" borderId="41" xfId="0" applyNumberFormat="1" applyFont="1" applyBorder="1" applyAlignment="1">
      <alignment horizontal="center" vertical="center" wrapText="1"/>
    </xf>
    <xf numFmtId="3" fontId="17" fillId="0" borderId="42" xfId="0" applyNumberFormat="1" applyFont="1" applyBorder="1" applyAlignment="1">
      <alignment horizontal="center" vertical="center" wrapText="1"/>
    </xf>
    <xf numFmtId="49" fontId="17" fillId="0" borderId="48" xfId="0" applyNumberFormat="1" applyFont="1" applyBorder="1" applyAlignment="1">
      <alignment horizontal="center" vertical="center" wrapText="1"/>
    </xf>
    <xf numFmtId="3" fontId="37" fillId="0" borderId="40" xfId="0" applyNumberFormat="1" applyFont="1" applyBorder="1" applyAlignment="1">
      <alignment horizontal="center" vertical="center" wrapText="1"/>
    </xf>
    <xf numFmtId="37" fontId="39" fillId="2" borderId="50" xfId="0" applyNumberFormat="1" applyFont="1" applyFill="1" applyBorder="1" applyAlignment="1">
      <alignment horizontal="center" vertical="center"/>
    </xf>
    <xf numFmtId="37" fontId="49" fillId="2" borderId="51" xfId="0" applyNumberFormat="1" applyFont="1" applyFill="1" applyBorder="1" applyAlignment="1">
      <alignment horizontal="center" vertical="center"/>
    </xf>
    <xf numFmtId="37" fontId="50" fillId="0" borderId="17" xfId="0" applyNumberFormat="1" applyFont="1" applyBorder="1" applyAlignment="1">
      <alignment horizontal="center" vertical="center"/>
    </xf>
    <xf numFmtId="37" fontId="43" fillId="0" borderId="0" xfId="0" applyNumberFormat="1" applyFont="1" applyAlignment="1">
      <alignment vertical="center"/>
    </xf>
    <xf numFmtId="37" fontId="41" fillId="0" borderId="0" xfId="0" applyNumberFormat="1" applyFont="1" applyAlignment="1">
      <alignment vertical="center"/>
    </xf>
    <xf numFmtId="37" fontId="42" fillId="0" borderId="0" xfId="0" applyNumberFormat="1" applyFont="1" applyAlignment="1">
      <alignment vertical="center"/>
    </xf>
    <xf numFmtId="37" fontId="19" fillId="0" borderId="0" xfId="0" applyNumberFormat="1" applyFont="1" applyAlignment="1">
      <alignment vertical="center"/>
    </xf>
    <xf numFmtId="37" fontId="50" fillId="0" borderId="0" xfId="0" applyNumberFormat="1" applyFont="1" applyAlignment="1">
      <alignment vertical="center"/>
    </xf>
    <xf numFmtId="37" fontId="49" fillId="0" borderId="0" xfId="0" applyNumberFormat="1" applyFont="1" applyAlignment="1">
      <alignment vertical="center"/>
    </xf>
    <xf numFmtId="37" fontId="60" fillId="4" borderId="0" xfId="0" applyNumberFormat="1" applyFont="1" applyFill="1" applyAlignment="1">
      <alignment vertical="center"/>
    </xf>
    <xf numFmtId="37" fontId="60" fillId="4" borderId="0" xfId="0" applyNumberFormat="1" applyFont="1" applyFill="1" applyAlignment="1">
      <alignment vertical="center" wrapText="1"/>
    </xf>
    <xf numFmtId="37" fontId="60" fillId="0" borderId="0" xfId="0" applyNumberFormat="1" applyFont="1" applyAlignment="1">
      <alignment vertical="center"/>
    </xf>
    <xf numFmtId="3" fontId="17" fillId="0" borderId="32" xfId="0" applyNumberFormat="1" applyFont="1" applyBorder="1" applyAlignment="1">
      <alignment horizontal="center" vertical="center" wrapText="1"/>
    </xf>
    <xf numFmtId="37" fontId="19" fillId="4" borderId="0" xfId="0" applyNumberFormat="1" applyFont="1" applyFill="1" applyAlignment="1">
      <alignment vertical="center" wrapText="1"/>
    </xf>
    <xf numFmtId="37" fontId="61" fillId="4" borderId="0" xfId="0" applyNumberFormat="1" applyFont="1" applyFill="1" applyAlignment="1">
      <alignment vertical="center"/>
    </xf>
    <xf numFmtId="37" fontId="18" fillId="0" borderId="0" xfId="0" applyNumberFormat="1" applyFont="1" applyAlignment="1">
      <alignment vertical="center" wrapText="1"/>
    </xf>
    <xf numFmtId="37" fontId="18" fillId="0" borderId="0" xfId="0" applyNumberFormat="1" applyFont="1" applyAlignment="1">
      <alignment horizontal="center" vertical="center"/>
    </xf>
    <xf numFmtId="37" fontId="35" fillId="2" borderId="0" xfId="0" applyNumberFormat="1" applyFont="1" applyFill="1" applyAlignment="1">
      <alignment vertical="center"/>
    </xf>
    <xf numFmtId="37" fontId="59" fillId="0" borderId="0" xfId="0" quotePrefix="1" applyNumberFormat="1" applyFont="1" applyAlignment="1">
      <alignment vertical="center"/>
    </xf>
    <xf numFmtId="37" fontId="17" fillId="0" borderId="31" xfId="0" applyNumberFormat="1" applyFont="1" applyBorder="1" applyAlignment="1">
      <alignment horizontal="center" vertical="center" wrapText="1"/>
    </xf>
    <xf numFmtId="37" fontId="19" fillId="2" borderId="31" xfId="0" applyNumberFormat="1" applyFont="1" applyFill="1" applyBorder="1" applyAlignment="1">
      <alignment vertical="center"/>
    </xf>
    <xf numFmtId="3" fontId="8" fillId="0" borderId="0" xfId="0" applyNumberFormat="1" applyFont="1" applyAlignment="1">
      <alignment vertical="center" wrapText="1"/>
    </xf>
    <xf numFmtId="37" fontId="13" fillId="0" borderId="58" xfId="0" applyNumberFormat="1" applyFont="1" applyBorder="1" applyAlignment="1">
      <alignment horizontal="center" vertical="center" wrapText="1"/>
    </xf>
    <xf numFmtId="37" fontId="56" fillId="0" borderId="0" xfId="0" quotePrefix="1" applyNumberFormat="1" applyFont="1" applyAlignment="1">
      <alignment vertical="center"/>
    </xf>
    <xf numFmtId="37" fontId="31" fillId="0" borderId="0" xfId="0" applyNumberFormat="1" applyFont="1" applyAlignment="1">
      <alignment vertical="center"/>
    </xf>
    <xf numFmtId="37" fontId="12" fillId="0" borderId="31" xfId="0" applyNumberFormat="1" applyFont="1" applyBorder="1" applyAlignment="1">
      <alignment horizontal="center" vertical="center" wrapText="1"/>
    </xf>
    <xf numFmtId="37" fontId="31" fillId="0" borderId="0" xfId="0" applyNumberFormat="1" applyFont="1" applyAlignment="1">
      <alignment horizontal="center" vertical="center"/>
    </xf>
    <xf numFmtId="37" fontId="31" fillId="2" borderId="0" xfId="0" applyNumberFormat="1" applyFont="1" applyFill="1" applyAlignment="1">
      <alignment horizontal="center" vertical="center"/>
    </xf>
    <xf numFmtId="37" fontId="26" fillId="4" borderId="0" xfId="0" applyNumberFormat="1" applyFont="1" applyFill="1" applyAlignment="1">
      <alignment vertical="center"/>
    </xf>
    <xf numFmtId="37" fontId="26" fillId="0" borderId="0" xfId="0" applyNumberFormat="1" applyFont="1" applyAlignment="1">
      <alignment vertical="center"/>
    </xf>
    <xf numFmtId="37" fontId="26" fillId="2" borderId="0" xfId="0" applyNumberFormat="1" applyFont="1" applyFill="1" applyAlignment="1">
      <alignment vertical="center"/>
    </xf>
    <xf numFmtId="3" fontId="49" fillId="0" borderId="0" xfId="0" quotePrefix="1" applyNumberFormat="1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horizontal="centerContinuous" vertical="center"/>
    </xf>
    <xf numFmtId="37" fontId="60" fillId="7" borderId="0" xfId="0" applyNumberFormat="1" applyFont="1" applyFill="1" applyAlignment="1">
      <alignment vertical="center"/>
    </xf>
    <xf numFmtId="37" fontId="63" fillId="7" borderId="0" xfId="0" applyNumberFormat="1" applyFont="1" applyFill="1" applyAlignment="1">
      <alignment vertical="center"/>
    </xf>
    <xf numFmtId="37" fontId="50" fillId="2" borderId="0" xfId="0" applyNumberFormat="1" applyFont="1" applyFill="1" applyAlignment="1">
      <alignment horizontal="center" vertical="center"/>
    </xf>
    <xf numFmtId="37" fontId="50" fillId="4" borderId="0" xfId="0" applyNumberFormat="1" applyFont="1" applyFill="1" applyAlignment="1">
      <alignment horizontal="center" vertical="center"/>
    </xf>
    <xf numFmtId="37" fontId="50" fillId="0" borderId="0" xfId="0" applyNumberFormat="1" applyFont="1" applyAlignment="1">
      <alignment horizontal="center" vertical="center"/>
    </xf>
    <xf numFmtId="37" fontId="50" fillId="2" borderId="50" xfId="0" applyNumberFormat="1" applyFont="1" applyFill="1" applyBorder="1" applyAlignment="1">
      <alignment horizontal="center" vertical="center"/>
    </xf>
    <xf numFmtId="37" fontId="33" fillId="0" borderId="34" xfId="0" applyNumberFormat="1" applyFont="1" applyBorder="1" applyAlignment="1">
      <alignment vertical="center"/>
    </xf>
    <xf numFmtId="37" fontId="43" fillId="0" borderId="34" xfId="0" applyNumberFormat="1" applyFont="1" applyBorder="1" applyAlignment="1">
      <alignment vertical="center"/>
    </xf>
    <xf numFmtId="37" fontId="45" fillId="0" borderId="34" xfId="0" applyNumberFormat="1" applyFont="1" applyBorder="1" applyAlignment="1">
      <alignment vertical="center"/>
    </xf>
    <xf numFmtId="37" fontId="47" fillId="0" borderId="34" xfId="0" applyNumberFormat="1" applyFont="1" applyBorder="1" applyAlignment="1">
      <alignment vertical="center"/>
    </xf>
    <xf numFmtId="37" fontId="23" fillId="0" borderId="36" xfId="0" applyNumberFormat="1" applyFont="1" applyBorder="1" applyAlignment="1">
      <alignment vertical="center"/>
    </xf>
    <xf numFmtId="37" fontId="44" fillId="0" borderId="36" xfId="0" applyNumberFormat="1" applyFont="1" applyBorder="1" applyAlignment="1">
      <alignment horizontal="center" vertical="center"/>
    </xf>
    <xf numFmtId="37" fontId="43" fillId="0" borderId="36" xfId="0" applyNumberFormat="1" applyFont="1" applyBorder="1" applyAlignment="1">
      <alignment vertical="center"/>
    </xf>
    <xf numFmtId="37" fontId="41" fillId="0" borderId="36" xfId="0" applyNumberFormat="1" applyFont="1" applyBorder="1" applyAlignment="1">
      <alignment horizontal="center" vertical="center"/>
    </xf>
    <xf numFmtId="37" fontId="45" fillId="0" borderId="36" xfId="0" applyNumberFormat="1" applyFont="1" applyBorder="1" applyAlignment="1">
      <alignment vertical="center"/>
    </xf>
    <xf numFmtId="37" fontId="46" fillId="0" borderId="36" xfId="0" applyNumberFormat="1" applyFont="1" applyBorder="1" applyAlignment="1">
      <alignment horizontal="center" vertical="center"/>
    </xf>
    <xf numFmtId="37" fontId="47" fillId="0" borderId="36" xfId="0" applyNumberFormat="1" applyFont="1" applyBorder="1" applyAlignment="1">
      <alignment vertical="center"/>
    </xf>
    <xf numFmtId="37" fontId="42" fillId="0" borderId="36" xfId="0" applyNumberFormat="1" applyFont="1" applyBorder="1" applyAlignment="1">
      <alignment horizontal="center" vertical="center"/>
    </xf>
    <xf numFmtId="37" fontId="48" fillId="0" borderId="36" xfId="0" applyNumberFormat="1" applyFont="1" applyBorder="1" applyAlignment="1">
      <alignment vertical="center"/>
    </xf>
    <xf numFmtId="3" fontId="66" fillId="0" borderId="0" xfId="0" applyNumberFormat="1" applyFont="1" applyAlignment="1">
      <alignment horizontal="centerContinuous" vertical="center"/>
    </xf>
    <xf numFmtId="3" fontId="44" fillId="0" borderId="0" xfId="0" applyNumberFormat="1" applyFont="1" applyAlignment="1">
      <alignment horizontal="centerContinuous" vertical="center"/>
    </xf>
    <xf numFmtId="3" fontId="44" fillId="0" borderId="0" xfId="0" applyNumberFormat="1" applyFont="1" applyAlignment="1">
      <alignment vertical="center"/>
    </xf>
    <xf numFmtId="37" fontId="44" fillId="4" borderId="0" xfId="0" applyNumberFormat="1" applyFont="1" applyFill="1" applyAlignment="1">
      <alignment vertical="center"/>
    </xf>
    <xf numFmtId="37" fontId="44" fillId="0" borderId="0" xfId="0" applyNumberFormat="1" applyFont="1" applyAlignment="1">
      <alignment vertical="center"/>
    </xf>
    <xf numFmtId="14" fontId="27" fillId="0" borderId="0" xfId="0" applyNumberFormat="1" applyFont="1" applyAlignment="1">
      <alignment horizontal="center" vertical="center"/>
    </xf>
    <xf numFmtId="37" fontId="49" fillId="0" borderId="0" xfId="0" quotePrefix="1" applyNumberFormat="1" applyFont="1" applyAlignment="1">
      <alignment vertical="center"/>
    </xf>
    <xf numFmtId="37" fontId="40" fillId="2" borderId="0" xfId="0" applyNumberFormat="1" applyFont="1" applyFill="1" applyAlignment="1">
      <alignment vertical="center"/>
    </xf>
    <xf numFmtId="3" fontId="53" fillId="0" borderId="45" xfId="0" applyNumberFormat="1" applyFont="1" applyBorder="1" applyAlignment="1">
      <alignment horizontal="center" vertical="center" wrapText="1"/>
    </xf>
    <xf numFmtId="37" fontId="40" fillId="0" borderId="2" xfId="0" applyNumberFormat="1" applyFont="1" applyBorder="1" applyAlignment="1">
      <alignment horizontal="center" vertical="center"/>
    </xf>
    <xf numFmtId="37" fontId="40" fillId="0" borderId="34" xfId="0" applyNumberFormat="1" applyFont="1" applyBorder="1" applyAlignment="1">
      <alignment vertical="center"/>
    </xf>
    <xf numFmtId="37" fontId="49" fillId="2" borderId="0" xfId="0" applyNumberFormat="1" applyFont="1" applyFill="1" applyAlignment="1">
      <alignment vertical="center"/>
    </xf>
    <xf numFmtId="37" fontId="49" fillId="4" borderId="0" xfId="0" applyNumberFormat="1" applyFont="1" applyFill="1" applyAlignment="1">
      <alignment vertical="center"/>
    </xf>
    <xf numFmtId="37" fontId="40" fillId="0" borderId="0" xfId="0" applyNumberFormat="1" applyFont="1" applyAlignment="1">
      <alignment vertical="center"/>
    </xf>
    <xf numFmtId="37" fontId="40" fillId="0" borderId="36" xfId="0" applyNumberFormat="1" applyFont="1" applyBorder="1" applyAlignment="1">
      <alignment vertical="center"/>
    </xf>
    <xf numFmtId="37" fontId="9" fillId="4" borderId="0" xfId="0" applyNumberFormat="1" applyFont="1" applyFill="1" applyAlignment="1">
      <alignment horizontal="center" vertical="center"/>
    </xf>
    <xf numFmtId="37" fontId="63" fillId="4" borderId="0" xfId="0" applyNumberFormat="1" applyFont="1" applyFill="1" applyAlignment="1">
      <alignment horizontal="center" vertical="center"/>
    </xf>
    <xf numFmtId="37" fontId="31" fillId="0" borderId="0" xfId="0" applyNumberFormat="1" applyFont="1" applyAlignment="1">
      <alignment horizontal="centerContinuous" vertical="center"/>
    </xf>
    <xf numFmtId="37" fontId="12" fillId="0" borderId="33" xfId="0" applyNumberFormat="1" applyFont="1" applyBorder="1" applyAlignment="1">
      <alignment horizontal="center" vertical="center" wrapText="1"/>
    </xf>
    <xf numFmtId="37" fontId="31" fillId="2" borderId="0" xfId="0" applyNumberFormat="1" applyFont="1" applyFill="1" applyAlignment="1">
      <alignment horizontal="centerContinuous" vertical="center"/>
    </xf>
    <xf numFmtId="37" fontId="31" fillId="2" borderId="0" xfId="0" applyNumberFormat="1" applyFont="1" applyFill="1" applyAlignment="1">
      <alignment vertical="center"/>
    </xf>
    <xf numFmtId="37" fontId="19" fillId="2" borderId="0" xfId="0" applyNumberFormat="1" applyFont="1" applyFill="1" applyAlignment="1">
      <alignment horizontal="center" vertical="center"/>
    </xf>
    <xf numFmtId="37" fontId="44" fillId="0" borderId="0" xfId="0" applyNumberFormat="1" applyFont="1" applyAlignment="1">
      <alignment vertical="center" wrapText="1"/>
    </xf>
    <xf numFmtId="37" fontId="61" fillId="0" borderId="0" xfId="0" applyNumberFormat="1" applyFont="1" applyAlignment="1">
      <alignment horizontal="center" vertical="center"/>
    </xf>
    <xf numFmtId="37" fontId="61" fillId="0" borderId="0" xfId="0" quotePrefix="1" applyNumberFormat="1" applyFont="1" applyAlignment="1">
      <alignment vertical="center" wrapText="1"/>
    </xf>
    <xf numFmtId="37" fontId="18" fillId="0" borderId="44" xfId="0" quotePrefix="1" applyNumberFormat="1" applyFont="1" applyBorder="1" applyAlignment="1">
      <alignment vertical="center"/>
    </xf>
    <xf numFmtId="37" fontId="18" fillId="0" borderId="47" xfId="0" applyNumberFormat="1" applyFont="1" applyBorder="1" applyAlignment="1">
      <alignment vertical="center"/>
    </xf>
    <xf numFmtId="37" fontId="35" fillId="0" borderId="0" xfId="0" applyNumberFormat="1" applyFont="1" applyAlignment="1">
      <alignment vertical="center"/>
    </xf>
    <xf numFmtId="37" fontId="17" fillId="0" borderId="42" xfId="0" applyNumberFormat="1" applyFont="1" applyBorder="1" applyAlignment="1">
      <alignment horizontal="center" vertical="center" wrapText="1"/>
    </xf>
    <xf numFmtId="37" fontId="17" fillId="0" borderId="43" xfId="0" applyNumberFormat="1" applyFont="1" applyBorder="1" applyAlignment="1">
      <alignment horizontal="center" vertical="center" wrapText="1"/>
    </xf>
    <xf numFmtId="37" fontId="62" fillId="0" borderId="41" xfId="0" applyNumberFormat="1" applyFont="1" applyBorder="1" applyAlignment="1">
      <alignment horizontal="center" vertical="center" wrapText="1"/>
    </xf>
    <xf numFmtId="37" fontId="18" fillId="0" borderId="3" xfId="0" applyNumberFormat="1" applyFont="1" applyBorder="1" applyAlignment="1">
      <alignment vertical="center"/>
    </xf>
    <xf numFmtId="37" fontId="18" fillId="6" borderId="0" xfId="0" applyNumberFormat="1" applyFont="1" applyFill="1" applyAlignment="1">
      <alignment vertical="center"/>
    </xf>
    <xf numFmtId="37" fontId="19" fillId="2" borderId="39" xfId="0" applyNumberFormat="1" applyFont="1" applyFill="1" applyBorder="1" applyAlignment="1">
      <alignment vertical="center"/>
    </xf>
    <xf numFmtId="37" fontId="19" fillId="2" borderId="27" xfId="0" applyNumberFormat="1" applyFont="1" applyFill="1" applyBorder="1" applyAlignment="1">
      <alignment vertical="center"/>
    </xf>
    <xf numFmtId="37" fontId="61" fillId="2" borderId="27" xfId="0" applyNumberFormat="1" applyFont="1" applyFill="1" applyBorder="1" applyAlignment="1">
      <alignment vertical="center"/>
    </xf>
    <xf numFmtId="37" fontId="35" fillId="4" borderId="0" xfId="0" applyNumberFormat="1" applyFont="1" applyFill="1" applyAlignment="1">
      <alignment vertical="center"/>
    </xf>
    <xf numFmtId="37" fontId="35" fillId="0" borderId="0" xfId="0" applyNumberFormat="1" applyFont="1" applyAlignment="1">
      <alignment horizontal="center" vertical="center"/>
    </xf>
    <xf numFmtId="37" fontId="18" fillId="0" borderId="55" xfId="0" applyNumberFormat="1" applyFont="1" applyBorder="1" applyAlignment="1">
      <alignment vertical="center"/>
    </xf>
    <xf numFmtId="37" fontId="19" fillId="4" borderId="0" xfId="0" applyNumberFormat="1" applyFont="1" applyFill="1" applyAlignment="1">
      <alignment horizontal="centerContinuous" vertical="center"/>
    </xf>
    <xf numFmtId="37" fontId="44" fillId="0" borderId="34" xfId="0" applyNumberFormat="1" applyFont="1" applyBorder="1" applyAlignment="1">
      <alignment horizontal="center" vertical="center"/>
    </xf>
    <xf numFmtId="37" fontId="41" fillId="0" borderId="34" xfId="0" applyNumberFormat="1" applyFont="1" applyBorder="1" applyAlignment="1">
      <alignment horizontal="center" vertical="center"/>
    </xf>
    <xf numFmtId="37" fontId="46" fillId="0" borderId="34" xfId="0" applyNumberFormat="1" applyFont="1" applyBorder="1" applyAlignment="1">
      <alignment horizontal="center" vertical="center"/>
    </xf>
    <xf numFmtId="37" fontId="42" fillId="0" borderId="34" xfId="0" applyNumberFormat="1" applyFont="1" applyBorder="1" applyAlignment="1">
      <alignment horizontal="center" vertical="center"/>
    </xf>
    <xf numFmtId="37" fontId="44" fillId="0" borderId="24" xfId="0" applyNumberFormat="1" applyFont="1" applyBorder="1" applyAlignment="1">
      <alignment horizontal="center" vertical="center"/>
    </xf>
    <xf numFmtId="37" fontId="41" fillId="0" borderId="24" xfId="0" applyNumberFormat="1" applyFont="1" applyBorder="1" applyAlignment="1">
      <alignment horizontal="center" vertical="center"/>
    </xf>
    <xf numFmtId="37" fontId="46" fillId="0" borderId="24" xfId="0" applyNumberFormat="1" applyFont="1" applyBorder="1" applyAlignment="1">
      <alignment horizontal="center" vertical="center"/>
    </xf>
    <xf numFmtId="37" fontId="42" fillId="0" borderId="24" xfId="0" applyNumberFormat="1" applyFont="1" applyBorder="1" applyAlignment="1">
      <alignment horizontal="center" vertical="center"/>
    </xf>
    <xf numFmtId="37" fontId="19" fillId="2" borderId="31" xfId="0" applyNumberFormat="1" applyFont="1" applyFill="1" applyBorder="1" applyAlignment="1">
      <alignment horizontal="center" vertical="center"/>
    </xf>
    <xf numFmtId="37" fontId="19" fillId="2" borderId="40" xfId="0" applyNumberFormat="1" applyFont="1" applyFill="1" applyBorder="1" applyAlignment="1">
      <alignment vertical="center"/>
    </xf>
    <xf numFmtId="37" fontId="25" fillId="0" borderId="28" xfId="0" applyNumberFormat="1" applyFont="1" applyBorder="1" applyAlignment="1">
      <alignment vertical="center"/>
    </xf>
    <xf numFmtId="37" fontId="25" fillId="0" borderId="29" xfId="0" applyNumberFormat="1" applyFont="1" applyBorder="1" applyAlignment="1">
      <alignment vertical="center"/>
    </xf>
    <xf numFmtId="37" fontId="44" fillId="2" borderId="36" xfId="0" applyNumberFormat="1" applyFont="1" applyFill="1" applyBorder="1" applyAlignment="1">
      <alignment horizontal="center" vertical="center"/>
    </xf>
    <xf numFmtId="37" fontId="43" fillId="2" borderId="36" xfId="0" applyNumberFormat="1" applyFont="1" applyFill="1" applyBorder="1" applyAlignment="1">
      <alignment vertical="center"/>
    </xf>
    <xf numFmtId="37" fontId="41" fillId="2" borderId="36" xfId="0" applyNumberFormat="1" applyFont="1" applyFill="1" applyBorder="1" applyAlignment="1">
      <alignment horizontal="center" vertical="center"/>
    </xf>
    <xf numFmtId="37" fontId="45" fillId="2" borderId="36" xfId="0" applyNumberFormat="1" applyFont="1" applyFill="1" applyBorder="1" applyAlignment="1">
      <alignment vertical="center"/>
    </xf>
    <xf numFmtId="37" fontId="46" fillId="2" borderId="36" xfId="0" applyNumberFormat="1" applyFont="1" applyFill="1" applyBorder="1" applyAlignment="1">
      <alignment horizontal="center" vertical="center"/>
    </xf>
    <xf numFmtId="37" fontId="47" fillId="2" borderId="36" xfId="0" applyNumberFormat="1" applyFont="1" applyFill="1" applyBorder="1" applyAlignment="1">
      <alignment vertical="center"/>
    </xf>
    <xf numFmtId="37" fontId="42" fillId="2" borderId="36" xfId="0" applyNumberFormat="1" applyFont="1" applyFill="1" applyBorder="1" applyAlignment="1">
      <alignment horizontal="center" vertical="center"/>
    </xf>
    <xf numFmtId="37" fontId="48" fillId="2" borderId="36" xfId="0" applyNumberFormat="1" applyFont="1" applyFill="1" applyBorder="1" applyAlignment="1">
      <alignment vertical="center"/>
    </xf>
    <xf numFmtId="37" fontId="29" fillId="2" borderId="0" xfId="0" applyNumberFormat="1" applyFont="1" applyFill="1" applyAlignment="1">
      <alignment horizontal="center" vertical="center"/>
    </xf>
    <xf numFmtId="37" fontId="29" fillId="2" borderId="0" xfId="0" applyNumberFormat="1" applyFont="1" applyFill="1" applyAlignment="1">
      <alignment vertical="center"/>
    </xf>
    <xf numFmtId="37" fontId="25" fillId="2" borderId="0" xfId="0" applyNumberFormat="1" applyFont="1" applyFill="1" applyAlignment="1">
      <alignment vertical="center"/>
    </xf>
    <xf numFmtId="37" fontId="45" fillId="2" borderId="0" xfId="0" applyNumberFormat="1" applyFont="1" applyFill="1" applyAlignment="1">
      <alignment horizontal="center" vertical="center"/>
    </xf>
    <xf numFmtId="37" fontId="33" fillId="2" borderId="0" xfId="0" applyNumberFormat="1" applyFont="1" applyFill="1" applyAlignment="1">
      <alignment vertical="center"/>
    </xf>
    <xf numFmtId="37" fontId="18" fillId="2" borderId="44" xfId="0" applyNumberFormat="1" applyFont="1" applyFill="1" applyBorder="1" applyAlignment="1">
      <alignment vertical="center"/>
    </xf>
    <xf numFmtId="37" fontId="20" fillId="0" borderId="0" xfId="0" applyNumberFormat="1" applyFont="1" applyAlignment="1">
      <alignment vertical="center"/>
    </xf>
    <xf numFmtId="9" fontId="19" fillId="0" borderId="0" xfId="1" quotePrefix="1" applyFont="1" applyBorder="1" applyAlignment="1">
      <alignment horizontal="center" vertical="center"/>
    </xf>
    <xf numFmtId="3" fontId="20" fillId="0" borderId="5" xfId="0" applyNumberFormat="1" applyFont="1" applyBorder="1" applyAlignment="1">
      <alignment vertical="center"/>
    </xf>
    <xf numFmtId="37" fontId="48" fillId="0" borderId="34" xfId="0" applyNumberFormat="1" applyFont="1" applyBorder="1" applyAlignment="1">
      <alignment vertical="center"/>
    </xf>
    <xf numFmtId="37" fontId="68" fillId="0" borderId="0" xfId="0" quotePrefix="1" applyNumberFormat="1" applyFont="1" applyAlignment="1">
      <alignment horizontal="left" vertical="center"/>
    </xf>
    <xf numFmtId="37" fontId="19" fillId="2" borderId="39" xfId="0" applyNumberFormat="1" applyFont="1" applyFill="1" applyBorder="1" applyAlignment="1">
      <alignment horizontal="center" vertical="center"/>
    </xf>
    <xf numFmtId="37" fontId="30" fillId="8" borderId="73" xfId="0" applyNumberFormat="1" applyFont="1" applyFill="1" applyBorder="1" applyAlignment="1">
      <alignment vertical="center"/>
    </xf>
    <xf numFmtId="3" fontId="38" fillId="0" borderId="74" xfId="0" applyNumberFormat="1" applyFont="1" applyBorder="1" applyAlignment="1">
      <alignment horizontal="center" vertical="center" wrapText="1"/>
    </xf>
    <xf numFmtId="37" fontId="40" fillId="0" borderId="63" xfId="0" applyNumberFormat="1" applyFont="1" applyBorder="1" applyAlignment="1">
      <alignment vertical="center"/>
    </xf>
    <xf numFmtId="37" fontId="30" fillId="8" borderId="76" xfId="0" applyNumberFormat="1" applyFont="1" applyFill="1" applyBorder="1" applyAlignment="1">
      <alignment vertical="center"/>
    </xf>
    <xf numFmtId="37" fontId="30" fillId="8" borderId="68" xfId="0" applyNumberFormat="1" applyFont="1" applyFill="1" applyBorder="1" applyAlignment="1">
      <alignment vertical="center"/>
    </xf>
    <xf numFmtId="37" fontId="33" fillId="0" borderId="36" xfId="0" applyNumberFormat="1" applyFont="1" applyBorder="1" applyAlignment="1">
      <alignment vertical="center"/>
    </xf>
    <xf numFmtId="37" fontId="40" fillId="0" borderId="65" xfId="0" applyNumberFormat="1" applyFont="1" applyBorder="1" applyAlignment="1">
      <alignment vertical="center"/>
    </xf>
    <xf numFmtId="37" fontId="30" fillId="0" borderId="77" xfId="0" applyNumberFormat="1" applyFont="1" applyBorder="1" applyAlignment="1">
      <alignment vertical="center"/>
    </xf>
    <xf numFmtId="37" fontId="45" fillId="0" borderId="30" xfId="0" applyNumberFormat="1" applyFont="1" applyBorder="1" applyAlignment="1">
      <alignment horizontal="center" vertical="center"/>
    </xf>
    <xf numFmtId="0" fontId="19" fillId="2" borderId="39" xfId="0" applyFont="1" applyFill="1" applyBorder="1" applyAlignment="1">
      <alignment horizontal="center" vertical="center"/>
    </xf>
    <xf numFmtId="37" fontId="31" fillId="0" borderId="80" xfId="0" applyNumberFormat="1" applyFont="1" applyBorder="1" applyAlignment="1">
      <alignment vertical="center"/>
    </xf>
    <xf numFmtId="3" fontId="31" fillId="0" borderId="81" xfId="0" applyNumberFormat="1" applyFont="1" applyBorder="1" applyAlignment="1">
      <alignment vertical="center" wrapText="1"/>
    </xf>
    <xf numFmtId="37" fontId="31" fillId="0" borderId="81" xfId="0" applyNumberFormat="1" applyFont="1" applyBorder="1" applyAlignment="1">
      <alignment horizontal="right" vertical="center"/>
    </xf>
    <xf numFmtId="37" fontId="31" fillId="2" borderId="80" xfId="0" applyNumberFormat="1" applyFont="1" applyFill="1" applyBorder="1" applyAlignment="1">
      <alignment horizontal="right" vertical="center"/>
    </xf>
    <xf numFmtId="10" fontId="41" fillId="2" borderId="70" xfId="0" applyNumberFormat="1" applyFont="1" applyFill="1" applyBorder="1" applyAlignment="1">
      <alignment horizontal="center" vertical="center"/>
    </xf>
    <xf numFmtId="10" fontId="29" fillId="2" borderId="70" xfId="0" applyNumberFormat="1" applyFont="1" applyFill="1" applyBorder="1" applyAlignment="1">
      <alignment horizontal="center" vertical="center"/>
    </xf>
    <xf numFmtId="10" fontId="46" fillId="2" borderId="70" xfId="0" applyNumberFormat="1" applyFont="1" applyFill="1" applyBorder="1" applyAlignment="1">
      <alignment horizontal="center" vertical="center"/>
    </xf>
    <xf numFmtId="10" fontId="42" fillId="2" borderId="70" xfId="0" applyNumberFormat="1" applyFont="1" applyFill="1" applyBorder="1" applyAlignment="1">
      <alignment horizontal="center" vertical="center"/>
    </xf>
    <xf numFmtId="10" fontId="49" fillId="2" borderId="70" xfId="0" applyNumberFormat="1" applyFont="1" applyFill="1" applyBorder="1" applyAlignment="1">
      <alignment horizontal="center" vertical="center"/>
    </xf>
    <xf numFmtId="37" fontId="30" fillId="0" borderId="83" xfId="0" applyNumberFormat="1" applyFont="1" applyBorder="1" applyAlignment="1">
      <alignment horizontal="centerContinuous" vertical="center"/>
    </xf>
    <xf numFmtId="37" fontId="25" fillId="0" borderId="84" xfId="0" applyNumberFormat="1" applyFont="1" applyBorder="1" applyAlignment="1">
      <alignment vertical="center"/>
    </xf>
    <xf numFmtId="37" fontId="45" fillId="0" borderId="85" xfId="0" applyNumberFormat="1" applyFont="1" applyBorder="1" applyAlignment="1">
      <alignment horizontal="center" vertical="center"/>
    </xf>
    <xf numFmtId="37" fontId="31" fillId="2" borderId="84" xfId="0" applyNumberFormat="1" applyFont="1" applyFill="1" applyBorder="1" applyAlignment="1">
      <alignment vertical="center"/>
    </xf>
    <xf numFmtId="37" fontId="25" fillId="0" borderId="86" xfId="0" applyNumberFormat="1" applyFont="1" applyBorder="1" applyAlignment="1">
      <alignment vertical="center"/>
    </xf>
    <xf numFmtId="39" fontId="18" fillId="0" borderId="0" xfId="0" applyNumberFormat="1" applyFont="1" applyAlignment="1">
      <alignment vertical="center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37" fontId="64" fillId="9" borderId="0" xfId="0" applyNumberFormat="1" applyFont="1" applyFill="1" applyAlignment="1">
      <alignment horizontal="right" vertical="center"/>
    </xf>
    <xf numFmtId="37" fontId="67" fillId="0" borderId="0" xfId="0" applyNumberFormat="1" applyFont="1" applyAlignment="1">
      <alignment horizontal="right" vertical="center"/>
    </xf>
    <xf numFmtId="0" fontId="70" fillId="0" borderId="0" xfId="0" applyFont="1" applyAlignment="1">
      <alignment vertical="center"/>
    </xf>
    <xf numFmtId="3" fontId="44" fillId="0" borderId="88" xfId="0" applyNumberFormat="1" applyFont="1" applyBorder="1" applyAlignment="1">
      <alignment vertical="center"/>
    </xf>
    <xf numFmtId="3" fontId="44" fillId="2" borderId="88" xfId="0" applyNumberFormat="1" applyFont="1" applyFill="1" applyBorder="1" applyAlignment="1">
      <alignment vertical="center"/>
    </xf>
    <xf numFmtId="37" fontId="57" fillId="0" borderId="92" xfId="0" applyNumberFormat="1" applyFont="1" applyBorder="1" applyAlignment="1">
      <alignment horizontal="center" vertical="center" wrapText="1"/>
    </xf>
    <xf numFmtId="3" fontId="38" fillId="0" borderId="93" xfId="0" applyNumberFormat="1" applyFont="1" applyBorder="1" applyAlignment="1">
      <alignment horizontal="center" vertical="center" wrapText="1"/>
    </xf>
    <xf numFmtId="37" fontId="21" fillId="2" borderId="95" xfId="0" applyNumberFormat="1" applyFont="1" applyFill="1" applyBorder="1" applyAlignment="1">
      <alignment horizontal="center" vertical="center"/>
    </xf>
    <xf numFmtId="37" fontId="44" fillId="2" borderId="95" xfId="0" applyNumberFormat="1" applyFont="1" applyFill="1" applyBorder="1" applyAlignment="1">
      <alignment horizontal="center" vertical="center"/>
    </xf>
    <xf numFmtId="37" fontId="44" fillId="2" borderId="96" xfId="0" applyNumberFormat="1" applyFont="1" applyFill="1" applyBorder="1" applyAlignment="1">
      <alignment horizontal="center" vertical="center"/>
    </xf>
    <xf numFmtId="37" fontId="44" fillId="2" borderId="94" xfId="0" applyNumberFormat="1" applyFont="1" applyFill="1" applyBorder="1" applyAlignment="1">
      <alignment horizontal="center" vertical="center"/>
    </xf>
    <xf numFmtId="37" fontId="44" fillId="0" borderId="96" xfId="0" applyNumberFormat="1" applyFont="1" applyBorder="1" applyAlignment="1">
      <alignment horizontal="center" vertical="center"/>
    </xf>
    <xf numFmtId="0" fontId="18" fillId="0" borderId="99" xfId="0" quotePrefix="1" applyFont="1" applyBorder="1" applyAlignment="1">
      <alignment vertical="center"/>
    </xf>
    <xf numFmtId="9" fontId="19" fillId="0" borderId="69" xfId="0" quotePrefix="1" applyNumberFormat="1" applyFont="1" applyBorder="1" applyAlignment="1">
      <alignment horizontal="center" vertical="center"/>
    </xf>
    <xf numFmtId="0" fontId="45" fillId="0" borderId="69" xfId="0" applyFont="1" applyBorder="1" applyAlignment="1">
      <alignment vertical="center"/>
    </xf>
    <xf numFmtId="0" fontId="45" fillId="0" borderId="100" xfId="0" applyFont="1" applyBorder="1" applyAlignment="1">
      <alignment vertical="center"/>
    </xf>
    <xf numFmtId="0" fontId="67" fillId="0" borderId="31" xfId="0" applyFont="1" applyBorder="1" applyAlignment="1">
      <alignment horizontal="center" vertical="center" wrapText="1"/>
    </xf>
    <xf numFmtId="49" fontId="17" fillId="0" borderId="43" xfId="0" applyNumberFormat="1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/>
    </xf>
    <xf numFmtId="0" fontId="31" fillId="0" borderId="44" xfId="0" applyFont="1" applyBorder="1" applyAlignment="1">
      <alignment horizontal="centerContinuous" vertical="center"/>
    </xf>
    <xf numFmtId="37" fontId="25" fillId="2" borderId="80" xfId="0" applyNumberFormat="1" applyFont="1" applyFill="1" applyBorder="1" applyAlignment="1">
      <alignment vertical="center"/>
    </xf>
    <xf numFmtId="37" fontId="25" fillId="0" borderId="81" xfId="0" applyNumberFormat="1" applyFont="1" applyBorder="1" applyAlignment="1">
      <alignment vertical="center"/>
    </xf>
    <xf numFmtId="37" fontId="45" fillId="2" borderId="101" xfId="0" applyNumberFormat="1" applyFont="1" applyFill="1" applyBorder="1" applyAlignment="1">
      <alignment horizontal="center" vertical="center"/>
    </xf>
    <xf numFmtId="37" fontId="45" fillId="2" borderId="80" xfId="0" applyNumberFormat="1" applyFont="1" applyFill="1" applyBorder="1" applyAlignment="1">
      <alignment horizontal="center" vertical="center"/>
    </xf>
    <xf numFmtId="37" fontId="9" fillId="0" borderId="102" xfId="0" applyNumberFormat="1" applyFont="1" applyBorder="1" applyAlignment="1">
      <alignment horizontal="center" vertical="center"/>
    </xf>
    <xf numFmtId="37" fontId="25" fillId="0" borderId="80" xfId="0" applyNumberFormat="1" applyFont="1" applyBorder="1" applyAlignment="1">
      <alignment vertical="center"/>
    </xf>
    <xf numFmtId="37" fontId="45" fillId="0" borderId="101" xfId="0" applyNumberFormat="1" applyFont="1" applyBorder="1" applyAlignment="1">
      <alignment horizontal="center" vertical="center"/>
    </xf>
    <xf numFmtId="37" fontId="45" fillId="0" borderId="80" xfId="0" applyNumberFormat="1" applyFont="1" applyBorder="1" applyAlignment="1">
      <alignment horizontal="center" vertical="center"/>
    </xf>
    <xf numFmtId="0" fontId="41" fillId="0" borderId="69" xfId="0" applyFont="1" applyBorder="1" applyAlignment="1">
      <alignment vertical="center"/>
    </xf>
    <xf numFmtId="0" fontId="26" fillId="0" borderId="69" xfId="0" applyFont="1" applyBorder="1" applyAlignment="1">
      <alignment vertical="center"/>
    </xf>
    <xf numFmtId="37" fontId="23" fillId="0" borderId="0" xfId="0" applyNumberFormat="1" applyFont="1" applyAlignment="1">
      <alignment vertical="center"/>
    </xf>
    <xf numFmtId="37" fontId="58" fillId="0" borderId="73" xfId="0" applyNumberFormat="1" applyFont="1" applyBorder="1" applyAlignment="1">
      <alignment vertical="center"/>
    </xf>
    <xf numFmtId="37" fontId="40" fillId="2" borderId="36" xfId="0" applyNumberFormat="1" applyFont="1" applyFill="1" applyBorder="1" applyAlignment="1">
      <alignment vertical="center"/>
    </xf>
    <xf numFmtId="3" fontId="44" fillId="0" borderId="90" xfId="0" applyNumberFormat="1" applyFont="1" applyBorder="1" applyAlignment="1">
      <alignment vertical="center"/>
    </xf>
    <xf numFmtId="3" fontId="44" fillId="0" borderId="91" xfId="0" applyNumberFormat="1" applyFont="1" applyBorder="1" applyAlignment="1">
      <alignment vertical="center"/>
    </xf>
    <xf numFmtId="3" fontId="44" fillId="2" borderId="0" xfId="0" applyNumberFormat="1" applyFont="1" applyFill="1" applyAlignment="1">
      <alignment vertical="center"/>
    </xf>
    <xf numFmtId="3" fontId="44" fillId="4" borderId="0" xfId="0" applyNumberFormat="1" applyFont="1" applyFill="1" applyAlignment="1">
      <alignment vertical="center"/>
    </xf>
    <xf numFmtId="3" fontId="44" fillId="2" borderId="91" xfId="0" applyNumberFormat="1" applyFont="1" applyFill="1" applyBorder="1" applyAlignment="1">
      <alignment vertical="center"/>
    </xf>
    <xf numFmtId="37" fontId="19" fillId="2" borderId="14" xfId="0" applyNumberFormat="1" applyFont="1" applyFill="1" applyBorder="1" applyAlignment="1">
      <alignment vertical="center"/>
    </xf>
    <xf numFmtId="37" fontId="19" fillId="2" borderId="14" xfId="0" applyNumberFormat="1" applyFont="1" applyFill="1" applyBorder="1" applyAlignment="1">
      <alignment horizontal="center" vertical="center"/>
    </xf>
    <xf numFmtId="37" fontId="73" fillId="0" borderId="0" xfId="0" applyNumberFormat="1" applyFont="1" applyAlignment="1">
      <alignment horizontal="center" vertical="center"/>
    </xf>
    <xf numFmtId="37" fontId="35" fillId="9" borderId="0" xfId="0" applyNumberFormat="1" applyFont="1" applyFill="1" applyAlignment="1">
      <alignment horizontal="right" vertical="center"/>
    </xf>
    <xf numFmtId="37" fontId="73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 wrapText="1"/>
    </xf>
    <xf numFmtId="0" fontId="35" fillId="9" borderId="0" xfId="0" applyFont="1" applyFill="1" applyAlignment="1">
      <alignment vertical="center"/>
    </xf>
    <xf numFmtId="0" fontId="35" fillId="9" borderId="0" xfId="0" applyFont="1" applyFill="1" applyAlignment="1">
      <alignment vertical="center" wrapText="1"/>
    </xf>
    <xf numFmtId="37" fontId="61" fillId="9" borderId="0" xfId="0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vertical="center"/>
    </xf>
    <xf numFmtId="3" fontId="18" fillId="2" borderId="0" xfId="0" applyNumberFormat="1" applyFont="1" applyFill="1" applyAlignment="1">
      <alignment vertical="center" wrapText="1"/>
    </xf>
    <xf numFmtId="39" fontId="8" fillId="0" borderId="0" xfId="0" applyNumberFormat="1" applyFont="1" applyAlignment="1">
      <alignment vertical="center"/>
    </xf>
    <xf numFmtId="37" fontId="43" fillId="9" borderId="0" xfId="0" applyNumberFormat="1" applyFont="1" applyFill="1" applyAlignment="1">
      <alignment horizontal="right" vertical="center"/>
    </xf>
    <xf numFmtId="37" fontId="33" fillId="5" borderId="24" xfId="0" applyNumberFormat="1" applyFont="1" applyFill="1" applyBorder="1" applyAlignment="1">
      <alignment vertical="center"/>
    </xf>
    <xf numFmtId="37" fontId="35" fillId="9" borderId="0" xfId="0" applyNumberFormat="1" applyFont="1" applyFill="1" applyAlignment="1">
      <alignment horizontal="right" vertical="center" wrapText="1"/>
    </xf>
    <xf numFmtId="0" fontId="36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37" fontId="44" fillId="0" borderId="109" xfId="0" applyNumberFormat="1" applyFont="1" applyBorder="1" applyAlignment="1">
      <alignment vertical="center"/>
    </xf>
    <xf numFmtId="3" fontId="9" fillId="0" borderId="3" xfId="0" applyNumberFormat="1" applyFont="1" applyBorder="1" applyAlignment="1">
      <alignment vertical="center"/>
    </xf>
    <xf numFmtId="37" fontId="19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/>
    </xf>
    <xf numFmtId="0" fontId="7" fillId="0" borderId="107" xfId="0" applyFont="1" applyBorder="1" applyAlignment="1">
      <alignment vertical="center"/>
    </xf>
    <xf numFmtId="0" fontId="7" fillId="0" borderId="107" xfId="0" applyFont="1" applyBorder="1" applyAlignment="1">
      <alignment vertical="center" wrapText="1"/>
    </xf>
    <xf numFmtId="37" fontId="19" fillId="0" borderId="107" xfId="0" applyNumberFormat="1" applyFont="1" applyBorder="1" applyAlignment="1">
      <alignment vertical="center"/>
    </xf>
    <xf numFmtId="0" fontId="18" fillId="0" borderId="107" xfId="0" applyFont="1" applyBorder="1" applyAlignment="1">
      <alignment vertical="center" wrapText="1"/>
    </xf>
    <xf numFmtId="0" fontId="18" fillId="0" borderId="107" xfId="0" applyFont="1" applyBorder="1" applyAlignment="1">
      <alignment vertical="center"/>
    </xf>
    <xf numFmtId="37" fontId="61" fillId="0" borderId="0" xfId="0" applyNumberFormat="1" applyFont="1" applyAlignment="1">
      <alignment vertical="center"/>
    </xf>
    <xf numFmtId="37" fontId="9" fillId="2" borderId="0" xfId="0" applyNumberFormat="1" applyFont="1" applyFill="1" applyAlignment="1">
      <alignment vertical="center" wrapText="1"/>
    </xf>
    <xf numFmtId="37" fontId="75" fillId="2" borderId="0" xfId="0" applyNumberFormat="1" applyFont="1" applyFill="1" applyAlignment="1">
      <alignment vertical="center" wrapText="1"/>
    </xf>
    <xf numFmtId="37" fontId="16" fillId="9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left" vertical="center" wrapText="1"/>
    </xf>
    <xf numFmtId="37" fontId="38" fillId="2" borderId="0" xfId="0" applyNumberFormat="1" applyFont="1" applyFill="1" applyAlignment="1">
      <alignment horizontal="center" vertical="center" wrapText="1"/>
    </xf>
    <xf numFmtId="37" fontId="19" fillId="2" borderId="0" xfId="0" applyNumberFormat="1" applyFont="1" applyFill="1" applyAlignment="1">
      <alignment horizontal="centerContinuous" vertical="center"/>
    </xf>
    <xf numFmtId="37" fontId="24" fillId="2" borderId="0" xfId="0" applyNumberFormat="1" applyFont="1" applyFill="1" applyAlignment="1">
      <alignment horizontal="centerContinuous" vertical="center" wrapText="1"/>
    </xf>
    <xf numFmtId="37" fontId="17" fillId="13" borderId="0" xfId="0" applyNumberFormat="1" applyFont="1" applyFill="1" applyAlignment="1">
      <alignment horizontal="center" vertical="center"/>
    </xf>
    <xf numFmtId="37" fontId="17" fillId="13" borderId="0" xfId="0" applyNumberFormat="1" applyFont="1" applyFill="1" applyAlignment="1">
      <alignment horizontal="center" vertical="center" wrapText="1"/>
    </xf>
    <xf numFmtId="37" fontId="38" fillId="13" borderId="0" xfId="0" applyNumberFormat="1" applyFont="1" applyFill="1" applyAlignment="1">
      <alignment horizontal="center" vertical="center" wrapText="1"/>
    </xf>
    <xf numFmtId="37" fontId="11" fillId="4" borderId="0" xfId="0" applyNumberFormat="1" applyFont="1" applyFill="1" applyAlignment="1">
      <alignment horizontal="center" vertical="center"/>
    </xf>
    <xf numFmtId="37" fontId="11" fillId="2" borderId="0" xfId="0" applyNumberFormat="1" applyFont="1" applyFill="1" applyAlignment="1">
      <alignment vertical="center"/>
    </xf>
    <xf numFmtId="37" fontId="19" fillId="9" borderId="0" xfId="0" applyNumberFormat="1" applyFont="1" applyFill="1" applyAlignment="1">
      <alignment horizontal="center" vertical="center"/>
    </xf>
    <xf numFmtId="37" fontId="9" fillId="9" borderId="0" xfId="0" applyNumberFormat="1" applyFont="1" applyFill="1" applyAlignment="1">
      <alignment vertical="center" wrapText="1"/>
    </xf>
    <xf numFmtId="37" fontId="75" fillId="9" borderId="0" xfId="0" applyNumberFormat="1" applyFont="1" applyFill="1" applyAlignment="1">
      <alignment vertical="center" wrapText="1"/>
    </xf>
    <xf numFmtId="37" fontId="15" fillId="2" borderId="0" xfId="0" applyNumberFormat="1" applyFont="1" applyFill="1" applyAlignment="1">
      <alignment vertical="center" wrapText="1"/>
    </xf>
    <xf numFmtId="37" fontId="9" fillId="0" borderId="107" xfId="0" applyNumberFormat="1" applyFont="1" applyBorder="1" applyAlignment="1">
      <alignment vertical="center" wrapText="1"/>
    </xf>
    <xf numFmtId="37" fontId="16" fillId="2" borderId="0" xfId="0" applyNumberFormat="1" applyFont="1" applyFill="1" applyAlignment="1">
      <alignment horizontal="center" vertical="center"/>
    </xf>
    <xf numFmtId="37" fontId="29" fillId="4" borderId="0" xfId="0" applyNumberFormat="1" applyFont="1" applyFill="1" applyAlignment="1">
      <alignment horizontal="center" vertical="center"/>
    </xf>
    <xf numFmtId="37" fontId="62" fillId="0" borderId="107" xfId="0" applyNumberFormat="1" applyFont="1" applyBorder="1" applyAlignment="1">
      <alignment horizontal="center" vertical="center" wrapText="1"/>
    </xf>
    <xf numFmtId="37" fontId="17" fillId="0" borderId="107" xfId="0" applyNumberFormat="1" applyFont="1" applyBorder="1" applyAlignment="1">
      <alignment horizontal="center" vertical="center" wrapText="1"/>
    </xf>
    <xf numFmtId="37" fontId="38" fillId="0" borderId="107" xfId="0" applyNumberFormat="1" applyFont="1" applyBorder="1" applyAlignment="1">
      <alignment horizontal="center" vertical="center" wrapText="1"/>
    </xf>
    <xf numFmtId="37" fontId="18" fillId="0" borderId="107" xfId="0" applyNumberFormat="1" applyFont="1" applyBorder="1" applyAlignment="1">
      <alignment vertical="center"/>
    </xf>
    <xf numFmtId="37" fontId="18" fillId="0" borderId="107" xfId="0" applyNumberFormat="1" applyFont="1" applyBorder="1" applyAlignment="1">
      <alignment vertical="center" wrapText="1"/>
    </xf>
    <xf numFmtId="37" fontId="43" fillId="0" borderId="107" xfId="0" applyNumberFormat="1" applyFont="1" applyBorder="1" applyAlignment="1">
      <alignment vertical="center"/>
    </xf>
    <xf numFmtId="37" fontId="9" fillId="2" borderId="3" xfId="0" applyNumberFormat="1" applyFont="1" applyFill="1" applyBorder="1" applyAlignment="1">
      <alignment vertical="center"/>
    </xf>
    <xf numFmtId="3" fontId="9" fillId="2" borderId="79" xfId="0" applyNumberFormat="1" applyFont="1" applyFill="1" applyBorder="1" applyAlignment="1">
      <alignment vertical="center"/>
    </xf>
    <xf numFmtId="3" fontId="9" fillId="2" borderId="0" xfId="0" applyNumberFormat="1" applyFont="1" applyFill="1" applyAlignment="1">
      <alignment vertical="center"/>
    </xf>
    <xf numFmtId="0" fontId="35" fillId="0" borderId="107" xfId="0" applyFont="1" applyBorder="1" applyAlignment="1">
      <alignment horizontal="center" vertical="center"/>
    </xf>
    <xf numFmtId="37" fontId="67" fillId="0" borderId="27" xfId="0" applyNumberFormat="1" applyFont="1" applyBorder="1" applyAlignment="1">
      <alignment horizontal="center" vertical="center" wrapText="1"/>
    </xf>
    <xf numFmtId="37" fontId="18" fillId="0" borderId="107" xfId="0" applyNumberFormat="1" applyFont="1" applyBorder="1" applyAlignment="1">
      <alignment horizontal="center" vertical="center"/>
    </xf>
    <xf numFmtId="37" fontId="18" fillId="2" borderId="39" xfId="0" applyNumberFormat="1" applyFont="1" applyFill="1" applyBorder="1" applyAlignment="1">
      <alignment horizontal="center" vertical="center"/>
    </xf>
    <xf numFmtId="37" fontId="18" fillId="0" borderId="104" xfId="0" applyNumberFormat="1" applyFont="1" applyBorder="1" applyAlignment="1">
      <alignment vertical="center"/>
    </xf>
    <xf numFmtId="37" fontId="18" fillId="0" borderId="112" xfId="0" applyNumberFormat="1" applyFont="1" applyBorder="1" applyAlignment="1">
      <alignment vertical="center"/>
    </xf>
    <xf numFmtId="37" fontId="18" fillId="0" borderId="80" xfId="0" applyNumberFormat="1" applyFont="1" applyBorder="1" applyAlignment="1">
      <alignment horizontal="right" vertical="center"/>
    </xf>
    <xf numFmtId="37" fontId="19" fillId="0" borderId="14" xfId="0" applyNumberFormat="1" applyFont="1" applyBorder="1" applyAlignment="1">
      <alignment vertical="center"/>
    </xf>
    <xf numFmtId="0" fontId="78" fillId="0" borderId="0" xfId="0" quotePrefix="1" applyFont="1" applyAlignment="1">
      <alignment vertical="center"/>
    </xf>
    <xf numFmtId="3" fontId="77" fillId="0" borderId="2" xfId="0" applyNumberFormat="1" applyFont="1" applyBorder="1"/>
    <xf numFmtId="37" fontId="77" fillId="0" borderId="0" xfId="0" applyNumberFormat="1" applyFont="1"/>
    <xf numFmtId="37" fontId="80" fillId="0" borderId="0" xfId="0" applyNumberFormat="1" applyFont="1" applyAlignment="1">
      <alignment vertical="center"/>
    </xf>
    <xf numFmtId="37" fontId="15" fillId="0" borderId="14" xfId="0" applyNumberFormat="1" applyFont="1" applyBorder="1" applyAlignment="1">
      <alignment vertical="center"/>
    </xf>
    <xf numFmtId="3" fontId="77" fillId="0" borderId="23" xfId="0" applyNumberFormat="1" applyFont="1" applyBorder="1"/>
    <xf numFmtId="37" fontId="77" fillId="0" borderId="23" xfId="0" applyNumberFormat="1" applyFont="1" applyBorder="1"/>
    <xf numFmtId="37" fontId="80" fillId="0" borderId="23" xfId="0" applyNumberFormat="1" applyFont="1" applyBorder="1" applyAlignment="1">
      <alignment vertical="center"/>
    </xf>
    <xf numFmtId="37" fontId="19" fillId="0" borderId="62" xfId="0" applyNumberFormat="1" applyFont="1" applyBorder="1" applyAlignment="1">
      <alignment vertical="center"/>
    </xf>
    <xf numFmtId="37" fontId="23" fillId="0" borderId="3" xfId="0" applyNumberFormat="1" applyFont="1" applyBorder="1" applyAlignment="1">
      <alignment vertical="center"/>
    </xf>
    <xf numFmtId="37" fontId="80" fillId="0" borderId="3" xfId="0" applyNumberFormat="1" applyFont="1" applyBorder="1" applyAlignment="1">
      <alignment vertical="center"/>
    </xf>
    <xf numFmtId="37" fontId="15" fillId="0" borderId="3" xfId="0" applyNumberFormat="1" applyFont="1" applyBorder="1" applyAlignment="1">
      <alignment vertical="center"/>
    </xf>
    <xf numFmtId="37" fontId="19" fillId="0" borderId="3" xfId="0" applyNumberFormat="1" applyFont="1" applyBorder="1" applyAlignment="1">
      <alignment vertical="center"/>
    </xf>
    <xf numFmtId="37" fontId="21" fillId="0" borderId="3" xfId="0" applyNumberFormat="1" applyFont="1" applyBorder="1" applyAlignment="1">
      <alignment vertical="center"/>
    </xf>
    <xf numFmtId="37" fontId="34" fillId="2" borderId="3" xfId="0" applyNumberFormat="1" applyFont="1" applyFill="1" applyBorder="1" applyAlignment="1">
      <alignment vertical="center"/>
    </xf>
    <xf numFmtId="37" fontId="20" fillId="2" borderId="3" xfId="0" applyNumberFormat="1" applyFont="1" applyFill="1" applyBorder="1" applyAlignment="1">
      <alignment vertical="center"/>
    </xf>
    <xf numFmtId="37" fontId="19" fillId="2" borderId="3" xfId="0" applyNumberFormat="1" applyFont="1" applyFill="1" applyBorder="1" applyAlignment="1">
      <alignment vertical="center"/>
    </xf>
    <xf numFmtId="37" fontId="34" fillId="2" borderId="0" xfId="0" applyNumberFormat="1" applyFont="1" applyFill="1" applyAlignment="1">
      <alignment vertical="center"/>
    </xf>
    <xf numFmtId="37" fontId="19" fillId="0" borderId="10" xfId="0" applyNumberFormat="1" applyFont="1" applyBorder="1" applyAlignment="1">
      <alignment vertical="center"/>
    </xf>
    <xf numFmtId="37" fontId="19" fillId="2" borderId="10" xfId="0" applyNumberFormat="1" applyFont="1" applyFill="1" applyBorder="1" applyAlignment="1">
      <alignment vertical="center"/>
    </xf>
    <xf numFmtId="37" fontId="21" fillId="0" borderId="1" xfId="0" applyNumberFormat="1" applyFont="1" applyBorder="1" applyAlignment="1">
      <alignment vertical="center"/>
    </xf>
    <xf numFmtId="37" fontId="34" fillId="2" borderId="1" xfId="0" applyNumberFormat="1" applyFont="1" applyFill="1" applyBorder="1" applyAlignment="1">
      <alignment vertical="center"/>
    </xf>
    <xf numFmtId="37" fontId="20" fillId="2" borderId="10" xfId="0" applyNumberFormat="1" applyFont="1" applyFill="1" applyBorder="1" applyAlignment="1">
      <alignment vertical="center"/>
    </xf>
    <xf numFmtId="37" fontId="21" fillId="0" borderId="2" xfId="0" applyNumberFormat="1" applyFont="1" applyBorder="1" applyAlignment="1">
      <alignment vertical="center"/>
    </xf>
    <xf numFmtId="37" fontId="34" fillId="2" borderId="2" xfId="0" applyNumberFormat="1" applyFont="1" applyFill="1" applyBorder="1" applyAlignment="1">
      <alignment vertical="center"/>
    </xf>
    <xf numFmtId="37" fontId="19" fillId="2" borderId="9" xfId="0" applyNumberFormat="1" applyFont="1" applyFill="1" applyBorder="1" applyAlignment="1">
      <alignment vertical="center"/>
    </xf>
    <xf numFmtId="3" fontId="9" fillId="2" borderId="3" xfId="0" applyNumberFormat="1" applyFont="1" applyFill="1" applyBorder="1" applyAlignment="1">
      <alignment vertical="center"/>
    </xf>
    <xf numFmtId="2" fontId="9" fillId="2" borderId="1" xfId="0" applyNumberFormat="1" applyFont="1" applyFill="1" applyBorder="1" applyAlignment="1">
      <alignment vertical="center"/>
    </xf>
    <xf numFmtId="2" fontId="9" fillId="2" borderId="3" xfId="0" applyNumberFormat="1" applyFont="1" applyFill="1" applyBorder="1" applyAlignment="1">
      <alignment vertical="center"/>
    </xf>
    <xf numFmtId="37" fontId="21" fillId="0" borderId="18" xfId="0" applyNumberFormat="1" applyFont="1" applyBorder="1" applyAlignment="1">
      <alignment vertical="center"/>
    </xf>
    <xf numFmtId="37" fontId="19" fillId="0" borderId="19" xfId="0" applyNumberFormat="1" applyFont="1" applyBorder="1" applyAlignment="1">
      <alignment vertical="center"/>
    </xf>
    <xf numFmtId="37" fontId="81" fillId="0" borderId="0" xfId="0" applyNumberFormat="1" applyFont="1" applyAlignment="1">
      <alignment vertical="center"/>
    </xf>
    <xf numFmtId="37" fontId="81" fillId="4" borderId="0" xfId="0" applyNumberFormat="1" applyFont="1" applyFill="1" applyAlignment="1">
      <alignment vertical="center"/>
    </xf>
    <xf numFmtId="37" fontId="34" fillId="4" borderId="0" xfId="0" applyNumberFormat="1" applyFont="1" applyFill="1" applyAlignment="1">
      <alignment vertical="center"/>
    </xf>
    <xf numFmtId="37" fontId="19" fillId="4" borderId="14" xfId="0" applyNumberFormat="1" applyFont="1" applyFill="1" applyBorder="1" applyAlignment="1">
      <alignment vertical="center"/>
    </xf>
    <xf numFmtId="37" fontId="19" fillId="0" borderId="14" xfId="0" applyNumberFormat="1" applyFont="1" applyBorder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2" borderId="8" xfId="0" applyNumberFormat="1" applyFont="1" applyFill="1" applyBorder="1" applyAlignment="1">
      <alignment vertical="center"/>
    </xf>
    <xf numFmtId="37" fontId="21" fillId="0" borderId="10" xfId="0" applyNumberFormat="1" applyFont="1" applyBorder="1" applyAlignment="1">
      <alignment vertical="center"/>
    </xf>
    <xf numFmtId="37" fontId="81" fillId="0" borderId="2" xfId="0" applyNumberFormat="1" applyFont="1" applyBorder="1" applyAlignment="1">
      <alignment vertical="center"/>
    </xf>
    <xf numFmtId="37" fontId="21" fillId="0" borderId="4" xfId="0" applyNumberFormat="1" applyFont="1" applyBorder="1" applyAlignment="1">
      <alignment vertical="center"/>
    </xf>
    <xf numFmtId="37" fontId="19" fillId="0" borderId="21" xfId="0" applyNumberFormat="1" applyFont="1" applyBorder="1" applyAlignment="1">
      <alignment vertical="center"/>
    </xf>
    <xf numFmtId="37" fontId="81" fillId="0" borderId="14" xfId="0" applyNumberFormat="1" applyFont="1" applyBorder="1" applyAlignment="1">
      <alignment vertical="center"/>
    </xf>
    <xf numFmtId="37" fontId="81" fillId="4" borderId="14" xfId="0" applyNumberFormat="1" applyFont="1" applyFill="1" applyBorder="1" applyAlignment="1">
      <alignment vertical="center"/>
    </xf>
    <xf numFmtId="37" fontId="80" fillId="2" borderId="0" xfId="0" applyNumberFormat="1" applyFont="1" applyFill="1" applyAlignment="1">
      <alignment vertical="center"/>
    </xf>
    <xf numFmtId="37" fontId="20" fillId="4" borderId="0" xfId="0" applyNumberFormat="1" applyFont="1" applyFill="1" applyAlignment="1">
      <alignment vertical="center"/>
    </xf>
    <xf numFmtId="3" fontId="9" fillId="0" borderId="1" xfId="0" applyNumberFormat="1" applyFont="1" applyBorder="1" applyAlignment="1">
      <alignment vertical="center"/>
    </xf>
    <xf numFmtId="37" fontId="81" fillId="0" borderId="66" xfId="0" applyNumberFormat="1" applyFont="1" applyBorder="1" applyAlignment="1">
      <alignment vertical="center"/>
    </xf>
    <xf numFmtId="37" fontId="34" fillId="2" borderId="66" xfId="0" applyNumberFormat="1" applyFont="1" applyFill="1" applyBorder="1" applyAlignment="1">
      <alignment vertical="center"/>
    </xf>
    <xf numFmtId="37" fontId="19" fillId="2" borderId="13" xfId="0" applyNumberFormat="1" applyFont="1" applyFill="1" applyBorder="1" applyAlignment="1">
      <alignment vertical="center"/>
    </xf>
    <xf numFmtId="37" fontId="21" fillId="0" borderId="11" xfId="0" applyNumberFormat="1" applyFont="1" applyBorder="1" applyAlignment="1">
      <alignment vertical="center"/>
    </xf>
    <xf numFmtId="37" fontId="21" fillId="0" borderId="20" xfId="0" applyNumberFormat="1" applyFont="1" applyBorder="1" applyAlignment="1">
      <alignment vertical="center"/>
    </xf>
    <xf numFmtId="37" fontId="21" fillId="0" borderId="21" xfId="0" applyNumberFormat="1" applyFont="1" applyBorder="1" applyAlignment="1">
      <alignment vertical="center"/>
    </xf>
    <xf numFmtId="3" fontId="9" fillId="0" borderId="1" xfId="0" applyNumberFormat="1" applyFont="1" applyBorder="1" applyAlignment="1">
      <alignment vertical="center" wrapText="1"/>
    </xf>
    <xf numFmtId="37" fontId="20" fillId="2" borderId="0" xfId="0" applyNumberFormat="1" applyFont="1" applyFill="1" applyAlignment="1">
      <alignment vertical="center"/>
    </xf>
    <xf numFmtId="2" fontId="9" fillId="2" borderId="6" xfId="0" applyNumberFormat="1" applyFont="1" applyFill="1" applyBorder="1" applyAlignment="1">
      <alignment vertical="center" wrapText="1"/>
    </xf>
    <xf numFmtId="37" fontId="21" fillId="0" borderId="9" xfId="0" applyNumberFormat="1" applyFont="1" applyBorder="1" applyAlignment="1">
      <alignment vertical="center"/>
    </xf>
    <xf numFmtId="37" fontId="80" fillId="0" borderId="9" xfId="0" applyNumberFormat="1" applyFont="1" applyBorder="1" applyAlignment="1">
      <alignment vertical="center"/>
    </xf>
    <xf numFmtId="37" fontId="80" fillId="0" borderId="2" xfId="0" applyNumberFormat="1" applyFont="1" applyBorder="1" applyAlignment="1">
      <alignment vertical="center"/>
    </xf>
    <xf numFmtId="37" fontId="19" fillId="0" borderId="2" xfId="0" applyNumberFormat="1" applyFont="1" applyBorder="1" applyAlignment="1">
      <alignment vertical="center"/>
    </xf>
    <xf numFmtId="37" fontId="19" fillId="0" borderId="9" xfId="0" applyNumberFormat="1" applyFont="1" applyBorder="1" applyAlignment="1">
      <alignment vertical="center"/>
    </xf>
    <xf numFmtId="3" fontId="18" fillId="5" borderId="0" xfId="0" applyNumberFormat="1" applyFont="1" applyFill="1" applyAlignment="1">
      <alignment vertical="center"/>
    </xf>
    <xf numFmtId="2" fontId="9" fillId="0" borderId="59" xfId="0" applyNumberFormat="1" applyFont="1" applyBorder="1" applyAlignment="1">
      <alignment vertical="center"/>
    </xf>
    <xf numFmtId="3" fontId="9" fillId="2" borderId="59" xfId="0" applyNumberFormat="1" applyFont="1" applyFill="1" applyBorder="1" applyAlignment="1">
      <alignment vertical="center"/>
    </xf>
    <xf numFmtId="37" fontId="19" fillId="2" borderId="21" xfId="0" applyNumberFormat="1" applyFont="1" applyFill="1" applyBorder="1" applyAlignment="1">
      <alignment vertical="center"/>
    </xf>
    <xf numFmtId="0" fontId="77" fillId="0" borderId="0" xfId="0" applyFont="1"/>
    <xf numFmtId="3" fontId="9" fillId="3" borderId="59" xfId="0" applyNumberFormat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quotePrefix="1" applyFont="1" applyBorder="1" applyAlignment="1">
      <alignment horizontal="left" vertical="center" wrapText="1"/>
    </xf>
    <xf numFmtId="2" fontId="9" fillId="2" borderId="3" xfId="0" applyNumberFormat="1" applyFont="1" applyFill="1" applyBorder="1" applyAlignment="1">
      <alignment vertical="center" wrapText="1"/>
    </xf>
    <xf numFmtId="37" fontId="34" fillId="2" borderId="20" xfId="0" applyNumberFormat="1" applyFont="1" applyFill="1" applyBorder="1" applyAlignment="1">
      <alignment vertical="center"/>
    </xf>
    <xf numFmtId="37" fontId="20" fillId="2" borderId="21" xfId="0" applyNumberFormat="1" applyFont="1" applyFill="1" applyBorder="1" applyAlignment="1">
      <alignment vertical="center"/>
    </xf>
    <xf numFmtId="37" fontId="21" fillId="0" borderId="79" xfId="0" applyNumberFormat="1" applyFont="1" applyBorder="1" applyAlignment="1">
      <alignment vertical="center"/>
    </xf>
    <xf numFmtId="37" fontId="34" fillId="2" borderId="79" xfId="0" applyNumberFormat="1" applyFont="1" applyFill="1" applyBorder="1" applyAlignment="1">
      <alignment vertical="center"/>
    </xf>
    <xf numFmtId="37" fontId="20" fillId="2" borderId="103" xfId="0" applyNumberFormat="1" applyFont="1" applyFill="1" applyBorder="1" applyAlignment="1">
      <alignment vertical="center"/>
    </xf>
    <xf numFmtId="37" fontId="34" fillId="0" borderId="0" xfId="0" applyNumberFormat="1" applyFont="1" applyAlignment="1">
      <alignment vertical="center"/>
    </xf>
    <xf numFmtId="37" fontId="34" fillId="0" borderId="2" xfId="0" applyNumberFormat="1" applyFont="1" applyBorder="1" applyAlignment="1">
      <alignment vertical="center"/>
    </xf>
    <xf numFmtId="37" fontId="23" fillId="0" borderId="2" xfId="0" applyNumberFormat="1" applyFont="1" applyBorder="1" applyAlignment="1">
      <alignment vertical="center"/>
    </xf>
    <xf numFmtId="37" fontId="21" fillId="0" borderId="16" xfId="0" applyNumberFormat="1" applyFont="1" applyBorder="1" applyAlignment="1">
      <alignment vertical="center"/>
    </xf>
    <xf numFmtId="37" fontId="19" fillId="2" borderId="78" xfId="0" applyNumberFormat="1" applyFont="1" applyFill="1" applyBorder="1" applyAlignment="1">
      <alignment vertical="center"/>
    </xf>
    <xf numFmtId="37" fontId="80" fillId="4" borderId="0" xfId="0" applyNumberFormat="1" applyFont="1" applyFill="1" applyAlignment="1">
      <alignment vertical="center"/>
    </xf>
    <xf numFmtId="37" fontId="15" fillId="4" borderId="0" xfId="0" applyNumberFormat="1" applyFont="1" applyFill="1" applyAlignment="1">
      <alignment horizontal="center" vertical="center"/>
    </xf>
    <xf numFmtId="37" fontId="19" fillId="4" borderId="0" xfId="0" applyNumberFormat="1" applyFont="1" applyFill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37" fontId="8" fillId="4" borderId="0" xfId="0" applyNumberFormat="1" applyFont="1" applyFill="1" applyAlignment="1">
      <alignment horizontal="centerContinuous" vertical="center" wrapText="1"/>
    </xf>
    <xf numFmtId="3" fontId="61" fillId="0" borderId="0" xfId="0" quotePrefix="1" applyNumberFormat="1" applyFont="1" applyAlignment="1">
      <alignment vertical="center"/>
    </xf>
    <xf numFmtId="3" fontId="61" fillId="0" borderId="0" xfId="0" applyNumberFormat="1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62" fillId="0" borderId="32" xfId="0" applyNumberFormat="1" applyFont="1" applyBorder="1" applyAlignment="1">
      <alignment horizontal="center" vertical="center" wrapText="1"/>
    </xf>
    <xf numFmtId="3" fontId="35" fillId="0" borderId="0" xfId="0" applyNumberFormat="1" applyFont="1" applyAlignment="1">
      <alignment vertical="center"/>
    </xf>
    <xf numFmtId="3" fontId="61" fillId="2" borderId="39" xfId="0" applyNumberFormat="1" applyFont="1" applyFill="1" applyBorder="1" applyAlignment="1">
      <alignment vertical="center"/>
    </xf>
    <xf numFmtId="3" fontId="35" fillId="2" borderId="0" xfId="0" applyNumberFormat="1" applyFont="1" applyFill="1" applyAlignment="1">
      <alignment vertical="center"/>
    </xf>
    <xf numFmtId="37" fontId="35" fillId="0" borderId="107" xfId="0" applyNumberFormat="1" applyFont="1" applyBorder="1" applyAlignment="1">
      <alignment vertical="center"/>
    </xf>
    <xf numFmtId="37" fontId="61" fillId="4" borderId="0" xfId="0" applyNumberFormat="1" applyFont="1" applyFill="1" applyAlignment="1">
      <alignment vertical="center" wrapText="1"/>
    </xf>
    <xf numFmtId="3" fontId="61" fillId="0" borderId="0" xfId="0" quotePrefix="1" applyNumberFormat="1" applyFont="1" applyAlignment="1">
      <alignment horizontal="center" vertical="center"/>
    </xf>
    <xf numFmtId="37" fontId="35" fillId="0" borderId="107" xfId="0" applyNumberFormat="1" applyFont="1" applyBorder="1" applyAlignment="1">
      <alignment horizontal="center" vertical="center"/>
    </xf>
    <xf numFmtId="3" fontId="35" fillId="2" borderId="112" xfId="0" applyNumberFormat="1" applyFont="1" applyFill="1" applyBorder="1" applyAlignment="1">
      <alignment horizontal="center" vertical="center"/>
    </xf>
    <xf numFmtId="3" fontId="35" fillId="2" borderId="0" xfId="0" applyNumberFormat="1" applyFont="1" applyFill="1" applyAlignment="1">
      <alignment horizontal="center" vertical="center"/>
    </xf>
    <xf numFmtId="3" fontId="61" fillId="2" borderId="39" xfId="0" applyNumberFormat="1" applyFont="1" applyFill="1" applyBorder="1" applyAlignment="1">
      <alignment horizontal="center" vertical="center"/>
    </xf>
    <xf numFmtId="3" fontId="61" fillId="2" borderId="0" xfId="0" applyNumberFormat="1" applyFont="1" applyFill="1" applyAlignment="1">
      <alignment horizontal="center" vertical="center"/>
    </xf>
    <xf numFmtId="3" fontId="35" fillId="0" borderId="112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37" fontId="61" fillId="2" borderId="0" xfId="0" applyNumberFormat="1" applyFont="1" applyFill="1" applyAlignment="1">
      <alignment vertical="center"/>
    </xf>
    <xf numFmtId="3" fontId="40" fillId="2" borderId="0" xfId="0" applyNumberFormat="1" applyFont="1" applyFill="1" applyAlignment="1">
      <alignment vertical="center"/>
    </xf>
    <xf numFmtId="37" fontId="49" fillId="2" borderId="40" xfId="0" applyNumberFormat="1" applyFont="1" applyFill="1" applyBorder="1" applyAlignment="1">
      <alignment vertical="center"/>
    </xf>
    <xf numFmtId="0" fontId="49" fillId="4" borderId="0" xfId="0" applyFont="1" applyFill="1" applyAlignment="1">
      <alignment vertical="center"/>
    </xf>
    <xf numFmtId="3" fontId="49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/>
    </xf>
    <xf numFmtId="37" fontId="40" fillId="0" borderId="35" xfId="0" applyNumberFormat="1" applyFont="1" applyBorder="1" applyAlignment="1">
      <alignment vertical="center"/>
    </xf>
    <xf numFmtId="37" fontId="40" fillId="0" borderId="25" xfId="0" applyNumberFormat="1" applyFont="1" applyBorder="1" applyAlignment="1">
      <alignment vertical="center"/>
    </xf>
    <xf numFmtId="37" fontId="40" fillId="0" borderId="37" xfId="0" applyNumberFormat="1" applyFont="1" applyBorder="1" applyAlignment="1">
      <alignment vertical="center"/>
    </xf>
    <xf numFmtId="37" fontId="49" fillId="2" borderId="27" xfId="0" applyNumberFormat="1" applyFont="1" applyFill="1" applyBorder="1" applyAlignment="1">
      <alignment vertical="center"/>
    </xf>
    <xf numFmtId="0" fontId="35" fillId="0" borderId="29" xfId="0" applyFont="1" applyBorder="1" applyAlignment="1">
      <alignment horizontal="center" vertical="center"/>
    </xf>
    <xf numFmtId="3" fontId="78" fillId="0" borderId="0" xfId="0" quotePrefix="1" applyNumberFormat="1" applyFont="1" applyAlignment="1">
      <alignment vertical="center"/>
    </xf>
    <xf numFmtId="37" fontId="35" fillId="0" borderId="2" xfId="0" applyNumberFormat="1" applyFont="1" applyBorder="1" applyAlignment="1">
      <alignment vertical="center"/>
    </xf>
    <xf numFmtId="37" fontId="35" fillId="0" borderId="116" xfId="0" applyNumberFormat="1" applyFont="1" applyBorder="1" applyAlignment="1">
      <alignment vertical="center"/>
    </xf>
    <xf numFmtId="37" fontId="35" fillId="2" borderId="0" xfId="0" applyNumberFormat="1" applyFont="1" applyFill="1" applyAlignment="1">
      <alignment horizontal="left" vertical="center"/>
    </xf>
    <xf numFmtId="37" fontId="35" fillId="0" borderId="0" xfId="0" applyNumberFormat="1" applyFont="1" applyAlignment="1">
      <alignment horizontal="left" vertical="center"/>
    </xf>
    <xf numFmtId="37" fontId="61" fillId="0" borderId="0" xfId="0" applyNumberFormat="1" applyFont="1" applyAlignment="1">
      <alignment vertical="center" wrapText="1"/>
    </xf>
    <xf numFmtId="37" fontId="35" fillId="0" borderId="0" xfId="0" applyNumberFormat="1" applyFont="1" applyAlignment="1">
      <alignment vertical="center" wrapText="1"/>
    </xf>
    <xf numFmtId="37" fontId="35" fillId="0" borderId="104" xfId="0" applyNumberFormat="1" applyFont="1" applyBorder="1" applyAlignment="1">
      <alignment vertical="center"/>
    </xf>
    <xf numFmtId="37" fontId="35" fillId="0" borderId="112" xfId="0" applyNumberFormat="1" applyFont="1" applyBorder="1" applyAlignment="1">
      <alignment vertical="center"/>
    </xf>
    <xf numFmtId="37" fontId="61" fillId="2" borderId="39" xfId="0" applyNumberFormat="1" applyFont="1" applyFill="1" applyBorder="1" applyAlignment="1">
      <alignment vertical="center"/>
    </xf>
    <xf numFmtId="37" fontId="25" fillId="0" borderId="67" xfId="0" applyNumberFormat="1" applyFont="1" applyBorder="1" applyAlignment="1">
      <alignment vertical="center"/>
    </xf>
    <xf numFmtId="37" fontId="25" fillId="0" borderId="105" xfId="0" applyNumberFormat="1" applyFont="1" applyBorder="1" applyAlignment="1">
      <alignment vertical="center"/>
    </xf>
    <xf numFmtId="37" fontId="25" fillId="0" borderId="116" xfId="0" applyNumberFormat="1" applyFont="1" applyBorder="1" applyAlignment="1">
      <alignment vertical="center"/>
    </xf>
    <xf numFmtId="9" fontId="61" fillId="0" borderId="69" xfId="0" quotePrefix="1" applyNumberFormat="1" applyFont="1" applyBorder="1" applyAlignment="1">
      <alignment horizontal="center" vertical="center"/>
    </xf>
    <xf numFmtId="3" fontId="62" fillId="0" borderId="42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Continuous" vertical="center"/>
    </xf>
    <xf numFmtId="37" fontId="61" fillId="0" borderId="29" xfId="0" applyNumberFormat="1" applyFont="1" applyBorder="1" applyAlignment="1">
      <alignment vertical="center"/>
    </xf>
    <xf numFmtId="37" fontId="61" fillId="0" borderId="84" xfId="0" applyNumberFormat="1" applyFont="1" applyBorder="1" applyAlignment="1">
      <alignment vertical="center"/>
    </xf>
    <xf numFmtId="37" fontId="61" fillId="0" borderId="81" xfId="0" applyNumberFormat="1" applyFont="1" applyBorder="1" applyAlignment="1">
      <alignment vertical="center"/>
    </xf>
    <xf numFmtId="3" fontId="61" fillId="4" borderId="0" xfId="0" applyNumberFormat="1" applyFont="1" applyFill="1" applyAlignment="1">
      <alignment vertical="center"/>
    </xf>
    <xf numFmtId="37" fontId="61" fillId="0" borderId="107" xfId="0" applyNumberFormat="1" applyFont="1" applyBorder="1" applyAlignment="1">
      <alignment vertical="center"/>
    </xf>
    <xf numFmtId="37" fontId="61" fillId="0" borderId="112" xfId="0" applyNumberFormat="1" applyFont="1" applyBorder="1" applyAlignment="1">
      <alignment vertical="center"/>
    </xf>
    <xf numFmtId="37" fontId="23" fillId="0" borderId="107" xfId="0" applyNumberFormat="1" applyFont="1" applyBorder="1" applyAlignment="1">
      <alignment vertical="center"/>
    </xf>
    <xf numFmtId="37" fontId="19" fillId="0" borderId="1" xfId="0" applyNumberFormat="1" applyFont="1" applyBorder="1" applyAlignment="1">
      <alignment vertical="center"/>
    </xf>
    <xf numFmtId="37" fontId="19" fillId="0" borderId="18" xfId="0" applyNumberFormat="1" applyFont="1" applyBorder="1" applyAlignment="1">
      <alignment vertical="center"/>
    </xf>
    <xf numFmtId="37" fontId="19" fillId="0" borderId="4" xfId="0" applyNumberFormat="1" applyFont="1" applyBorder="1" applyAlignment="1">
      <alignment vertical="center"/>
    </xf>
    <xf numFmtId="37" fontId="19" fillId="0" borderId="66" xfId="0" applyNumberFormat="1" applyFont="1" applyBorder="1" applyAlignment="1">
      <alignment vertical="center"/>
    </xf>
    <xf numFmtId="37" fontId="19" fillId="0" borderId="11" xfId="0" applyNumberFormat="1" applyFont="1" applyBorder="1" applyAlignment="1">
      <alignment vertical="center"/>
    </xf>
    <xf numFmtId="3" fontId="18" fillId="4" borderId="0" xfId="0" applyNumberFormat="1" applyFont="1" applyFill="1" applyAlignment="1">
      <alignment horizontal="centerContinuous" vertical="center"/>
    </xf>
    <xf numFmtId="37" fontId="19" fillId="0" borderId="20" xfId="0" applyNumberFormat="1" applyFont="1" applyBorder="1" applyAlignment="1">
      <alignment vertical="center"/>
    </xf>
    <xf numFmtId="37" fontId="19" fillId="0" borderId="79" xfId="0" applyNumberFormat="1" applyFont="1" applyBorder="1" applyAlignment="1">
      <alignment vertical="center"/>
    </xf>
    <xf numFmtId="37" fontId="18" fillId="0" borderId="2" xfId="0" applyNumberFormat="1" applyFont="1" applyBorder="1" applyAlignment="1">
      <alignment vertical="center"/>
    </xf>
    <xf numFmtId="37" fontId="19" fillId="0" borderId="16" xfId="0" applyNumberFormat="1" applyFont="1" applyBorder="1" applyAlignment="1">
      <alignment vertical="center"/>
    </xf>
    <xf numFmtId="37" fontId="84" fillId="0" borderId="0" xfId="0" applyNumberFormat="1" applyFont="1"/>
    <xf numFmtId="37" fontId="84" fillId="0" borderId="111" xfId="0" applyNumberFormat="1" applyFont="1" applyBorder="1"/>
    <xf numFmtId="37" fontId="61" fillId="0" borderId="117" xfId="0" applyNumberFormat="1" applyFont="1" applyBorder="1" applyAlignment="1">
      <alignment vertical="center"/>
    </xf>
    <xf numFmtId="37" fontId="61" fillId="0" borderId="2" xfId="0" applyNumberFormat="1" applyFont="1" applyBorder="1" applyAlignment="1">
      <alignment vertical="center"/>
    </xf>
    <xf numFmtId="37" fontId="61" fillId="0" borderId="118" xfId="0" applyNumberFormat="1" applyFont="1" applyBorder="1" applyAlignment="1">
      <alignment vertical="center"/>
    </xf>
    <xf numFmtId="37" fontId="61" fillId="0" borderId="105" xfId="0" applyNumberFormat="1" applyFont="1" applyBorder="1" applyAlignment="1">
      <alignment vertical="center"/>
    </xf>
    <xf numFmtId="37" fontId="61" fillId="0" borderId="66" xfId="0" applyNumberFormat="1" applyFont="1" applyBorder="1" applyAlignment="1">
      <alignment vertical="center"/>
    </xf>
    <xf numFmtId="37" fontId="61" fillId="0" borderId="119" xfId="0" applyNumberFormat="1" applyFont="1" applyBorder="1" applyAlignment="1">
      <alignment vertical="center"/>
    </xf>
    <xf numFmtId="37" fontId="61" fillId="0" borderId="120" xfId="0" applyNumberFormat="1" applyFont="1" applyBorder="1" applyAlignment="1">
      <alignment vertical="center"/>
    </xf>
    <xf numFmtId="37" fontId="61" fillId="0" borderId="106" xfId="0" applyNumberFormat="1" applyFont="1" applyBorder="1" applyAlignment="1">
      <alignment vertical="center"/>
    </xf>
    <xf numFmtId="37" fontId="80" fillId="0" borderId="107" xfId="0" applyNumberFormat="1" applyFont="1" applyBorder="1" applyAlignment="1">
      <alignment vertical="center"/>
    </xf>
    <xf numFmtId="37" fontId="15" fillId="0" borderId="107" xfId="0" applyNumberFormat="1" applyFont="1" applyBorder="1" applyAlignment="1">
      <alignment vertical="center"/>
    </xf>
    <xf numFmtId="3" fontId="9" fillId="2" borderId="61" xfId="0" applyNumberFormat="1" applyFont="1" applyFill="1" applyBorder="1" applyAlignment="1">
      <alignment vertical="center"/>
    </xf>
    <xf numFmtId="3" fontId="18" fillId="0" borderId="0" xfId="0" applyNumberFormat="1" applyFont="1" applyAlignment="1">
      <alignment horizontal="center" vertical="center"/>
    </xf>
    <xf numFmtId="37" fontId="18" fillId="6" borderId="0" xfId="0" applyNumberFormat="1" applyFont="1" applyFill="1"/>
    <xf numFmtId="37" fontId="31" fillId="0" borderId="115" xfId="0" applyNumberFormat="1" applyFont="1" applyBorder="1" applyAlignment="1">
      <alignment vertical="center"/>
    </xf>
    <xf numFmtId="3" fontId="23" fillId="2" borderId="0" xfId="0" applyNumberFormat="1" applyFont="1" applyFill="1" applyAlignment="1">
      <alignment vertical="center"/>
    </xf>
    <xf numFmtId="3" fontId="21" fillId="2" borderId="0" xfId="0" applyNumberFormat="1" applyFont="1" applyFill="1" applyAlignment="1">
      <alignment horizontal="center" vertical="center"/>
    </xf>
    <xf numFmtId="0" fontId="85" fillId="0" borderId="0" xfId="0" applyFont="1" applyAlignment="1">
      <alignment horizontal="center" vertical="center" wrapText="1"/>
    </xf>
    <xf numFmtId="10" fontId="35" fillId="0" borderId="0" xfId="0" applyNumberFormat="1" applyFont="1" applyAlignment="1">
      <alignment horizontal="center" vertical="center" wrapText="1"/>
    </xf>
    <xf numFmtId="0" fontId="6" fillId="0" borderId="107" xfId="0" applyFont="1" applyBorder="1" applyAlignment="1">
      <alignment vertical="center" wrapText="1"/>
    </xf>
    <xf numFmtId="37" fontId="60" fillId="14" borderId="0" xfId="0" applyNumberFormat="1" applyFont="1" applyFill="1" applyAlignment="1">
      <alignment vertical="center"/>
    </xf>
    <xf numFmtId="3" fontId="26" fillId="14" borderId="0" xfId="0" applyNumberFormat="1" applyFont="1" applyFill="1" applyAlignment="1">
      <alignment vertical="center"/>
    </xf>
    <xf numFmtId="168" fontId="66" fillId="0" borderId="0" xfId="2" applyNumberFormat="1" applyFont="1" applyBorder="1" applyAlignment="1">
      <alignment horizontal="centerContinuous" vertical="center"/>
    </xf>
    <xf numFmtId="14" fontId="86" fillId="0" borderId="0" xfId="0" applyNumberFormat="1" applyFont="1" applyAlignment="1">
      <alignment horizontal="center" vertical="center"/>
    </xf>
    <xf numFmtId="168" fontId="43" fillId="0" borderId="0" xfId="2" applyNumberFormat="1" applyFont="1" applyBorder="1" applyAlignment="1">
      <alignment horizontal="centerContinuous" vertical="center"/>
    </xf>
    <xf numFmtId="37" fontId="49" fillId="0" borderId="107" xfId="0" applyNumberFormat="1" applyFont="1" applyBorder="1" applyAlignment="1">
      <alignment horizontal="center" vertical="center"/>
    </xf>
    <xf numFmtId="37" fontId="44" fillId="0" borderId="113" xfId="0" applyNumberFormat="1" applyFont="1" applyBorder="1" applyAlignment="1">
      <alignment vertical="center"/>
    </xf>
    <xf numFmtId="37" fontId="50" fillId="0" borderId="49" xfId="0" applyNumberFormat="1" applyFont="1" applyBorder="1" applyAlignment="1">
      <alignment horizontal="center" vertical="center"/>
    </xf>
    <xf numFmtId="37" fontId="34" fillId="0" borderId="3" xfId="0" applyNumberFormat="1" applyFont="1" applyBorder="1" applyAlignment="1">
      <alignment vertical="center"/>
    </xf>
    <xf numFmtId="37" fontId="20" fillId="0" borderId="3" xfId="0" applyNumberFormat="1" applyFont="1" applyBorder="1" applyAlignment="1">
      <alignment vertical="center"/>
    </xf>
    <xf numFmtId="3" fontId="21" fillId="0" borderId="14" xfId="0" applyNumberFormat="1" applyFont="1" applyBorder="1" applyAlignment="1">
      <alignment vertical="center"/>
    </xf>
    <xf numFmtId="37" fontId="34" fillId="0" borderId="1" xfId="0" applyNumberFormat="1" applyFont="1" applyBorder="1" applyAlignment="1">
      <alignment vertical="center"/>
    </xf>
    <xf numFmtId="37" fontId="20" fillId="0" borderId="10" xfId="0" applyNumberFormat="1" applyFont="1" applyBorder="1" applyAlignment="1">
      <alignment vertical="center"/>
    </xf>
    <xf numFmtId="37" fontId="23" fillId="0" borderId="104" xfId="0" applyNumberFormat="1" applyFont="1" applyBorder="1" applyAlignment="1">
      <alignment vertical="center"/>
    </xf>
    <xf numFmtId="37" fontId="80" fillId="0" borderId="104" xfId="0" applyNumberFormat="1" applyFont="1" applyBorder="1" applyAlignment="1">
      <alignment vertical="center"/>
    </xf>
    <xf numFmtId="37" fontId="15" fillId="0" borderId="104" xfId="0" applyNumberFormat="1" applyFont="1" applyBorder="1" applyAlignment="1">
      <alignment vertical="center"/>
    </xf>
    <xf numFmtId="37" fontId="21" fillId="0" borderId="107" xfId="0" applyNumberFormat="1" applyFont="1" applyBorder="1" applyAlignment="1">
      <alignment vertical="center"/>
    </xf>
    <xf numFmtId="37" fontId="34" fillId="0" borderId="107" xfId="0" applyNumberFormat="1" applyFont="1" applyBorder="1" applyAlignment="1">
      <alignment vertical="center"/>
    </xf>
    <xf numFmtId="37" fontId="20" fillId="0" borderId="107" xfId="0" applyNumberFormat="1" applyFont="1" applyBorder="1" applyAlignment="1">
      <alignment vertical="center"/>
    </xf>
    <xf numFmtId="0" fontId="7" fillId="0" borderId="84" xfId="0" applyFont="1" applyBorder="1" applyAlignment="1">
      <alignment vertical="center" wrapText="1"/>
    </xf>
    <xf numFmtId="37" fontId="21" fillId="0" borderId="15" xfId="0" applyNumberFormat="1" applyFont="1" applyBorder="1" applyAlignment="1">
      <alignment vertical="center"/>
    </xf>
    <xf numFmtId="37" fontId="61" fillId="0" borderId="15" xfId="0" applyNumberFormat="1" applyFont="1" applyBorder="1" applyAlignment="1">
      <alignment vertical="center"/>
    </xf>
    <xf numFmtId="37" fontId="19" fillId="0" borderId="15" xfId="0" applyNumberFormat="1" applyFont="1" applyBorder="1" applyAlignment="1">
      <alignment vertical="center"/>
    </xf>
    <xf numFmtId="37" fontId="34" fillId="0" borderId="15" xfId="0" applyNumberFormat="1" applyFont="1" applyBorder="1" applyAlignment="1">
      <alignment vertical="center"/>
    </xf>
    <xf numFmtId="37" fontId="20" fillId="0" borderId="15" xfId="0" applyNumberFormat="1" applyFont="1" applyBorder="1" applyAlignment="1">
      <alignment vertical="center"/>
    </xf>
    <xf numFmtId="3" fontId="21" fillId="0" borderId="61" xfId="0" applyNumberFormat="1" applyFont="1" applyBorder="1" applyAlignment="1">
      <alignment vertical="center"/>
    </xf>
    <xf numFmtId="0" fontId="18" fillId="5" borderId="107" xfId="0" applyFont="1" applyFill="1" applyBorder="1" applyAlignment="1">
      <alignment vertical="center" wrapText="1"/>
    </xf>
    <xf numFmtId="37" fontId="50" fillId="0" borderId="112" xfId="0" applyNumberFormat="1" applyFont="1" applyBorder="1" applyAlignment="1">
      <alignment horizontal="center" vertical="center"/>
    </xf>
    <xf numFmtId="3" fontId="53" fillId="0" borderId="48" xfId="0" applyNumberFormat="1" applyFont="1" applyBorder="1" applyAlignment="1">
      <alignment horizontal="center" vertical="center" wrapText="1"/>
    </xf>
    <xf numFmtId="37" fontId="14" fillId="0" borderId="121" xfId="0" applyNumberFormat="1" applyFont="1" applyBorder="1" applyAlignment="1">
      <alignment horizontal="center" vertical="center" wrapText="1"/>
    </xf>
    <xf numFmtId="37" fontId="14" fillId="0" borderId="122" xfId="0" applyNumberFormat="1" applyFont="1" applyBorder="1" applyAlignment="1">
      <alignment horizontal="center" vertical="center" wrapText="1"/>
    </xf>
    <xf numFmtId="2" fontId="17" fillId="0" borderId="123" xfId="0" applyNumberFormat="1" applyFont="1" applyBorder="1" applyAlignment="1">
      <alignment horizontal="center" vertical="center" wrapText="1"/>
    </xf>
    <xf numFmtId="37" fontId="44" fillId="0" borderId="111" xfId="0" applyNumberFormat="1" applyFont="1" applyBorder="1" applyAlignment="1">
      <alignment vertical="center"/>
    </xf>
    <xf numFmtId="14" fontId="50" fillId="2" borderId="0" xfId="0" applyNumberFormat="1" applyFont="1" applyFill="1" applyAlignment="1">
      <alignment horizontal="center" vertical="center"/>
    </xf>
    <xf numFmtId="14" fontId="41" fillId="0" borderId="0" xfId="0" applyNumberFormat="1" applyFont="1" applyAlignment="1">
      <alignment vertical="center"/>
    </xf>
    <xf numFmtId="14" fontId="53" fillId="0" borderId="43" xfId="0" applyNumberFormat="1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center" vertical="center"/>
    </xf>
    <xf numFmtId="14" fontId="50" fillId="4" borderId="0" xfId="0" applyNumberFormat="1" applyFont="1" applyFill="1" applyAlignment="1">
      <alignment horizontal="center" vertical="center"/>
    </xf>
    <xf numFmtId="14" fontId="50" fillId="0" borderId="0" xfId="0" applyNumberFormat="1" applyFont="1" applyAlignment="1">
      <alignment horizontal="center" vertical="center"/>
    </xf>
    <xf numFmtId="14" fontId="50" fillId="2" borderId="50" xfId="0" applyNumberFormat="1" applyFont="1" applyFill="1" applyBorder="1" applyAlignment="1">
      <alignment horizontal="center" vertical="center"/>
    </xf>
    <xf numFmtId="14" fontId="19" fillId="0" borderId="0" xfId="0" applyNumberFormat="1" applyFont="1" applyAlignment="1">
      <alignment vertical="center"/>
    </xf>
    <xf numFmtId="14" fontId="60" fillId="4" borderId="0" xfId="0" applyNumberFormat="1" applyFont="1" applyFill="1" applyAlignment="1">
      <alignment vertical="center"/>
    </xf>
    <xf numFmtId="14" fontId="50" fillId="0" borderId="0" xfId="0" applyNumberFormat="1" applyFont="1" applyAlignment="1">
      <alignment vertical="center"/>
    </xf>
    <xf numFmtId="37" fontId="39" fillId="2" borderId="125" xfId="0" applyNumberFormat="1" applyFont="1" applyFill="1" applyBorder="1" applyAlignment="1">
      <alignment horizontal="center" vertical="center"/>
    </xf>
    <xf numFmtId="37" fontId="44" fillId="0" borderId="107" xfId="0" applyNumberFormat="1" applyFont="1" applyBorder="1" applyAlignment="1">
      <alignment vertical="center"/>
    </xf>
    <xf numFmtId="37" fontId="25" fillId="0" borderId="113" xfId="0" applyNumberFormat="1" applyFont="1" applyBorder="1" applyAlignment="1">
      <alignment vertical="center"/>
    </xf>
    <xf numFmtId="37" fontId="8" fillId="0" borderId="107" xfId="0" applyNumberFormat="1" applyFont="1" applyBorder="1" applyAlignment="1">
      <alignment horizontal="center" vertical="center"/>
    </xf>
    <xf numFmtId="14" fontId="8" fillId="0" borderId="107" xfId="0" applyNumberFormat="1" applyFont="1" applyBorder="1" applyAlignment="1">
      <alignment horizontal="center" vertical="center"/>
    </xf>
    <xf numFmtId="37" fontId="50" fillId="2" borderId="126" xfId="0" applyNumberFormat="1" applyFont="1" applyFill="1" applyBorder="1" applyAlignment="1">
      <alignment horizontal="center" vertical="center"/>
    </xf>
    <xf numFmtId="3" fontId="50" fillId="2" borderId="126" xfId="0" applyNumberFormat="1" applyFont="1" applyFill="1" applyBorder="1" applyAlignment="1">
      <alignment horizontal="center" vertical="center"/>
    </xf>
    <xf numFmtId="37" fontId="9" fillId="0" borderId="127" xfId="0" applyNumberFormat="1" applyFont="1" applyBorder="1" applyAlignment="1">
      <alignment horizontal="right" vertical="center"/>
    </xf>
    <xf numFmtId="0" fontId="35" fillId="0" borderId="128" xfId="0" applyFont="1" applyBorder="1" applyAlignment="1">
      <alignment horizontal="center" vertical="center"/>
    </xf>
    <xf numFmtId="37" fontId="25" fillId="0" borderId="127" xfId="0" applyNumberFormat="1" applyFont="1" applyBorder="1" applyAlignment="1">
      <alignment vertical="center"/>
    </xf>
    <xf numFmtId="37" fontId="9" fillId="0" borderId="113" xfId="0" applyNumberFormat="1" applyFont="1" applyBorder="1" applyAlignment="1">
      <alignment horizontal="right" vertical="center"/>
    </xf>
    <xf numFmtId="37" fontId="44" fillId="0" borderId="87" xfId="0" applyNumberFormat="1" applyFont="1" applyBorder="1" applyAlignment="1">
      <alignment vertical="center"/>
    </xf>
    <xf numFmtId="37" fontId="25" fillId="0" borderId="109" xfId="0" applyNumberFormat="1" applyFont="1" applyBorder="1" applyAlignment="1">
      <alignment vertical="center"/>
    </xf>
    <xf numFmtId="37" fontId="8" fillId="0" borderId="112" xfId="0" applyNumberFormat="1" applyFont="1" applyBorder="1" applyAlignment="1">
      <alignment horizontal="center" vertical="center"/>
    </xf>
    <xf numFmtId="14" fontId="8" fillId="0" borderId="112" xfId="0" applyNumberFormat="1" applyFont="1" applyBorder="1" applyAlignment="1">
      <alignment horizontal="center" vertical="center"/>
    </xf>
    <xf numFmtId="169" fontId="8" fillId="0" borderId="101" xfId="0" applyNumberFormat="1" applyFont="1" applyBorder="1" applyAlignment="1">
      <alignment horizontal="center" vertical="center"/>
    </xf>
    <xf numFmtId="37" fontId="44" fillId="0" borderId="80" xfId="0" applyNumberFormat="1" applyFont="1" applyBorder="1" applyAlignment="1">
      <alignment vertical="center"/>
    </xf>
    <xf numFmtId="37" fontId="44" fillId="0" borderId="112" xfId="0" applyNumberFormat="1" applyFont="1" applyBorder="1" applyAlignment="1">
      <alignment vertical="center"/>
    </xf>
    <xf numFmtId="37" fontId="18" fillId="0" borderId="108" xfId="0" applyNumberFormat="1" applyFont="1" applyBorder="1" applyAlignment="1">
      <alignment vertical="center"/>
    </xf>
    <xf numFmtId="3" fontId="31" fillId="2" borderId="112" xfId="0" applyNumberFormat="1" applyFont="1" applyFill="1" applyBorder="1" applyAlignment="1">
      <alignment vertical="center" wrapText="1"/>
    </xf>
    <xf numFmtId="37" fontId="31" fillId="2" borderId="112" xfId="0" applyNumberFormat="1" applyFont="1" applyFill="1" applyBorder="1" applyAlignment="1">
      <alignment horizontal="right" vertical="center"/>
    </xf>
    <xf numFmtId="37" fontId="25" fillId="0" borderId="112" xfId="0" applyNumberFormat="1" applyFont="1" applyBorder="1" applyAlignment="1">
      <alignment vertical="center"/>
    </xf>
    <xf numFmtId="0" fontId="74" fillId="0" borderId="0" xfId="0" applyFont="1" applyAlignment="1">
      <alignment horizontal="center" vertical="center"/>
    </xf>
    <xf numFmtId="0" fontId="73" fillId="0" borderId="0" xfId="0" quotePrefix="1" applyFont="1" applyAlignment="1">
      <alignment horizontal="left" vertical="center"/>
    </xf>
    <xf numFmtId="0" fontId="62" fillId="0" borderId="0" xfId="0" applyFont="1" applyAlignment="1">
      <alignment vertical="center"/>
    </xf>
    <xf numFmtId="37" fontId="9" fillId="0" borderId="0" xfId="0" applyNumberFormat="1" applyFont="1" applyAlignment="1">
      <alignment vertical="center" wrapText="1"/>
    </xf>
    <xf numFmtId="37" fontId="9" fillId="0" borderId="80" xfId="0" applyNumberFormat="1" applyFont="1" applyBorder="1" applyAlignment="1">
      <alignment horizontal="right" vertical="center"/>
    </xf>
    <xf numFmtId="37" fontId="9" fillId="0" borderId="116" xfId="0" applyNumberFormat="1" applyFont="1" applyBorder="1" applyAlignment="1">
      <alignment horizontal="right" vertical="center"/>
    </xf>
    <xf numFmtId="37" fontId="9" fillId="0" borderId="112" xfId="0" applyNumberFormat="1" applyFont="1" applyBorder="1" applyAlignment="1">
      <alignment horizontal="center" vertical="center"/>
    </xf>
    <xf numFmtId="3" fontId="17" fillId="0" borderId="4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0" fontId="62" fillId="0" borderId="0" xfId="0" applyFont="1" applyAlignment="1">
      <alignment horizontal="center" vertical="center" wrapText="1"/>
    </xf>
    <xf numFmtId="0" fontId="36" fillId="9" borderId="0" xfId="0" applyFont="1" applyFill="1" applyAlignment="1">
      <alignment horizontal="center" vertical="center"/>
    </xf>
    <xf numFmtId="0" fontId="36" fillId="9" borderId="0" xfId="0" applyFont="1" applyFill="1" applyAlignment="1">
      <alignment horizontal="center" vertical="center" wrapText="1"/>
    </xf>
    <xf numFmtId="37" fontId="75" fillId="0" borderId="15" xfId="0" quotePrefix="1" applyNumberFormat="1" applyFont="1" applyBorder="1" applyAlignment="1">
      <alignment horizontal="center" vertical="center" wrapText="1"/>
    </xf>
    <xf numFmtId="37" fontId="38" fillId="0" borderId="15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37" fontId="23" fillId="0" borderId="24" xfId="0" applyNumberFormat="1" applyFont="1" applyBorder="1" applyAlignment="1">
      <alignment vertical="center"/>
    </xf>
    <xf numFmtId="37" fontId="19" fillId="2" borderId="126" xfId="0" applyNumberFormat="1" applyFont="1" applyFill="1" applyBorder="1" applyAlignment="1">
      <alignment vertical="center"/>
    </xf>
    <xf numFmtId="3" fontId="9" fillId="4" borderId="0" xfId="0" applyNumberFormat="1" applyFont="1" applyFill="1" applyAlignment="1">
      <alignment vertical="center"/>
    </xf>
    <xf numFmtId="3" fontId="18" fillId="4" borderId="0" xfId="0" applyNumberFormat="1" applyFont="1" applyFill="1" applyAlignment="1">
      <alignment horizontal="center" vertical="center"/>
    </xf>
    <xf numFmtId="37" fontId="9" fillId="0" borderId="80" xfId="0" applyNumberFormat="1" applyFont="1" applyBorder="1" applyAlignment="1">
      <alignment vertical="center"/>
    </xf>
    <xf numFmtId="37" fontId="9" fillId="0" borderId="112" xfId="0" applyNumberFormat="1" applyFont="1" applyBorder="1" applyAlignment="1">
      <alignment horizontal="right" vertical="center"/>
    </xf>
    <xf numFmtId="37" fontId="9" fillId="0" borderId="116" xfId="0" applyNumberFormat="1" applyFont="1" applyBorder="1" applyAlignment="1">
      <alignment horizontal="center" vertical="center"/>
    </xf>
    <xf numFmtId="0" fontId="73" fillId="0" borderId="0" xfId="0" quotePrefix="1" applyFont="1" applyAlignment="1">
      <alignment vertical="center"/>
    </xf>
    <xf numFmtId="37" fontId="44" fillId="4" borderId="0" xfId="0" applyNumberFormat="1" applyFont="1" applyFill="1" applyAlignment="1">
      <alignment horizontal="center" vertical="center" wrapText="1"/>
    </xf>
    <xf numFmtId="37" fontId="24" fillId="2" borderId="0" xfId="0" applyNumberFormat="1" applyFont="1" applyFill="1" applyAlignment="1">
      <alignment vertical="center"/>
    </xf>
    <xf numFmtId="9" fontId="19" fillId="0" borderId="69" xfId="1" quotePrefix="1" applyFont="1" applyBorder="1" applyAlignment="1">
      <alignment horizontal="center" vertical="center"/>
    </xf>
    <xf numFmtId="37" fontId="19" fillId="0" borderId="69" xfId="0" quotePrefix="1" applyNumberFormat="1" applyFont="1" applyBorder="1" applyAlignment="1">
      <alignment horizontal="center" vertical="center"/>
    </xf>
    <xf numFmtId="0" fontId="18" fillId="0" borderId="0" xfId="0" quotePrefix="1" applyFont="1" applyAlignment="1">
      <alignment horizontal="left" vertical="center"/>
    </xf>
    <xf numFmtId="0" fontId="18" fillId="11" borderId="0" xfId="0" applyFont="1" applyFill="1" applyAlignment="1">
      <alignment vertical="center"/>
    </xf>
    <xf numFmtId="37" fontId="19" fillId="0" borderId="107" xfId="0" applyNumberFormat="1" applyFont="1" applyBorder="1" applyAlignment="1">
      <alignment horizontal="center" vertical="center"/>
    </xf>
    <xf numFmtId="37" fontId="59" fillId="2" borderId="0" xfId="0" applyNumberFormat="1" applyFont="1" applyFill="1" applyAlignment="1">
      <alignment vertical="center"/>
    </xf>
    <xf numFmtId="37" fontId="19" fillId="0" borderId="103" xfId="0" applyNumberFormat="1" applyFont="1" applyBorder="1" applyAlignment="1">
      <alignment vertical="center"/>
    </xf>
    <xf numFmtId="37" fontId="21" fillId="0" borderId="59" xfId="0" applyNumberFormat="1" applyFont="1" applyBorder="1" applyAlignment="1">
      <alignment vertical="center"/>
    </xf>
    <xf numFmtId="37" fontId="61" fillId="0" borderId="59" xfId="0" applyNumberFormat="1" applyFont="1" applyBorder="1" applyAlignment="1">
      <alignment vertical="center"/>
    </xf>
    <xf numFmtId="37" fontId="19" fillId="0" borderId="59" xfId="0" applyNumberFormat="1" applyFont="1" applyBorder="1" applyAlignment="1">
      <alignment vertical="center"/>
    </xf>
    <xf numFmtId="37" fontId="21" fillId="0" borderId="133" xfId="0" applyNumberFormat="1" applyFont="1" applyBorder="1" applyAlignment="1">
      <alignment vertical="center"/>
    </xf>
    <xf numFmtId="37" fontId="21" fillId="0" borderId="14" xfId="0" applyNumberFormat="1" applyFont="1" applyBorder="1" applyAlignment="1">
      <alignment vertical="center"/>
    </xf>
    <xf numFmtId="3" fontId="9" fillId="0" borderId="107" xfId="0" applyNumberFormat="1" applyFont="1" applyBorder="1" applyAlignment="1">
      <alignment vertical="center"/>
    </xf>
    <xf numFmtId="3" fontId="81" fillId="0" borderId="0" xfId="0" applyNumberFormat="1" applyFont="1" applyAlignment="1">
      <alignment vertical="center"/>
    </xf>
    <xf numFmtId="37" fontId="43" fillId="0" borderId="0" xfId="0" applyNumberFormat="1" applyFont="1" applyAlignment="1">
      <alignment horizontal="center" vertical="center"/>
    </xf>
    <xf numFmtId="37" fontId="45" fillId="0" borderId="0" xfId="0" applyNumberFormat="1" applyFont="1" applyAlignment="1">
      <alignment vertical="center"/>
    </xf>
    <xf numFmtId="37" fontId="45" fillId="0" borderId="107" xfId="0" applyNumberFormat="1" applyFont="1" applyBorder="1" applyAlignment="1">
      <alignment vertical="center"/>
    </xf>
    <xf numFmtId="37" fontId="45" fillId="9" borderId="0" xfId="0" applyNumberFormat="1" applyFont="1" applyFill="1" applyAlignment="1">
      <alignment horizontal="right" vertical="center"/>
    </xf>
    <xf numFmtId="37" fontId="44" fillId="0" borderId="0" xfId="0" applyNumberFormat="1" applyFont="1" applyAlignment="1">
      <alignment horizontal="center" vertical="center"/>
    </xf>
    <xf numFmtId="37" fontId="44" fillId="9" borderId="0" xfId="0" applyNumberFormat="1" applyFont="1" applyFill="1" applyAlignment="1">
      <alignment horizontal="center" vertical="center"/>
    </xf>
    <xf numFmtId="37" fontId="89" fillId="0" borderId="0" xfId="0" applyNumberFormat="1" applyFont="1" applyAlignment="1">
      <alignment horizontal="center" vertical="center"/>
    </xf>
    <xf numFmtId="37" fontId="90" fillId="0" borderId="0" xfId="0" applyNumberFormat="1" applyFont="1" applyAlignment="1">
      <alignment vertical="center"/>
    </xf>
    <xf numFmtId="37" fontId="90" fillId="2" borderId="0" xfId="0" applyNumberFormat="1" applyFont="1" applyFill="1" applyAlignment="1">
      <alignment vertical="center"/>
    </xf>
    <xf numFmtId="37" fontId="89" fillId="9" borderId="0" xfId="0" applyNumberFormat="1" applyFont="1" applyFill="1" applyAlignment="1">
      <alignment horizontal="center" vertical="center"/>
    </xf>
    <xf numFmtId="37" fontId="90" fillId="9" borderId="0" xfId="0" applyNumberFormat="1" applyFont="1" applyFill="1" applyAlignment="1">
      <alignment horizontal="right" vertical="center"/>
    </xf>
    <xf numFmtId="37" fontId="91" fillId="0" borderId="0" xfId="0" applyNumberFormat="1" applyFont="1" applyAlignment="1">
      <alignment vertical="center"/>
    </xf>
    <xf numFmtId="37" fontId="91" fillId="2" borderId="0" xfId="0" applyNumberFormat="1" applyFont="1" applyFill="1" applyAlignment="1">
      <alignment vertical="center"/>
    </xf>
    <xf numFmtId="37" fontId="91" fillId="9" borderId="0" xfId="0" applyNumberFormat="1" applyFont="1" applyFill="1" applyAlignment="1">
      <alignment horizontal="right" vertical="center"/>
    </xf>
    <xf numFmtId="37" fontId="19" fillId="0" borderId="84" xfId="0" applyNumberFormat="1" applyFont="1" applyBorder="1" applyAlignment="1">
      <alignment horizontal="right" vertical="center"/>
    </xf>
    <xf numFmtId="37" fontId="18" fillId="9" borderId="0" xfId="0" applyNumberFormat="1" applyFont="1" applyFill="1" applyAlignment="1">
      <alignment horizontal="right" vertical="center"/>
    </xf>
    <xf numFmtId="0" fontId="35" fillId="0" borderId="0" xfId="0" applyFont="1" applyAlignment="1">
      <alignment vertical="center"/>
    </xf>
    <xf numFmtId="37" fontId="73" fillId="0" borderId="110" xfId="0" applyNumberFormat="1" applyFont="1" applyBorder="1" applyAlignment="1">
      <alignment horizontal="right" vertical="center"/>
    </xf>
    <xf numFmtId="37" fontId="18" fillId="0" borderId="23" xfId="0" applyNumberFormat="1" applyFont="1" applyBorder="1" applyAlignment="1">
      <alignment vertical="center"/>
    </xf>
    <xf numFmtId="37" fontId="73" fillId="0" borderId="23" xfId="0" applyNumberFormat="1" applyFont="1" applyBorder="1" applyAlignment="1">
      <alignment horizontal="right" vertical="center"/>
    </xf>
    <xf numFmtId="37" fontId="73" fillId="0" borderId="23" xfId="0" applyNumberFormat="1" applyFont="1" applyBorder="1" applyAlignment="1">
      <alignment horizontal="right" vertical="center" wrapText="1"/>
    </xf>
    <xf numFmtId="37" fontId="44" fillId="0" borderId="62" xfId="0" applyNumberFormat="1" applyFont="1" applyBorder="1" applyAlignment="1">
      <alignment horizontal="right" vertical="center"/>
    </xf>
    <xf numFmtId="0" fontId="73" fillId="16" borderId="0" xfId="0" applyFont="1" applyFill="1" applyAlignment="1">
      <alignment vertical="center"/>
    </xf>
    <xf numFmtId="37" fontId="1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07" xfId="0" applyFont="1" applyBorder="1" applyAlignment="1">
      <alignment vertical="center" wrapText="1"/>
    </xf>
    <xf numFmtId="0" fontId="5" fillId="0" borderId="107" xfId="0" quotePrefix="1" applyFont="1" applyBorder="1" applyAlignment="1">
      <alignment horizontal="left" vertical="center" wrapText="1"/>
    </xf>
    <xf numFmtId="0" fontId="5" fillId="0" borderId="107" xfId="0" applyFont="1" applyBorder="1" applyAlignment="1">
      <alignment vertical="center"/>
    </xf>
    <xf numFmtId="37" fontId="78" fillId="0" borderId="0" xfId="0" quotePrefix="1" applyNumberFormat="1" applyFont="1" applyAlignment="1">
      <alignment vertical="center"/>
    </xf>
    <xf numFmtId="37" fontId="69" fillId="4" borderId="0" xfId="0" applyNumberFormat="1" applyFont="1" applyFill="1" applyAlignment="1">
      <alignment horizontal="centerContinuous" vertical="center"/>
    </xf>
    <xf numFmtId="37" fontId="94" fillId="0" borderId="0" xfId="0" applyNumberFormat="1" applyFont="1" applyAlignment="1">
      <alignment vertical="center"/>
    </xf>
    <xf numFmtId="37" fontId="95" fillId="0" borderId="0" xfId="0" applyNumberFormat="1" applyFont="1" applyAlignment="1">
      <alignment horizontal="center" vertical="center"/>
    </xf>
    <xf numFmtId="37" fontId="69" fillId="0" borderId="0" xfId="0" applyNumberFormat="1" applyFont="1" applyAlignment="1">
      <alignment vertical="center"/>
    </xf>
    <xf numFmtId="37" fontId="59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59" fillId="2" borderId="0" xfId="0" quotePrefix="1" applyNumberFormat="1" applyFont="1" applyFill="1" applyAlignment="1">
      <alignment horizontal="center" vertical="center"/>
    </xf>
    <xf numFmtId="37" fontId="59" fillId="2" borderId="0" xfId="0" applyNumberFormat="1" applyFont="1" applyFill="1" applyAlignment="1">
      <alignment horizontal="center" vertical="center"/>
    </xf>
    <xf numFmtId="37" fontId="69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37" fontId="44" fillId="9" borderId="0" xfId="0" applyNumberFormat="1" applyFont="1" applyFill="1" applyAlignment="1">
      <alignment horizontal="right" vertical="center"/>
    </xf>
    <xf numFmtId="37" fontId="61" fillId="0" borderId="107" xfId="0" applyNumberFormat="1" applyFont="1" applyBorder="1" applyAlignment="1">
      <alignment horizontal="center" vertical="center"/>
    </xf>
    <xf numFmtId="37" fontId="89" fillId="0" borderId="107" xfId="0" applyNumberFormat="1" applyFont="1" applyBorder="1" applyAlignment="1">
      <alignment horizontal="center" vertical="center"/>
    </xf>
    <xf numFmtId="37" fontId="61" fillId="0" borderId="112" xfId="0" applyNumberFormat="1" applyFont="1" applyBorder="1" applyAlignment="1">
      <alignment horizontal="center" vertical="center"/>
    </xf>
    <xf numFmtId="37" fontId="45" fillId="0" borderId="112" xfId="0" applyNumberFormat="1" applyFont="1" applyBorder="1" applyAlignment="1">
      <alignment vertical="center"/>
    </xf>
    <xf numFmtId="37" fontId="89" fillId="0" borderId="112" xfId="0" applyNumberFormat="1" applyFont="1" applyBorder="1" applyAlignment="1">
      <alignment horizontal="center" vertical="center"/>
    </xf>
    <xf numFmtId="37" fontId="43" fillId="0" borderId="47" xfId="0" applyNumberFormat="1" applyFont="1" applyBorder="1" applyAlignment="1">
      <alignment vertical="center"/>
    </xf>
    <xf numFmtId="37" fontId="43" fillId="0" borderId="108" xfId="0" applyNumberFormat="1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37" fontId="73" fillId="0" borderId="47" xfId="0" applyNumberFormat="1" applyFont="1" applyBorder="1" applyAlignment="1">
      <alignment horizontal="right" vertical="center"/>
    </xf>
    <xf numFmtId="37" fontId="73" fillId="0" borderId="108" xfId="0" applyNumberFormat="1" applyFont="1" applyBorder="1" applyAlignment="1">
      <alignment horizontal="right" vertical="center"/>
    </xf>
    <xf numFmtId="10" fontId="44" fillId="0" borderId="104" xfId="1" applyNumberFormat="1" applyFont="1" applyBorder="1" applyAlignment="1">
      <alignment horizontal="center" vertical="center"/>
    </xf>
    <xf numFmtId="10" fontId="61" fillId="0" borderId="104" xfId="1" applyNumberFormat="1" applyFont="1" applyBorder="1" applyAlignment="1">
      <alignment horizontal="center" vertical="center"/>
    </xf>
    <xf numFmtId="10" fontId="89" fillId="0" borderId="104" xfId="1" applyNumberFormat="1" applyFont="1" applyBorder="1" applyAlignment="1">
      <alignment horizontal="center" vertical="center"/>
    </xf>
    <xf numFmtId="10" fontId="19" fillId="0" borderId="104" xfId="1" applyNumberFormat="1" applyFont="1" applyBorder="1" applyAlignment="1">
      <alignment horizontal="center" vertical="center"/>
    </xf>
    <xf numFmtId="10" fontId="44" fillId="0" borderId="114" xfId="1" applyNumberFormat="1" applyFont="1" applyBorder="1" applyAlignment="1">
      <alignment horizontal="center" vertical="center"/>
    </xf>
    <xf numFmtId="0" fontId="5" fillId="0" borderId="54" xfId="0" applyFont="1" applyBorder="1" applyAlignment="1">
      <alignment vertical="center"/>
    </xf>
    <xf numFmtId="0" fontId="19" fillId="0" borderId="55" xfId="0" applyFont="1" applyBorder="1" applyAlignment="1">
      <alignment horizontal="center" vertical="center" wrapText="1"/>
    </xf>
    <xf numFmtId="37" fontId="73" fillId="0" borderId="56" xfId="0" applyNumberFormat="1" applyFont="1" applyBorder="1" applyAlignment="1">
      <alignment horizontal="right" vertical="center"/>
    </xf>
    <xf numFmtId="37" fontId="44" fillId="0" borderId="55" xfId="0" applyNumberFormat="1" applyFont="1" applyBorder="1" applyAlignment="1">
      <alignment horizontal="right" vertical="center"/>
    </xf>
    <xf numFmtId="37" fontId="61" fillId="0" borderId="55" xfId="0" applyNumberFormat="1" applyFont="1" applyBorder="1" applyAlignment="1">
      <alignment horizontal="center" vertical="center"/>
    </xf>
    <xf numFmtId="37" fontId="61" fillId="0" borderId="55" xfId="0" applyNumberFormat="1" applyFont="1" applyBorder="1" applyAlignment="1">
      <alignment horizontal="right" vertical="center"/>
    </xf>
    <xf numFmtId="37" fontId="45" fillId="0" borderId="55" xfId="0" applyNumberFormat="1" applyFont="1" applyBorder="1" applyAlignment="1">
      <alignment vertical="center"/>
    </xf>
    <xf numFmtId="37" fontId="89" fillId="0" borderId="55" xfId="0" applyNumberFormat="1" applyFont="1" applyBorder="1" applyAlignment="1">
      <alignment horizontal="center" vertical="center"/>
    </xf>
    <xf numFmtId="37" fontId="89" fillId="0" borderId="55" xfId="0" applyNumberFormat="1" applyFont="1" applyBorder="1" applyAlignment="1">
      <alignment horizontal="right" vertical="center"/>
    </xf>
    <xf numFmtId="37" fontId="93" fillId="0" borderId="55" xfId="0" applyNumberFormat="1" applyFont="1" applyBorder="1" applyAlignment="1">
      <alignment horizontal="right" vertical="center"/>
    </xf>
    <xf numFmtId="37" fontId="19" fillId="0" borderId="55" xfId="0" applyNumberFormat="1" applyFont="1" applyBorder="1" applyAlignment="1">
      <alignment horizontal="right" vertical="center"/>
    </xf>
    <xf numFmtId="37" fontId="73" fillId="0" borderId="55" xfId="0" applyNumberFormat="1" applyFont="1" applyBorder="1" applyAlignment="1">
      <alignment horizontal="right" vertical="center" wrapText="1"/>
    </xf>
    <xf numFmtId="37" fontId="44" fillId="0" borderId="54" xfId="0" applyNumberFormat="1" applyFont="1" applyBorder="1" applyAlignment="1">
      <alignment horizontal="right" vertical="center"/>
    </xf>
    <xf numFmtId="37" fontId="44" fillId="0" borderId="55" xfId="0" applyNumberFormat="1" applyFont="1" applyBorder="1" applyAlignment="1">
      <alignment vertical="center"/>
    </xf>
    <xf numFmtId="37" fontId="44" fillId="0" borderId="56" xfId="0" applyNumberFormat="1" applyFont="1" applyBorder="1" applyAlignment="1">
      <alignment horizontal="right" vertical="center"/>
    </xf>
    <xf numFmtId="0" fontId="5" fillId="0" borderId="112" xfId="0" applyFont="1" applyBorder="1" applyAlignment="1">
      <alignment vertical="center" wrapText="1"/>
    </xf>
    <xf numFmtId="37" fontId="43" fillId="0" borderId="112" xfId="0" applyNumberFormat="1" applyFont="1" applyBorder="1" applyAlignment="1">
      <alignment vertical="center"/>
    </xf>
    <xf numFmtId="37" fontId="90" fillId="0" borderId="112" xfId="0" applyNumberFormat="1" applyFont="1" applyBorder="1" applyAlignment="1">
      <alignment vertical="center"/>
    </xf>
    <xf numFmtId="37" fontId="91" fillId="0" borderId="112" xfId="0" applyNumberFormat="1" applyFont="1" applyBorder="1" applyAlignment="1">
      <alignment vertical="center"/>
    </xf>
    <xf numFmtId="37" fontId="18" fillId="0" borderId="112" xfId="0" applyNumberFormat="1" applyFont="1" applyBorder="1" applyAlignment="1">
      <alignment vertical="center" wrapText="1"/>
    </xf>
    <xf numFmtId="37" fontId="18" fillId="0" borderId="101" xfId="0" applyNumberFormat="1" applyFont="1" applyBorder="1" applyAlignment="1">
      <alignment vertical="center"/>
    </xf>
    <xf numFmtId="37" fontId="43" fillId="0" borderId="101" xfId="0" applyNumberFormat="1" applyFont="1" applyBorder="1" applyAlignment="1">
      <alignment vertical="center"/>
    </xf>
    <xf numFmtId="37" fontId="44" fillId="0" borderId="44" xfId="0" applyNumberFormat="1" applyFont="1" applyBorder="1" applyAlignment="1">
      <alignment vertical="center"/>
    </xf>
    <xf numFmtId="3" fontId="56" fillId="0" borderId="0" xfId="0" quotePrefix="1" applyNumberFormat="1" applyFont="1" applyAlignment="1">
      <alignment vertical="center" wrapText="1"/>
    </xf>
    <xf numFmtId="37" fontId="24" fillId="0" borderId="0" xfId="0" applyNumberFormat="1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37" fontId="9" fillId="0" borderId="2" xfId="0" applyNumberFormat="1" applyFont="1" applyBorder="1" applyAlignment="1">
      <alignment vertical="center" wrapText="1"/>
    </xf>
    <xf numFmtId="37" fontId="9" fillId="0" borderId="0" xfId="0" applyNumberFormat="1" applyFont="1" applyAlignment="1">
      <alignment horizontal="center" vertical="center" wrapText="1"/>
    </xf>
    <xf numFmtId="37" fontId="9" fillId="0" borderId="112" xfId="0" applyNumberFormat="1" applyFont="1" applyBorder="1" applyAlignment="1">
      <alignment vertical="center" wrapText="1"/>
    </xf>
    <xf numFmtId="3" fontId="19" fillId="2" borderId="39" xfId="0" applyNumberFormat="1" applyFont="1" applyFill="1" applyBorder="1" applyAlignment="1">
      <alignment vertical="center" wrapText="1"/>
    </xf>
    <xf numFmtId="37" fontId="9" fillId="2" borderId="0" xfId="0" applyNumberFormat="1" applyFont="1" applyFill="1" applyAlignment="1">
      <alignment horizontal="left" vertical="center" wrapText="1"/>
    </xf>
    <xf numFmtId="37" fontId="18" fillId="4" borderId="0" xfId="0" applyNumberFormat="1" applyFont="1" applyFill="1" applyAlignment="1">
      <alignment vertical="center" wrapText="1"/>
    </xf>
    <xf numFmtId="37" fontId="18" fillId="2" borderId="0" xfId="0" applyNumberFormat="1" applyFont="1" applyFill="1" applyAlignment="1">
      <alignment vertical="center" wrapText="1"/>
    </xf>
    <xf numFmtId="37" fontId="18" fillId="0" borderId="0" xfId="0" applyNumberFormat="1" applyFont="1" applyAlignment="1">
      <alignment horizontal="left" vertical="center" wrapText="1"/>
    </xf>
    <xf numFmtId="37" fontId="18" fillId="0" borderId="0" xfId="0" applyNumberFormat="1" applyFont="1" applyAlignment="1">
      <alignment horizontal="right" vertical="center"/>
    </xf>
    <xf numFmtId="0" fontId="96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60" fillId="9" borderId="0" xfId="0" applyFont="1" applyFill="1" applyAlignment="1">
      <alignment horizontal="center" vertical="center"/>
    </xf>
    <xf numFmtId="37" fontId="43" fillId="5" borderId="0" xfId="0" applyNumberFormat="1" applyFont="1" applyFill="1" applyAlignment="1">
      <alignment horizontal="left" vertical="center"/>
    </xf>
    <xf numFmtId="37" fontId="44" fillId="5" borderId="0" xfId="0" applyNumberFormat="1" applyFont="1" applyFill="1" applyAlignment="1">
      <alignment horizontal="center" vertical="center"/>
    </xf>
    <xf numFmtId="0" fontId="60" fillId="9" borderId="0" xfId="0" applyFont="1" applyFill="1" applyAlignment="1">
      <alignment vertical="center"/>
    </xf>
    <xf numFmtId="164" fontId="61" fillId="5" borderId="0" xfId="0" applyNumberFormat="1" applyFont="1" applyFill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60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73" fillId="0" borderId="0" xfId="0" applyFont="1"/>
    <xf numFmtId="0" fontId="35" fillId="9" borderId="0" xfId="0" applyFont="1" applyFill="1" applyAlignment="1">
      <alignment horizontal="center" vertical="center"/>
    </xf>
    <xf numFmtId="0" fontId="96" fillId="9" borderId="0" xfId="0" applyFont="1" applyFill="1" applyAlignment="1">
      <alignment vertical="center"/>
    </xf>
    <xf numFmtId="0" fontId="61" fillId="9" borderId="0" xfId="0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37" fontId="19" fillId="9" borderId="0" xfId="0" applyNumberFormat="1" applyFont="1" applyFill="1" applyAlignment="1">
      <alignment vertical="center"/>
    </xf>
    <xf numFmtId="0" fontId="18" fillId="11" borderId="0" xfId="0" applyFont="1" applyFill="1" applyAlignment="1">
      <alignment vertical="center" wrapText="1"/>
    </xf>
    <xf numFmtId="37" fontId="19" fillId="5" borderId="0" xfId="0" applyNumberFormat="1" applyFont="1" applyFill="1" applyAlignment="1">
      <alignment vertical="center"/>
    </xf>
    <xf numFmtId="0" fontId="60" fillId="0" borderId="0" xfId="0" applyFont="1" applyAlignment="1">
      <alignment horizontal="center" vertical="center"/>
    </xf>
    <xf numFmtId="0" fontId="73" fillId="5" borderId="0" xfId="0" applyFont="1" applyFill="1" applyAlignment="1">
      <alignment vertical="center"/>
    </xf>
    <xf numFmtId="0" fontId="18" fillId="5" borderId="0" xfId="0" applyFont="1" applyFill="1" applyAlignment="1">
      <alignment vertical="center" wrapText="1"/>
    </xf>
    <xf numFmtId="37" fontId="18" fillId="5" borderId="0" xfId="0" applyNumberFormat="1" applyFont="1" applyFill="1" applyAlignment="1">
      <alignment horizontal="right" vertical="center"/>
    </xf>
    <xf numFmtId="0" fontId="96" fillId="5" borderId="0" xfId="0" applyFont="1" applyFill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61" fillId="11" borderId="0" xfId="0" applyFont="1" applyFill="1" applyAlignment="1">
      <alignment horizontal="center" vertical="center"/>
    </xf>
    <xf numFmtId="0" fontId="41" fillId="11" borderId="0" xfId="0" applyFont="1" applyFill="1" applyAlignment="1">
      <alignment horizontal="center" vertical="center"/>
    </xf>
    <xf numFmtId="0" fontId="18" fillId="17" borderId="0" xfId="0" applyFont="1" applyFill="1" applyAlignment="1">
      <alignment vertical="center" wrapText="1"/>
    </xf>
    <xf numFmtId="37" fontId="18" fillId="17" borderId="0" xfId="0" applyNumberFormat="1" applyFont="1" applyFill="1" applyAlignment="1">
      <alignment horizontal="right" vertical="center"/>
    </xf>
    <xf numFmtId="0" fontId="96" fillId="17" borderId="0" xfId="0" applyFont="1" applyFill="1" applyAlignment="1">
      <alignment vertical="center"/>
    </xf>
    <xf numFmtId="0" fontId="19" fillId="17" borderId="0" xfId="0" applyFont="1" applyFill="1" applyAlignment="1">
      <alignment horizontal="center" vertical="center"/>
    </xf>
    <xf numFmtId="37" fontId="19" fillId="17" borderId="0" xfId="0" applyNumberFormat="1" applyFont="1" applyFill="1" applyAlignment="1">
      <alignment vertical="center"/>
    </xf>
    <xf numFmtId="0" fontId="73" fillId="18" borderId="0" xfId="0" applyFont="1" applyFill="1" applyAlignment="1">
      <alignment vertical="center"/>
    </xf>
    <xf numFmtId="0" fontId="18" fillId="18" borderId="0" xfId="0" applyFont="1" applyFill="1" applyAlignment="1">
      <alignment vertical="center" wrapText="1"/>
    </xf>
    <xf numFmtId="37" fontId="18" fillId="18" borderId="0" xfId="0" applyNumberFormat="1" applyFont="1" applyFill="1" applyAlignment="1">
      <alignment horizontal="right" vertical="center"/>
    </xf>
    <xf numFmtId="0" fontId="96" fillId="18" borderId="0" xfId="0" applyFont="1" applyFill="1" applyAlignment="1">
      <alignment vertical="center"/>
    </xf>
    <xf numFmtId="0" fontId="19" fillId="18" borderId="0" xfId="0" applyFont="1" applyFill="1" applyAlignment="1">
      <alignment horizontal="center" vertical="center"/>
    </xf>
    <xf numFmtId="37" fontId="19" fillId="18" borderId="0" xfId="0" applyNumberFormat="1" applyFont="1" applyFill="1" applyAlignment="1">
      <alignment vertical="center"/>
    </xf>
    <xf numFmtId="0" fontId="44" fillId="0" borderId="0" xfId="0" applyFont="1" applyAlignment="1">
      <alignment horizontal="center" vertical="center"/>
    </xf>
    <xf numFmtId="0" fontId="18" fillId="16" borderId="0" xfId="0" applyFont="1" applyFill="1" applyAlignment="1">
      <alignment vertical="center" wrapText="1"/>
    </xf>
    <xf numFmtId="37" fontId="18" fillId="16" borderId="0" xfId="0" applyNumberFormat="1" applyFont="1" applyFill="1" applyAlignment="1">
      <alignment horizontal="right" vertical="center"/>
    </xf>
    <xf numFmtId="0" fontId="96" fillId="16" borderId="0" xfId="0" applyFont="1" applyFill="1" applyAlignment="1">
      <alignment vertical="center"/>
    </xf>
    <xf numFmtId="0" fontId="19" fillId="16" borderId="0" xfId="0" applyFont="1" applyFill="1" applyAlignment="1">
      <alignment horizontal="center" vertical="center"/>
    </xf>
    <xf numFmtId="37" fontId="19" fillId="16" borderId="0" xfId="0" applyNumberFormat="1" applyFont="1" applyFill="1" applyAlignment="1">
      <alignment vertical="center"/>
    </xf>
    <xf numFmtId="37" fontId="19" fillId="3" borderId="47" xfId="0" applyNumberFormat="1" applyFont="1" applyFill="1" applyBorder="1" applyAlignment="1">
      <alignment horizontal="center" vertical="center"/>
    </xf>
    <xf numFmtId="37" fontId="18" fillId="0" borderId="47" xfId="0" applyNumberFormat="1" applyFont="1" applyBorder="1" applyAlignment="1">
      <alignment horizontal="centerContinuous" vertical="center"/>
    </xf>
    <xf numFmtId="37" fontId="18" fillId="0" borderId="127" xfId="0" applyNumberFormat="1" applyFont="1" applyBorder="1" applyAlignment="1">
      <alignment vertical="center"/>
    </xf>
    <xf numFmtId="37" fontId="18" fillId="0" borderId="129" xfId="0" applyNumberFormat="1" applyFont="1" applyBorder="1" applyAlignment="1">
      <alignment vertical="center"/>
    </xf>
    <xf numFmtId="37" fontId="45" fillId="0" borderId="47" xfId="0" applyNumberFormat="1" applyFont="1" applyBorder="1" applyAlignment="1">
      <alignment vertical="center"/>
    </xf>
    <xf numFmtId="37" fontId="37" fillId="0" borderId="43" xfId="0" applyNumberFormat="1" applyFont="1" applyBorder="1" applyAlignment="1">
      <alignment horizontal="center" vertical="center" wrapText="1"/>
    </xf>
    <xf numFmtId="37" fontId="41" fillId="3" borderId="47" xfId="0" applyNumberFormat="1" applyFont="1" applyFill="1" applyBorder="1" applyAlignment="1">
      <alignment horizontal="center" vertical="center"/>
    </xf>
    <xf numFmtId="37" fontId="45" fillId="0" borderId="47" xfId="0" applyNumberFormat="1" applyFont="1" applyBorder="1" applyAlignment="1">
      <alignment horizontal="centerContinuous" vertical="center"/>
    </xf>
    <xf numFmtId="37" fontId="45" fillId="0" borderId="129" xfId="0" applyNumberFormat="1" applyFont="1" applyBorder="1" applyAlignment="1">
      <alignment vertical="center"/>
    </xf>
    <xf numFmtId="37" fontId="62" fillId="0" borderId="31" xfId="0" applyNumberFormat="1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/>
    </xf>
    <xf numFmtId="37" fontId="19" fillId="2" borderId="44" xfId="0" applyNumberFormat="1" applyFont="1" applyFill="1" applyBorder="1" applyAlignment="1">
      <alignment horizontal="center" vertical="center"/>
    </xf>
    <xf numFmtId="37" fontId="18" fillId="0" borderId="44" xfId="0" applyNumberFormat="1" applyFont="1" applyBorder="1" applyAlignment="1">
      <alignment vertical="center"/>
    </xf>
    <xf numFmtId="37" fontId="61" fillId="2" borderId="126" xfId="0" applyNumberFormat="1" applyFont="1" applyFill="1" applyBorder="1" applyAlignment="1">
      <alignment vertical="center"/>
    </xf>
    <xf numFmtId="37" fontId="18" fillId="4" borderId="47" xfId="0" applyNumberFormat="1" applyFont="1" applyFill="1" applyBorder="1" applyAlignment="1">
      <alignment vertical="center"/>
    </xf>
    <xf numFmtId="37" fontId="18" fillId="0" borderId="47" xfId="0" applyNumberFormat="1" applyFont="1" applyBorder="1" applyAlignment="1">
      <alignment horizontal="center" vertical="center"/>
    </xf>
    <xf numFmtId="37" fontId="35" fillId="0" borderId="112" xfId="0" applyNumberFormat="1" applyFont="1" applyBorder="1" applyAlignment="1">
      <alignment horizontal="center" vertical="center"/>
    </xf>
    <xf numFmtId="37" fontId="50" fillId="0" borderId="135" xfId="0" applyNumberFormat="1" applyFont="1" applyBorder="1" applyAlignment="1">
      <alignment horizontal="center" vertical="center"/>
    </xf>
    <xf numFmtId="37" fontId="50" fillId="0" borderId="132" xfId="0" applyNumberFormat="1" applyFont="1" applyBorder="1" applyAlignment="1">
      <alignment horizontal="center" vertical="center"/>
    </xf>
    <xf numFmtId="37" fontId="9" fillId="2" borderId="69" xfId="0" applyNumberFormat="1" applyFont="1" applyFill="1" applyBorder="1" applyAlignment="1">
      <alignment vertical="center"/>
    </xf>
    <xf numFmtId="37" fontId="9" fillId="2" borderId="69" xfId="0" applyNumberFormat="1" applyFont="1" applyFill="1" applyBorder="1" applyAlignment="1">
      <alignment horizontal="center" vertical="center"/>
    </xf>
    <xf numFmtId="37" fontId="40" fillId="0" borderId="136" xfId="0" applyNumberFormat="1" applyFont="1" applyBorder="1" applyAlignment="1">
      <alignment horizontal="center" vertical="center"/>
    </xf>
    <xf numFmtId="37" fontId="49" fillId="0" borderId="124" xfId="0" applyNumberFormat="1" applyFont="1" applyBorder="1" applyAlignment="1">
      <alignment horizontal="center" vertical="center"/>
    </xf>
    <xf numFmtId="37" fontId="19" fillId="2" borderId="80" xfId="0" applyNumberFormat="1" applyFont="1" applyFill="1" applyBorder="1" applyAlignment="1">
      <alignment vertical="center"/>
    </xf>
    <xf numFmtId="0" fontId="5" fillId="0" borderId="116" xfId="0" applyFont="1" applyBorder="1" applyAlignment="1">
      <alignment vertical="center" wrapText="1"/>
    </xf>
    <xf numFmtId="0" fontId="19" fillId="0" borderId="99" xfId="0" applyFont="1" applyBorder="1" applyAlignment="1">
      <alignment horizontal="center" vertical="center" wrapText="1"/>
    </xf>
    <xf numFmtId="37" fontId="17" fillId="0" borderId="126" xfId="0" applyNumberFormat="1" applyFont="1" applyBorder="1" applyAlignment="1">
      <alignment horizontal="center" vertical="center" wrapText="1"/>
    </xf>
    <xf numFmtId="37" fontId="62" fillId="0" borderId="126" xfId="0" applyNumberFormat="1" applyFont="1" applyBorder="1" applyAlignment="1">
      <alignment horizontal="center" vertical="center" wrapText="1"/>
    </xf>
    <xf numFmtId="37" fontId="35" fillId="0" borderId="107" xfId="0" applyNumberFormat="1" applyFont="1" applyBorder="1" applyAlignment="1">
      <alignment horizontal="right" vertical="center"/>
    </xf>
    <xf numFmtId="37" fontId="18" fillId="0" borderId="127" xfId="0" applyNumberFormat="1" applyFont="1" applyBorder="1" applyAlignment="1">
      <alignment horizontal="right" vertical="center"/>
    </xf>
    <xf numFmtId="37" fontId="19" fillId="0" borderId="126" xfId="0" applyNumberFormat="1" applyFont="1" applyBorder="1" applyAlignment="1">
      <alignment vertical="center"/>
    </xf>
    <xf numFmtId="37" fontId="61" fillId="0" borderId="126" xfId="0" applyNumberFormat="1" applyFont="1" applyBorder="1" applyAlignment="1">
      <alignment vertical="center"/>
    </xf>
    <xf numFmtId="15" fontId="44" fillId="0" borderId="88" xfId="0" applyNumberFormat="1" applyFont="1" applyBorder="1" applyAlignment="1">
      <alignment vertical="center"/>
    </xf>
    <xf numFmtId="37" fontId="30" fillId="5" borderId="68" xfId="0" applyNumberFormat="1" applyFont="1" applyFill="1" applyBorder="1" applyAlignment="1">
      <alignment vertical="center"/>
    </xf>
    <xf numFmtId="3" fontId="66" fillId="0" borderId="0" xfId="0" applyNumberFormat="1" applyFont="1" applyAlignment="1">
      <alignment horizontal="center" vertical="center"/>
    </xf>
    <xf numFmtId="168" fontId="66" fillId="0" borderId="0" xfId="2" applyNumberFormat="1" applyFont="1" applyBorder="1" applyAlignment="1">
      <alignment horizontal="center" vertical="center"/>
    </xf>
    <xf numFmtId="3" fontId="43" fillId="0" borderId="0" xfId="0" applyNumberFormat="1" applyFont="1" applyAlignment="1">
      <alignment horizontal="centerContinuous" vertical="center" wrapText="1"/>
    </xf>
    <xf numFmtId="14" fontId="15" fillId="0" borderId="0" xfId="0" applyNumberFormat="1" applyFont="1" applyAlignment="1">
      <alignment horizontal="center" vertical="center" wrapText="1"/>
    </xf>
    <xf numFmtId="168" fontId="18" fillId="5" borderId="0" xfId="2" applyNumberFormat="1" applyFont="1" applyFill="1" applyBorder="1" applyAlignment="1">
      <alignment vertical="center"/>
    </xf>
    <xf numFmtId="0" fontId="59" fillId="0" borderId="0" xfId="0" applyFont="1" applyAlignment="1">
      <alignment vertical="center"/>
    </xf>
    <xf numFmtId="0" fontId="18" fillId="9" borderId="0" xfId="0" applyFont="1" applyFill="1" applyAlignment="1">
      <alignment vertical="center" wrapText="1"/>
    </xf>
    <xf numFmtId="37" fontId="18" fillId="9" borderId="0" xfId="0" applyNumberFormat="1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19" fillId="5" borderId="0" xfId="0" applyFont="1" applyFill="1" applyAlignment="1">
      <alignment vertical="center" wrapText="1"/>
    </xf>
    <xf numFmtId="0" fontId="18" fillId="9" borderId="0" xfId="0" applyFont="1" applyFill="1" applyAlignment="1">
      <alignment horizontal="center" vertical="center"/>
    </xf>
    <xf numFmtId="0" fontId="44" fillId="9" borderId="0" xfId="0" applyFont="1" applyFill="1" applyAlignment="1">
      <alignment horizontal="center" vertical="center"/>
    </xf>
    <xf numFmtId="0" fontId="73" fillId="9" borderId="0" xfId="0" applyFont="1" applyFill="1" applyAlignment="1">
      <alignment horizontal="center" vertical="center"/>
    </xf>
    <xf numFmtId="37" fontId="61" fillId="2" borderId="44" xfId="0" applyNumberFormat="1" applyFont="1" applyFill="1" applyBorder="1" applyAlignment="1">
      <alignment horizontal="center" vertical="center"/>
    </xf>
    <xf numFmtId="37" fontId="44" fillId="5" borderId="24" xfId="0" applyNumberFormat="1" applyFont="1" applyFill="1" applyBorder="1" applyAlignment="1">
      <alignment horizontal="center" vertical="center"/>
    </xf>
    <xf numFmtId="37" fontId="43" fillId="5" borderId="24" xfId="0" applyNumberFormat="1" applyFont="1" applyFill="1" applyBorder="1" applyAlignment="1">
      <alignment vertical="center"/>
    </xf>
    <xf numFmtId="37" fontId="41" fillId="5" borderId="24" xfId="0" applyNumberFormat="1" applyFont="1" applyFill="1" applyBorder="1" applyAlignment="1">
      <alignment horizontal="center" vertical="center"/>
    </xf>
    <xf numFmtId="37" fontId="45" fillId="5" borderId="24" xfId="0" applyNumberFormat="1" applyFont="1" applyFill="1" applyBorder="1" applyAlignment="1">
      <alignment vertical="center"/>
    </xf>
    <xf numFmtId="37" fontId="46" fillId="5" borderId="24" xfId="0" applyNumberFormat="1" applyFont="1" applyFill="1" applyBorder="1" applyAlignment="1">
      <alignment horizontal="center" vertical="center"/>
    </xf>
    <xf numFmtId="37" fontId="47" fillId="5" borderId="24" xfId="0" applyNumberFormat="1" applyFont="1" applyFill="1" applyBorder="1" applyAlignment="1">
      <alignment vertical="center"/>
    </xf>
    <xf numFmtId="37" fontId="42" fillId="5" borderId="24" xfId="0" applyNumberFormat="1" applyFont="1" applyFill="1" applyBorder="1" applyAlignment="1">
      <alignment horizontal="center" vertical="center"/>
    </xf>
    <xf numFmtId="37" fontId="48" fillId="5" borderId="24" xfId="0" applyNumberFormat="1" applyFont="1" applyFill="1" applyBorder="1" applyAlignment="1">
      <alignment vertical="center"/>
    </xf>
    <xf numFmtId="37" fontId="40" fillId="5" borderId="25" xfId="0" applyNumberFormat="1" applyFont="1" applyFill="1" applyBorder="1" applyAlignment="1">
      <alignment vertical="center"/>
    </xf>
    <xf numFmtId="37" fontId="40" fillId="5" borderId="63" xfId="0" applyNumberFormat="1" applyFont="1" applyFill="1" applyBorder="1" applyAlignment="1">
      <alignment vertical="center"/>
    </xf>
    <xf numFmtId="37" fontId="46" fillId="0" borderId="0" xfId="0" applyNumberFormat="1" applyFont="1" applyAlignment="1">
      <alignment horizontal="center" vertical="center"/>
    </xf>
    <xf numFmtId="37" fontId="46" fillId="0" borderId="0" xfId="0" applyNumberFormat="1" applyFont="1" applyAlignment="1">
      <alignment vertical="center"/>
    </xf>
    <xf numFmtId="37" fontId="19" fillId="0" borderId="40" xfId="0" applyNumberFormat="1" applyFont="1" applyBorder="1" applyAlignment="1">
      <alignment vertical="center"/>
    </xf>
    <xf numFmtId="37" fontId="19" fillId="0" borderId="31" xfId="0" applyNumberFormat="1" applyFont="1" applyBorder="1" applyAlignment="1">
      <alignment horizontal="center" vertical="center"/>
    </xf>
    <xf numFmtId="37" fontId="49" fillId="0" borderId="40" xfId="0" applyNumberFormat="1" applyFont="1" applyBorder="1" applyAlignment="1">
      <alignment vertical="center"/>
    </xf>
    <xf numFmtId="37" fontId="19" fillId="0" borderId="39" xfId="0" applyNumberFormat="1" applyFont="1" applyBorder="1" applyAlignment="1">
      <alignment vertical="center"/>
    </xf>
    <xf numFmtId="37" fontId="19" fillId="0" borderId="0" xfId="0" quotePrefix="1" applyNumberFormat="1" applyFont="1" applyAlignment="1">
      <alignment vertical="center"/>
    </xf>
    <xf numFmtId="10" fontId="19" fillId="2" borderId="0" xfId="0" applyNumberFormat="1" applyFont="1" applyFill="1" applyAlignment="1">
      <alignment horizontal="center" vertical="center"/>
    </xf>
    <xf numFmtId="37" fontId="18" fillId="0" borderId="2" xfId="0" applyNumberFormat="1" applyFont="1" applyBorder="1" applyAlignment="1">
      <alignment horizontal="center" vertical="center"/>
    </xf>
    <xf numFmtId="37" fontId="18" fillId="0" borderId="34" xfId="0" applyNumberFormat="1" applyFont="1" applyBorder="1" applyAlignment="1">
      <alignment vertical="center"/>
    </xf>
    <xf numFmtId="37" fontId="18" fillId="0" borderId="24" xfId="0" applyNumberFormat="1" applyFont="1" applyBorder="1" applyAlignment="1">
      <alignment vertical="center"/>
    </xf>
    <xf numFmtId="37" fontId="18" fillId="0" borderId="36" xfId="0" applyNumberFormat="1" applyFont="1" applyBorder="1" applyAlignment="1">
      <alignment vertical="center"/>
    </xf>
    <xf numFmtId="37" fontId="18" fillId="2" borderId="36" xfId="0" applyNumberFormat="1" applyFont="1" applyFill="1" applyBorder="1" applyAlignment="1">
      <alignment vertical="center"/>
    </xf>
    <xf numFmtId="0" fontId="49" fillId="0" borderId="70" xfId="0" applyFont="1" applyBorder="1" applyAlignment="1">
      <alignment horizontal="center" vertical="center"/>
    </xf>
    <xf numFmtId="37" fontId="30" fillId="0" borderId="83" xfId="0" applyNumberFormat="1" applyFont="1" applyBorder="1" applyAlignment="1">
      <alignment horizontal="center" vertical="center"/>
    </xf>
    <xf numFmtId="37" fontId="19" fillId="0" borderId="0" xfId="0" quotePrefix="1" applyNumberFormat="1" applyFont="1" applyAlignment="1">
      <alignment horizontal="center" vertical="center"/>
    </xf>
    <xf numFmtId="37" fontId="19" fillId="0" borderId="39" xfId="0" applyNumberFormat="1" applyFont="1" applyBorder="1" applyAlignment="1">
      <alignment horizontal="center" vertical="center"/>
    </xf>
    <xf numFmtId="37" fontId="19" fillId="2" borderId="126" xfId="0" applyNumberFormat="1" applyFont="1" applyFill="1" applyBorder="1" applyAlignment="1">
      <alignment horizontal="center" vertical="center"/>
    </xf>
    <xf numFmtId="37" fontId="19" fillId="0" borderId="2" xfId="0" applyNumberFormat="1" applyFont="1" applyBorder="1" applyAlignment="1">
      <alignment horizontal="center" vertical="center"/>
    </xf>
    <xf numFmtId="37" fontId="19" fillId="0" borderId="34" xfId="0" applyNumberFormat="1" applyFont="1" applyBorder="1" applyAlignment="1">
      <alignment horizontal="center" vertical="center"/>
    </xf>
    <xf numFmtId="37" fontId="19" fillId="0" borderId="24" xfId="0" applyNumberFormat="1" applyFont="1" applyBorder="1" applyAlignment="1">
      <alignment horizontal="center" vertical="center"/>
    </xf>
    <xf numFmtId="37" fontId="19" fillId="0" borderId="36" xfId="0" applyNumberFormat="1" applyFont="1" applyBorder="1" applyAlignment="1">
      <alignment horizontal="center" vertical="center"/>
    </xf>
    <xf numFmtId="37" fontId="19" fillId="2" borderId="36" xfId="0" applyNumberFormat="1" applyFont="1" applyFill="1" applyBorder="1" applyAlignment="1">
      <alignment horizontal="center" vertical="center"/>
    </xf>
    <xf numFmtId="0" fontId="21" fillId="0" borderId="64" xfId="0" quotePrefix="1" applyFont="1" applyBorder="1" applyAlignment="1">
      <alignment vertical="center"/>
    </xf>
    <xf numFmtId="0" fontId="21" fillId="0" borderId="26" xfId="0" quotePrefix="1" applyFont="1" applyBorder="1" applyAlignment="1">
      <alignment vertical="center"/>
    </xf>
    <xf numFmtId="0" fontId="21" fillId="0" borderId="75" xfId="0" quotePrefix="1" applyFont="1" applyBorder="1" applyAlignment="1">
      <alignment vertical="center"/>
    </xf>
    <xf numFmtId="49" fontId="53" fillId="0" borderId="31" xfId="0" applyNumberFormat="1" applyFont="1" applyBorder="1" applyAlignment="1">
      <alignment horizontal="center" vertical="center" wrapText="1"/>
    </xf>
    <xf numFmtId="49" fontId="40" fillId="0" borderId="44" xfId="0" applyNumberFormat="1" applyFont="1" applyBorder="1" applyAlignment="1">
      <alignment horizontal="center" vertical="center"/>
    </xf>
    <xf numFmtId="49" fontId="40" fillId="0" borderId="44" xfId="0" applyNumberFormat="1" applyFont="1" applyBorder="1" applyAlignment="1">
      <alignment horizontal="centerContinuous" vertical="center"/>
    </xf>
    <xf numFmtId="49" fontId="53" fillId="0" borderId="43" xfId="0" applyNumberFormat="1" applyFont="1" applyBorder="1" applyAlignment="1">
      <alignment horizontal="center" vertical="center" wrapText="1"/>
    </xf>
    <xf numFmtId="49" fontId="40" fillId="0" borderId="47" xfId="0" applyNumberFormat="1" applyFont="1" applyBorder="1" applyAlignment="1">
      <alignment horizontal="center" vertical="center"/>
    </xf>
    <xf numFmtId="49" fontId="40" fillId="0" borderId="47" xfId="0" applyNumberFormat="1" applyFont="1" applyBorder="1" applyAlignment="1">
      <alignment horizontal="centerContinuous" vertical="center"/>
    </xf>
    <xf numFmtId="3" fontId="19" fillId="0" borderId="0" xfId="0" quotePrefix="1" applyNumberFormat="1" applyFont="1" applyAlignment="1">
      <alignment vertical="center"/>
    </xf>
    <xf numFmtId="0" fontId="19" fillId="0" borderId="26" xfId="0" quotePrefix="1" applyFont="1" applyBorder="1" applyAlignment="1">
      <alignment vertical="center"/>
    </xf>
    <xf numFmtId="0" fontId="19" fillId="4" borderId="0" xfId="0" applyFont="1" applyFill="1" applyAlignment="1">
      <alignment vertical="center"/>
    </xf>
    <xf numFmtId="37" fontId="18" fillId="5" borderId="24" xfId="0" applyNumberFormat="1" applyFont="1" applyFill="1" applyBorder="1" applyAlignment="1">
      <alignment vertical="center"/>
    </xf>
    <xf numFmtId="3" fontId="19" fillId="0" borderId="0" xfId="0" quotePrefix="1" applyNumberFormat="1" applyFont="1" applyAlignment="1">
      <alignment horizontal="center" vertical="center"/>
    </xf>
    <xf numFmtId="3" fontId="19" fillId="2" borderId="0" xfId="0" applyNumberFormat="1" applyFont="1" applyFill="1" applyAlignment="1">
      <alignment horizontal="center" vertical="center"/>
    </xf>
    <xf numFmtId="0" fontId="19" fillId="0" borderId="26" xfId="0" quotePrefix="1" applyFont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7" fontId="19" fillId="5" borderId="24" xfId="0" applyNumberFormat="1" applyFont="1" applyFill="1" applyBorder="1" applyAlignment="1">
      <alignment horizontal="center" vertical="center"/>
    </xf>
    <xf numFmtId="14" fontId="50" fillId="0" borderId="49" xfId="0" applyNumberFormat="1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0" xfId="0" applyFont="1" applyFill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8" borderId="0" xfId="0" applyFont="1" applyFill="1" applyAlignment="1">
      <alignment vertical="center"/>
    </xf>
    <xf numFmtId="0" fontId="18" fillId="16" borderId="0" xfId="0" applyFont="1" applyFill="1" applyAlignment="1">
      <alignment horizontal="center" vertical="center"/>
    </xf>
    <xf numFmtId="0" fontId="18" fillId="16" borderId="0" xfId="0" applyFont="1" applyFill="1" applyAlignment="1">
      <alignment vertical="center"/>
    </xf>
    <xf numFmtId="0" fontId="8" fillId="0" borderId="0" xfId="0" applyFont="1" applyAlignment="1">
      <alignment horizontal="center" vertical="center" wrapText="1"/>
    </xf>
    <xf numFmtId="164" fontId="43" fillId="5" borderId="0" xfId="0" applyNumberFormat="1" applyFont="1" applyFill="1" applyAlignment="1">
      <alignment vertical="center"/>
    </xf>
    <xf numFmtId="37" fontId="75" fillId="0" borderId="0" xfId="0" quotePrefix="1" applyNumberFormat="1" applyFont="1" applyAlignment="1">
      <alignment horizontal="center" vertical="center" wrapText="1"/>
    </xf>
    <xf numFmtId="37" fontId="38" fillId="0" borderId="0" xfId="0" applyNumberFormat="1" applyFont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37" fontId="43" fillId="9" borderId="0" xfId="0" applyNumberFormat="1" applyFont="1" applyFill="1" applyAlignment="1">
      <alignment vertical="center"/>
    </xf>
    <xf numFmtId="37" fontId="73" fillId="11" borderId="0" xfId="0" applyNumberFormat="1" applyFont="1" applyFill="1" applyAlignment="1">
      <alignment vertical="center"/>
    </xf>
    <xf numFmtId="37" fontId="5" fillId="0" borderId="0" xfId="0" applyNumberFormat="1" applyFont="1" applyAlignment="1">
      <alignment vertical="center" wrapText="1"/>
    </xf>
    <xf numFmtId="0" fontId="18" fillId="0" borderId="0" xfId="0" quotePrefix="1" applyFont="1" applyAlignment="1">
      <alignment vertical="center"/>
    </xf>
    <xf numFmtId="0" fontId="18" fillId="7" borderId="107" xfId="0" applyFont="1" applyFill="1" applyBorder="1" applyAlignment="1">
      <alignment vertical="center" wrapText="1"/>
    </xf>
    <xf numFmtId="0" fontId="35" fillId="7" borderId="107" xfId="0" applyFont="1" applyFill="1" applyBorder="1" applyAlignment="1">
      <alignment horizontal="center" vertical="center"/>
    </xf>
    <xf numFmtId="37" fontId="21" fillId="5" borderId="95" xfId="0" applyNumberFormat="1" applyFont="1" applyFill="1" applyBorder="1" applyAlignment="1">
      <alignment horizontal="center" vertical="center"/>
    </xf>
    <xf numFmtId="37" fontId="41" fillId="0" borderId="107" xfId="0" applyNumberFormat="1" applyFont="1" applyBorder="1" applyAlignment="1">
      <alignment horizontal="center" vertical="center"/>
    </xf>
    <xf numFmtId="37" fontId="41" fillId="0" borderId="112" xfId="0" applyNumberFormat="1" applyFont="1" applyBorder="1" applyAlignment="1">
      <alignment horizontal="center" vertical="center"/>
    </xf>
    <xf numFmtId="37" fontId="41" fillId="0" borderId="55" xfId="0" applyNumberFormat="1" applyFont="1" applyBorder="1" applyAlignment="1">
      <alignment horizontal="center" vertical="center"/>
    </xf>
    <xf numFmtId="37" fontId="41" fillId="9" borderId="0" xfId="0" applyNumberFormat="1" applyFont="1" applyFill="1" applyAlignment="1">
      <alignment horizontal="center" vertical="center"/>
    </xf>
    <xf numFmtId="37" fontId="18" fillId="2" borderId="0" xfId="0" applyNumberFormat="1" applyFont="1" applyFill="1" applyAlignment="1">
      <alignment horizontal="center" vertical="center"/>
    </xf>
    <xf numFmtId="0" fontId="2" fillId="0" borderId="107" xfId="0" applyFont="1" applyBorder="1" applyAlignment="1">
      <alignment vertical="center" wrapText="1"/>
    </xf>
    <xf numFmtId="3" fontId="44" fillId="2" borderId="57" xfId="0" applyNumberFormat="1" applyFont="1" applyFill="1" applyBorder="1" applyAlignment="1">
      <alignment vertical="center" wrapText="1"/>
    </xf>
    <xf numFmtId="3" fontId="60" fillId="7" borderId="88" xfId="0" applyNumberFormat="1" applyFont="1" applyFill="1" applyBorder="1" applyAlignment="1">
      <alignment vertical="center"/>
    </xf>
    <xf numFmtId="3" fontId="19" fillId="0" borderId="88" xfId="0" applyNumberFormat="1" applyFont="1" applyBorder="1" applyAlignment="1">
      <alignment vertical="center"/>
    </xf>
    <xf numFmtId="167" fontId="66" fillId="0" borderId="0" xfId="2" applyNumberFormat="1" applyFont="1" applyBorder="1" applyAlignment="1">
      <alignment horizontal="centerContinuous" vertical="center"/>
    </xf>
    <xf numFmtId="167" fontId="45" fillId="2" borderId="0" xfId="0" applyNumberFormat="1" applyFont="1" applyFill="1" applyAlignment="1">
      <alignment horizontal="center" vertical="center"/>
    </xf>
    <xf numFmtId="0" fontId="18" fillId="7" borderId="107" xfId="0" applyFont="1" applyFill="1" applyBorder="1" applyAlignment="1">
      <alignment horizontal="center" vertical="center"/>
    </xf>
    <xf numFmtId="37" fontId="63" fillId="9" borderId="0" xfId="0" applyNumberFormat="1" applyFont="1" applyFill="1" applyAlignment="1">
      <alignment vertical="center"/>
    </xf>
    <xf numFmtId="37" fontId="60" fillId="9" borderId="0" xfId="0" applyNumberFormat="1" applyFont="1" applyFill="1" applyAlignment="1">
      <alignment vertical="center"/>
    </xf>
    <xf numFmtId="37" fontId="60" fillId="9" borderId="0" xfId="0" applyNumberFormat="1" applyFont="1" applyFill="1" applyAlignment="1">
      <alignment vertical="center" wrapText="1"/>
    </xf>
    <xf numFmtId="37" fontId="19" fillId="12" borderId="0" xfId="0" applyNumberFormat="1" applyFont="1" applyFill="1" applyAlignment="1">
      <alignment vertical="center"/>
    </xf>
    <xf numFmtId="37" fontId="19" fillId="12" borderId="0" xfId="0" applyNumberFormat="1" applyFont="1" applyFill="1" applyAlignment="1">
      <alignment vertical="center" wrapText="1"/>
    </xf>
    <xf numFmtId="3" fontId="60" fillId="4" borderId="0" xfId="0" applyNumberFormat="1" applyFont="1" applyFill="1" applyAlignment="1">
      <alignment horizontal="center" vertical="center"/>
    </xf>
    <xf numFmtId="37" fontId="44" fillId="0" borderId="0" xfId="0" quotePrefix="1" applyNumberFormat="1" applyFont="1" applyAlignment="1">
      <alignment vertical="center"/>
    </xf>
    <xf numFmtId="37" fontId="98" fillId="0" borderId="0" xfId="0" applyNumberFormat="1" applyFont="1" applyAlignment="1">
      <alignment horizontal="center" vertical="center" wrapText="1"/>
    </xf>
    <xf numFmtId="3" fontId="44" fillId="2" borderId="38" xfId="0" quotePrefix="1" applyNumberFormat="1" applyFont="1" applyFill="1" applyBorder="1" applyAlignment="1">
      <alignment horizontal="left" vertical="center"/>
    </xf>
    <xf numFmtId="3" fontId="44" fillId="2" borderId="53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9" fillId="0" borderId="0" xfId="0" applyFont="1" applyAlignment="1">
      <alignment vertical="center"/>
    </xf>
    <xf numFmtId="3" fontId="9" fillId="2" borderId="0" xfId="0" applyNumberFormat="1" applyFont="1" applyFill="1" applyAlignment="1">
      <alignment horizontal="center" vertical="center"/>
    </xf>
    <xf numFmtId="3" fontId="9" fillId="2" borderId="0" xfId="0" applyNumberFormat="1" applyFont="1" applyFill="1" applyAlignment="1">
      <alignment horizontal="left" vertical="center"/>
    </xf>
    <xf numFmtId="3" fontId="24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3" fontId="24" fillId="2" borderId="0" xfId="0" applyNumberFormat="1" applyFont="1" applyFill="1" applyAlignment="1">
      <alignment vertical="center"/>
    </xf>
    <xf numFmtId="3" fontId="35" fillId="5" borderId="0" xfId="0" applyNumberFormat="1" applyFont="1" applyFill="1" applyAlignment="1">
      <alignment vertical="center"/>
    </xf>
    <xf numFmtId="3" fontId="44" fillId="5" borderId="0" xfId="0" applyNumberFormat="1" applyFont="1" applyFill="1" applyAlignment="1">
      <alignment vertical="center"/>
    </xf>
    <xf numFmtId="3" fontId="24" fillId="2" borderId="0" xfId="0" applyNumberFormat="1" applyFont="1" applyFill="1" applyAlignment="1">
      <alignment horizontal="center" vertical="center"/>
    </xf>
    <xf numFmtId="37" fontId="35" fillId="5" borderId="0" xfId="0" applyNumberFormat="1" applyFont="1" applyFill="1" applyAlignment="1">
      <alignment vertical="center"/>
    </xf>
    <xf numFmtId="3" fontId="44" fillId="13" borderId="107" xfId="0" applyNumberFormat="1" applyFont="1" applyFill="1" applyBorder="1" applyAlignment="1">
      <alignment vertical="center" wrapText="1"/>
    </xf>
    <xf numFmtId="3" fontId="44" fillId="13" borderId="107" xfId="0" applyNumberFormat="1" applyFont="1" applyFill="1" applyBorder="1" applyAlignment="1">
      <alignment vertical="center"/>
    </xf>
    <xf numFmtId="3" fontId="9" fillId="2" borderId="0" xfId="0" applyNumberFormat="1" applyFont="1" applyFill="1" applyAlignment="1">
      <alignment horizontal="right" vertical="center"/>
    </xf>
    <xf numFmtId="3" fontId="35" fillId="2" borderId="47" xfId="0" applyNumberFormat="1" applyFont="1" applyFill="1" applyBorder="1" applyAlignment="1">
      <alignment vertical="center" wrapText="1"/>
    </xf>
    <xf numFmtId="0" fontId="61" fillId="5" borderId="44" xfId="0" applyFont="1" applyFill="1" applyBorder="1" applyAlignment="1">
      <alignment vertical="center"/>
    </xf>
    <xf numFmtId="3" fontId="35" fillId="5" borderId="0" xfId="0" applyNumberFormat="1" applyFont="1" applyFill="1" applyAlignment="1">
      <alignment vertical="center" wrapText="1"/>
    </xf>
    <xf numFmtId="3" fontId="61" fillId="5" borderId="0" xfId="0" applyNumberFormat="1" applyFont="1" applyFill="1" applyAlignment="1">
      <alignment vertical="center" wrapText="1"/>
    </xf>
    <xf numFmtId="3" fontId="9" fillId="2" borderId="44" xfId="0" applyNumberFormat="1" applyFont="1" applyFill="1" applyBorder="1" applyAlignment="1">
      <alignment vertical="center"/>
    </xf>
    <xf numFmtId="3" fontId="9" fillId="2" borderId="47" xfId="0" applyNumberFormat="1" applyFont="1" applyFill="1" applyBorder="1" applyAlignment="1">
      <alignment horizontal="right" vertical="center"/>
    </xf>
    <xf numFmtId="3" fontId="16" fillId="2" borderId="44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3" fontId="16" fillId="2" borderId="47" xfId="0" applyNumberFormat="1" applyFont="1" applyFill="1" applyBorder="1" applyAlignment="1">
      <alignment horizontal="center" vertical="center"/>
    </xf>
    <xf numFmtId="3" fontId="16" fillId="4" borderId="0" xfId="0" applyNumberFormat="1" applyFont="1" applyFill="1" applyAlignment="1">
      <alignment vertical="center"/>
    </xf>
    <xf numFmtId="3" fontId="16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vertical="center"/>
    </xf>
    <xf numFmtId="15" fontId="16" fillId="2" borderId="0" xfId="0" applyNumberFormat="1" applyFont="1" applyFill="1" applyAlignment="1">
      <alignment horizontal="center" vertical="center"/>
    </xf>
    <xf numFmtId="3" fontId="16" fillId="2" borderId="47" xfId="0" applyNumberFormat="1" applyFont="1" applyFill="1" applyBorder="1" applyAlignment="1">
      <alignment vertical="center"/>
    </xf>
    <xf numFmtId="3" fontId="9" fillId="2" borderId="44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3" fontId="9" fillId="2" borderId="47" xfId="0" applyNumberFormat="1" applyFont="1" applyFill="1" applyBorder="1" applyAlignment="1">
      <alignment horizontal="center" vertical="center"/>
    </xf>
    <xf numFmtId="3" fontId="9" fillId="2" borderId="47" xfId="0" applyNumberFormat="1" applyFont="1" applyFill="1" applyBorder="1" applyAlignment="1">
      <alignment vertical="center" wrapText="1"/>
    </xf>
    <xf numFmtId="3" fontId="9" fillId="2" borderId="137" xfId="0" applyNumberFormat="1" applyFont="1" applyFill="1" applyBorder="1" applyAlignment="1">
      <alignment vertical="center"/>
    </xf>
    <xf numFmtId="3" fontId="9" fillId="2" borderId="69" xfId="0" applyNumberFormat="1" applyFont="1" applyFill="1" applyBorder="1" applyAlignment="1">
      <alignment horizontal="center" vertical="center"/>
    </xf>
    <xf numFmtId="9" fontId="9" fillId="2" borderId="69" xfId="0" applyNumberFormat="1" applyFont="1" applyFill="1" applyBorder="1" applyAlignment="1">
      <alignment horizontal="center" vertical="center"/>
    </xf>
    <xf numFmtId="3" fontId="9" fillId="2" borderId="69" xfId="0" applyNumberFormat="1" applyFont="1" applyFill="1" applyBorder="1" applyAlignment="1">
      <alignment vertical="center"/>
    </xf>
    <xf numFmtId="3" fontId="9" fillId="2" borderId="138" xfId="0" applyNumberFormat="1" applyFont="1" applyFill="1" applyBorder="1" applyAlignment="1">
      <alignment vertical="center" wrapText="1"/>
    </xf>
    <xf numFmtId="3" fontId="12" fillId="2" borderId="0" xfId="0" applyNumberFormat="1" applyFont="1" applyFill="1" applyAlignment="1">
      <alignment vertical="center"/>
    </xf>
    <xf numFmtId="3" fontId="15" fillId="2" borderId="137" xfId="0" applyNumberFormat="1" applyFont="1" applyFill="1" applyBorder="1" applyAlignment="1" applyProtection="1">
      <alignment vertical="center"/>
      <protection locked="0"/>
    </xf>
    <xf numFmtId="3" fontId="15" fillId="2" borderId="138" xfId="0" applyNumberFormat="1" applyFont="1" applyFill="1" applyBorder="1" applyAlignment="1" applyProtection="1">
      <alignment horizontal="right" vertical="center"/>
      <protection locked="0"/>
    </xf>
    <xf numFmtId="37" fontId="61" fillId="2" borderId="1" xfId="0" applyNumberFormat="1" applyFont="1" applyFill="1" applyBorder="1" applyAlignment="1">
      <alignment vertical="center"/>
    </xf>
    <xf numFmtId="10" fontId="61" fillId="0" borderId="0" xfId="1" applyNumberFormat="1" applyFont="1" applyAlignment="1">
      <alignment vertical="center"/>
    </xf>
    <xf numFmtId="37" fontId="40" fillId="0" borderId="0" xfId="0" applyNumberFormat="1" applyFont="1" applyAlignment="1">
      <alignment horizontal="centerContinuous" vertical="center"/>
    </xf>
    <xf numFmtId="3" fontId="41" fillId="0" borderId="107" xfId="0" applyNumberFormat="1" applyFont="1" applyBorder="1" applyAlignment="1">
      <alignment vertical="center"/>
    </xf>
    <xf numFmtId="3" fontId="18" fillId="0" borderId="107" xfId="0" applyNumberFormat="1" applyFont="1" applyBorder="1" applyAlignment="1">
      <alignment vertical="center"/>
    </xf>
    <xf numFmtId="3" fontId="53" fillId="0" borderId="126" xfId="0" applyNumberFormat="1" applyFont="1" applyBorder="1" applyAlignment="1">
      <alignment horizontal="center" vertical="center" wrapText="1"/>
    </xf>
    <xf numFmtId="37" fontId="41" fillId="0" borderId="126" xfId="0" applyNumberFormat="1" applyFont="1" applyBorder="1" applyAlignment="1">
      <alignment horizontal="center" vertical="center" wrapText="1"/>
    </xf>
    <xf numFmtId="3" fontId="62" fillId="0" borderId="126" xfId="0" applyNumberFormat="1" applyFont="1" applyBorder="1" applyAlignment="1">
      <alignment horizontal="center" vertical="center" wrapText="1"/>
    </xf>
    <xf numFmtId="37" fontId="19" fillId="0" borderId="126" xfId="0" applyNumberFormat="1" applyFont="1" applyBorder="1" applyAlignment="1">
      <alignment horizontal="center" vertical="center" wrapText="1"/>
    </xf>
    <xf numFmtId="3" fontId="19" fillId="0" borderId="107" xfId="0" applyNumberFormat="1" applyFont="1" applyBorder="1" applyAlignment="1">
      <alignment vertical="center"/>
    </xf>
    <xf numFmtId="37" fontId="61" fillId="0" borderId="3" xfId="0" applyNumberFormat="1" applyFont="1" applyBorder="1" applyAlignment="1">
      <alignment vertical="center"/>
    </xf>
    <xf numFmtId="4" fontId="19" fillId="0" borderId="107" xfId="0" applyNumberFormat="1" applyFont="1" applyBorder="1" applyAlignment="1">
      <alignment vertical="center"/>
    </xf>
    <xf numFmtId="3" fontId="44" fillId="2" borderId="126" xfId="0" quotePrefix="1" applyNumberFormat="1" applyFont="1" applyFill="1" applyBorder="1" applyAlignment="1">
      <alignment horizontal="center" vertical="center"/>
    </xf>
    <xf numFmtId="3" fontId="44" fillId="2" borderId="126" xfId="0" applyNumberFormat="1" applyFont="1" applyFill="1" applyBorder="1" applyAlignment="1">
      <alignment horizontal="center" vertical="center"/>
    </xf>
    <xf numFmtId="3" fontId="44" fillId="12" borderId="0" xfId="0" applyNumberFormat="1" applyFont="1" applyFill="1" applyAlignment="1">
      <alignment vertical="center"/>
    </xf>
    <xf numFmtId="37" fontId="10" fillId="2" borderId="0" xfId="0" applyNumberFormat="1" applyFont="1" applyFill="1" applyAlignment="1">
      <alignment horizontal="center" vertical="center"/>
    </xf>
    <xf numFmtId="37" fontId="83" fillId="2" borderId="0" xfId="0" applyNumberFormat="1" applyFont="1" applyFill="1" applyAlignment="1">
      <alignment horizontal="center" vertical="center"/>
    </xf>
    <xf numFmtId="37" fontId="82" fillId="2" borderId="0" xfId="0" applyNumberFormat="1" applyFont="1" applyFill="1" applyAlignment="1">
      <alignment horizontal="center" vertical="center"/>
    </xf>
    <xf numFmtId="37" fontId="79" fillId="0" borderId="0" xfId="0" applyNumberFormat="1" applyFont="1" applyAlignment="1">
      <alignment horizontal="center" vertical="center"/>
    </xf>
    <xf numFmtId="37" fontId="35" fillId="2" borderId="0" xfId="0" applyNumberFormat="1" applyFont="1" applyFill="1" applyAlignment="1">
      <alignment horizontal="center" vertical="center"/>
    </xf>
    <xf numFmtId="3" fontId="18" fillId="0" borderId="2" xfId="0" applyNumberFormat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3" fontId="22" fillId="0" borderId="12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3" fontId="22" fillId="4" borderId="0" xfId="0" applyNumberFormat="1" applyFont="1" applyFill="1" applyAlignment="1">
      <alignment horizontal="center" vertical="center"/>
    </xf>
    <xf numFmtId="3" fontId="22" fillId="0" borderId="22" xfId="0" applyNumberFormat="1" applyFont="1" applyBorder="1" applyAlignment="1">
      <alignment horizontal="center" vertical="center"/>
    </xf>
    <xf numFmtId="37" fontId="20" fillId="2" borderId="0" xfId="0" applyNumberFormat="1" applyFont="1" applyFill="1" applyAlignment="1">
      <alignment horizontal="center" vertical="center"/>
    </xf>
    <xf numFmtId="37" fontId="61" fillId="2" borderId="0" xfId="0" applyNumberFormat="1" applyFont="1" applyFill="1" applyAlignment="1">
      <alignment horizontal="center" vertical="center"/>
    </xf>
    <xf numFmtId="37" fontId="18" fillId="2" borderId="2" xfId="0" applyNumberFormat="1" applyFont="1" applyFill="1" applyBorder="1" applyAlignment="1">
      <alignment horizontal="center" vertical="center"/>
    </xf>
    <xf numFmtId="37" fontId="35" fillId="2" borderId="2" xfId="0" applyNumberFormat="1" applyFont="1" applyFill="1" applyBorder="1" applyAlignment="1">
      <alignment horizontal="center" vertical="center"/>
    </xf>
    <xf numFmtId="3" fontId="22" fillId="0" borderId="2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3" fontId="18" fillId="0" borderId="61" xfId="0" applyNumberFormat="1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/>
    </xf>
    <xf numFmtId="3" fontId="18" fillId="0" borderId="23" xfId="0" applyNumberFormat="1" applyFont="1" applyBorder="1" applyAlignment="1">
      <alignment horizontal="center" vertical="center"/>
    </xf>
    <xf numFmtId="37" fontId="35" fillId="4" borderId="0" xfId="0" applyNumberFormat="1" applyFont="1" applyFill="1" applyAlignment="1">
      <alignment horizontal="center" vertical="center"/>
    </xf>
    <xf numFmtId="3" fontId="68" fillId="0" borderId="0" xfId="0" quotePrefix="1" applyNumberFormat="1" applyFont="1" applyAlignment="1">
      <alignment vertical="center"/>
    </xf>
    <xf numFmtId="37" fontId="68" fillId="0" borderId="0" xfId="0" quotePrefix="1" applyNumberFormat="1" applyFont="1" applyAlignment="1">
      <alignment vertical="center"/>
    </xf>
    <xf numFmtId="37" fontId="17" fillId="0" borderId="31" xfId="0" applyNumberFormat="1" applyFont="1" applyBorder="1" applyAlignment="1">
      <alignment vertical="center" wrapText="1"/>
    </xf>
    <xf numFmtId="3" fontId="77" fillId="0" borderId="8" xfId="0" applyNumberFormat="1" applyFont="1" applyBorder="1"/>
    <xf numFmtId="3" fontId="9" fillId="0" borderId="7" xfId="0" applyNumberFormat="1" applyFont="1" applyBorder="1" applyAlignment="1">
      <alignment vertical="center"/>
    </xf>
    <xf numFmtId="3" fontId="9" fillId="0" borderId="8" xfId="0" applyNumberFormat="1" applyFont="1" applyBorder="1" applyAlignment="1">
      <alignment vertical="center"/>
    </xf>
    <xf numFmtId="3" fontId="9" fillId="0" borderId="84" xfId="0" applyNumberFormat="1" applyFont="1" applyBorder="1" applyAlignment="1">
      <alignment vertical="center"/>
    </xf>
    <xf numFmtId="3" fontId="81" fillId="0" borderId="7" xfId="0" applyNumberFormat="1" applyFont="1" applyBorder="1" applyAlignment="1">
      <alignment vertical="center"/>
    </xf>
    <xf numFmtId="3" fontId="81" fillId="4" borderId="7" xfId="0" applyNumberFormat="1" applyFont="1" applyFill="1" applyBorder="1" applyAlignment="1">
      <alignment vertical="center"/>
    </xf>
    <xf numFmtId="3" fontId="9" fillId="0" borderId="5" xfId="0" applyNumberFormat="1" applyFont="1" applyBorder="1" applyAlignment="1">
      <alignment vertical="center"/>
    </xf>
    <xf numFmtId="3" fontId="20" fillId="0" borderId="7" xfId="0" quotePrefix="1" applyNumberFormat="1" applyFont="1" applyBorder="1" applyAlignment="1">
      <alignment vertical="center"/>
    </xf>
    <xf numFmtId="3" fontId="9" fillId="2" borderId="7" xfId="0" applyNumberFormat="1" applyFont="1" applyFill="1" applyBorder="1" applyAlignment="1">
      <alignment vertical="center"/>
    </xf>
    <xf numFmtId="3" fontId="81" fillId="0" borderId="8" xfId="0" applyNumberFormat="1" applyFont="1" applyBorder="1" applyAlignment="1">
      <alignment vertical="center"/>
    </xf>
    <xf numFmtId="3" fontId="21" fillId="0" borderId="3" xfId="0" applyNumberFormat="1" applyFont="1" applyBorder="1" applyAlignment="1">
      <alignment vertical="center"/>
    </xf>
    <xf numFmtId="3" fontId="81" fillId="0" borderId="3" xfId="0" applyNumberFormat="1" applyFont="1" applyBorder="1" applyAlignment="1">
      <alignment vertical="center"/>
    </xf>
    <xf numFmtId="3" fontId="9" fillId="2" borderId="60" xfId="0" applyNumberFormat="1" applyFont="1" applyFill="1" applyBorder="1" applyAlignment="1">
      <alignment vertical="center"/>
    </xf>
    <xf numFmtId="3" fontId="21" fillId="0" borderId="60" xfId="0" applyNumberFormat="1" applyFont="1" applyBorder="1" applyAlignment="1">
      <alignment vertical="center"/>
    </xf>
    <xf numFmtId="3" fontId="21" fillId="0" borderId="5" xfId="0" applyNumberFormat="1" applyFont="1" applyBorder="1" applyAlignment="1">
      <alignment vertical="center"/>
    </xf>
    <xf numFmtId="39" fontId="41" fillId="0" borderId="0" xfId="0" applyNumberFormat="1" applyFont="1" applyAlignment="1">
      <alignment horizontal="center" vertical="center" wrapText="1"/>
    </xf>
    <xf numFmtId="39" fontId="19" fillId="0" borderId="0" xfId="0" applyNumberFormat="1" applyFont="1" applyAlignment="1">
      <alignment vertical="center"/>
    </xf>
    <xf numFmtId="3" fontId="9" fillId="0" borderId="3" xfId="0" applyNumberFormat="1" applyFont="1" applyBorder="1" applyAlignment="1">
      <alignment vertical="center" wrapText="1"/>
    </xf>
    <xf numFmtId="3" fontId="44" fillId="0" borderId="0" xfId="0" applyNumberFormat="1" applyFont="1" applyAlignment="1">
      <alignment vertical="center" wrapText="1"/>
    </xf>
    <xf numFmtId="3" fontId="44" fillId="0" borderId="2" xfId="0" applyNumberFormat="1" applyFont="1" applyBorder="1" applyAlignment="1">
      <alignment vertical="center"/>
    </xf>
    <xf numFmtId="3" fontId="21" fillId="0" borderId="110" xfId="0" applyNumberFormat="1" applyFont="1" applyBorder="1" applyAlignment="1">
      <alignment vertical="center"/>
    </xf>
    <xf numFmtId="3" fontId="44" fillId="0" borderId="98" xfId="0" applyNumberFormat="1" applyFont="1" applyBorder="1" applyAlignment="1">
      <alignment vertical="center"/>
    </xf>
    <xf numFmtId="3" fontId="41" fillId="5" borderId="107" xfId="0" applyNumberFormat="1" applyFont="1" applyFill="1" applyBorder="1" applyAlignment="1">
      <alignment vertical="center"/>
    </xf>
    <xf numFmtId="3" fontId="19" fillId="5" borderId="107" xfId="0" applyNumberFormat="1" applyFont="1" applyFill="1" applyBorder="1" applyAlignment="1">
      <alignment vertical="center"/>
    </xf>
    <xf numFmtId="37" fontId="49" fillId="5" borderId="107" xfId="0" applyNumberFormat="1" applyFont="1" applyFill="1" applyBorder="1" applyAlignment="1">
      <alignment horizontal="center" vertical="center"/>
    </xf>
    <xf numFmtId="4" fontId="19" fillId="5" borderId="107" xfId="0" applyNumberFormat="1" applyFont="1" applyFill="1" applyBorder="1" applyAlignment="1">
      <alignment vertical="center"/>
    </xf>
    <xf numFmtId="3" fontId="41" fillId="0" borderId="0" xfId="0" quotePrefix="1" applyNumberFormat="1" applyFont="1" applyAlignment="1">
      <alignment horizontal="center" vertical="center"/>
    </xf>
    <xf numFmtId="3" fontId="45" fillId="2" borderId="0" xfId="0" applyNumberFormat="1" applyFont="1" applyFill="1" applyAlignment="1">
      <alignment horizontal="center" vertical="center"/>
    </xf>
    <xf numFmtId="9" fontId="41" fillId="0" borderId="69" xfId="0" quotePrefix="1" applyNumberFormat="1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37" fontId="41" fillId="2" borderId="27" xfId="0" applyNumberFormat="1" applyFont="1" applyFill="1" applyBorder="1" applyAlignment="1">
      <alignment horizontal="center" vertical="center"/>
    </xf>
    <xf numFmtId="3" fontId="41" fillId="4" borderId="0" xfId="0" applyNumberFormat="1" applyFont="1" applyFill="1" applyAlignment="1">
      <alignment horizontal="center" vertical="center"/>
    </xf>
    <xf numFmtId="49" fontId="19" fillId="2" borderId="0" xfId="0" applyNumberFormat="1" applyFont="1" applyFill="1" applyAlignment="1">
      <alignment horizontal="center" vertical="center"/>
    </xf>
    <xf numFmtId="0" fontId="19" fillId="0" borderId="69" xfId="0" applyFont="1" applyBorder="1" applyAlignment="1">
      <alignment vertical="center"/>
    </xf>
    <xf numFmtId="49" fontId="19" fillId="0" borderId="47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Continuous" vertical="center"/>
    </xf>
    <xf numFmtId="37" fontId="19" fillId="0" borderId="108" xfId="0" applyNumberFormat="1" applyFont="1" applyBorder="1" applyAlignment="1">
      <alignment horizontal="center" vertical="center"/>
    </xf>
    <xf numFmtId="37" fontId="19" fillId="2" borderId="101" xfId="0" applyNumberFormat="1" applyFont="1" applyFill="1" applyBorder="1" applyAlignment="1">
      <alignment horizontal="center" vertical="center"/>
    </xf>
    <xf numFmtId="49" fontId="19" fillId="4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37" fontId="19" fillId="0" borderId="85" xfId="0" applyNumberFormat="1" applyFont="1" applyBorder="1" applyAlignment="1">
      <alignment horizontal="center" vertical="center"/>
    </xf>
    <xf numFmtId="37" fontId="19" fillId="0" borderId="101" xfId="0" applyNumberFormat="1" applyFont="1" applyBorder="1" applyAlignment="1">
      <alignment horizontal="center" vertical="center"/>
    </xf>
    <xf numFmtId="3" fontId="44" fillId="0" borderId="61" xfId="0" applyNumberFormat="1" applyFont="1" applyBorder="1" applyAlignment="1">
      <alignment vertical="center"/>
    </xf>
    <xf numFmtId="37" fontId="19" fillId="10" borderId="31" xfId="0" applyNumberFormat="1" applyFont="1" applyFill="1" applyBorder="1" applyAlignment="1">
      <alignment vertical="center"/>
    </xf>
    <xf numFmtId="37" fontId="18" fillId="10" borderId="39" xfId="0" applyNumberFormat="1" applyFont="1" applyFill="1" applyBorder="1" applyAlignment="1">
      <alignment vertical="center"/>
    </xf>
    <xf numFmtId="37" fontId="35" fillId="10" borderId="39" xfId="0" applyNumberFormat="1" applyFont="1" applyFill="1" applyBorder="1" applyAlignment="1">
      <alignment vertical="center"/>
    </xf>
    <xf numFmtId="37" fontId="35" fillId="10" borderId="40" xfId="0" applyNumberFormat="1" applyFont="1" applyFill="1" applyBorder="1" applyAlignment="1">
      <alignment vertical="center"/>
    </xf>
    <xf numFmtId="37" fontId="19" fillId="10" borderId="126" xfId="0" applyNumberFormat="1" applyFont="1" applyFill="1" applyBorder="1" applyAlignment="1">
      <alignment vertical="center"/>
    </xf>
    <xf numFmtId="37" fontId="19" fillId="10" borderId="40" xfId="0" applyNumberFormat="1" applyFont="1" applyFill="1" applyBorder="1" applyAlignment="1">
      <alignment vertical="center" wrapText="1"/>
    </xf>
    <xf numFmtId="3" fontId="37" fillId="5" borderId="42" xfId="0" applyNumberFormat="1" applyFont="1" applyFill="1" applyBorder="1" applyAlignment="1">
      <alignment horizontal="center" vertical="center" wrapText="1"/>
    </xf>
    <xf numFmtId="39" fontId="61" fillId="0" borderId="0" xfId="0" applyNumberFormat="1" applyFont="1" applyAlignment="1">
      <alignment vertical="center"/>
    </xf>
    <xf numFmtId="3" fontId="21" fillId="0" borderId="139" xfId="0" applyNumberFormat="1" applyFont="1" applyBorder="1" applyAlignment="1">
      <alignment vertical="center"/>
    </xf>
    <xf numFmtId="3" fontId="18" fillId="0" borderId="140" xfId="0" applyNumberFormat="1" applyFont="1" applyBorder="1" applyAlignment="1">
      <alignment horizontal="center" vertical="center"/>
    </xf>
    <xf numFmtId="37" fontId="21" fillId="0" borderId="140" xfId="0" applyNumberFormat="1" applyFont="1" applyBorder="1" applyAlignment="1">
      <alignment vertical="center"/>
    </xf>
    <xf numFmtId="37" fontId="19" fillId="0" borderId="140" xfId="0" applyNumberFormat="1" applyFont="1" applyBorder="1" applyAlignment="1">
      <alignment vertical="center"/>
    </xf>
    <xf numFmtId="37" fontId="34" fillId="0" borderId="140" xfId="0" applyNumberFormat="1" applyFont="1" applyBorder="1" applyAlignment="1">
      <alignment vertical="center"/>
    </xf>
    <xf numFmtId="37" fontId="20" fillId="0" borderId="140" xfId="0" applyNumberFormat="1" applyFont="1" applyBorder="1" applyAlignment="1">
      <alignment vertical="center"/>
    </xf>
    <xf numFmtId="37" fontId="19" fillId="0" borderId="141" xfId="0" applyNumberFormat="1" applyFont="1" applyBorder="1" applyAlignment="1">
      <alignment vertical="center"/>
    </xf>
    <xf numFmtId="3" fontId="44" fillId="2" borderId="88" xfId="0" applyNumberFormat="1" applyFont="1" applyFill="1" applyBorder="1" applyAlignment="1">
      <alignment vertical="center" wrapText="1"/>
    </xf>
    <xf numFmtId="0" fontId="18" fillId="22" borderId="143" xfId="0" applyFont="1" applyFill="1" applyBorder="1" applyAlignment="1">
      <alignment vertical="center" wrapText="1"/>
    </xf>
    <xf numFmtId="37" fontId="9" fillId="0" borderId="107" xfId="0" applyNumberFormat="1" applyFont="1" applyBorder="1" applyAlignment="1">
      <alignment vertical="center"/>
    </xf>
    <xf numFmtId="37" fontId="90" fillId="0" borderId="107" xfId="0" applyNumberFormat="1" applyFont="1" applyBorder="1" applyAlignment="1">
      <alignment vertical="center"/>
    </xf>
    <xf numFmtId="37" fontId="91" fillId="0" borderId="107" xfId="0" applyNumberFormat="1" applyFont="1" applyBorder="1" applyAlignment="1">
      <alignment vertical="center"/>
    </xf>
    <xf numFmtId="0" fontId="5" fillId="0" borderId="29" xfId="0" applyFont="1" applyBorder="1" applyAlignment="1">
      <alignment vertical="center" wrapText="1"/>
    </xf>
    <xf numFmtId="37" fontId="19" fillId="0" borderId="129" xfId="0" applyNumberFormat="1" applyFont="1" applyBorder="1" applyAlignment="1">
      <alignment horizontal="center" vertical="center"/>
    </xf>
    <xf numFmtId="3" fontId="44" fillId="0" borderId="127" xfId="0" applyNumberFormat="1" applyFont="1" applyBorder="1" applyAlignment="1">
      <alignment vertical="center"/>
    </xf>
    <xf numFmtId="0" fontId="5" fillId="0" borderId="143" xfId="0" applyFont="1" applyBorder="1" applyAlignment="1">
      <alignment vertical="center" wrapText="1"/>
    </xf>
    <xf numFmtId="37" fontId="50" fillId="0" borderId="143" xfId="0" applyNumberFormat="1" applyFont="1" applyBorder="1" applyAlignment="1">
      <alignment horizontal="center" vertical="center"/>
    </xf>
    <xf numFmtId="37" fontId="8" fillId="0" borderId="143" xfId="0" applyNumberFormat="1" applyFont="1" applyBorder="1" applyAlignment="1">
      <alignment horizontal="center" vertical="center"/>
    </xf>
    <xf numFmtId="14" fontId="8" fillId="0" borderId="143" xfId="0" applyNumberFormat="1" applyFont="1" applyBorder="1" applyAlignment="1">
      <alignment horizontal="center" vertical="center"/>
    </xf>
    <xf numFmtId="37" fontId="44" fillId="0" borderId="142" xfId="0" applyNumberFormat="1" applyFont="1" applyBorder="1" applyAlignment="1">
      <alignment vertical="center"/>
    </xf>
    <xf numFmtId="0" fontId="4" fillId="0" borderId="107" xfId="0" applyFont="1" applyBorder="1" applyAlignment="1">
      <alignment vertical="center" wrapText="1"/>
    </xf>
    <xf numFmtId="37" fontId="9" fillId="0" borderId="3" xfId="0" applyNumberFormat="1" applyFont="1" applyBorder="1" applyAlignment="1">
      <alignment vertical="center" wrapText="1"/>
    </xf>
    <xf numFmtId="0" fontId="3" fillId="0" borderId="107" xfId="0" applyFont="1" applyBorder="1" applyAlignment="1">
      <alignment vertical="center" wrapText="1"/>
    </xf>
    <xf numFmtId="0" fontId="5" fillId="0" borderId="107" xfId="0" quotePrefix="1" applyFont="1" applyBorder="1" applyAlignment="1">
      <alignment vertical="center" wrapText="1"/>
    </xf>
    <xf numFmtId="3" fontId="17" fillId="5" borderId="0" xfId="0" applyNumberFormat="1" applyFont="1" applyFill="1" applyAlignment="1">
      <alignment horizontal="center" vertical="center" wrapText="1"/>
    </xf>
    <xf numFmtId="10" fontId="24" fillId="5" borderId="0" xfId="1" applyNumberFormat="1" applyFont="1" applyFill="1" applyAlignment="1">
      <alignment horizontal="center" vertical="center"/>
    </xf>
    <xf numFmtId="37" fontId="5" fillId="0" borderId="112" xfId="0" applyNumberFormat="1" applyFont="1" applyBorder="1" applyAlignment="1">
      <alignment horizontal="right" vertical="center"/>
    </xf>
    <xf numFmtId="0" fontId="35" fillId="0" borderId="116" xfId="0" applyFont="1" applyBorder="1" applyAlignment="1">
      <alignment horizontal="center" vertical="center"/>
    </xf>
    <xf numFmtId="37" fontId="45" fillId="0" borderId="101" xfId="0" applyNumberFormat="1" applyFont="1" applyBorder="1" applyAlignment="1">
      <alignment vertical="center"/>
    </xf>
    <xf numFmtId="37" fontId="35" fillId="0" borderId="29" xfId="0" applyNumberFormat="1" applyFont="1" applyBorder="1" applyAlignment="1">
      <alignment vertical="center"/>
    </xf>
    <xf numFmtId="37" fontId="35" fillId="5" borderId="107" xfId="0" applyNumberFormat="1" applyFont="1" applyFill="1" applyBorder="1" applyAlignment="1">
      <alignment vertical="center"/>
    </xf>
    <xf numFmtId="37" fontId="35" fillId="0" borderId="107" xfId="0" quotePrefix="1" applyNumberFormat="1" applyFont="1" applyBorder="1" applyAlignment="1">
      <alignment vertical="center"/>
    </xf>
    <xf numFmtId="37" fontId="35" fillId="0" borderId="143" xfId="0" applyNumberFormat="1" applyFont="1" applyBorder="1" applyAlignment="1">
      <alignment horizontal="right" vertical="center"/>
    </xf>
    <xf numFmtId="0" fontId="99" fillId="0" borderId="0" xfId="0" applyFont="1" applyAlignment="1">
      <alignment vertical="center"/>
    </xf>
    <xf numFmtId="38" fontId="38" fillId="0" borderId="0" xfId="0" applyNumberFormat="1" applyFont="1" applyAlignment="1">
      <alignment vertical="center"/>
    </xf>
    <xf numFmtId="38" fontId="67" fillId="0" borderId="0" xfId="0" applyNumberFormat="1" applyFont="1" applyAlignment="1">
      <alignment horizontal="center" vertical="center"/>
    </xf>
    <xf numFmtId="0" fontId="36" fillId="9" borderId="0" xfId="0" applyFont="1" applyFill="1" applyAlignment="1">
      <alignment vertical="center"/>
    </xf>
    <xf numFmtId="37" fontId="75" fillId="5" borderId="0" xfId="0" applyNumberFormat="1" applyFont="1" applyFill="1" applyAlignment="1">
      <alignment horizontal="left" vertical="center"/>
    </xf>
    <xf numFmtId="37" fontId="38" fillId="5" borderId="0" xfId="0" applyNumberFormat="1" applyFont="1" applyFill="1" applyAlignment="1">
      <alignment horizontal="center" vertical="center"/>
    </xf>
    <xf numFmtId="38" fontId="43" fillId="5" borderId="0" xfId="0" applyNumberFormat="1" applyFont="1" applyFill="1" applyAlignment="1">
      <alignment horizontal="center" vertical="center" wrapText="1"/>
    </xf>
    <xf numFmtId="37" fontId="75" fillId="5" borderId="0" xfId="0" applyNumberFormat="1" applyFont="1" applyFill="1" applyAlignment="1">
      <alignment horizontal="center" vertical="center" wrapText="1"/>
    </xf>
    <xf numFmtId="0" fontId="100" fillId="0" borderId="0" xfId="0" applyFont="1" applyAlignment="1">
      <alignment vertical="center"/>
    </xf>
    <xf numFmtId="38" fontId="44" fillId="0" borderId="0" xfId="0" applyNumberFormat="1" applyFont="1" applyAlignment="1">
      <alignment vertical="center"/>
    </xf>
    <xf numFmtId="38" fontId="73" fillId="0" borderId="0" xfId="0" applyNumberFormat="1" applyFont="1" applyAlignment="1">
      <alignment horizontal="center" vertical="center"/>
    </xf>
    <xf numFmtId="38" fontId="43" fillId="5" borderId="0" xfId="0" applyNumberFormat="1" applyFont="1" applyFill="1" applyAlignment="1">
      <alignment horizontal="center" vertical="center"/>
    </xf>
    <xf numFmtId="3" fontId="15" fillId="2" borderId="44" xfId="0" applyNumberFormat="1" applyFont="1" applyFill="1" applyBorder="1" applyAlignment="1">
      <alignment vertical="center"/>
    </xf>
    <xf numFmtId="3" fontId="15" fillId="2" borderId="47" xfId="0" applyNumberFormat="1" applyFont="1" applyFill="1" applyBorder="1" applyAlignment="1">
      <alignment horizontal="right" vertical="center"/>
    </xf>
    <xf numFmtId="37" fontId="75" fillId="0" borderId="0" xfId="0" applyNumberFormat="1" applyFont="1" applyAlignment="1">
      <alignment horizontal="center" vertical="center"/>
    </xf>
    <xf numFmtId="37" fontId="38" fillId="0" borderId="0" xfId="0" applyNumberFormat="1" applyFont="1" applyAlignment="1">
      <alignment horizontal="center" vertical="center"/>
    </xf>
    <xf numFmtId="38" fontId="36" fillId="0" borderId="0" xfId="0" applyNumberFormat="1" applyFont="1" applyAlignment="1">
      <alignment horizontal="center" vertical="center"/>
    </xf>
    <xf numFmtId="38" fontId="36" fillId="0" borderId="0" xfId="0" applyNumberFormat="1" applyFont="1" applyAlignment="1">
      <alignment vertical="center"/>
    </xf>
    <xf numFmtId="0" fontId="17" fillId="0" borderId="143" xfId="0" applyFont="1" applyBorder="1" applyAlignment="1">
      <alignment horizontal="center" vertical="center"/>
    </xf>
    <xf numFmtId="0" fontId="38" fillId="0" borderId="143" xfId="0" applyFont="1" applyBorder="1" applyAlignment="1">
      <alignment horizontal="center" vertical="center"/>
    </xf>
    <xf numFmtId="38" fontId="17" fillId="0" borderId="143" xfId="0" applyNumberFormat="1" applyFont="1" applyBorder="1" applyAlignment="1">
      <alignment horizontal="center" vertical="center"/>
    </xf>
    <xf numFmtId="37" fontId="75" fillId="0" borderId="0" xfId="0" applyNumberFormat="1" applyFont="1" applyAlignment="1">
      <alignment vertical="center"/>
    </xf>
    <xf numFmtId="0" fontId="18" fillId="0" borderId="143" xfId="0" applyFont="1" applyBorder="1" applyAlignment="1">
      <alignment vertical="center" wrapText="1"/>
    </xf>
    <xf numFmtId="37" fontId="18" fillId="0" borderId="143" xfId="0" applyNumberFormat="1" applyFont="1" applyBorder="1" applyAlignment="1">
      <alignment vertical="center"/>
    </xf>
    <xf numFmtId="0" fontId="44" fillId="0" borderId="143" xfId="0" applyFont="1" applyBorder="1" applyAlignment="1">
      <alignment horizontal="center" vertical="center"/>
    </xf>
    <xf numFmtId="0" fontId="19" fillId="0" borderId="143" xfId="0" applyFont="1" applyBorder="1" applyAlignment="1">
      <alignment horizontal="center" vertical="center"/>
    </xf>
    <xf numFmtId="0" fontId="73" fillId="9" borderId="143" xfId="0" applyFont="1" applyFill="1" applyBorder="1" applyAlignment="1">
      <alignment horizontal="center" vertical="center"/>
    </xf>
    <xf numFmtId="0" fontId="102" fillId="0" borderId="143" xfId="0" applyFont="1" applyBorder="1" applyAlignment="1">
      <alignment horizontal="center" vertical="center"/>
    </xf>
    <xf numFmtId="38" fontId="73" fillId="0" borderId="143" xfId="0" applyNumberFormat="1" applyFont="1" applyBorder="1" applyAlignment="1">
      <alignment vertical="center"/>
    </xf>
    <xf numFmtId="37" fontId="44" fillId="0" borderId="143" xfId="0" quotePrefix="1" applyNumberFormat="1" applyFont="1" applyBorder="1" applyAlignment="1">
      <alignment horizontal="center" vertical="center"/>
    </xf>
    <xf numFmtId="38" fontId="73" fillId="0" borderId="143" xfId="0" applyNumberFormat="1" applyFont="1" applyBorder="1" applyAlignment="1">
      <alignment horizontal="center" vertical="center"/>
    </xf>
    <xf numFmtId="37" fontId="61" fillId="0" borderId="143" xfId="0" applyNumberFormat="1" applyFont="1" applyBorder="1" applyAlignment="1">
      <alignment horizontal="center" vertical="center"/>
    </xf>
    <xf numFmtId="37" fontId="43" fillId="0" borderId="143" xfId="0" applyNumberFormat="1" applyFont="1" applyBorder="1" applyAlignment="1">
      <alignment vertical="center"/>
    </xf>
    <xf numFmtId="37" fontId="44" fillId="0" borderId="143" xfId="0" applyNumberFormat="1" applyFont="1" applyBorder="1" applyAlignment="1">
      <alignment horizontal="center" vertical="center"/>
    </xf>
    <xf numFmtId="3" fontId="102" fillId="0" borderId="143" xfId="0" applyNumberFormat="1" applyFont="1" applyBorder="1" applyAlignment="1">
      <alignment horizontal="center" vertical="center"/>
    </xf>
    <xf numFmtId="3" fontId="44" fillId="0" borderId="143" xfId="0" applyNumberFormat="1" applyFont="1" applyBorder="1" applyAlignment="1">
      <alignment horizontal="right" vertical="center"/>
    </xf>
    <xf numFmtId="38" fontId="44" fillId="0" borderId="143" xfId="0" applyNumberFormat="1" applyFont="1" applyBorder="1" applyAlignment="1">
      <alignment vertical="center"/>
    </xf>
    <xf numFmtId="38" fontId="19" fillId="0" borderId="143" xfId="0" quotePrefix="1" applyNumberFormat="1" applyFont="1" applyBorder="1" applyAlignment="1">
      <alignment horizontal="center" vertical="center"/>
    </xf>
    <xf numFmtId="0" fontId="43" fillId="0" borderId="143" xfId="0" applyFont="1" applyBorder="1" applyAlignment="1">
      <alignment horizontal="center" vertical="center"/>
    </xf>
    <xf numFmtId="0" fontId="18" fillId="0" borderId="143" xfId="0" quotePrefix="1" applyFont="1" applyBorder="1" applyAlignment="1">
      <alignment horizontal="left" vertical="center" wrapText="1"/>
    </xf>
    <xf numFmtId="38" fontId="73" fillId="0" borderId="0" xfId="0" applyNumberFormat="1" applyFont="1" applyAlignment="1">
      <alignment vertical="center"/>
    </xf>
    <xf numFmtId="37" fontId="18" fillId="0" borderId="143" xfId="0" quotePrefix="1" applyNumberFormat="1" applyFont="1" applyBorder="1" applyAlignment="1">
      <alignment vertical="center"/>
    </xf>
    <xf numFmtId="0" fontId="73" fillId="0" borderId="143" xfId="0" applyFont="1" applyBorder="1" applyAlignment="1">
      <alignment horizontal="center" vertical="center"/>
    </xf>
    <xf numFmtId="0" fontId="75" fillId="9" borderId="0" xfId="0" applyFont="1" applyFill="1" applyAlignment="1">
      <alignment horizontal="center" vertical="center"/>
    </xf>
    <xf numFmtId="0" fontId="102" fillId="9" borderId="0" xfId="0" applyFont="1" applyFill="1" applyAlignment="1">
      <alignment vertical="center"/>
    </xf>
    <xf numFmtId="38" fontId="44" fillId="9" borderId="0" xfId="0" applyNumberFormat="1" applyFont="1" applyFill="1" applyAlignment="1">
      <alignment vertical="center"/>
    </xf>
    <xf numFmtId="38" fontId="73" fillId="9" borderId="0" xfId="0" applyNumberFormat="1" applyFont="1" applyFill="1" applyAlignment="1">
      <alignment horizontal="center" vertical="center"/>
    </xf>
    <xf numFmtId="37" fontId="19" fillId="0" borderId="143" xfId="0" applyNumberFormat="1" applyFont="1" applyBorder="1" applyAlignment="1">
      <alignment horizontal="center" vertical="center"/>
    </xf>
    <xf numFmtId="37" fontId="60" fillId="9" borderId="143" xfId="0" applyNumberFormat="1" applyFont="1" applyFill="1" applyBorder="1" applyAlignment="1">
      <alignment vertical="center"/>
    </xf>
    <xf numFmtId="37" fontId="102" fillId="0" borderId="0" xfId="0" applyNumberFormat="1" applyFont="1" applyAlignment="1">
      <alignment vertical="center"/>
    </xf>
    <xf numFmtId="38" fontId="19" fillId="15" borderId="143" xfId="0" applyNumberFormat="1" applyFont="1" applyFill="1" applyBorder="1" applyAlignment="1">
      <alignment vertical="center"/>
    </xf>
    <xf numFmtId="0" fontId="19" fillId="0" borderId="143" xfId="0" quotePrefix="1" applyFont="1" applyBorder="1" applyAlignment="1">
      <alignment horizontal="center" vertical="center"/>
    </xf>
    <xf numFmtId="0" fontId="60" fillId="0" borderId="143" xfId="0" quotePrefix="1" applyFont="1" applyBorder="1" applyAlignment="1">
      <alignment horizontal="center" vertical="center"/>
    </xf>
    <xf numFmtId="0" fontId="18" fillId="0" borderId="143" xfId="0" applyFont="1" applyBorder="1" applyAlignment="1">
      <alignment horizontal="center" vertical="center"/>
    </xf>
    <xf numFmtId="0" fontId="75" fillId="0" borderId="143" xfId="0" applyFont="1" applyBorder="1" applyAlignment="1">
      <alignment horizontal="center" vertical="center"/>
    </xf>
    <xf numFmtId="37" fontId="73" fillId="0" borderId="143" xfId="0" applyNumberFormat="1" applyFont="1" applyBorder="1" applyAlignment="1">
      <alignment horizontal="center" vertical="center"/>
    </xf>
    <xf numFmtId="37" fontId="60" fillId="0" borderId="143" xfId="0" applyNumberFormat="1" applyFont="1" applyBorder="1" applyAlignment="1">
      <alignment horizontal="center" vertical="center"/>
    </xf>
    <xf numFmtId="37" fontId="100" fillId="0" borderId="143" xfId="0" applyNumberFormat="1" applyFont="1" applyBorder="1" applyAlignment="1">
      <alignment vertical="center"/>
    </xf>
    <xf numFmtId="38" fontId="19" fillId="0" borderId="143" xfId="0" applyNumberFormat="1" applyFont="1" applyBorder="1" applyAlignment="1">
      <alignment horizontal="center" vertical="center"/>
    </xf>
    <xf numFmtId="0" fontId="18" fillId="0" borderId="143" xfId="0" quotePrefix="1" applyFont="1" applyBorder="1" applyAlignment="1">
      <alignment horizontal="center" vertical="center"/>
    </xf>
    <xf numFmtId="0" fontId="44" fillId="0" borderId="143" xfId="0" applyFont="1" applyBorder="1" applyAlignment="1">
      <alignment vertical="center"/>
    </xf>
    <xf numFmtId="37" fontId="60" fillId="0" borderId="143" xfId="0" quotePrefix="1" applyNumberFormat="1" applyFont="1" applyBorder="1" applyAlignment="1">
      <alignment horizontal="center" vertical="center"/>
    </xf>
    <xf numFmtId="0" fontId="100" fillId="0" borderId="143" xfId="0" applyFont="1" applyBorder="1" applyAlignment="1">
      <alignment vertical="center"/>
    </xf>
    <xf numFmtId="37" fontId="43" fillId="0" borderId="149" xfId="0" applyNumberFormat="1" applyFont="1" applyBorder="1" applyAlignment="1">
      <alignment vertical="center"/>
    </xf>
    <xf numFmtId="37" fontId="19" fillId="0" borderId="143" xfId="0" quotePrefix="1" applyNumberFormat="1" applyFont="1" applyBorder="1" applyAlignment="1">
      <alignment horizontal="center" vertical="center"/>
    </xf>
    <xf numFmtId="37" fontId="102" fillId="0" borderId="143" xfId="0" quotePrefix="1" applyNumberFormat="1" applyFont="1" applyBorder="1" applyAlignment="1">
      <alignment horizontal="center" vertical="center"/>
    </xf>
    <xf numFmtId="38" fontId="44" fillId="0" borderId="143" xfId="0" quotePrefix="1" applyNumberFormat="1" applyFont="1" applyBorder="1" applyAlignment="1">
      <alignment vertical="center"/>
    </xf>
    <xf numFmtId="0" fontId="60" fillId="0" borderId="143" xfId="0" applyFont="1" applyBorder="1" applyAlignment="1">
      <alignment horizontal="center" vertical="center"/>
    </xf>
    <xf numFmtId="0" fontId="24" fillId="5" borderId="0" xfId="0" applyFont="1" applyFill="1" applyAlignment="1">
      <alignment vertical="center" wrapText="1"/>
    </xf>
    <xf numFmtId="37" fontId="18" fillId="0" borderId="142" xfId="0" applyNumberFormat="1" applyFont="1" applyBorder="1" applyAlignment="1">
      <alignment horizontal="right" vertical="center"/>
    </xf>
    <xf numFmtId="37" fontId="35" fillId="0" borderId="143" xfId="0" applyNumberFormat="1" applyFont="1" applyBorder="1" applyAlignment="1">
      <alignment horizontal="center" vertical="center"/>
    </xf>
    <xf numFmtId="0" fontId="35" fillId="0" borderId="146" xfId="0" applyFont="1" applyBorder="1" applyAlignment="1">
      <alignment horizontal="center" vertical="center"/>
    </xf>
    <xf numFmtId="37" fontId="35" fillId="0" borderId="143" xfId="0" applyNumberFormat="1" applyFont="1" applyBorder="1" applyAlignment="1">
      <alignment vertical="center"/>
    </xf>
    <xf numFmtId="37" fontId="41" fillId="0" borderId="143" xfId="0" applyNumberFormat="1" applyFont="1" applyBorder="1" applyAlignment="1">
      <alignment horizontal="center" vertical="center"/>
    </xf>
    <xf numFmtId="37" fontId="45" fillId="0" borderId="143" xfId="0" applyNumberFormat="1" applyFont="1" applyBorder="1" applyAlignment="1">
      <alignment vertical="center"/>
    </xf>
    <xf numFmtId="37" fontId="90" fillId="0" borderId="143" xfId="0" applyNumberFormat="1" applyFont="1" applyBorder="1" applyAlignment="1">
      <alignment vertical="center"/>
    </xf>
    <xf numFmtId="37" fontId="91" fillId="0" borderId="143" xfId="0" applyNumberFormat="1" applyFont="1" applyBorder="1" applyAlignment="1">
      <alignment vertical="center"/>
    </xf>
    <xf numFmtId="37" fontId="18" fillId="0" borderId="143" xfId="0" applyNumberFormat="1" applyFont="1" applyBorder="1" applyAlignment="1">
      <alignment vertical="center" wrapText="1"/>
    </xf>
    <xf numFmtId="37" fontId="18" fillId="0" borderId="144" xfId="0" applyNumberFormat="1" applyFont="1" applyBorder="1" applyAlignment="1">
      <alignment vertical="center"/>
    </xf>
    <xf numFmtId="37" fontId="44" fillId="0" borderId="143" xfId="0" applyNumberFormat="1" applyFont="1" applyBorder="1" applyAlignment="1">
      <alignment vertical="center"/>
    </xf>
    <xf numFmtId="37" fontId="43" fillId="0" borderId="144" xfId="0" applyNumberFormat="1" applyFont="1" applyBorder="1" applyAlignment="1">
      <alignment vertical="center"/>
    </xf>
    <xf numFmtId="37" fontId="18" fillId="0" borderId="143" xfId="0" applyNumberFormat="1" applyFont="1" applyBorder="1" applyAlignment="1">
      <alignment horizontal="center" vertical="center"/>
    </xf>
    <xf numFmtId="37" fontId="18" fillId="5" borderId="143" xfId="0" applyNumberFormat="1" applyFont="1" applyFill="1" applyBorder="1" applyAlignment="1">
      <alignment vertical="center"/>
    </xf>
    <xf numFmtId="0" fontId="18" fillId="0" borderId="143" xfId="0" applyFont="1" applyBorder="1" applyAlignment="1">
      <alignment vertical="center"/>
    </xf>
    <xf numFmtId="37" fontId="35" fillId="0" borderId="146" xfId="0" applyNumberFormat="1" applyFont="1" applyBorder="1" applyAlignment="1">
      <alignment horizontal="center" vertical="center"/>
    </xf>
    <xf numFmtId="37" fontId="18" fillId="0" borderId="143" xfId="0" applyNumberFormat="1" applyFont="1" applyBorder="1" applyAlignment="1">
      <alignment horizontal="right" vertical="center"/>
    </xf>
    <xf numFmtId="37" fontId="9" fillId="0" borderId="143" xfId="0" applyNumberFormat="1" applyFont="1" applyBorder="1" applyAlignment="1">
      <alignment vertical="center" wrapText="1"/>
    </xf>
    <xf numFmtId="0" fontId="35" fillId="0" borderId="143" xfId="0" applyFont="1" applyBorder="1" applyAlignment="1">
      <alignment horizontal="center" vertical="center"/>
    </xf>
    <xf numFmtId="37" fontId="61" fillId="5" borderId="143" xfId="0" applyNumberFormat="1" applyFont="1" applyFill="1" applyBorder="1" applyAlignment="1">
      <alignment vertical="center"/>
    </xf>
    <xf numFmtId="0" fontId="18" fillId="5" borderId="143" xfId="0" applyFont="1" applyFill="1" applyBorder="1" applyAlignment="1">
      <alignment vertical="center" wrapText="1"/>
    </xf>
    <xf numFmtId="0" fontId="35" fillId="5" borderId="143" xfId="0" applyFont="1" applyFill="1" applyBorder="1" applyAlignment="1">
      <alignment horizontal="center" vertical="center"/>
    </xf>
    <xf numFmtId="0" fontId="18" fillId="7" borderId="143" xfId="0" applyFont="1" applyFill="1" applyBorder="1" applyAlignment="1">
      <alignment vertical="center" wrapText="1"/>
    </xf>
    <xf numFmtId="0" fontId="18" fillId="7" borderId="143" xfId="0" applyFont="1" applyFill="1" applyBorder="1" applyAlignment="1">
      <alignment horizontal="center" vertical="center"/>
    </xf>
    <xf numFmtId="37" fontId="18" fillId="7" borderId="143" xfId="0" applyNumberFormat="1" applyFont="1" applyFill="1" applyBorder="1" applyAlignment="1">
      <alignment vertical="center"/>
    </xf>
    <xf numFmtId="0" fontId="35" fillId="22" borderId="143" xfId="0" applyFont="1" applyFill="1" applyBorder="1" applyAlignment="1">
      <alignment horizontal="center" vertical="center"/>
    </xf>
    <xf numFmtId="37" fontId="18" fillId="22" borderId="143" xfId="0" applyNumberFormat="1" applyFont="1" applyFill="1" applyBorder="1" applyAlignment="1">
      <alignment vertical="center"/>
    </xf>
    <xf numFmtId="3" fontId="59" fillId="0" borderId="0" xfId="0" applyNumberFormat="1" applyFont="1" applyAlignment="1">
      <alignment vertical="center"/>
    </xf>
    <xf numFmtId="37" fontId="9" fillId="2" borderId="143" xfId="0" applyNumberFormat="1" applyFont="1" applyFill="1" applyBorder="1" applyAlignment="1">
      <alignment vertical="center" wrapText="1"/>
    </xf>
    <xf numFmtId="37" fontId="9" fillId="0" borderId="143" xfId="0" quotePrefix="1" applyNumberFormat="1" applyFont="1" applyBorder="1" applyAlignment="1">
      <alignment horizontal="left" vertical="center" wrapText="1"/>
    </xf>
    <xf numFmtId="37" fontId="18" fillId="7" borderId="84" xfId="0" applyNumberFormat="1" applyFont="1" applyFill="1" applyBorder="1" applyAlignment="1">
      <alignment vertical="center"/>
    </xf>
    <xf numFmtId="37" fontId="18" fillId="7" borderId="107" xfId="0" applyNumberFormat="1" applyFont="1" applyFill="1" applyBorder="1" applyAlignment="1">
      <alignment vertical="center"/>
    </xf>
    <xf numFmtId="37" fontId="18" fillId="7" borderId="107" xfId="0" quotePrefix="1" applyNumberFormat="1" applyFont="1" applyFill="1" applyBorder="1" applyAlignment="1">
      <alignment vertical="center"/>
    </xf>
    <xf numFmtId="15" fontId="44" fillId="2" borderId="88" xfId="0" applyNumberFormat="1" applyFont="1" applyFill="1" applyBorder="1" applyAlignment="1">
      <alignment vertical="center" wrapText="1"/>
    </xf>
    <xf numFmtId="37" fontId="41" fillId="0" borderId="128" xfId="0" applyNumberFormat="1" applyFont="1" applyBorder="1" applyAlignment="1">
      <alignment horizontal="center" vertical="center"/>
    </xf>
    <xf numFmtId="3" fontId="45" fillId="0" borderId="69" xfId="0" applyNumberFormat="1" applyFont="1" applyBorder="1" applyAlignment="1">
      <alignment horizontal="center" vertical="center"/>
    </xf>
    <xf numFmtId="49" fontId="19" fillId="0" borderId="69" xfId="0" applyNumberFormat="1" applyFont="1" applyBorder="1" applyAlignment="1">
      <alignment horizontal="center" vertical="center"/>
    </xf>
    <xf numFmtId="10" fontId="44" fillId="5" borderId="82" xfId="0" applyNumberFormat="1" applyFont="1" applyFill="1" applyBorder="1" applyAlignment="1">
      <alignment horizontal="center" vertical="center"/>
    </xf>
    <xf numFmtId="10" fontId="44" fillId="5" borderId="70" xfId="0" applyNumberFormat="1" applyFont="1" applyFill="1" applyBorder="1" applyAlignment="1">
      <alignment horizontal="center" vertical="center"/>
    </xf>
    <xf numFmtId="10" fontId="26" fillId="2" borderId="0" xfId="1" applyNumberFormat="1" applyFont="1" applyFill="1" applyAlignment="1">
      <alignment vertical="center"/>
    </xf>
    <xf numFmtId="37" fontId="18" fillId="0" borderId="0" xfId="0" quotePrefix="1" applyNumberFormat="1" applyFont="1" applyAlignment="1">
      <alignment vertical="center"/>
    </xf>
    <xf numFmtId="37" fontId="44" fillId="0" borderId="94" xfId="0" applyNumberFormat="1" applyFont="1" applyBorder="1" applyAlignment="1">
      <alignment horizontal="center" vertical="center"/>
    </xf>
    <xf numFmtId="37" fontId="58" fillId="0" borderId="71" xfId="0" applyNumberFormat="1" applyFont="1" applyBorder="1" applyAlignment="1">
      <alignment vertical="center"/>
    </xf>
    <xf numFmtId="37" fontId="44" fillId="0" borderId="95" xfId="0" applyNumberFormat="1" applyFont="1" applyBorder="1" applyAlignment="1">
      <alignment horizontal="center" vertical="center"/>
    </xf>
    <xf numFmtId="37" fontId="40" fillId="0" borderId="24" xfId="0" applyNumberFormat="1" applyFont="1" applyBorder="1" applyAlignment="1">
      <alignment vertical="center"/>
    </xf>
    <xf numFmtId="37" fontId="58" fillId="0" borderId="72" xfId="0" applyNumberFormat="1" applyFont="1" applyBorder="1" applyAlignment="1">
      <alignment vertical="center"/>
    </xf>
    <xf numFmtId="37" fontId="21" fillId="0" borderId="95" xfId="0" applyNumberFormat="1" applyFont="1" applyBorder="1" applyAlignment="1">
      <alignment horizontal="center" vertical="center"/>
    </xf>
    <xf numFmtId="37" fontId="30" fillId="0" borderId="72" xfId="0" applyNumberFormat="1" applyFont="1" applyBorder="1" applyAlignment="1">
      <alignment vertical="center"/>
    </xf>
    <xf numFmtId="37" fontId="41" fillId="0" borderId="10" xfId="0" applyNumberFormat="1" applyFont="1" applyBorder="1" applyAlignment="1">
      <alignment horizontal="center" vertical="center"/>
    </xf>
    <xf numFmtId="10" fontId="44" fillId="0" borderId="61" xfId="1" applyNumberFormat="1" applyFont="1" applyBorder="1" applyAlignment="1">
      <alignment horizontal="center" vertical="center"/>
    </xf>
    <xf numFmtId="37" fontId="19" fillId="0" borderId="52" xfId="0" applyNumberFormat="1" applyFont="1" applyBorder="1" applyAlignment="1">
      <alignment vertical="center"/>
    </xf>
    <xf numFmtId="37" fontId="19" fillId="0" borderId="53" xfId="0" applyNumberFormat="1" applyFont="1" applyBorder="1" applyAlignment="1">
      <alignment vertical="center"/>
    </xf>
    <xf numFmtId="37" fontId="19" fillId="5" borderId="137" xfId="0" applyNumberFormat="1" applyFont="1" applyFill="1" applyBorder="1" applyAlignment="1">
      <alignment horizontal="center" vertical="center"/>
    </xf>
    <xf numFmtId="37" fontId="19" fillId="0" borderId="69" xfId="0" applyNumberFormat="1" applyFont="1" applyBorder="1" applyAlignment="1">
      <alignment horizontal="center" vertical="center"/>
    </xf>
    <xf numFmtId="37" fontId="73" fillId="0" borderId="153" xfId="0" applyNumberFormat="1" applyFont="1" applyBorder="1" applyAlignment="1">
      <alignment horizontal="right" vertical="center"/>
    </xf>
    <xf numFmtId="37" fontId="44" fillId="0" borderId="7" xfId="0" applyNumberFormat="1" applyFont="1" applyBorder="1" applyAlignment="1">
      <alignment horizontal="center" vertical="center"/>
    </xf>
    <xf numFmtId="37" fontId="73" fillId="0" borderId="142" xfId="0" applyNumberFormat="1" applyFont="1" applyBorder="1" applyAlignment="1">
      <alignment horizontal="right" vertical="center"/>
    </xf>
    <xf numFmtId="37" fontId="73" fillId="0" borderId="80" xfId="0" applyNumberFormat="1" applyFont="1" applyBorder="1" applyAlignment="1">
      <alignment horizontal="right" vertical="center"/>
    </xf>
    <xf numFmtId="37" fontId="44" fillId="0" borderId="112" xfId="0" applyNumberFormat="1" applyFont="1" applyBorder="1" applyAlignment="1">
      <alignment horizontal="center" vertical="center"/>
    </xf>
    <xf numFmtId="37" fontId="73" fillId="0" borderId="54" xfId="0" applyNumberFormat="1" applyFont="1" applyBorder="1" applyAlignment="1">
      <alignment horizontal="right" vertical="center"/>
    </xf>
    <xf numFmtId="37" fontId="44" fillId="0" borderId="55" xfId="0" applyNumberFormat="1" applyFont="1" applyBorder="1" applyAlignment="1">
      <alignment horizontal="center" vertical="center"/>
    </xf>
    <xf numFmtId="37" fontId="59" fillId="0" borderId="38" xfId="0" applyNumberFormat="1" applyFont="1" applyBorder="1" applyAlignment="1">
      <alignment vertical="center"/>
    </xf>
    <xf numFmtId="37" fontId="54" fillId="0" borderId="38" xfId="0" applyNumberFormat="1" applyFont="1" applyBorder="1" applyAlignment="1">
      <alignment vertical="center"/>
    </xf>
    <xf numFmtId="37" fontId="54" fillId="0" borderId="52" xfId="0" applyNumberFormat="1" applyFont="1" applyBorder="1" applyAlignment="1">
      <alignment vertical="center"/>
    </xf>
    <xf numFmtId="37" fontId="54" fillId="0" borderId="53" xfId="0" applyNumberFormat="1" applyFont="1" applyBorder="1" applyAlignment="1">
      <alignment vertical="center"/>
    </xf>
    <xf numFmtId="37" fontId="38" fillId="0" borderId="0" xfId="0" applyNumberFormat="1" applyFont="1" applyAlignment="1">
      <alignment horizontal="right" vertical="center"/>
    </xf>
    <xf numFmtId="37" fontId="44" fillId="0" borderId="0" xfId="0" applyNumberFormat="1" applyFont="1" applyAlignment="1">
      <alignment horizontal="right" vertical="center"/>
    </xf>
    <xf numFmtId="37" fontId="44" fillId="0" borderId="145" xfId="0" applyNumberFormat="1" applyFont="1" applyBorder="1" applyAlignment="1">
      <alignment horizontal="right" vertical="center"/>
    </xf>
    <xf numFmtId="37" fontId="44" fillId="0" borderId="152" xfId="0" applyNumberFormat="1" applyFont="1" applyBorder="1" applyAlignment="1">
      <alignment horizontal="right" vertical="center"/>
    </xf>
    <xf numFmtId="37" fontId="44" fillId="0" borderId="69" xfId="0" applyNumberFormat="1" applyFont="1" applyBorder="1" applyAlignment="1">
      <alignment horizontal="right" vertical="center"/>
    </xf>
    <xf numFmtId="37" fontId="19" fillId="2" borderId="143" xfId="0" applyNumberFormat="1" applyFont="1" applyFill="1" applyBorder="1" applyAlignment="1">
      <alignment horizontal="center" vertical="center"/>
    </xf>
    <xf numFmtId="37" fontId="9" fillId="5" borderId="143" xfId="0" applyNumberFormat="1" applyFont="1" applyFill="1" applyBorder="1" applyAlignment="1">
      <alignment vertical="center" wrapText="1"/>
    </xf>
    <xf numFmtId="37" fontId="19" fillId="5" borderId="143" xfId="0" applyNumberFormat="1" applyFont="1" applyFill="1" applyBorder="1" applyAlignment="1">
      <alignment horizontal="center" vertical="center"/>
    </xf>
    <xf numFmtId="37" fontId="43" fillId="0" borderId="143" xfId="0" applyNumberFormat="1" applyFont="1" applyBorder="1" applyAlignment="1">
      <alignment vertical="center" wrapText="1"/>
    </xf>
    <xf numFmtId="37" fontId="44" fillId="2" borderId="31" xfId="0" applyNumberFormat="1" applyFont="1" applyFill="1" applyBorder="1" applyAlignment="1">
      <alignment horizontal="center" vertical="center"/>
    </xf>
    <xf numFmtId="37" fontId="44" fillId="4" borderId="0" xfId="0" applyNumberFormat="1" applyFont="1" applyFill="1" applyAlignment="1">
      <alignment horizontal="center" vertical="center"/>
    </xf>
    <xf numFmtId="37" fontId="43" fillId="2" borderId="96" xfId="0" applyNumberFormat="1" applyFont="1" applyFill="1" applyBorder="1" applyAlignment="1">
      <alignment vertical="center"/>
    </xf>
    <xf numFmtId="37" fontId="44" fillId="2" borderId="27" xfId="0" applyNumberFormat="1" applyFont="1" applyFill="1" applyBorder="1" applyAlignment="1">
      <alignment vertical="center"/>
    </xf>
    <xf numFmtId="169" fontId="8" fillId="0" borderId="144" xfId="0" applyNumberFormat="1" applyFont="1" applyBorder="1" applyAlignment="1">
      <alignment horizontal="center" vertical="center"/>
    </xf>
    <xf numFmtId="37" fontId="35" fillId="5" borderId="143" xfId="0" applyNumberFormat="1" applyFont="1" applyFill="1" applyBorder="1" applyAlignment="1">
      <alignment horizontal="center" vertical="center"/>
    </xf>
    <xf numFmtId="37" fontId="35" fillId="5" borderId="143" xfId="0" applyNumberFormat="1" applyFont="1" applyFill="1" applyBorder="1" applyAlignment="1">
      <alignment horizontal="right" vertical="center"/>
    </xf>
    <xf numFmtId="37" fontId="61" fillId="5" borderId="24" xfId="0" applyNumberFormat="1" applyFont="1" applyFill="1" applyBorder="1" applyAlignment="1">
      <alignment horizontal="center" vertical="center"/>
    </xf>
    <xf numFmtId="37" fontId="44" fillId="0" borderId="142" xfId="0" applyNumberFormat="1" applyFont="1" applyBorder="1" applyAlignment="1">
      <alignment vertical="center" wrapText="1"/>
    </xf>
    <xf numFmtId="38" fontId="19" fillId="0" borderId="0" xfId="0" applyNumberFormat="1" applyFont="1" applyAlignment="1">
      <alignment vertical="center"/>
    </xf>
    <xf numFmtId="0" fontId="61" fillId="0" borderId="0" xfId="0" applyFont="1" applyAlignment="1">
      <alignment horizontal="center" vertical="center" wrapText="1"/>
    </xf>
    <xf numFmtId="0" fontId="17" fillId="0" borderId="149" xfId="0" applyFont="1" applyBorder="1" applyAlignment="1">
      <alignment horizontal="center" vertical="center"/>
    </xf>
    <xf numFmtId="170" fontId="44" fillId="0" borderId="0" xfId="0" applyNumberFormat="1" applyFont="1" applyAlignment="1">
      <alignment vertical="center"/>
    </xf>
    <xf numFmtId="0" fontId="96" fillId="0" borderId="143" xfId="0" applyFont="1" applyBorder="1" applyAlignment="1">
      <alignment horizontal="center" vertical="center"/>
    </xf>
    <xf numFmtId="0" fontId="73" fillId="20" borderId="143" xfId="0" applyFont="1" applyFill="1" applyBorder="1" applyAlignment="1">
      <alignment horizontal="center" vertical="center"/>
    </xf>
    <xf numFmtId="38" fontId="19" fillId="0" borderId="143" xfId="0" applyNumberFormat="1" applyFont="1" applyBorder="1" applyAlignment="1">
      <alignment vertical="center"/>
    </xf>
    <xf numFmtId="0" fontId="73" fillId="5" borderId="143" xfId="0" applyFont="1" applyFill="1" applyBorder="1" applyAlignment="1">
      <alignment horizontal="center" vertical="center"/>
    </xf>
    <xf numFmtId="38" fontId="73" fillId="5" borderId="143" xfId="0" applyNumberFormat="1" applyFont="1" applyFill="1" applyBorder="1" applyAlignment="1">
      <alignment horizontal="center" vertical="center"/>
    </xf>
    <xf numFmtId="0" fontId="89" fillId="8" borderId="143" xfId="0" applyFont="1" applyFill="1" applyBorder="1" applyAlignment="1">
      <alignment horizontal="center" vertical="center"/>
    </xf>
    <xf numFmtId="0" fontId="44" fillId="5" borderId="143" xfId="0" applyFont="1" applyFill="1" applyBorder="1" applyAlignment="1">
      <alignment horizontal="center" vertical="center"/>
    </xf>
    <xf numFmtId="0" fontId="73" fillId="0" borderId="143" xfId="0" applyFont="1" applyBorder="1" applyAlignment="1">
      <alignment horizontal="center" vertical="center" wrapText="1"/>
    </xf>
    <xf numFmtId="0" fontId="73" fillId="11" borderId="143" xfId="0" applyFont="1" applyFill="1" applyBorder="1" applyAlignment="1">
      <alignment horizontal="center" vertical="center"/>
    </xf>
    <xf numFmtId="38" fontId="73" fillId="11" borderId="143" xfId="0" applyNumberFormat="1" applyFont="1" applyFill="1" applyBorder="1" applyAlignment="1">
      <alignment horizontal="center" vertical="center"/>
    </xf>
    <xf numFmtId="0" fontId="44" fillId="11" borderId="143" xfId="0" applyFont="1" applyFill="1" applyBorder="1" applyAlignment="1">
      <alignment horizontal="center" vertical="center" wrapText="1"/>
    </xf>
    <xf numFmtId="0" fontId="61" fillId="0" borderId="143" xfId="0" applyFont="1" applyBorder="1" applyAlignment="1">
      <alignment horizontal="center" vertical="center"/>
    </xf>
    <xf numFmtId="0" fontId="61" fillId="12" borderId="143" xfId="0" applyFont="1" applyFill="1" applyBorder="1" applyAlignment="1">
      <alignment horizontal="center" vertical="center"/>
    </xf>
    <xf numFmtId="0" fontId="61" fillId="11" borderId="143" xfId="0" applyFont="1" applyFill="1" applyBorder="1" applyAlignment="1">
      <alignment horizontal="center" vertical="center"/>
    </xf>
    <xf numFmtId="38" fontId="61" fillId="11" borderId="143" xfId="0" applyNumberFormat="1" applyFont="1" applyFill="1" applyBorder="1" applyAlignment="1">
      <alignment horizontal="center" vertical="center"/>
    </xf>
    <xf numFmtId="0" fontId="96" fillId="5" borderId="143" xfId="0" applyFont="1" applyFill="1" applyBorder="1" applyAlignment="1">
      <alignment horizontal="center" vertical="center"/>
    </xf>
    <xf numFmtId="39" fontId="44" fillId="5" borderId="143" xfId="0" applyNumberFormat="1" applyFont="1" applyFill="1" applyBorder="1" applyAlignment="1">
      <alignment horizontal="center" vertical="center" wrapText="1"/>
    </xf>
    <xf numFmtId="0" fontId="44" fillId="20" borderId="143" xfId="0" applyFont="1" applyFill="1" applyBorder="1" applyAlignment="1">
      <alignment horizontal="center" vertical="center"/>
    </xf>
    <xf numFmtId="0" fontId="44" fillId="21" borderId="143" xfId="0" applyFont="1" applyFill="1" applyBorder="1" applyAlignment="1">
      <alignment horizontal="center" vertical="center"/>
    </xf>
    <xf numFmtId="0" fontId="96" fillId="0" borderId="143" xfId="0" applyFont="1" applyBorder="1" applyAlignment="1">
      <alignment vertical="center"/>
    </xf>
    <xf numFmtId="38" fontId="19" fillId="9" borderId="0" xfId="0" applyNumberFormat="1" applyFont="1" applyFill="1" applyAlignment="1">
      <alignment vertical="center"/>
    </xf>
    <xf numFmtId="0" fontId="19" fillId="5" borderId="143" xfId="0" quotePrefix="1" applyFont="1" applyFill="1" applyBorder="1" applyAlignment="1">
      <alignment horizontal="center" vertical="center"/>
    </xf>
    <xf numFmtId="0" fontId="103" fillId="14" borderId="0" xfId="0" applyFont="1" applyFill="1" applyAlignment="1">
      <alignment vertical="center"/>
    </xf>
    <xf numFmtId="0" fontId="104" fillId="14" borderId="0" xfId="0" applyFont="1" applyFill="1" applyAlignment="1">
      <alignment vertical="center" wrapText="1"/>
    </xf>
    <xf numFmtId="37" fontId="104" fillId="14" borderId="0" xfId="0" applyNumberFormat="1" applyFont="1" applyFill="1" applyAlignment="1">
      <alignment horizontal="right" vertical="center"/>
    </xf>
    <xf numFmtId="0" fontId="104" fillId="14" borderId="0" xfId="0" applyFont="1" applyFill="1" applyAlignment="1">
      <alignment horizontal="center" vertical="center"/>
    </xf>
    <xf numFmtId="0" fontId="104" fillId="14" borderId="0" xfId="0" applyFont="1" applyFill="1" applyAlignment="1">
      <alignment vertical="center"/>
    </xf>
    <xf numFmtId="0" fontId="103" fillId="14" borderId="0" xfId="0" applyFont="1" applyFill="1" applyAlignment="1">
      <alignment horizontal="center" vertical="center"/>
    </xf>
    <xf numFmtId="38" fontId="103" fillId="14" borderId="0" xfId="0" applyNumberFormat="1" applyFont="1" applyFill="1" applyAlignment="1">
      <alignment vertical="center"/>
    </xf>
    <xf numFmtId="38" fontId="19" fillId="16" borderId="0" xfId="0" applyNumberFormat="1" applyFont="1" applyFill="1" applyAlignment="1">
      <alignment vertical="center"/>
    </xf>
    <xf numFmtId="0" fontId="93" fillId="21" borderId="0" xfId="0" applyFont="1" applyFill="1" applyAlignment="1">
      <alignment vertical="center"/>
    </xf>
    <xf numFmtId="0" fontId="96" fillId="21" borderId="0" xfId="0" applyFont="1" applyFill="1" applyAlignment="1">
      <alignment vertical="center"/>
    </xf>
    <xf numFmtId="0" fontId="19" fillId="21" borderId="0" xfId="0" applyFont="1" applyFill="1" applyAlignment="1">
      <alignment horizontal="center" vertical="center"/>
    </xf>
    <xf numFmtId="38" fontId="19" fillId="21" borderId="0" xfId="0" applyNumberFormat="1" applyFont="1" applyFill="1" applyAlignment="1">
      <alignment vertical="center"/>
    </xf>
    <xf numFmtId="38" fontId="19" fillId="18" borderId="0" xfId="0" applyNumberFormat="1" applyFont="1" applyFill="1" applyAlignment="1">
      <alignment vertical="center"/>
    </xf>
    <xf numFmtId="38" fontId="19" fillId="5" borderId="0" xfId="0" applyNumberFormat="1" applyFont="1" applyFill="1" applyAlignment="1">
      <alignment vertical="center"/>
    </xf>
    <xf numFmtId="38" fontId="19" fillId="17" borderId="0" xfId="0" applyNumberFormat="1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0" fontId="1" fillId="0" borderId="143" xfId="0" applyFont="1" applyBorder="1" applyAlignment="1">
      <alignment horizontal="center" vertical="center"/>
    </xf>
    <xf numFmtId="0" fontId="61" fillId="5" borderId="143" xfId="0" applyFont="1" applyFill="1" applyBorder="1" applyAlignment="1">
      <alignment horizontal="center" vertical="center"/>
    </xf>
    <xf numFmtId="0" fontId="61" fillId="0" borderId="143" xfId="0" applyFont="1" applyBorder="1" applyAlignment="1">
      <alignment horizontal="center" vertical="center" wrapText="1"/>
    </xf>
    <xf numFmtId="0" fontId="73" fillId="11" borderId="143" xfId="0" applyFont="1" applyFill="1" applyBorder="1" applyAlignment="1">
      <alignment horizontal="center" vertical="center" wrapText="1"/>
    </xf>
    <xf numFmtId="0" fontId="73" fillId="0" borderId="143" xfId="0" applyFont="1" applyBorder="1" applyAlignment="1">
      <alignment vertical="center" wrapText="1"/>
    </xf>
    <xf numFmtId="0" fontId="44" fillId="12" borderId="143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44" fillId="11" borderId="143" xfId="0" applyFont="1" applyFill="1" applyBorder="1" applyAlignment="1">
      <alignment horizontal="center" vertical="center"/>
    </xf>
    <xf numFmtId="0" fontId="93" fillId="5" borderId="143" xfId="0" applyFont="1" applyFill="1" applyBorder="1" applyAlignment="1">
      <alignment horizontal="center" vertical="center"/>
    </xf>
    <xf numFmtId="0" fontId="18" fillId="0" borderId="143" xfId="0" quotePrefix="1" applyFont="1" applyBorder="1" applyAlignment="1">
      <alignment vertical="center" wrapText="1"/>
    </xf>
    <xf numFmtId="37" fontId="44" fillId="12" borderId="146" xfId="0" applyNumberFormat="1" applyFont="1" applyFill="1" applyBorder="1" applyAlignment="1">
      <alignment horizontal="center" vertical="center" wrapText="1"/>
    </xf>
    <xf numFmtId="0" fontId="44" fillId="12" borderId="143" xfId="0" applyFont="1" applyFill="1" applyBorder="1" applyAlignment="1">
      <alignment horizontal="center" vertical="center" wrapText="1"/>
    </xf>
    <xf numFmtId="0" fontId="19" fillId="5" borderId="143" xfId="0" applyFont="1" applyFill="1" applyBorder="1" applyAlignment="1">
      <alignment horizontal="center" vertical="center"/>
    </xf>
    <xf numFmtId="37" fontId="103" fillId="14" borderId="0" xfId="0" applyNumberFormat="1" applyFont="1" applyFill="1" applyAlignment="1">
      <alignment vertical="center"/>
    </xf>
    <xf numFmtId="0" fontId="18" fillId="11" borderId="143" xfId="0" applyFont="1" applyFill="1" applyBorder="1" applyAlignment="1">
      <alignment vertical="center"/>
    </xf>
    <xf numFmtId="0" fontId="60" fillId="20" borderId="143" xfId="0" applyFont="1" applyFill="1" applyBorder="1" applyAlignment="1">
      <alignment horizontal="center" vertical="center" wrapText="1"/>
    </xf>
    <xf numFmtId="0" fontId="1" fillId="16" borderId="0" xfId="0" applyFont="1" applyFill="1" applyAlignment="1">
      <alignment horizontal="center" vertical="center"/>
    </xf>
    <xf numFmtId="0" fontId="19" fillId="5" borderId="143" xfId="0" applyFont="1" applyFill="1" applyBorder="1" applyAlignment="1">
      <alignment horizontal="center" vertical="center" wrapText="1"/>
    </xf>
    <xf numFmtId="0" fontId="18" fillId="5" borderId="143" xfId="0" applyFont="1" applyFill="1" applyBorder="1" applyAlignment="1">
      <alignment vertical="center"/>
    </xf>
    <xf numFmtId="37" fontId="18" fillId="5" borderId="143" xfId="0" applyNumberFormat="1" applyFont="1" applyFill="1" applyBorder="1" applyAlignment="1">
      <alignment horizontal="right" vertical="center"/>
    </xf>
    <xf numFmtId="0" fontId="73" fillId="5" borderId="143" xfId="0" applyFont="1" applyFill="1" applyBorder="1" applyAlignment="1">
      <alignment horizontal="center" vertical="center" wrapText="1"/>
    </xf>
    <xf numFmtId="0" fontId="18" fillId="16" borderId="143" xfId="0" applyFont="1" applyFill="1" applyBorder="1" applyAlignment="1">
      <alignment vertical="center"/>
    </xf>
    <xf numFmtId="0" fontId="18" fillId="16" borderId="143" xfId="0" applyFont="1" applyFill="1" applyBorder="1" applyAlignment="1">
      <alignment vertical="center" wrapText="1"/>
    </xf>
    <xf numFmtId="37" fontId="18" fillId="16" borderId="143" xfId="0" applyNumberFormat="1" applyFont="1" applyFill="1" applyBorder="1" applyAlignment="1">
      <alignment horizontal="right" vertical="center"/>
    </xf>
    <xf numFmtId="0" fontId="18" fillId="16" borderId="143" xfId="0" applyFont="1" applyFill="1" applyBorder="1" applyAlignment="1">
      <alignment horizontal="center" vertical="center"/>
    </xf>
    <xf numFmtId="0" fontId="18" fillId="21" borderId="0" xfId="0" applyFont="1" applyFill="1" applyAlignment="1">
      <alignment vertical="center" wrapText="1"/>
    </xf>
    <xf numFmtId="37" fontId="18" fillId="21" borderId="0" xfId="0" applyNumberFormat="1" applyFont="1" applyFill="1" applyAlignment="1">
      <alignment horizontal="right" vertical="center"/>
    </xf>
    <xf numFmtId="0" fontId="18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8" fillId="21" borderId="0" xfId="0" applyFont="1" applyFill="1" applyAlignment="1">
      <alignment vertical="center"/>
    </xf>
    <xf numFmtId="37" fontId="19" fillId="21" borderId="0" xfId="0" applyNumberFormat="1" applyFont="1" applyFill="1" applyAlignment="1">
      <alignment vertical="center"/>
    </xf>
    <xf numFmtId="0" fontId="1" fillId="18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73" fillId="0" borderId="143" xfId="0" applyFont="1" applyBorder="1" applyAlignment="1">
      <alignment vertical="center"/>
    </xf>
    <xf numFmtId="38" fontId="73" fillId="5" borderId="143" xfId="0" applyNumberFormat="1" applyFont="1" applyFill="1" applyBorder="1" applyAlignment="1">
      <alignment vertical="center"/>
    </xf>
    <xf numFmtId="0" fontId="61" fillId="11" borderId="143" xfId="0" applyFont="1" applyFill="1" applyBorder="1" applyAlignment="1">
      <alignment vertical="center"/>
    </xf>
    <xf numFmtId="38" fontId="73" fillId="11" borderId="143" xfId="0" applyNumberFormat="1" applyFont="1" applyFill="1" applyBorder="1" applyAlignment="1">
      <alignment vertical="center"/>
    </xf>
    <xf numFmtId="0" fontId="19" fillId="0" borderId="143" xfId="0" applyFont="1" applyBorder="1" applyAlignment="1">
      <alignment vertical="center"/>
    </xf>
    <xf numFmtId="37" fontId="44" fillId="12" borderId="143" xfId="0" applyNumberFormat="1" applyFont="1" applyFill="1" applyBorder="1" applyAlignment="1">
      <alignment horizontal="center" vertical="center" wrapText="1"/>
    </xf>
    <xf numFmtId="0" fontId="18" fillId="11" borderId="143" xfId="0" applyFont="1" applyFill="1" applyBorder="1" applyAlignment="1">
      <alignment vertical="center" wrapText="1"/>
    </xf>
    <xf numFmtId="37" fontId="18" fillId="11" borderId="143" xfId="0" applyNumberFormat="1" applyFont="1" applyFill="1" applyBorder="1" applyAlignment="1">
      <alignment horizontal="right" vertical="center"/>
    </xf>
    <xf numFmtId="0" fontId="18" fillId="11" borderId="143" xfId="0" applyFont="1" applyFill="1" applyBorder="1" applyAlignment="1">
      <alignment horizontal="center" vertical="center"/>
    </xf>
    <xf numFmtId="0" fontId="1" fillId="11" borderId="0" xfId="0" applyFont="1" applyFill="1" applyAlignment="1">
      <alignment vertical="center"/>
    </xf>
    <xf numFmtId="0" fontId="96" fillId="11" borderId="143" xfId="0" applyFont="1" applyFill="1" applyBorder="1" applyAlignment="1">
      <alignment horizontal="center" vertical="center"/>
    </xf>
    <xf numFmtId="38" fontId="61" fillId="11" borderId="143" xfId="0" applyNumberFormat="1" applyFont="1" applyFill="1" applyBorder="1" applyAlignment="1">
      <alignment vertical="center"/>
    </xf>
    <xf numFmtId="0" fontId="18" fillId="5" borderId="143" xfId="0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39" fontId="44" fillId="11" borderId="143" xfId="0" applyNumberFormat="1" applyFont="1" applyFill="1" applyBorder="1" applyAlignment="1">
      <alignment vertical="center" wrapText="1"/>
    </xf>
    <xf numFmtId="0" fontId="44" fillId="11" borderId="143" xfId="0" applyFont="1" applyFill="1" applyBorder="1" applyAlignment="1">
      <alignment vertical="center"/>
    </xf>
    <xf numFmtId="0" fontId="5" fillId="5" borderId="107" xfId="0" applyFont="1" applyFill="1" applyBorder="1" applyAlignment="1">
      <alignment vertical="center" wrapText="1"/>
    </xf>
    <xf numFmtId="37" fontId="50" fillId="0" borderId="147" xfId="0" applyNumberFormat="1" applyFont="1" applyBorder="1" applyAlignment="1">
      <alignment horizontal="center" vertical="center"/>
    </xf>
    <xf numFmtId="38" fontId="18" fillId="0" borderId="0" xfId="0" applyNumberFormat="1" applyFont="1" applyAlignment="1">
      <alignment vertical="center"/>
    </xf>
    <xf numFmtId="0" fontId="18" fillId="22" borderId="143" xfId="0" applyFont="1" applyFill="1" applyBorder="1" applyAlignment="1">
      <alignment vertical="center"/>
    </xf>
    <xf numFmtId="37" fontId="18" fillId="22" borderId="143" xfId="0" applyNumberFormat="1" applyFont="1" applyFill="1" applyBorder="1" applyAlignment="1">
      <alignment horizontal="right" vertical="center"/>
    </xf>
    <xf numFmtId="0" fontId="18" fillId="22" borderId="143" xfId="0" applyFont="1" applyFill="1" applyBorder="1" applyAlignment="1">
      <alignment horizontal="center" vertical="center"/>
    </xf>
    <xf numFmtId="0" fontId="1" fillId="22" borderId="0" xfId="0" applyFont="1" applyFill="1" applyAlignment="1">
      <alignment vertical="center"/>
    </xf>
    <xf numFmtId="0" fontId="96" fillId="22" borderId="143" xfId="0" applyFont="1" applyFill="1" applyBorder="1" applyAlignment="1">
      <alignment horizontal="center" vertical="center"/>
    </xf>
    <xf numFmtId="0" fontId="73" fillId="22" borderId="143" xfId="0" applyFont="1" applyFill="1" applyBorder="1" applyAlignment="1">
      <alignment horizontal="center" vertical="center"/>
    </xf>
    <xf numFmtId="38" fontId="73" fillId="22" borderId="143" xfId="0" applyNumberFormat="1" applyFont="1" applyFill="1" applyBorder="1" applyAlignment="1">
      <alignment vertical="center"/>
    </xf>
    <xf numFmtId="0" fontId="61" fillId="22" borderId="143" xfId="0" applyFont="1" applyFill="1" applyBorder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9" fillId="22" borderId="0" xfId="0" applyFont="1" applyFill="1" applyAlignment="1">
      <alignment horizontal="center" vertical="center"/>
    </xf>
    <xf numFmtId="0" fontId="61" fillId="22" borderId="0" xfId="0" applyFont="1" applyFill="1" applyAlignment="1">
      <alignment vertical="center" wrapText="1"/>
    </xf>
    <xf numFmtId="0" fontId="93" fillId="0" borderId="143" xfId="0" applyFont="1" applyBorder="1" applyAlignment="1">
      <alignment horizontal="center" vertical="center"/>
    </xf>
    <xf numFmtId="0" fontId="44" fillId="22" borderId="143" xfId="0" applyFont="1" applyFill="1" applyBorder="1" applyAlignment="1">
      <alignment horizontal="center" vertical="center"/>
    </xf>
    <xf numFmtId="38" fontId="61" fillId="0" borderId="143" xfId="0" applyNumberFormat="1" applyFont="1" applyBorder="1" applyAlignment="1">
      <alignment vertical="center"/>
    </xf>
    <xf numFmtId="37" fontId="19" fillId="15" borderId="0" xfId="0" applyNumberFormat="1" applyFont="1" applyFill="1" applyAlignment="1">
      <alignment vertical="center"/>
    </xf>
    <xf numFmtId="0" fontId="61" fillId="22" borderId="0" xfId="0" applyFont="1" applyFill="1" applyAlignment="1">
      <alignment vertical="center"/>
    </xf>
    <xf numFmtId="0" fontId="19" fillId="15" borderId="0" xfId="0" applyFont="1" applyFill="1" applyAlignment="1">
      <alignment vertical="center" wrapText="1"/>
    </xf>
    <xf numFmtId="38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 wrapText="1"/>
    </xf>
    <xf numFmtId="0" fontId="18" fillId="11" borderId="61" xfId="0" applyFont="1" applyFill="1" applyBorder="1" applyAlignment="1">
      <alignment vertical="center" wrapText="1"/>
    </xf>
    <xf numFmtId="0" fontId="61" fillId="11" borderId="61" xfId="0" applyFont="1" applyFill="1" applyBorder="1" applyAlignment="1">
      <alignment vertical="center"/>
    </xf>
    <xf numFmtId="0" fontId="93" fillId="5" borderId="61" xfId="0" applyFont="1" applyFill="1" applyBorder="1" applyAlignment="1">
      <alignment vertical="center"/>
    </xf>
    <xf numFmtId="0" fontId="19" fillId="5" borderId="143" xfId="0" applyFont="1" applyFill="1" applyBorder="1" applyAlignment="1">
      <alignment vertical="center"/>
    </xf>
    <xf numFmtId="0" fontId="19" fillId="22" borderId="143" xfId="0" applyFont="1" applyFill="1" applyBorder="1" applyAlignment="1">
      <alignment vertical="center"/>
    </xf>
    <xf numFmtId="37" fontId="44" fillId="23" borderId="0" xfId="0" applyNumberFormat="1" applyFont="1" applyFill="1" applyAlignment="1">
      <alignment vertical="center"/>
    </xf>
    <xf numFmtId="0" fontId="44" fillId="23" borderId="0" xfId="0" applyFont="1" applyFill="1" applyAlignment="1">
      <alignment vertical="center" wrapText="1"/>
    </xf>
    <xf numFmtId="3" fontId="9" fillId="2" borderId="107" xfId="0" applyNumberFormat="1" applyFont="1" applyFill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6" fillId="0" borderId="143" xfId="0" applyFont="1" applyBorder="1" applyAlignment="1">
      <alignment vertical="center" wrapText="1"/>
    </xf>
    <xf numFmtId="0" fontId="18" fillId="7" borderId="143" xfId="0" applyFont="1" applyFill="1" applyBorder="1" applyAlignment="1">
      <alignment vertical="center"/>
    </xf>
    <xf numFmtId="37" fontId="18" fillId="7" borderId="143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vertical="center"/>
    </xf>
    <xf numFmtId="0" fontId="96" fillId="7" borderId="143" xfId="0" applyFont="1" applyFill="1" applyBorder="1" applyAlignment="1">
      <alignment horizontal="center" vertical="center"/>
    </xf>
    <xf numFmtId="0" fontId="73" fillId="7" borderId="143" xfId="0" applyFont="1" applyFill="1" applyBorder="1" applyAlignment="1">
      <alignment horizontal="center" vertical="center"/>
    </xf>
    <xf numFmtId="38" fontId="73" fillId="7" borderId="143" xfId="0" applyNumberFormat="1" applyFont="1" applyFill="1" applyBorder="1" applyAlignment="1">
      <alignment vertical="center"/>
    </xf>
    <xf numFmtId="0" fontId="61" fillId="7" borderId="143" xfId="0" applyFont="1" applyFill="1" applyBorder="1" applyAlignment="1">
      <alignment horizontal="center" vertical="center"/>
    </xf>
    <xf numFmtId="0" fontId="60" fillId="7" borderId="0" xfId="0" applyFont="1" applyFill="1" applyAlignment="1">
      <alignment vertical="center"/>
    </xf>
    <xf numFmtId="37" fontId="18" fillId="0" borderId="4" xfId="0" applyNumberFormat="1" applyFont="1" applyBorder="1" applyAlignment="1">
      <alignment horizontal="right" vertical="center"/>
    </xf>
    <xf numFmtId="0" fontId="40" fillId="0" borderId="0" xfId="0" applyFont="1" applyAlignment="1">
      <alignment vertical="center" wrapText="1"/>
    </xf>
    <xf numFmtId="38" fontId="40" fillId="0" borderId="0" xfId="0" applyNumberFormat="1" applyFont="1" applyAlignment="1">
      <alignment vertical="center"/>
    </xf>
    <xf numFmtId="0" fontId="60" fillId="7" borderId="107" xfId="0" applyFont="1" applyFill="1" applyBorder="1" applyAlignment="1">
      <alignment horizontal="center" vertical="center" wrapText="1"/>
    </xf>
    <xf numFmtId="0" fontId="60" fillId="7" borderId="0" xfId="0" applyFont="1" applyFill="1" applyAlignment="1">
      <alignment vertical="center" wrapText="1"/>
    </xf>
    <xf numFmtId="37" fontId="25" fillId="22" borderId="142" xfId="0" applyNumberFormat="1" applyFont="1" applyFill="1" applyBorder="1" applyAlignment="1">
      <alignment vertical="center"/>
    </xf>
    <xf numFmtId="37" fontId="25" fillId="22" borderId="143" xfId="0" applyNumberFormat="1" applyFont="1" applyFill="1" applyBorder="1" applyAlignment="1">
      <alignment vertical="center"/>
    </xf>
    <xf numFmtId="37" fontId="61" fillId="22" borderId="143" xfId="0" applyNumberFormat="1" applyFont="1" applyFill="1" applyBorder="1" applyAlignment="1">
      <alignment vertical="center"/>
    </xf>
    <xf numFmtId="37" fontId="25" fillId="22" borderId="146" xfId="0" applyNumberFormat="1" applyFont="1" applyFill="1" applyBorder="1" applyAlignment="1">
      <alignment vertical="center"/>
    </xf>
    <xf numFmtId="37" fontId="41" fillId="22" borderId="143" xfId="0" applyNumberFormat="1" applyFont="1" applyFill="1" applyBorder="1" applyAlignment="1">
      <alignment horizontal="center" vertical="center"/>
    </xf>
    <xf numFmtId="37" fontId="19" fillId="22" borderId="144" xfId="0" applyNumberFormat="1" applyFont="1" applyFill="1" applyBorder="1" applyAlignment="1">
      <alignment horizontal="center" vertical="center"/>
    </xf>
    <xf numFmtId="37" fontId="49" fillId="22" borderId="142" xfId="0" applyNumberFormat="1" applyFont="1" applyFill="1" applyBorder="1" applyAlignment="1">
      <alignment vertical="center"/>
    </xf>
    <xf numFmtId="37" fontId="40" fillId="22" borderId="144" xfId="0" applyNumberFormat="1" applyFont="1" applyFill="1" applyBorder="1" applyAlignment="1">
      <alignment horizontal="center" vertical="center"/>
    </xf>
    <xf numFmtId="37" fontId="24" fillId="0" borderId="113" xfId="0" applyNumberFormat="1" applyFont="1" applyBorder="1" applyAlignment="1">
      <alignment horizontal="right" vertical="center"/>
    </xf>
    <xf numFmtId="0" fontId="5" fillId="11" borderId="107" xfId="0" applyFont="1" applyFill="1" applyBorder="1" applyAlignment="1">
      <alignment vertical="center" wrapText="1"/>
    </xf>
    <xf numFmtId="0" fontId="73" fillId="21" borderId="0" xfId="0" applyFont="1" applyFill="1" applyAlignment="1">
      <alignment vertical="center"/>
    </xf>
    <xf numFmtId="0" fontId="61" fillId="21" borderId="0" xfId="0" applyFont="1" applyFill="1" applyAlignment="1">
      <alignment vertical="center" wrapText="1"/>
    </xf>
    <xf numFmtId="0" fontId="61" fillId="21" borderId="0" xfId="0" applyFont="1" applyFill="1" applyAlignment="1">
      <alignment vertical="center"/>
    </xf>
    <xf numFmtId="37" fontId="5" fillId="0" borderId="143" xfId="0" applyNumberFormat="1" applyFont="1" applyBorder="1" applyAlignment="1">
      <alignment horizontal="right" vertical="center"/>
    </xf>
    <xf numFmtId="37" fontId="15" fillId="0" borderId="150" xfId="0" applyNumberFormat="1" applyFont="1" applyBorder="1" applyAlignment="1">
      <alignment vertical="center"/>
    </xf>
    <xf numFmtId="0" fontId="18" fillId="24" borderId="143" xfId="0" applyFont="1" applyFill="1" applyBorder="1" applyAlignment="1">
      <alignment vertical="center"/>
    </xf>
    <xf numFmtId="37" fontId="9" fillId="24" borderId="3" xfId="0" applyNumberFormat="1" applyFont="1" applyFill="1" applyBorder="1" applyAlignment="1">
      <alignment vertical="center" wrapText="1"/>
    </xf>
    <xf numFmtId="37" fontId="18" fillId="24" borderId="4" xfId="0" applyNumberFormat="1" applyFont="1" applyFill="1" applyBorder="1" applyAlignment="1">
      <alignment horizontal="right" vertical="center"/>
    </xf>
    <xf numFmtId="0" fontId="18" fillId="24" borderId="143" xfId="0" applyFont="1" applyFill="1" applyBorder="1" applyAlignment="1">
      <alignment horizontal="center" vertical="center"/>
    </xf>
    <xf numFmtId="0" fontId="1" fillId="24" borderId="0" xfId="0" applyFont="1" applyFill="1" applyAlignment="1">
      <alignment vertical="center"/>
    </xf>
    <xf numFmtId="0" fontId="96" fillId="24" borderId="143" xfId="0" applyFont="1" applyFill="1" applyBorder="1" applyAlignment="1">
      <alignment horizontal="center" vertical="center"/>
    </xf>
    <xf numFmtId="0" fontId="73" fillId="24" borderId="143" xfId="0" applyFont="1" applyFill="1" applyBorder="1" applyAlignment="1">
      <alignment horizontal="center" vertical="center"/>
    </xf>
    <xf numFmtId="38" fontId="73" fillId="24" borderId="143" xfId="0" applyNumberFormat="1" applyFont="1" applyFill="1" applyBorder="1" applyAlignment="1">
      <alignment vertical="center"/>
    </xf>
    <xf numFmtId="0" fontId="44" fillId="24" borderId="0" xfId="0" applyFont="1" applyFill="1" applyAlignment="1">
      <alignment vertical="center" wrapText="1"/>
    </xf>
    <xf numFmtId="0" fontId="5" fillId="0" borderId="29" xfId="0" applyFont="1" applyBorder="1" applyAlignment="1">
      <alignment vertical="center"/>
    </xf>
    <xf numFmtId="0" fontId="5" fillId="0" borderId="107" xfId="0" quotePrefix="1" applyFont="1" applyBorder="1" applyAlignment="1">
      <alignment horizontal="left" vertical="center"/>
    </xf>
    <xf numFmtId="0" fontId="5" fillId="0" borderId="143" xfId="0" applyFont="1" applyBorder="1" applyAlignment="1">
      <alignment vertical="center"/>
    </xf>
    <xf numFmtId="0" fontId="6" fillId="0" borderId="107" xfId="0" applyFont="1" applyBorder="1" applyAlignment="1">
      <alignment vertical="center"/>
    </xf>
    <xf numFmtId="0" fontId="4" fillId="0" borderId="107" xfId="0" applyFont="1" applyBorder="1" applyAlignment="1">
      <alignment vertical="center"/>
    </xf>
    <xf numFmtId="0" fontId="2" fillId="0" borderId="107" xfId="0" applyFont="1" applyBorder="1" applyAlignment="1">
      <alignment vertical="center"/>
    </xf>
    <xf numFmtId="0" fontId="5" fillId="5" borderId="107" xfId="0" applyFont="1" applyFill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44" fillId="24" borderId="0" xfId="0" applyFont="1" applyFill="1" applyAlignment="1">
      <alignment vertical="center"/>
    </xf>
    <xf numFmtId="0" fontId="60" fillId="7" borderId="107" xfId="0" applyFont="1" applyFill="1" applyBorder="1" applyAlignment="1">
      <alignment horizontal="center" vertical="center"/>
    </xf>
    <xf numFmtId="0" fontId="6" fillId="0" borderId="143" xfId="0" applyFont="1" applyBorder="1" applyAlignment="1">
      <alignment vertical="center"/>
    </xf>
    <xf numFmtId="0" fontId="3" fillId="0" borderId="107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107" xfId="0" quotePrefix="1" applyFont="1" applyBorder="1" applyAlignment="1">
      <alignment vertical="center"/>
    </xf>
    <xf numFmtId="0" fontId="59" fillId="21" borderId="0" xfId="0" applyFont="1" applyFill="1" applyAlignment="1">
      <alignment vertical="center"/>
    </xf>
    <xf numFmtId="37" fontId="35" fillId="11" borderId="107" xfId="0" applyNumberFormat="1" applyFont="1" applyFill="1" applyBorder="1" applyAlignment="1">
      <alignment horizontal="right" vertical="center"/>
    </xf>
    <xf numFmtId="3" fontId="37" fillId="0" borderId="41" xfId="0" applyNumberFormat="1" applyFont="1" applyBorder="1" applyAlignment="1">
      <alignment horizontal="center" vertical="center" wrapText="1"/>
    </xf>
    <xf numFmtId="37" fontId="45" fillId="0" borderId="134" xfId="0" applyNumberFormat="1" applyFont="1" applyBorder="1" applyAlignment="1">
      <alignment vertical="center"/>
    </xf>
    <xf numFmtId="37" fontId="45" fillId="0" borderId="131" xfId="0" applyNumberFormat="1" applyFont="1" applyBorder="1" applyAlignment="1">
      <alignment vertical="center"/>
    </xf>
    <xf numFmtId="37" fontId="45" fillId="0" borderId="100" xfId="0" applyNumberFormat="1" applyFont="1" applyBorder="1" applyAlignment="1">
      <alignment vertical="center"/>
    </xf>
    <xf numFmtId="37" fontId="41" fillId="2" borderId="40" xfId="0" applyNumberFormat="1" applyFont="1" applyFill="1" applyBorder="1" applyAlignment="1">
      <alignment vertical="center"/>
    </xf>
    <xf numFmtId="37" fontId="43" fillId="0" borderId="127" xfId="0" applyNumberFormat="1" applyFont="1" applyBorder="1" applyAlignment="1">
      <alignment vertical="center"/>
    </xf>
    <xf numFmtId="37" fontId="43" fillId="0" borderId="80" xfId="0" applyNumberFormat="1" applyFont="1" applyBorder="1" applyAlignment="1">
      <alignment vertical="center"/>
    </xf>
    <xf numFmtId="37" fontId="44" fillId="2" borderId="126" xfId="0" applyNumberFormat="1" applyFont="1" applyFill="1" applyBorder="1" applyAlignment="1">
      <alignment vertical="center"/>
    </xf>
    <xf numFmtId="37" fontId="43" fillId="4" borderId="44" xfId="0" applyNumberFormat="1" applyFont="1" applyFill="1" applyBorder="1" applyAlignment="1">
      <alignment vertical="center"/>
    </xf>
    <xf numFmtId="37" fontId="43" fillId="2" borderId="44" xfId="0" applyNumberFormat="1" applyFont="1" applyFill="1" applyBorder="1" applyAlignment="1">
      <alignment vertical="center"/>
    </xf>
    <xf numFmtId="37" fontId="43" fillId="0" borderId="44" xfId="0" applyNumberFormat="1" applyFont="1" applyBorder="1" applyAlignment="1">
      <alignment vertical="center"/>
    </xf>
    <xf numFmtId="37" fontId="61" fillId="0" borderId="128" xfId="0" applyNumberFormat="1" applyFont="1" applyBorder="1" applyAlignment="1">
      <alignment vertical="center"/>
    </xf>
    <xf numFmtId="37" fontId="49" fillId="0" borderId="127" xfId="0" applyNumberFormat="1" applyFont="1" applyBorder="1" applyAlignment="1">
      <alignment vertical="center"/>
    </xf>
    <xf numFmtId="37" fontId="40" fillId="0" borderId="129" xfId="0" applyNumberFormat="1" applyFont="1" applyBorder="1" applyAlignment="1">
      <alignment horizontal="center" vertical="center"/>
    </xf>
    <xf numFmtId="3" fontId="44" fillId="0" borderId="57" xfId="0" applyNumberFormat="1" applyFont="1" applyBorder="1" applyAlignment="1">
      <alignment vertical="center"/>
    </xf>
    <xf numFmtId="37" fontId="9" fillId="0" borderId="142" xfId="0" applyNumberFormat="1" applyFont="1" applyBorder="1" applyAlignment="1">
      <alignment horizontal="right" vertical="center"/>
    </xf>
    <xf numFmtId="37" fontId="25" fillId="0" borderId="142" xfId="0" applyNumberFormat="1" applyFont="1" applyBorder="1" applyAlignment="1">
      <alignment vertical="center"/>
    </xf>
    <xf numFmtId="37" fontId="25" fillId="0" borderId="143" xfId="0" applyNumberFormat="1" applyFont="1" applyBorder="1" applyAlignment="1">
      <alignment vertical="center"/>
    </xf>
    <xf numFmtId="37" fontId="61" fillId="0" borderId="143" xfId="0" applyNumberFormat="1" applyFont="1" applyBorder="1" applyAlignment="1">
      <alignment vertical="center"/>
    </xf>
    <xf numFmtId="37" fontId="25" fillId="0" borderId="146" xfId="0" applyNumberFormat="1" applyFont="1" applyBorder="1" applyAlignment="1">
      <alignment vertical="center"/>
    </xf>
    <xf numFmtId="37" fontId="19" fillId="0" borderId="144" xfId="0" applyNumberFormat="1" applyFont="1" applyBorder="1" applyAlignment="1">
      <alignment horizontal="center" vertical="center"/>
    </xf>
    <xf numFmtId="37" fontId="49" fillId="0" borderId="142" xfId="0" applyNumberFormat="1" applyFont="1" applyBorder="1" applyAlignment="1">
      <alignment vertical="center"/>
    </xf>
    <xf numFmtId="37" fontId="40" fillId="0" borderId="144" xfId="0" applyNumberFormat="1" applyFont="1" applyBorder="1" applyAlignment="1">
      <alignment horizontal="center" vertical="center"/>
    </xf>
    <xf numFmtId="0" fontId="2" fillId="0" borderId="143" xfId="0" applyFont="1" applyBorder="1" applyAlignment="1">
      <alignment vertical="center" wrapText="1"/>
    </xf>
    <xf numFmtId="37" fontId="41" fillId="5" borderId="143" xfId="0" applyNumberFormat="1" applyFont="1" applyFill="1" applyBorder="1" applyAlignment="1">
      <alignment horizontal="center" vertical="center"/>
    </xf>
    <xf numFmtId="37" fontId="9" fillId="22" borderId="142" xfId="0" applyNumberFormat="1" applyFont="1" applyFill="1" applyBorder="1" applyAlignment="1">
      <alignment horizontal="right" vertical="center"/>
    </xf>
    <xf numFmtId="37" fontId="35" fillId="22" borderId="143" xfId="0" applyNumberFormat="1" applyFont="1" applyFill="1" applyBorder="1" applyAlignment="1">
      <alignment vertical="center"/>
    </xf>
    <xf numFmtId="0" fontId="7" fillId="0" borderId="143" xfId="0" applyFont="1" applyBorder="1" applyAlignment="1">
      <alignment vertical="center" wrapText="1"/>
    </xf>
    <xf numFmtId="37" fontId="7" fillId="0" borderId="143" xfId="0" applyNumberFormat="1" applyFont="1" applyBorder="1" applyAlignment="1">
      <alignment horizontal="right" vertical="center"/>
    </xf>
    <xf numFmtId="37" fontId="9" fillId="0" borderId="152" xfId="0" applyNumberFormat="1" applyFont="1" applyBorder="1" applyAlignment="1">
      <alignment horizontal="center" vertical="center"/>
    </xf>
    <xf numFmtId="37" fontId="60" fillId="7" borderId="95" xfId="0" applyNumberFormat="1" applyFont="1" applyFill="1" applyBorder="1" applyAlignment="1">
      <alignment horizontal="center" vertical="center"/>
    </xf>
    <xf numFmtId="37" fontId="18" fillId="7" borderId="113" xfId="0" applyNumberFormat="1" applyFont="1" applyFill="1" applyBorder="1" applyAlignment="1">
      <alignment horizontal="right" vertical="center"/>
    </xf>
    <xf numFmtId="37" fontId="35" fillId="7" borderId="107" xfId="0" applyNumberFormat="1" applyFont="1" applyFill="1" applyBorder="1" applyAlignment="1">
      <alignment horizontal="center" vertical="center"/>
    </xf>
    <xf numFmtId="37" fontId="35" fillId="7" borderId="107" xfId="0" applyNumberFormat="1" applyFont="1" applyFill="1" applyBorder="1" applyAlignment="1">
      <alignment horizontal="right" vertical="center"/>
    </xf>
    <xf numFmtId="0" fontId="35" fillId="7" borderId="105" xfId="0" applyFont="1" applyFill="1" applyBorder="1" applyAlignment="1">
      <alignment horizontal="center" vertical="center"/>
    </xf>
    <xf numFmtId="37" fontId="18" fillId="7" borderId="107" xfId="0" applyNumberFormat="1" applyFont="1" applyFill="1" applyBorder="1" applyAlignment="1">
      <alignment horizontal="center" vertical="center"/>
    </xf>
    <xf numFmtId="0" fontId="6" fillId="0" borderId="128" xfId="0" applyFont="1" applyBorder="1" applyAlignment="1">
      <alignment vertical="center" wrapText="1"/>
    </xf>
    <xf numFmtId="37" fontId="35" fillId="0" borderId="128" xfId="0" applyNumberFormat="1" applyFont="1" applyBorder="1" applyAlignment="1">
      <alignment horizontal="right" vertical="center"/>
    </xf>
    <xf numFmtId="37" fontId="25" fillId="0" borderId="128" xfId="0" applyNumberFormat="1" applyFont="1" applyBorder="1" applyAlignment="1">
      <alignment vertical="center"/>
    </xf>
    <xf numFmtId="3" fontId="9" fillId="0" borderId="143" xfId="0" applyNumberFormat="1" applyFont="1" applyBorder="1" applyAlignment="1">
      <alignment vertical="center"/>
    </xf>
    <xf numFmtId="3" fontId="44" fillId="16" borderId="88" xfId="0" applyNumberFormat="1" applyFont="1" applyFill="1" applyBorder="1" applyAlignment="1">
      <alignment vertical="center"/>
    </xf>
    <xf numFmtId="37" fontId="21" fillId="5" borderId="24" xfId="0" applyNumberFormat="1" applyFont="1" applyFill="1" applyBorder="1" applyAlignment="1">
      <alignment vertical="center"/>
    </xf>
    <xf numFmtId="37" fontId="44" fillId="5" borderId="24" xfId="0" applyNumberFormat="1" applyFont="1" applyFill="1" applyBorder="1" applyAlignment="1">
      <alignment vertical="center"/>
    </xf>
    <xf numFmtId="37" fontId="61" fillId="5" borderId="34" xfId="0" applyNumberFormat="1" applyFont="1" applyFill="1" applyBorder="1" applyAlignment="1">
      <alignment horizontal="center" vertical="center"/>
    </xf>
    <xf numFmtId="0" fontId="5" fillId="0" borderId="143" xfId="0" quotePrefix="1" applyFont="1" applyBorder="1" applyAlignment="1">
      <alignment horizontal="left" vertical="center" wrapText="1"/>
    </xf>
    <xf numFmtId="0" fontId="4" fillId="0" borderId="143" xfId="0" applyFont="1" applyBorder="1" applyAlignment="1">
      <alignment vertical="center" wrapText="1"/>
    </xf>
    <xf numFmtId="0" fontId="3" fillId="0" borderId="143" xfId="0" applyFont="1" applyBorder="1" applyAlignment="1">
      <alignment vertical="center" wrapText="1"/>
    </xf>
    <xf numFmtId="0" fontId="5" fillId="0" borderId="143" xfId="0" quotePrefix="1" applyFont="1" applyBorder="1" applyAlignment="1">
      <alignment vertical="center" wrapText="1"/>
    </xf>
    <xf numFmtId="0" fontId="36" fillId="0" borderId="61" xfId="0" applyFont="1" applyBorder="1" applyAlignment="1">
      <alignment vertical="center" wrapText="1"/>
    </xf>
    <xf numFmtId="37" fontId="18" fillId="11" borderId="113" xfId="0" applyNumberFormat="1" applyFont="1" applyFill="1" applyBorder="1" applyAlignment="1">
      <alignment horizontal="right" vertical="center"/>
    </xf>
    <xf numFmtId="0" fontId="18" fillId="11" borderId="107" xfId="0" applyFont="1" applyFill="1" applyBorder="1" applyAlignment="1">
      <alignment vertical="center" wrapText="1"/>
    </xf>
    <xf numFmtId="37" fontId="35" fillId="11" borderId="107" xfId="0" applyNumberFormat="1" applyFont="1" applyFill="1" applyBorder="1" applyAlignment="1">
      <alignment horizontal="center" vertical="center"/>
    </xf>
    <xf numFmtId="0" fontId="35" fillId="11" borderId="105" xfId="0" applyFont="1" applyFill="1" applyBorder="1" applyAlignment="1">
      <alignment horizontal="center" vertical="center"/>
    </xf>
    <xf numFmtId="37" fontId="73" fillId="11" borderId="108" xfId="0" applyNumberFormat="1" applyFont="1" applyFill="1" applyBorder="1" applyAlignment="1">
      <alignment horizontal="right" vertical="center"/>
    </xf>
    <xf numFmtId="37" fontId="44" fillId="11" borderId="145" xfId="0" applyNumberFormat="1" applyFont="1" applyFill="1" applyBorder="1" applyAlignment="1">
      <alignment horizontal="right" vertical="center"/>
    </xf>
    <xf numFmtId="37" fontId="73" fillId="11" borderId="142" xfId="0" applyNumberFormat="1" applyFont="1" applyFill="1" applyBorder="1" applyAlignment="1">
      <alignment horizontal="right" vertical="center"/>
    </xf>
    <xf numFmtId="37" fontId="43" fillId="11" borderId="107" xfId="0" applyNumberFormat="1" applyFont="1" applyFill="1" applyBorder="1" applyAlignment="1">
      <alignment vertical="center"/>
    </xf>
    <xf numFmtId="37" fontId="61" fillId="11" borderId="107" xfId="0" applyNumberFormat="1" applyFont="1" applyFill="1" applyBorder="1" applyAlignment="1">
      <alignment horizontal="center" vertical="center"/>
    </xf>
    <xf numFmtId="37" fontId="35" fillId="11" borderId="107" xfId="0" applyNumberFormat="1" applyFont="1" applyFill="1" applyBorder="1" applyAlignment="1">
      <alignment vertical="center"/>
    </xf>
    <xf numFmtId="37" fontId="41" fillId="11" borderId="107" xfId="0" applyNumberFormat="1" applyFont="1" applyFill="1" applyBorder="1" applyAlignment="1">
      <alignment horizontal="center" vertical="center"/>
    </xf>
    <xf numFmtId="37" fontId="45" fillId="11" borderId="107" xfId="0" applyNumberFormat="1" applyFont="1" applyFill="1" applyBorder="1" applyAlignment="1">
      <alignment vertical="center"/>
    </xf>
    <xf numFmtId="37" fontId="18" fillId="11" borderId="107" xfId="0" applyNumberFormat="1" applyFont="1" applyFill="1" applyBorder="1" applyAlignment="1">
      <alignment horizontal="center" vertical="center"/>
    </xf>
    <xf numFmtId="37" fontId="90" fillId="11" borderId="107" xfId="0" applyNumberFormat="1" applyFont="1" applyFill="1" applyBorder="1" applyAlignment="1">
      <alignment vertical="center"/>
    </xf>
    <xf numFmtId="2" fontId="18" fillId="11" borderId="107" xfId="0" applyNumberFormat="1" applyFont="1" applyFill="1" applyBorder="1" applyAlignment="1">
      <alignment vertical="center" wrapText="1"/>
    </xf>
    <xf numFmtId="37" fontId="18" fillId="11" borderId="107" xfId="0" applyNumberFormat="1" applyFont="1" applyFill="1" applyBorder="1" applyAlignment="1">
      <alignment horizontal="right" vertical="center"/>
    </xf>
    <xf numFmtId="0" fontId="5" fillId="11" borderId="107" xfId="0" quotePrefix="1" applyFont="1" applyFill="1" applyBorder="1" applyAlignment="1">
      <alignment horizontal="left" vertical="center" wrapText="1"/>
    </xf>
    <xf numFmtId="0" fontId="5" fillId="11" borderId="107" xfId="0" applyFont="1" applyFill="1" applyBorder="1" applyAlignment="1">
      <alignment vertical="center"/>
    </xf>
    <xf numFmtId="39" fontId="17" fillId="0" borderId="0" xfId="0" applyNumberFormat="1" applyFont="1" applyAlignment="1">
      <alignment horizontal="center" vertical="center"/>
    </xf>
    <xf numFmtId="0" fontId="73" fillId="0" borderId="61" xfId="0" applyFont="1" applyBorder="1" applyAlignment="1">
      <alignment vertical="center"/>
    </xf>
    <xf numFmtId="37" fontId="67" fillId="0" borderId="154" xfId="0" applyNumberFormat="1" applyFont="1" applyBorder="1" applyAlignment="1">
      <alignment horizontal="center" vertical="center" wrapText="1"/>
    </xf>
    <xf numFmtId="37" fontId="73" fillId="0" borderId="155" xfId="0" applyNumberFormat="1" applyFont="1" applyBorder="1" applyAlignment="1">
      <alignment horizontal="right" vertical="center"/>
    </xf>
    <xf numFmtId="37" fontId="73" fillId="0" borderId="156" xfId="0" applyNumberFormat="1" applyFont="1" applyBorder="1" applyAlignment="1">
      <alignment horizontal="right" vertical="center"/>
    </xf>
    <xf numFmtId="0" fontId="5" fillId="0" borderId="47" xfId="0" applyFont="1" applyBorder="1" applyAlignment="1">
      <alignment vertical="center" wrapText="1"/>
    </xf>
    <xf numFmtId="0" fontId="35" fillId="0" borderId="144" xfId="0" applyFont="1" applyBorder="1" applyAlignment="1">
      <alignment horizontal="center" vertical="center"/>
    </xf>
    <xf numFmtId="0" fontId="5" fillId="0" borderId="144" xfId="0" applyFont="1" applyBorder="1" applyAlignment="1">
      <alignment vertical="center" wrapText="1"/>
    </xf>
    <xf numFmtId="0" fontId="5" fillId="0" borderId="101" xfId="0" applyFont="1" applyBorder="1" applyAlignment="1">
      <alignment vertical="center" wrapText="1"/>
    </xf>
    <xf numFmtId="37" fontId="60" fillId="4" borderId="0" xfId="0" applyNumberFormat="1" applyFont="1" applyFill="1" applyAlignment="1">
      <alignment horizontal="center" vertical="center"/>
    </xf>
    <xf numFmtId="37" fontId="44" fillId="4" borderId="0" xfId="0" applyNumberFormat="1" applyFont="1" applyFill="1" applyAlignment="1">
      <alignment vertical="center" wrapText="1"/>
    </xf>
    <xf numFmtId="37" fontId="18" fillId="0" borderId="142" xfId="0" applyNumberFormat="1" applyFont="1" applyBorder="1" applyAlignment="1">
      <alignment vertical="center"/>
    </xf>
    <xf numFmtId="37" fontId="35" fillId="0" borderId="146" xfId="0" applyNumberFormat="1" applyFont="1" applyBorder="1" applyAlignment="1">
      <alignment vertical="center"/>
    </xf>
    <xf numFmtId="37" fontId="43" fillId="0" borderId="142" xfId="0" applyNumberFormat="1" applyFont="1" applyBorder="1" applyAlignment="1">
      <alignment vertical="center"/>
    </xf>
    <xf numFmtId="37" fontId="45" fillId="0" borderId="149" xfId="0" applyNumberFormat="1" applyFont="1" applyBorder="1" applyAlignment="1">
      <alignment vertical="center"/>
    </xf>
    <xf numFmtId="37" fontId="15" fillId="0" borderId="144" xfId="0" applyNumberFormat="1" applyFont="1" applyBorder="1" applyAlignment="1">
      <alignment vertical="center"/>
    </xf>
    <xf numFmtId="37" fontId="73" fillId="0" borderId="0" xfId="0" applyNumberFormat="1" applyFont="1" applyAlignment="1">
      <alignment vertical="center"/>
    </xf>
    <xf numFmtId="37" fontId="60" fillId="4" borderId="0" xfId="0" applyNumberFormat="1" applyFont="1" applyFill="1" applyAlignment="1">
      <alignment horizontal="center" vertical="center" wrapText="1"/>
    </xf>
    <xf numFmtId="37" fontId="44" fillId="0" borderId="0" xfId="0" applyNumberFormat="1" applyFont="1" applyAlignment="1">
      <alignment horizontal="center" vertical="center" wrapText="1"/>
    </xf>
    <xf numFmtId="37" fontId="49" fillId="0" borderId="157" xfId="0" applyNumberFormat="1" applyFont="1" applyBorder="1" applyAlignment="1">
      <alignment horizontal="center" vertical="center"/>
    </xf>
    <xf numFmtId="3" fontId="40" fillId="2" borderId="0" xfId="0" applyNumberFormat="1" applyFont="1" applyFill="1" applyAlignment="1">
      <alignment horizontal="center" vertical="center"/>
    </xf>
    <xf numFmtId="3" fontId="49" fillId="0" borderId="0" xfId="0" quotePrefix="1" applyNumberFormat="1" applyFont="1" applyAlignment="1">
      <alignment horizontal="center" vertical="center"/>
    </xf>
    <xf numFmtId="9" fontId="49" fillId="0" borderId="69" xfId="0" quotePrefix="1" applyNumberFormat="1" applyFont="1" applyBorder="1" applyAlignment="1">
      <alignment horizontal="center" vertical="center"/>
    </xf>
    <xf numFmtId="37" fontId="49" fillId="0" borderId="143" xfId="0" applyNumberFormat="1" applyFont="1" applyBorder="1" applyAlignment="1">
      <alignment horizontal="center" vertical="center"/>
    </xf>
    <xf numFmtId="37" fontId="49" fillId="22" borderId="143" xfId="0" applyNumberFormat="1" applyFont="1" applyFill="1" applyBorder="1" applyAlignment="1">
      <alignment horizontal="center" vertical="center"/>
    </xf>
    <xf numFmtId="37" fontId="49" fillId="0" borderId="112" xfId="0" applyNumberFormat="1" applyFont="1" applyBorder="1" applyAlignment="1">
      <alignment horizontal="center" vertical="center"/>
    </xf>
    <xf numFmtId="37" fontId="49" fillId="2" borderId="126" xfId="0" applyNumberFormat="1" applyFont="1" applyFill="1" applyBorder="1" applyAlignment="1">
      <alignment horizontal="center" vertical="center"/>
    </xf>
    <xf numFmtId="3" fontId="49" fillId="4" borderId="0" xfId="0" applyNumberFormat="1" applyFont="1" applyFill="1" applyAlignment="1">
      <alignment horizontal="center" vertical="center"/>
    </xf>
    <xf numFmtId="3" fontId="49" fillId="0" borderId="0" xfId="0" applyNumberFormat="1" applyFont="1" applyAlignment="1">
      <alignment horizontal="center" vertical="center"/>
    </xf>
    <xf numFmtId="3" fontId="40" fillId="0" borderId="0" xfId="0" applyNumberFormat="1" applyFont="1" applyAlignment="1">
      <alignment horizontal="center" vertical="center"/>
    </xf>
    <xf numFmtId="10" fontId="40" fillId="2" borderId="0" xfId="1" applyNumberFormat="1" applyFont="1" applyFill="1" applyAlignment="1">
      <alignment horizontal="center" vertical="center"/>
    </xf>
    <xf numFmtId="3" fontId="53" fillId="0" borderId="42" xfId="0" applyNumberFormat="1" applyFont="1" applyBorder="1" applyAlignment="1">
      <alignment horizontal="center" vertical="center" wrapText="1"/>
    </xf>
    <xf numFmtId="37" fontId="49" fillId="0" borderId="128" xfId="0" applyNumberFormat="1" applyFont="1" applyBorder="1" applyAlignment="1">
      <alignment vertical="center"/>
    </xf>
    <xf numFmtId="37" fontId="49" fillId="0" borderId="143" xfId="0" applyNumberFormat="1" applyFont="1" applyBorder="1" applyAlignment="1">
      <alignment vertical="center"/>
    </xf>
    <xf numFmtId="37" fontId="49" fillId="22" borderId="143" xfId="0" applyNumberFormat="1" applyFont="1" applyFill="1" applyBorder="1" applyAlignment="1">
      <alignment vertical="center"/>
    </xf>
    <xf numFmtId="37" fontId="49" fillId="0" borderId="112" xfId="0" applyNumberFormat="1" applyFont="1" applyBorder="1" applyAlignment="1">
      <alignment vertical="center"/>
    </xf>
    <xf numFmtId="3" fontId="49" fillId="4" borderId="0" xfId="0" applyNumberFormat="1" applyFont="1" applyFill="1" applyAlignment="1">
      <alignment vertical="center"/>
    </xf>
    <xf numFmtId="37" fontId="49" fillId="0" borderId="29" xfId="0" applyNumberFormat="1" applyFont="1" applyBorder="1" applyAlignment="1">
      <alignment vertical="center"/>
    </xf>
    <xf numFmtId="37" fontId="49" fillId="0" borderId="107" xfId="0" applyNumberFormat="1" applyFont="1" applyBorder="1" applyAlignment="1">
      <alignment vertical="center"/>
    </xf>
    <xf numFmtId="37" fontId="19" fillId="0" borderId="143" xfId="0" applyNumberFormat="1" applyFont="1" applyBorder="1" applyAlignment="1">
      <alignment vertical="center"/>
    </xf>
    <xf numFmtId="37" fontId="78" fillId="2" borderId="0" xfId="0" applyNumberFormat="1" applyFont="1" applyFill="1" applyAlignment="1">
      <alignment vertical="center"/>
    </xf>
    <xf numFmtId="37" fontId="61" fillId="0" borderId="57" xfId="0" applyNumberFormat="1" applyFont="1" applyBorder="1" applyAlignment="1">
      <alignment vertical="center"/>
    </xf>
    <xf numFmtId="37" fontId="61" fillId="0" borderId="88" xfId="0" applyNumberFormat="1" applyFont="1" applyBorder="1" applyAlignment="1">
      <alignment vertical="center"/>
    </xf>
    <xf numFmtId="37" fontId="61" fillId="0" borderId="91" xfId="0" applyNumberFormat="1" applyFont="1" applyBorder="1" applyAlignment="1">
      <alignment vertical="center"/>
    </xf>
    <xf numFmtId="37" fontId="61" fillId="0" borderId="47" xfId="0" applyNumberFormat="1" applyFont="1" applyBorder="1" applyAlignment="1">
      <alignment vertical="center"/>
    </xf>
    <xf numFmtId="37" fontId="61" fillId="2" borderId="47" xfId="0" applyNumberFormat="1" applyFont="1" applyFill="1" applyBorder="1" applyAlignment="1">
      <alignment vertical="center"/>
    </xf>
    <xf numFmtId="3" fontId="41" fillId="0" borderId="0" xfId="0" applyNumberFormat="1" applyFont="1" applyAlignment="1">
      <alignment vertical="center"/>
    </xf>
    <xf numFmtId="37" fontId="23" fillId="0" borderId="143" xfId="0" applyNumberFormat="1" applyFont="1" applyBorder="1" applyAlignment="1">
      <alignment vertical="center"/>
    </xf>
    <xf numFmtId="37" fontId="80" fillId="0" borderId="143" xfId="0" applyNumberFormat="1" applyFont="1" applyBorder="1" applyAlignment="1">
      <alignment vertical="center"/>
    </xf>
    <xf numFmtId="37" fontId="15" fillId="0" borderId="143" xfId="0" applyNumberFormat="1" applyFont="1" applyBorder="1" applyAlignment="1">
      <alignment vertical="center"/>
    </xf>
    <xf numFmtId="37" fontId="21" fillId="0" borderId="143" xfId="0" applyNumberFormat="1" applyFont="1" applyBorder="1" applyAlignment="1">
      <alignment vertical="center"/>
    </xf>
    <xf numFmtId="3" fontId="21" fillId="0" borderId="117" xfId="0" applyNumberFormat="1" applyFont="1" applyBorder="1" applyAlignment="1">
      <alignment vertical="center"/>
    </xf>
    <xf numFmtId="3" fontId="61" fillId="0" borderId="158" xfId="0" applyNumberFormat="1" applyFont="1" applyBorder="1" applyAlignment="1">
      <alignment vertical="center"/>
    </xf>
    <xf numFmtId="38" fontId="61" fillId="2" borderId="0" xfId="0" applyNumberFormat="1" applyFont="1" applyFill="1" applyAlignment="1">
      <alignment vertical="center"/>
    </xf>
    <xf numFmtId="38" fontId="19" fillId="2" borderId="0" xfId="0" applyNumberFormat="1" applyFont="1" applyFill="1" applyAlignment="1">
      <alignment vertical="center"/>
    </xf>
    <xf numFmtId="38" fontId="19" fillId="0" borderId="0" xfId="0" applyNumberFormat="1" applyFont="1" applyAlignment="1">
      <alignment vertical="center" wrapText="1"/>
    </xf>
    <xf numFmtId="38" fontId="19" fillId="0" borderId="0" xfId="0" applyNumberFormat="1" applyFont="1" applyAlignment="1">
      <alignment horizontal="center" vertical="center" wrapText="1"/>
    </xf>
    <xf numFmtId="38" fontId="61" fillId="0" borderId="0" xfId="0" applyNumberFormat="1" applyFont="1" applyAlignment="1">
      <alignment vertical="center" wrapText="1"/>
    </xf>
    <xf numFmtId="37" fontId="60" fillId="4" borderId="159" xfId="0" applyNumberFormat="1" applyFont="1" applyFill="1" applyBorder="1" applyAlignment="1">
      <alignment vertical="center"/>
    </xf>
    <xf numFmtId="0" fontId="67" fillId="0" borderId="41" xfId="0" applyFont="1" applyBorder="1" applyAlignment="1">
      <alignment vertical="center"/>
    </xf>
    <xf numFmtId="0" fontId="67" fillId="0" borderId="42" xfId="0" applyFont="1" applyBorder="1" applyAlignment="1">
      <alignment horizontal="center" vertical="center" wrapText="1"/>
    </xf>
    <xf numFmtId="37" fontId="38" fillId="0" borderId="31" xfId="0" applyNumberFormat="1" applyFont="1" applyBorder="1" applyAlignment="1">
      <alignment horizontal="center" vertical="center" wrapText="1"/>
    </xf>
    <xf numFmtId="37" fontId="67" fillId="0" borderId="41" xfId="0" applyNumberFormat="1" applyFont="1" applyBorder="1" applyAlignment="1">
      <alignment horizontal="center" vertical="center" wrapText="1"/>
    </xf>
    <xf numFmtId="37" fontId="38" fillId="0" borderId="42" xfId="0" applyNumberFormat="1" applyFont="1" applyBorder="1" applyAlignment="1">
      <alignment horizontal="center" vertical="center" wrapText="1"/>
    </xf>
    <xf numFmtId="37" fontId="62" fillId="0" borderId="42" xfId="0" applyNumberFormat="1" applyFont="1" applyBorder="1" applyAlignment="1">
      <alignment horizontal="center" vertical="center" wrapText="1"/>
    </xf>
    <xf numFmtId="37" fontId="37" fillId="0" borderId="42" xfId="0" applyNumberFormat="1" applyFont="1" applyBorder="1" applyAlignment="1">
      <alignment horizontal="center" vertical="center" wrapText="1"/>
    </xf>
    <xf numFmtId="37" fontId="72" fillId="0" borderId="42" xfId="0" applyNumberFormat="1" applyFont="1" applyBorder="1" applyAlignment="1">
      <alignment horizontal="center" vertical="center" wrapText="1"/>
    </xf>
    <xf numFmtId="37" fontId="92" fillId="0" borderId="42" xfId="0" applyNumberFormat="1" applyFont="1" applyBorder="1" applyAlignment="1">
      <alignment horizontal="center" vertical="center" wrapText="1"/>
    </xf>
    <xf numFmtId="37" fontId="62" fillId="0" borderId="43" xfId="0" applyNumberFormat="1" applyFont="1" applyBorder="1" applyAlignment="1">
      <alignment horizontal="center" vertical="center" wrapText="1"/>
    </xf>
    <xf numFmtId="37" fontId="38" fillId="0" borderId="41" xfId="0" applyNumberFormat="1" applyFont="1" applyBorder="1" applyAlignment="1">
      <alignment horizontal="center" vertical="center" wrapText="1"/>
    </xf>
    <xf numFmtId="37" fontId="38" fillId="0" borderId="43" xfId="0" applyNumberFormat="1" applyFont="1" applyBorder="1" applyAlignment="1">
      <alignment horizontal="center" vertical="center" wrapText="1"/>
    </xf>
    <xf numFmtId="37" fontId="18" fillId="5" borderId="107" xfId="0" applyNumberFormat="1" applyFont="1" applyFill="1" applyBorder="1" applyAlignment="1">
      <alignment vertical="center"/>
    </xf>
    <xf numFmtId="37" fontId="18" fillId="5" borderId="107" xfId="0" applyNumberFormat="1" applyFont="1" applyFill="1" applyBorder="1" applyAlignment="1">
      <alignment vertical="center" wrapText="1"/>
    </xf>
    <xf numFmtId="37" fontId="43" fillId="0" borderId="143" xfId="0" quotePrefix="1" applyNumberFormat="1" applyFont="1" applyBorder="1" applyAlignment="1">
      <alignment horizontal="left" vertical="center" wrapText="1"/>
    </xf>
    <xf numFmtId="37" fontId="43" fillId="2" borderId="143" xfId="0" applyNumberFormat="1" applyFont="1" applyFill="1" applyBorder="1" applyAlignment="1">
      <alignment vertical="center" wrapText="1"/>
    </xf>
    <xf numFmtId="37" fontId="90" fillId="5" borderId="107" xfId="0" applyNumberFormat="1" applyFont="1" applyFill="1" applyBorder="1" applyAlignment="1">
      <alignment vertical="center"/>
    </xf>
    <xf numFmtId="37" fontId="44" fillId="5" borderId="107" xfId="0" applyNumberFormat="1" applyFont="1" applyFill="1" applyBorder="1" applyAlignment="1">
      <alignment vertical="center"/>
    </xf>
    <xf numFmtId="49" fontId="19" fillId="0" borderId="0" xfId="0" applyNumberFormat="1" applyFont="1" applyAlignment="1">
      <alignment horizontal="centerContinuous" vertical="center"/>
    </xf>
    <xf numFmtId="37" fontId="19" fillId="0" borderId="145" xfId="0" applyNumberFormat="1" applyFont="1" applyBorder="1" applyAlignment="1">
      <alignment horizontal="center" vertical="center"/>
    </xf>
    <xf numFmtId="37" fontId="19" fillId="0" borderId="57" xfId="0" applyNumberFormat="1" applyFont="1" applyBorder="1" applyAlignment="1">
      <alignment horizontal="center" vertical="center"/>
    </xf>
    <xf numFmtId="37" fontId="19" fillId="0" borderId="88" xfId="0" applyNumberFormat="1" applyFont="1" applyBorder="1" applyAlignment="1">
      <alignment horizontal="center" vertical="center"/>
    </xf>
    <xf numFmtId="37" fontId="19" fillId="22" borderId="88" xfId="0" applyNumberFormat="1" applyFont="1" applyFill="1" applyBorder="1" applyAlignment="1">
      <alignment horizontal="center" vertical="center"/>
    </xf>
    <xf numFmtId="37" fontId="19" fillId="0" borderId="91" xfId="0" applyNumberFormat="1" applyFont="1" applyBorder="1" applyAlignment="1">
      <alignment horizontal="center" vertical="center"/>
    </xf>
    <xf numFmtId="14" fontId="19" fillId="0" borderId="57" xfId="0" applyNumberFormat="1" applyFont="1" applyBorder="1" applyAlignment="1">
      <alignment horizontal="center" vertical="center"/>
    </xf>
    <xf numFmtId="14" fontId="19" fillId="0" borderId="88" xfId="0" applyNumberFormat="1" applyFont="1" applyBorder="1" applyAlignment="1">
      <alignment horizontal="center" vertical="center"/>
    </xf>
    <xf numFmtId="14" fontId="19" fillId="0" borderId="91" xfId="0" applyNumberFormat="1" applyFont="1" applyBorder="1" applyAlignment="1">
      <alignment horizontal="center" vertical="center"/>
    </xf>
    <xf numFmtId="37" fontId="19" fillId="2" borderId="91" xfId="0" applyNumberFormat="1" applyFont="1" applyFill="1" applyBorder="1" applyAlignment="1">
      <alignment horizontal="center" vertical="center"/>
    </xf>
    <xf numFmtId="37" fontId="31" fillId="0" borderId="84" xfId="0" applyNumberFormat="1" applyFont="1" applyBorder="1" applyAlignment="1">
      <alignment vertical="center"/>
    </xf>
    <xf numFmtId="37" fontId="19" fillId="25" borderId="88" xfId="0" applyNumberFormat="1" applyFont="1" applyFill="1" applyBorder="1" applyAlignment="1">
      <alignment horizontal="center" vertical="center"/>
    </xf>
    <xf numFmtId="0" fontId="6" fillId="9" borderId="143" xfId="0" applyFont="1" applyFill="1" applyBorder="1" applyAlignment="1">
      <alignment vertical="center" wrapText="1"/>
    </xf>
    <xf numFmtId="14" fontId="19" fillId="22" borderId="88" xfId="0" applyNumberFormat="1" applyFont="1" applyFill="1" applyBorder="1" applyAlignment="1">
      <alignment horizontal="center" vertical="center"/>
    </xf>
    <xf numFmtId="14" fontId="19" fillId="2" borderId="91" xfId="0" applyNumberFormat="1" applyFont="1" applyFill="1" applyBorder="1" applyAlignment="1">
      <alignment horizontal="center" vertical="center"/>
    </xf>
    <xf numFmtId="37" fontId="44" fillId="0" borderId="143" xfId="0" applyNumberFormat="1" applyFont="1" applyBorder="1" applyAlignment="1">
      <alignment horizontal="center" vertical="center" wrapText="1"/>
    </xf>
    <xf numFmtId="37" fontId="41" fillId="0" borderId="143" xfId="0" applyNumberFormat="1" applyFont="1" applyBorder="1" applyAlignment="1">
      <alignment vertical="center"/>
    </xf>
    <xf numFmtId="37" fontId="91" fillId="5" borderId="143" xfId="0" applyNumberFormat="1" applyFont="1" applyFill="1" applyBorder="1" applyAlignment="1">
      <alignment vertical="center"/>
    </xf>
    <xf numFmtId="0" fontId="18" fillId="0" borderId="29" xfId="0" applyFont="1" applyBorder="1" applyAlignment="1">
      <alignment vertical="center" wrapText="1"/>
    </xf>
    <xf numFmtId="0" fontId="18" fillId="0" borderId="107" xfId="0" quotePrefix="1" applyFont="1" applyBorder="1" applyAlignment="1">
      <alignment horizontal="left" vertical="center" wrapText="1"/>
    </xf>
    <xf numFmtId="37" fontId="9" fillId="5" borderId="107" xfId="0" applyNumberFormat="1" applyFont="1" applyFill="1" applyBorder="1" applyAlignment="1">
      <alignment vertical="center" wrapText="1"/>
    </xf>
    <xf numFmtId="37" fontId="19" fillId="26" borderId="57" xfId="0" applyNumberFormat="1" applyFont="1" applyFill="1" applyBorder="1" applyAlignment="1">
      <alignment horizontal="center" vertical="center"/>
    </xf>
    <xf numFmtId="37" fontId="19" fillId="2" borderId="157" xfId="0" applyNumberFormat="1" applyFont="1" applyFill="1" applyBorder="1" applyAlignment="1">
      <alignment horizontal="center" vertical="center"/>
    </xf>
    <xf numFmtId="37" fontId="19" fillId="2" borderId="10" xfId="0" applyNumberFormat="1" applyFont="1" applyFill="1" applyBorder="1" applyAlignment="1">
      <alignment horizontal="center" vertical="center"/>
    </xf>
    <xf numFmtId="37" fontId="19" fillId="5" borderId="144" xfId="0" applyNumberFormat="1" applyFont="1" applyFill="1" applyBorder="1" applyAlignment="1">
      <alignment horizontal="center" vertical="center"/>
    </xf>
    <xf numFmtId="37" fontId="50" fillId="5" borderId="143" xfId="0" applyNumberFormat="1" applyFont="1" applyFill="1" applyBorder="1" applyAlignment="1">
      <alignment horizontal="center" vertical="center"/>
    </xf>
    <xf numFmtId="3" fontId="4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167" fontId="66" fillId="0" borderId="0" xfId="2" applyNumberFormat="1" applyFont="1" applyBorder="1" applyAlignment="1">
      <alignment horizontal="center" vertical="center"/>
    </xf>
    <xf numFmtId="168" fontId="43" fillId="0" borderId="0" xfId="2" applyNumberFormat="1" applyFont="1" applyBorder="1" applyAlignment="1">
      <alignment horizontal="center" vertical="center"/>
    </xf>
    <xf numFmtId="3" fontId="44" fillId="0" borderId="0" xfId="0" applyNumberFormat="1" applyFont="1" applyAlignment="1">
      <alignment horizontal="center" vertical="center"/>
    </xf>
    <xf numFmtId="3" fontId="8" fillId="4" borderId="0" xfId="0" applyNumberFormat="1" applyFont="1" applyFill="1" applyAlignment="1">
      <alignment horizontal="center" vertical="center" wrapText="1"/>
    </xf>
    <xf numFmtId="15" fontId="31" fillId="2" borderId="0" xfId="0" applyNumberFormat="1" applyFont="1" applyFill="1" applyAlignment="1">
      <alignment horizontal="center" vertical="center"/>
    </xf>
    <xf numFmtId="0" fontId="19" fillId="0" borderId="110" xfId="0" quotePrefix="1" applyFont="1" applyBorder="1" applyAlignment="1">
      <alignment vertical="center"/>
    </xf>
    <xf numFmtId="0" fontId="19" fillId="0" borderId="111" xfId="0" quotePrefix="1" applyFont="1" applyBorder="1" applyAlignment="1">
      <alignment vertical="center"/>
    </xf>
    <xf numFmtId="0" fontId="19" fillId="0" borderId="151" xfId="0" quotePrefix="1" applyFont="1" applyBorder="1" applyAlignment="1">
      <alignment vertical="center"/>
    </xf>
    <xf numFmtId="0" fontId="19" fillId="0" borderId="98" xfId="0" quotePrefix="1" applyFont="1" applyBorder="1" applyAlignment="1">
      <alignment vertical="center"/>
    </xf>
    <xf numFmtId="37" fontId="8" fillId="4" borderId="0" xfId="0" applyNumberFormat="1" applyFont="1" applyFill="1" applyAlignment="1">
      <alignment horizontal="center" vertical="center"/>
    </xf>
    <xf numFmtId="0" fontId="19" fillId="0" borderId="97" xfId="0" quotePrefix="1" applyFont="1" applyBorder="1" applyAlignment="1">
      <alignment vertical="center"/>
    </xf>
    <xf numFmtId="0" fontId="19" fillId="0" borderId="89" xfId="0" quotePrefix="1" applyFont="1" applyBorder="1" applyAlignment="1">
      <alignment vertical="center"/>
    </xf>
    <xf numFmtId="37" fontId="19" fillId="0" borderId="157" xfId="0" applyNumberFormat="1" applyFont="1" applyBorder="1" applyAlignment="1">
      <alignment horizontal="center" vertical="center"/>
    </xf>
    <xf numFmtId="37" fontId="44" fillId="0" borderId="24" xfId="0" applyNumberFormat="1" applyFont="1" applyBorder="1" applyAlignment="1">
      <alignment vertical="center"/>
    </xf>
    <xf numFmtId="37" fontId="49" fillId="5" borderId="143" xfId="0" applyNumberFormat="1" applyFont="1" applyFill="1" applyBorder="1" applyAlignment="1">
      <alignment horizontal="center" vertical="center"/>
    </xf>
    <xf numFmtId="37" fontId="19" fillId="5" borderId="88" xfId="0" applyNumberFormat="1" applyFont="1" applyFill="1" applyBorder="1" applyAlignment="1">
      <alignment horizontal="center" vertical="center"/>
    </xf>
    <xf numFmtId="0" fontId="31" fillId="0" borderId="70" xfId="0" applyFont="1" applyBorder="1" applyAlignment="1">
      <alignment horizontal="centerContinuous" vertical="center"/>
    </xf>
    <xf numFmtId="0" fontId="31" fillId="0" borderId="70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Continuous" vertical="center"/>
    </xf>
    <xf numFmtId="0" fontId="40" fillId="0" borderId="70" xfId="0" applyFont="1" applyBorder="1" applyAlignment="1">
      <alignment horizontal="centerContinuous" vertical="center"/>
    </xf>
    <xf numFmtId="37" fontId="58" fillId="0" borderId="70" xfId="0" applyNumberFormat="1" applyFont="1" applyBorder="1" applyAlignment="1">
      <alignment horizontal="centerContinuous" vertical="center"/>
    </xf>
    <xf numFmtId="37" fontId="21" fillId="0" borderId="94" xfId="0" applyNumberFormat="1" applyFont="1" applyBorder="1" applyAlignment="1">
      <alignment horizontal="center" vertical="center"/>
    </xf>
    <xf numFmtId="37" fontId="30" fillId="0" borderId="71" xfId="0" applyNumberFormat="1" applyFont="1" applyBorder="1" applyAlignment="1">
      <alignment vertical="center"/>
    </xf>
    <xf numFmtId="37" fontId="21" fillId="0" borderId="26" xfId="0" quotePrefix="1" applyNumberFormat="1" applyFont="1" applyBorder="1" applyAlignment="1">
      <alignment vertical="center"/>
    </xf>
    <xf numFmtId="3" fontId="61" fillId="0" borderId="0" xfId="0" applyNumberFormat="1" applyFont="1" applyAlignment="1">
      <alignment vertical="center"/>
    </xf>
    <xf numFmtId="10" fontId="29" fillId="5" borderId="70" xfId="0" applyNumberFormat="1" applyFont="1" applyFill="1" applyBorder="1" applyAlignment="1">
      <alignment horizontal="center" vertical="center"/>
    </xf>
    <xf numFmtId="37" fontId="9" fillId="0" borderId="127" xfId="0" applyNumberFormat="1" applyFont="1" applyBorder="1" applyAlignment="1">
      <alignment vertical="center"/>
    </xf>
    <xf numFmtId="37" fontId="61" fillId="0" borderId="24" xfId="0" applyNumberFormat="1" applyFont="1" applyBorder="1" applyAlignment="1">
      <alignment horizontal="center" vertical="center"/>
    </xf>
    <xf numFmtId="10" fontId="44" fillId="5" borderId="104" xfId="1" applyNumberFormat="1" applyFont="1" applyFill="1" applyBorder="1" applyAlignment="1">
      <alignment horizontal="center" vertical="center"/>
    </xf>
    <xf numFmtId="10" fontId="61" fillId="5" borderId="104" xfId="1" applyNumberFormat="1" applyFont="1" applyFill="1" applyBorder="1" applyAlignment="1">
      <alignment horizontal="center" vertical="center"/>
    </xf>
    <xf numFmtId="10" fontId="89" fillId="5" borderId="104" xfId="1" applyNumberFormat="1" applyFont="1" applyFill="1" applyBorder="1" applyAlignment="1">
      <alignment horizontal="center" vertical="center"/>
    </xf>
    <xf numFmtId="10" fontId="19" fillId="5" borderId="104" xfId="1" applyNumberFormat="1" applyFont="1" applyFill="1" applyBorder="1" applyAlignment="1">
      <alignment horizontal="center" vertical="center"/>
    </xf>
    <xf numFmtId="10" fontId="44" fillId="5" borderId="114" xfId="1" applyNumberFormat="1" applyFont="1" applyFill="1" applyBorder="1" applyAlignment="1">
      <alignment horizontal="center" vertical="center"/>
    </xf>
    <xf numFmtId="37" fontId="18" fillId="0" borderId="52" xfId="0" applyNumberFormat="1" applyFont="1" applyBorder="1" applyAlignment="1">
      <alignment vertical="center"/>
    </xf>
    <xf numFmtId="37" fontId="43" fillId="0" borderId="143" xfId="0" applyNumberFormat="1" applyFont="1" applyBorder="1" applyAlignment="1">
      <alignment horizontal="center" vertical="center"/>
    </xf>
    <xf numFmtId="37" fontId="18" fillId="0" borderId="69" xfId="0" applyNumberFormat="1" applyFont="1" applyBorder="1" applyAlignment="1">
      <alignment horizontal="center" vertical="center"/>
    </xf>
    <xf numFmtId="37" fontId="43" fillId="0" borderId="7" xfId="0" applyNumberFormat="1" applyFont="1" applyBorder="1" applyAlignment="1">
      <alignment horizontal="center" vertical="center"/>
    </xf>
    <xf numFmtId="37" fontId="43" fillId="0" borderId="55" xfId="0" applyNumberFormat="1" applyFont="1" applyBorder="1" applyAlignment="1">
      <alignment horizontal="center" vertical="center"/>
    </xf>
    <xf numFmtId="37" fontId="43" fillId="9" borderId="0" xfId="0" applyNumberFormat="1" applyFont="1" applyFill="1" applyAlignment="1">
      <alignment horizontal="center" vertical="center"/>
    </xf>
    <xf numFmtId="37" fontId="43" fillId="11" borderId="143" xfId="0" applyNumberFormat="1" applyFont="1" applyFill="1" applyBorder="1" applyAlignment="1">
      <alignment horizontal="center" vertical="center"/>
    </xf>
    <xf numFmtId="37" fontId="61" fillId="22" borderId="88" xfId="0" applyNumberFormat="1" applyFont="1" applyFill="1" applyBorder="1" applyAlignment="1">
      <alignment vertical="center"/>
    </xf>
    <xf numFmtId="37" fontId="11" fillId="3" borderId="126" xfId="0" applyNumberFormat="1" applyFont="1" applyFill="1" applyBorder="1" applyAlignment="1">
      <alignment horizontal="center" vertical="center" wrapText="1"/>
    </xf>
    <xf numFmtId="37" fontId="19" fillId="0" borderId="44" xfId="0" applyNumberFormat="1" applyFont="1" applyBorder="1" applyAlignment="1">
      <alignment horizontal="center" vertical="center"/>
    </xf>
    <xf numFmtId="37" fontId="19" fillId="3" borderId="0" xfId="0" applyNumberFormat="1" applyFont="1" applyFill="1" applyAlignment="1">
      <alignment horizontal="center" vertical="center"/>
    </xf>
    <xf numFmtId="37" fontId="61" fillId="3" borderId="0" xfId="0" applyNumberFormat="1" applyFont="1" applyFill="1" applyAlignment="1">
      <alignment horizontal="center" vertical="center"/>
    </xf>
    <xf numFmtId="37" fontId="15" fillId="0" borderId="47" xfId="0" applyNumberFormat="1" applyFont="1" applyBorder="1" applyAlignment="1">
      <alignment horizontal="center" vertical="center"/>
    </xf>
    <xf numFmtId="37" fontId="19" fillId="0" borderId="44" xfId="0" applyNumberFormat="1" applyFont="1" applyBorder="1" applyAlignment="1">
      <alignment vertical="center"/>
    </xf>
    <xf numFmtId="37" fontId="18" fillId="0" borderId="0" xfId="0" applyNumberFormat="1" applyFont="1" applyAlignment="1">
      <alignment horizontal="centerContinuous" vertical="center"/>
    </xf>
    <xf numFmtId="37" fontId="35" fillId="0" borderId="0" xfId="0" applyNumberFormat="1" applyFont="1" applyAlignment="1">
      <alignment horizontal="centerContinuous" vertical="center"/>
    </xf>
    <xf numFmtId="37" fontId="45" fillId="0" borderId="0" xfId="0" applyNumberFormat="1" applyFont="1" applyAlignment="1">
      <alignment horizontal="centerContinuous" vertical="center"/>
    </xf>
    <xf numFmtId="37" fontId="61" fillId="0" borderId="0" xfId="0" applyNumberFormat="1" applyFont="1" applyAlignment="1">
      <alignment horizontal="centerContinuous" vertical="center"/>
    </xf>
    <xf numFmtId="0" fontId="5" fillId="0" borderId="157" xfId="0" applyFont="1" applyBorder="1" applyAlignment="1">
      <alignment vertical="center" wrapText="1"/>
    </xf>
    <xf numFmtId="37" fontId="5" fillId="0" borderId="157" xfId="0" applyNumberFormat="1" applyFont="1" applyBorder="1" applyAlignment="1">
      <alignment horizontal="right" vertical="center"/>
    </xf>
    <xf numFmtId="37" fontId="35" fillId="0" borderId="157" xfId="0" applyNumberFormat="1" applyFont="1" applyBorder="1" applyAlignment="1">
      <alignment horizontal="center" vertical="center"/>
    </xf>
    <xf numFmtId="37" fontId="18" fillId="0" borderId="157" xfId="0" applyNumberFormat="1" applyFont="1" applyBorder="1" applyAlignment="1">
      <alignment vertical="center"/>
    </xf>
    <xf numFmtId="37" fontId="35" fillId="0" borderId="157" xfId="0" applyNumberFormat="1" applyFont="1" applyBorder="1" applyAlignment="1">
      <alignment vertical="center"/>
    </xf>
    <xf numFmtId="37" fontId="15" fillId="0" borderId="129" xfId="0" applyNumberFormat="1" applyFont="1" applyBorder="1" applyAlignment="1">
      <alignment horizontal="center" vertical="center"/>
    </xf>
    <xf numFmtId="37" fontId="45" fillId="0" borderId="144" xfId="0" applyNumberFormat="1" applyFont="1" applyBorder="1" applyAlignment="1">
      <alignment vertical="center"/>
    </xf>
    <xf numFmtId="37" fontId="35" fillId="0" borderId="143" xfId="0" quotePrefix="1" applyNumberFormat="1" applyFont="1" applyBorder="1" applyAlignment="1">
      <alignment horizontal="center" vertical="center"/>
    </xf>
    <xf numFmtId="37" fontId="9" fillId="0" borderId="146" xfId="0" applyNumberFormat="1" applyFont="1" applyBorder="1" applyAlignment="1">
      <alignment horizontal="right" vertical="center"/>
    </xf>
    <xf numFmtId="37" fontId="15" fillId="0" borderId="101" xfId="0" applyNumberFormat="1" applyFont="1" applyBorder="1" applyAlignment="1">
      <alignment vertical="center"/>
    </xf>
    <xf numFmtId="0" fontId="18" fillId="0" borderId="157" xfId="0" applyFont="1" applyBorder="1" applyAlignment="1">
      <alignment vertical="center" wrapText="1"/>
    </xf>
    <xf numFmtId="37" fontId="44" fillId="0" borderId="127" xfId="0" applyNumberFormat="1" applyFont="1" applyBorder="1" applyAlignment="1">
      <alignment vertical="center"/>
    </xf>
    <xf numFmtId="37" fontId="15" fillId="0" borderId="129" xfId="0" applyNumberFormat="1" applyFont="1" applyBorder="1" applyAlignment="1">
      <alignment vertical="center"/>
    </xf>
    <xf numFmtId="37" fontId="18" fillId="22" borderId="142" xfId="0" applyNumberFormat="1" applyFont="1" applyFill="1" applyBorder="1" applyAlignment="1">
      <alignment vertical="center"/>
    </xf>
    <xf numFmtId="0" fontId="35" fillId="22" borderId="146" xfId="0" applyFont="1" applyFill="1" applyBorder="1" applyAlignment="1">
      <alignment horizontal="center" vertical="center"/>
    </xf>
    <xf numFmtId="37" fontId="35" fillId="22" borderId="143" xfId="0" applyNumberFormat="1" applyFont="1" applyFill="1" applyBorder="1" applyAlignment="1">
      <alignment horizontal="center" vertical="center"/>
    </xf>
    <xf numFmtId="37" fontId="43" fillId="22" borderId="142" xfId="0" applyNumberFormat="1" applyFont="1" applyFill="1" applyBorder="1" applyAlignment="1">
      <alignment vertical="center"/>
    </xf>
    <xf numFmtId="37" fontId="18" fillId="22" borderId="144" xfId="0" applyNumberFormat="1" applyFont="1" applyFill="1" applyBorder="1" applyAlignment="1">
      <alignment vertical="center"/>
    </xf>
    <xf numFmtId="37" fontId="45" fillId="22" borderId="149" xfId="0" applyNumberFormat="1" applyFont="1" applyFill="1" applyBorder="1" applyAlignment="1">
      <alignment vertical="center"/>
    </xf>
    <xf numFmtId="37" fontId="44" fillId="22" borderId="142" xfId="0" applyNumberFormat="1" applyFont="1" applyFill="1" applyBorder="1" applyAlignment="1">
      <alignment vertical="center"/>
    </xf>
    <xf numFmtId="37" fontId="15" fillId="22" borderId="144" xfId="0" applyNumberFormat="1" applyFont="1" applyFill="1" applyBorder="1" applyAlignment="1">
      <alignment vertical="center"/>
    </xf>
    <xf numFmtId="37" fontId="18" fillId="0" borderId="80" xfId="0" applyNumberFormat="1" applyFont="1" applyBorder="1" applyAlignment="1">
      <alignment vertical="center"/>
    </xf>
    <xf numFmtId="37" fontId="45" fillId="0" borderId="160" xfId="0" applyNumberFormat="1" applyFont="1" applyBorder="1" applyAlignment="1">
      <alignment vertical="center"/>
    </xf>
    <xf numFmtId="0" fontId="5" fillId="22" borderId="143" xfId="0" applyFont="1" applyFill="1" applyBorder="1" applyAlignment="1">
      <alignment vertical="center" wrapText="1"/>
    </xf>
    <xf numFmtId="37" fontId="5" fillId="22" borderId="143" xfId="0" applyNumberFormat="1" applyFont="1" applyFill="1" applyBorder="1" applyAlignment="1">
      <alignment horizontal="right" vertical="center"/>
    </xf>
    <xf numFmtId="37" fontId="45" fillId="22" borderId="131" xfId="0" applyNumberFormat="1" applyFont="1" applyFill="1" applyBorder="1" applyAlignment="1">
      <alignment vertical="center"/>
    </xf>
    <xf numFmtId="37" fontId="45" fillId="22" borderId="144" xfId="0" applyNumberFormat="1" applyFont="1" applyFill="1" applyBorder="1" applyAlignment="1">
      <alignment vertical="center"/>
    </xf>
    <xf numFmtId="37" fontId="44" fillId="22" borderId="109" xfId="0" applyNumberFormat="1" applyFont="1" applyFill="1" applyBorder="1" applyAlignment="1">
      <alignment vertical="center"/>
    </xf>
    <xf numFmtId="37" fontId="15" fillId="22" borderId="150" xfId="0" applyNumberFormat="1" applyFont="1" applyFill="1" applyBorder="1" applyAlignment="1">
      <alignment vertical="center"/>
    </xf>
    <xf numFmtId="37" fontId="105" fillId="9" borderId="0" xfId="0" applyNumberFormat="1" applyFont="1" applyFill="1" applyAlignment="1">
      <alignment vertical="center"/>
    </xf>
    <xf numFmtId="37" fontId="106" fillId="9" borderId="0" xfId="0" applyNumberFormat="1" applyFont="1" applyFill="1" applyAlignment="1">
      <alignment vertical="center" wrapText="1"/>
    </xf>
    <xf numFmtId="37" fontId="35" fillId="0" borderId="157" xfId="0" applyNumberFormat="1" applyFont="1" applyBorder="1" applyAlignment="1">
      <alignment horizontal="right" vertical="center"/>
    </xf>
    <xf numFmtId="37" fontId="50" fillId="0" borderId="157" xfId="0" applyNumberFormat="1" applyFont="1" applyBorder="1" applyAlignment="1">
      <alignment horizontal="center" vertical="center"/>
    </xf>
    <xf numFmtId="14" fontId="19" fillId="0" borderId="157" xfId="0" applyNumberFormat="1" applyFont="1" applyBorder="1" applyAlignment="1">
      <alignment horizontal="center" vertical="center"/>
    </xf>
    <xf numFmtId="3" fontId="44" fillId="0" borderId="124" xfId="0" applyNumberFormat="1" applyFont="1" applyBorder="1" applyAlignment="1">
      <alignment vertical="center"/>
    </xf>
    <xf numFmtId="37" fontId="44" fillId="0" borderId="155" xfId="0" applyNumberFormat="1" applyFont="1" applyBorder="1" applyAlignment="1">
      <alignment vertical="center"/>
    </xf>
    <xf numFmtId="37" fontId="44" fillId="0" borderId="155" xfId="0" applyNumberFormat="1" applyFont="1" applyBorder="1" applyAlignment="1">
      <alignment horizontal="center" vertical="center"/>
    </xf>
    <xf numFmtId="37" fontId="43" fillId="0" borderId="155" xfId="0" applyNumberFormat="1" applyFont="1" applyBorder="1" applyAlignment="1">
      <alignment vertical="center" wrapText="1"/>
    </xf>
    <xf numFmtId="37" fontId="35" fillId="0" borderId="146" xfId="0" applyNumberFormat="1" applyFont="1" applyBorder="1" applyAlignment="1">
      <alignment horizontal="right" vertical="center"/>
    </xf>
    <xf numFmtId="37" fontId="44" fillId="0" borderId="161" xfId="0" applyNumberFormat="1" applyFont="1" applyBorder="1" applyAlignment="1">
      <alignment vertical="center"/>
    </xf>
    <xf numFmtId="37" fontId="9" fillId="0" borderId="147" xfId="0" applyNumberFormat="1" applyFont="1" applyBorder="1" applyAlignment="1">
      <alignment vertical="center" wrapText="1"/>
    </xf>
    <xf numFmtId="37" fontId="35" fillId="0" borderId="148" xfId="0" applyNumberFormat="1" applyFont="1" applyBorder="1" applyAlignment="1">
      <alignment vertical="center"/>
    </xf>
    <xf numFmtId="37" fontId="9" fillId="0" borderId="148" xfId="0" applyNumberFormat="1" applyFont="1" applyBorder="1" applyAlignment="1">
      <alignment horizontal="right" vertical="center"/>
    </xf>
    <xf numFmtId="37" fontId="9" fillId="0" borderId="143" xfId="0" applyNumberFormat="1" applyFont="1" applyBorder="1" applyAlignment="1">
      <alignment horizontal="center" vertical="center"/>
    </xf>
    <xf numFmtId="37" fontId="44" fillId="0" borderId="156" xfId="0" applyNumberFormat="1" applyFont="1" applyBorder="1" applyAlignment="1">
      <alignment vertical="center"/>
    </xf>
    <xf numFmtId="37" fontId="44" fillId="0" borderId="127" xfId="0" applyNumberFormat="1" applyFont="1" applyBorder="1" applyAlignment="1">
      <alignment vertical="center" wrapText="1"/>
    </xf>
    <xf numFmtId="37" fontId="44" fillId="0" borderId="124" xfId="0" applyNumberFormat="1" applyFont="1" applyBorder="1" applyAlignment="1">
      <alignment vertical="center"/>
    </xf>
    <xf numFmtId="37" fontId="9" fillId="0" borderId="142" xfId="0" applyNumberFormat="1" applyFont="1" applyBorder="1" applyAlignment="1">
      <alignment vertical="center"/>
    </xf>
    <xf numFmtId="37" fontId="40" fillId="0" borderId="143" xfId="0" applyNumberFormat="1" applyFont="1" applyBorder="1" applyAlignment="1">
      <alignment horizontal="center" vertical="center"/>
    </xf>
    <xf numFmtId="37" fontId="49" fillId="0" borderId="144" xfId="0" applyNumberFormat="1" applyFont="1" applyBorder="1" applyAlignment="1">
      <alignment horizontal="center" vertical="center"/>
    </xf>
    <xf numFmtId="37" fontId="39" fillId="0" borderId="143" xfId="0" applyNumberFormat="1" applyFont="1" applyBorder="1" applyAlignment="1">
      <alignment horizontal="center" vertical="center"/>
    </xf>
    <xf numFmtId="37" fontId="39" fillId="0" borderId="146" xfId="0" applyNumberFormat="1" applyFont="1" applyBorder="1" applyAlignment="1">
      <alignment horizontal="center" vertical="center"/>
    </xf>
    <xf numFmtId="37" fontId="44" fillId="2" borderId="80" xfId="0" applyNumberFormat="1" applyFont="1" applyFill="1" applyBorder="1" applyAlignment="1">
      <alignment vertical="center"/>
    </xf>
    <xf numFmtId="37" fontId="44" fillId="2" borderId="156" xfId="0" applyNumberFormat="1" applyFont="1" applyFill="1" applyBorder="1" applyAlignment="1">
      <alignment vertical="center"/>
    </xf>
    <xf numFmtId="0" fontId="6" fillId="0" borderId="157" xfId="0" applyFont="1" applyBorder="1" applyAlignment="1">
      <alignment vertical="center" wrapText="1"/>
    </xf>
    <xf numFmtId="0" fontId="35" fillId="0" borderId="157" xfId="0" applyFont="1" applyBorder="1" applyAlignment="1">
      <alignment horizontal="center" vertical="center"/>
    </xf>
    <xf numFmtId="37" fontId="25" fillId="0" borderId="157" xfId="0" applyNumberFormat="1" applyFont="1" applyBorder="1" applyAlignment="1">
      <alignment vertical="center"/>
    </xf>
    <xf numFmtId="37" fontId="49" fillId="0" borderId="157" xfId="0" applyNumberFormat="1" applyFont="1" applyBorder="1" applyAlignment="1">
      <alignment vertical="center"/>
    </xf>
    <xf numFmtId="37" fontId="61" fillId="0" borderId="157" xfId="0" applyNumberFormat="1" applyFont="1" applyBorder="1" applyAlignment="1">
      <alignment vertical="center"/>
    </xf>
    <xf numFmtId="37" fontId="41" fillId="0" borderId="157" xfId="0" applyNumberFormat="1" applyFont="1" applyBorder="1" applyAlignment="1">
      <alignment horizontal="center" vertical="center"/>
    </xf>
    <xf numFmtId="37" fontId="19" fillId="0" borderId="78" xfId="0" applyNumberFormat="1" applyFont="1" applyBorder="1" applyAlignment="1">
      <alignment horizontal="center" vertical="center"/>
    </xf>
    <xf numFmtId="37" fontId="45" fillId="0" borderId="129" xfId="0" applyNumberFormat="1" applyFont="1" applyBorder="1" applyAlignment="1">
      <alignment horizontal="center" vertical="center"/>
    </xf>
    <xf numFmtId="37" fontId="31" fillId="2" borderId="142" xfId="0" applyNumberFormat="1" applyFont="1" applyFill="1" applyBorder="1" applyAlignment="1">
      <alignment vertical="center"/>
    </xf>
    <xf numFmtId="37" fontId="45" fillId="0" borderId="144" xfId="0" applyNumberFormat="1" applyFont="1" applyBorder="1" applyAlignment="1">
      <alignment horizontal="center" vertical="center"/>
    </xf>
    <xf numFmtId="37" fontId="35" fillId="5" borderId="143" xfId="0" applyNumberFormat="1" applyFont="1" applyFill="1" applyBorder="1" applyAlignment="1">
      <alignment vertical="center"/>
    </xf>
    <xf numFmtId="37" fontId="25" fillId="5" borderId="142" xfId="0" applyNumberFormat="1" applyFont="1" applyFill="1" applyBorder="1" applyAlignment="1">
      <alignment vertical="center"/>
    </xf>
    <xf numFmtId="37" fontId="25" fillId="5" borderId="143" xfId="0" applyNumberFormat="1" applyFont="1" applyFill="1" applyBorder="1" applyAlignment="1">
      <alignment vertical="center"/>
    </xf>
    <xf numFmtId="37" fontId="49" fillId="5" borderId="143" xfId="0" applyNumberFormat="1" applyFont="1" applyFill="1" applyBorder="1" applyAlignment="1">
      <alignment vertical="center"/>
    </xf>
    <xf numFmtId="37" fontId="25" fillId="5" borderId="146" xfId="0" applyNumberFormat="1" applyFont="1" applyFill="1" applyBorder="1" applyAlignment="1">
      <alignment vertical="center"/>
    </xf>
    <xf numFmtId="37" fontId="35" fillId="0" borderId="143" xfId="0" quotePrefix="1" applyNumberFormat="1" applyFont="1" applyBorder="1" applyAlignment="1">
      <alignment vertical="center"/>
    </xf>
    <xf numFmtId="3" fontId="31" fillId="0" borderId="112" xfId="0" applyNumberFormat="1" applyFont="1" applyBorder="1" applyAlignment="1">
      <alignment vertical="center" wrapText="1"/>
    </xf>
    <xf numFmtId="37" fontId="31" fillId="0" borderId="112" xfId="0" applyNumberFormat="1" applyFont="1" applyBorder="1" applyAlignment="1">
      <alignment horizontal="right" vertical="center"/>
    </xf>
    <xf numFmtId="38" fontId="67" fillId="0" borderId="0" xfId="0" applyNumberFormat="1" applyFont="1" applyAlignment="1">
      <alignment vertical="center"/>
    </xf>
    <xf numFmtId="37" fontId="62" fillId="0" borderId="0" xfId="0" applyNumberFormat="1" applyFont="1" applyAlignment="1">
      <alignment vertical="center"/>
    </xf>
    <xf numFmtId="165" fontId="43" fillId="5" borderId="0" xfId="0" applyNumberFormat="1" applyFont="1" applyFill="1" applyAlignment="1">
      <alignment vertical="center"/>
    </xf>
    <xf numFmtId="0" fontId="0" fillId="0" borderId="0" xfId="0" quotePrefix="1" applyAlignment="1">
      <alignment horizontal="left" vertical="center"/>
    </xf>
    <xf numFmtId="0" fontId="0" fillId="9" borderId="0" xfId="0" applyFill="1" applyAlignment="1">
      <alignment vertical="center"/>
    </xf>
    <xf numFmtId="0" fontId="0" fillId="0" borderId="0" xfId="0" applyAlignment="1">
      <alignment vertical="center"/>
    </xf>
    <xf numFmtId="38" fontId="0" fillId="0" borderId="0" xfId="0" applyNumberFormat="1" applyAlignment="1">
      <alignment vertical="center"/>
    </xf>
    <xf numFmtId="38" fontId="45" fillId="2" borderId="0" xfId="0" applyNumberFormat="1" applyFont="1" applyFill="1" applyAlignment="1" applyProtection="1">
      <alignment vertical="center"/>
      <protection locked="0"/>
    </xf>
    <xf numFmtId="38" fontId="88" fillId="2" borderId="0" xfId="0" applyNumberFormat="1" applyFont="1" applyFill="1" applyAlignment="1" applyProtection="1">
      <alignment vertical="center"/>
      <protection locked="0"/>
    </xf>
    <xf numFmtId="38" fontId="62" fillId="0" borderId="80" xfId="0" applyNumberFormat="1" applyFont="1" applyBorder="1" applyAlignment="1">
      <alignment horizontal="center" vertical="center"/>
    </xf>
    <xf numFmtId="38" fontId="62" fillId="2" borderId="101" xfId="0" applyNumberFormat="1" applyFont="1" applyFill="1" applyBorder="1" applyAlignment="1" applyProtection="1">
      <alignment horizontal="center" vertical="center"/>
      <protection locked="0"/>
    </xf>
    <xf numFmtId="0" fontId="17" fillId="0" borderId="112" xfId="0" applyFont="1" applyBorder="1" applyAlignment="1">
      <alignment horizontal="center" vertical="center"/>
    </xf>
    <xf numFmtId="0" fontId="101" fillId="0" borderId="55" xfId="0" applyFont="1" applyBorder="1" applyAlignment="1">
      <alignment horizontal="center" vertical="center"/>
    </xf>
    <xf numFmtId="38" fontId="62" fillId="0" borderId="55" xfId="0" applyNumberFormat="1" applyFont="1" applyBorder="1" applyAlignment="1">
      <alignment horizontal="center" vertical="center"/>
    </xf>
    <xf numFmtId="0" fontId="38" fillId="0" borderId="112" xfId="0" applyFont="1" applyBorder="1" applyAlignment="1">
      <alignment horizontal="center" vertical="center"/>
    </xf>
    <xf numFmtId="38" fontId="17" fillId="0" borderId="112" xfId="0" applyNumberFormat="1" applyFont="1" applyBorder="1" applyAlignment="1">
      <alignment horizontal="center" vertical="center"/>
    </xf>
    <xf numFmtId="37" fontId="62" fillId="0" borderId="112" xfId="0" applyNumberFormat="1" applyFont="1" applyBorder="1" applyAlignment="1">
      <alignment horizontal="center" vertical="center"/>
    </xf>
    <xf numFmtId="170" fontId="73" fillId="0" borderId="0" xfId="0" applyNumberFormat="1" applyFont="1" applyAlignment="1">
      <alignment vertical="center"/>
    </xf>
    <xf numFmtId="0" fontId="0" fillId="15" borderId="143" xfId="0" applyFill="1" applyBorder="1" applyAlignment="1">
      <alignment vertical="center"/>
    </xf>
    <xf numFmtId="0" fontId="18" fillId="15" borderId="143" xfId="0" applyFont="1" applyFill="1" applyBorder="1" applyAlignment="1">
      <alignment vertical="center" wrapText="1"/>
    </xf>
    <xf numFmtId="37" fontId="18" fillId="15" borderId="143" xfId="0" applyNumberFormat="1" applyFont="1" applyFill="1" applyBorder="1" applyAlignment="1">
      <alignment vertical="center"/>
    </xf>
    <xf numFmtId="0" fontId="0" fillId="0" borderId="143" xfId="0" applyBorder="1" applyAlignment="1">
      <alignment horizontal="center" vertical="center"/>
    </xf>
    <xf numFmtId="0" fontId="38" fillId="15" borderId="143" xfId="0" applyFont="1" applyFill="1" applyBorder="1" applyAlignment="1">
      <alignment vertical="center"/>
    </xf>
    <xf numFmtId="37" fontId="62" fillId="0" borderId="143" xfId="0" applyNumberFormat="1" applyFont="1" applyBorder="1" applyAlignment="1">
      <alignment vertical="center" wrapText="1"/>
    </xf>
    <xf numFmtId="38" fontId="0" fillId="0" borderId="143" xfId="0" applyNumberFormat="1" applyBorder="1" applyAlignment="1">
      <alignment vertical="center"/>
    </xf>
    <xf numFmtId="0" fontId="38" fillId="15" borderId="143" xfId="0" applyFont="1" applyFill="1" applyBorder="1" applyAlignment="1">
      <alignment vertical="center" wrapText="1"/>
    </xf>
    <xf numFmtId="0" fontId="0" fillId="0" borderId="143" xfId="0" applyBorder="1" applyAlignment="1">
      <alignment vertical="center"/>
    </xf>
    <xf numFmtId="3" fontId="74" fillId="9" borderId="143" xfId="0" applyNumberFormat="1" applyFont="1" applyFill="1" applyBorder="1" applyAlignment="1">
      <alignment horizontal="center" vertical="center" wrapText="1"/>
    </xf>
    <xf numFmtId="0" fontId="102" fillId="15" borderId="143" xfId="0" applyFont="1" applyFill="1" applyBorder="1" applyAlignment="1">
      <alignment horizontal="center" vertical="center"/>
    </xf>
    <xf numFmtId="3" fontId="102" fillId="15" borderId="143" xfId="0" applyNumberFormat="1" applyFont="1" applyFill="1" applyBorder="1" applyAlignment="1">
      <alignment horizontal="center" vertical="center"/>
    </xf>
    <xf numFmtId="0" fontId="108" fillId="0" borderId="143" xfId="0" applyFont="1" applyBorder="1" applyAlignment="1">
      <alignment horizontal="center" vertical="center" wrapText="1"/>
    </xf>
    <xf numFmtId="0" fontId="102" fillId="0" borderId="143" xfId="0" applyFont="1" applyBorder="1" applyAlignment="1">
      <alignment horizontal="center" vertical="center" wrapText="1"/>
    </xf>
    <xf numFmtId="0" fontId="60" fillId="9" borderId="143" xfId="0" applyFont="1" applyFill="1" applyBorder="1" applyAlignment="1">
      <alignment horizontal="center" vertical="center" wrapText="1"/>
    </xf>
    <xf numFmtId="3" fontId="102" fillId="9" borderId="143" xfId="0" applyNumberFormat="1" applyFont="1" applyFill="1" applyBorder="1" applyAlignment="1">
      <alignment horizontal="center" vertical="center"/>
    </xf>
    <xf numFmtId="38" fontId="73" fillId="9" borderId="0" xfId="0" applyNumberFormat="1" applyFont="1" applyFill="1" applyAlignment="1">
      <alignment vertical="center"/>
    </xf>
    <xf numFmtId="37" fontId="61" fillId="9" borderId="0" xfId="0" applyNumberFormat="1" applyFont="1" applyFill="1" applyAlignment="1">
      <alignment vertical="center"/>
    </xf>
    <xf numFmtId="0" fontId="67" fillId="5" borderId="0" xfId="0" applyFont="1" applyFill="1" applyAlignment="1">
      <alignment vertical="center"/>
    </xf>
    <xf numFmtId="0" fontId="67" fillId="5" borderId="0" xfId="0" applyFont="1" applyFill="1" applyAlignment="1">
      <alignment vertical="center" wrapText="1"/>
    </xf>
    <xf numFmtId="38" fontId="19" fillId="0" borderId="143" xfId="0" quotePrefix="1" applyNumberFormat="1" applyFont="1" applyBorder="1" applyAlignment="1">
      <alignment vertical="center"/>
    </xf>
    <xf numFmtId="37" fontId="61" fillId="0" borderId="143" xfId="0" quotePrefix="1" applyNumberFormat="1" applyFont="1" applyBorder="1" applyAlignment="1">
      <alignment vertical="center"/>
    </xf>
    <xf numFmtId="170" fontId="18" fillId="0" borderId="0" xfId="0" applyNumberFormat="1" applyFont="1" applyAlignment="1">
      <alignment vertical="center" wrapText="1"/>
    </xf>
    <xf numFmtId="3" fontId="9" fillId="0" borderId="117" xfId="0" applyNumberFormat="1" applyFont="1" applyBorder="1" applyAlignment="1">
      <alignment vertical="center"/>
    </xf>
    <xf numFmtId="37" fontId="50" fillId="15" borderId="143" xfId="0" applyNumberFormat="1" applyFont="1" applyFill="1" applyBorder="1" applyAlignment="1">
      <alignment horizontal="center" vertical="center"/>
    </xf>
    <xf numFmtId="37" fontId="50" fillId="22" borderId="143" xfId="0" applyNumberFormat="1" applyFont="1" applyFill="1" applyBorder="1" applyAlignment="1">
      <alignment horizontal="center" vertical="center"/>
    </xf>
    <xf numFmtId="37" fontId="8" fillId="22" borderId="143" xfId="0" applyNumberFormat="1" applyFont="1" applyFill="1" applyBorder="1" applyAlignment="1">
      <alignment horizontal="center" vertical="center"/>
    </xf>
    <xf numFmtId="14" fontId="8" fillId="22" borderId="143" xfId="0" applyNumberFormat="1" applyFont="1" applyFill="1" applyBorder="1" applyAlignment="1">
      <alignment horizontal="center" vertical="center"/>
    </xf>
    <xf numFmtId="169" fontId="8" fillId="22" borderId="144" xfId="0" applyNumberFormat="1" applyFont="1" applyFill="1" applyBorder="1" applyAlignment="1">
      <alignment horizontal="center" vertical="center"/>
    </xf>
    <xf numFmtId="37" fontId="44" fillId="22" borderId="155" xfId="0" applyNumberFormat="1" applyFont="1" applyFill="1" applyBorder="1" applyAlignment="1">
      <alignment vertical="center"/>
    </xf>
    <xf numFmtId="0" fontId="1" fillId="0" borderId="143" xfId="0" applyFont="1" applyBorder="1" applyAlignment="1">
      <alignment vertical="center" wrapText="1"/>
    </xf>
    <xf numFmtId="0" fontId="1" fillId="0" borderId="143" xfId="0" quotePrefix="1" applyFont="1" applyBorder="1" applyAlignment="1">
      <alignment horizontal="left" vertical="center" wrapText="1"/>
    </xf>
    <xf numFmtId="37" fontId="44" fillId="0" borderId="142" xfId="0" applyNumberFormat="1" applyFont="1" applyBorder="1" applyAlignment="1">
      <alignment horizontal="center" vertical="center"/>
    </xf>
    <xf numFmtId="37" fontId="43" fillId="0" borderId="155" xfId="0" applyNumberFormat="1" applyFont="1" applyBorder="1" applyAlignment="1">
      <alignment vertical="center"/>
    </xf>
    <xf numFmtId="37" fontId="44" fillId="0" borderId="142" xfId="0" applyNumberFormat="1" applyFont="1" applyBorder="1" applyAlignment="1">
      <alignment horizontal="left" vertical="center"/>
    </xf>
    <xf numFmtId="37" fontId="35" fillId="22" borderId="143" xfId="0" applyNumberFormat="1" applyFont="1" applyFill="1" applyBorder="1" applyAlignment="1">
      <alignment horizontal="right" vertical="center"/>
    </xf>
    <xf numFmtId="37" fontId="44" fillId="22" borderId="142" xfId="0" applyNumberFormat="1" applyFont="1" applyFill="1" applyBorder="1" applyAlignment="1">
      <alignment vertical="center" wrapText="1"/>
    </xf>
    <xf numFmtId="14" fontId="17" fillId="22" borderId="143" xfId="0" applyNumberFormat="1" applyFont="1" applyFill="1" applyBorder="1" applyAlignment="1">
      <alignment horizontal="center" vertical="center"/>
    </xf>
    <xf numFmtId="37" fontId="50" fillId="6" borderId="143" xfId="0" applyNumberFormat="1" applyFont="1" applyFill="1" applyBorder="1" applyAlignment="1">
      <alignment horizontal="center" vertical="center"/>
    </xf>
    <xf numFmtId="37" fontId="25" fillId="27" borderId="142" xfId="0" applyNumberFormat="1" applyFont="1" applyFill="1" applyBorder="1" applyAlignment="1">
      <alignment vertical="center"/>
    </xf>
    <xf numFmtId="37" fontId="50" fillId="27" borderId="143" xfId="0" applyNumberFormat="1" applyFont="1" applyFill="1" applyBorder="1" applyAlignment="1">
      <alignment horizontal="center" vertical="center"/>
    </xf>
    <xf numFmtId="37" fontId="50" fillId="27" borderId="147" xfId="0" applyNumberFormat="1" applyFont="1" applyFill="1" applyBorder="1" applyAlignment="1">
      <alignment horizontal="center" vertical="center"/>
    </xf>
    <xf numFmtId="0" fontId="1" fillId="0" borderId="107" xfId="0" applyFont="1" applyBorder="1" applyAlignment="1">
      <alignment vertical="center"/>
    </xf>
    <xf numFmtId="37" fontId="17" fillId="0" borderId="157" xfId="0" applyNumberFormat="1" applyFont="1" applyBorder="1" applyAlignment="1">
      <alignment horizontal="center" vertical="center"/>
    </xf>
    <xf numFmtId="37" fontId="17" fillId="9" borderId="143" xfId="0" applyNumberFormat="1" applyFont="1" applyFill="1" applyBorder="1" applyAlignment="1">
      <alignment horizontal="center" vertical="center"/>
    </xf>
    <xf numFmtId="37" fontId="9" fillId="28" borderId="142" xfId="0" applyNumberFormat="1" applyFont="1" applyFill="1" applyBorder="1" applyAlignment="1">
      <alignment horizontal="right" vertical="center"/>
    </xf>
    <xf numFmtId="0" fontId="5" fillId="28" borderId="143" xfId="0" applyFont="1" applyFill="1" applyBorder="1" applyAlignment="1">
      <alignment vertical="center" wrapText="1"/>
    </xf>
    <xf numFmtId="37" fontId="35" fillId="28" borderId="143" xfId="0" applyNumberFormat="1" applyFont="1" applyFill="1" applyBorder="1" applyAlignment="1">
      <alignment horizontal="center" vertical="center"/>
    </xf>
    <xf numFmtId="37" fontId="35" fillId="28" borderId="143" xfId="0" applyNumberFormat="1" applyFont="1" applyFill="1" applyBorder="1" applyAlignment="1">
      <alignment horizontal="right" vertical="center"/>
    </xf>
    <xf numFmtId="0" fontId="35" fillId="28" borderId="146" xfId="0" applyFont="1" applyFill="1" applyBorder="1" applyAlignment="1">
      <alignment horizontal="center" vertical="center"/>
    </xf>
    <xf numFmtId="37" fontId="25" fillId="28" borderId="142" xfId="0" applyNumberFormat="1" applyFont="1" applyFill="1" applyBorder="1" applyAlignment="1">
      <alignment vertical="center"/>
    </xf>
    <xf numFmtId="37" fontId="50" fillId="28" borderId="143" xfId="0" applyNumberFormat="1" applyFont="1" applyFill="1" applyBorder="1" applyAlignment="1">
      <alignment horizontal="center" vertical="center"/>
    </xf>
    <xf numFmtId="37" fontId="61" fillId="5" borderId="107" xfId="0" applyNumberFormat="1" applyFont="1" applyFill="1" applyBorder="1" applyAlignment="1">
      <alignment vertical="center"/>
    </xf>
    <xf numFmtId="37" fontId="19" fillId="22" borderId="107" xfId="0" applyNumberFormat="1" applyFont="1" applyFill="1" applyBorder="1" applyAlignment="1">
      <alignment vertical="center"/>
    </xf>
    <xf numFmtId="37" fontId="19" fillId="22" borderId="107" xfId="0" applyNumberFormat="1" applyFont="1" applyFill="1" applyBorder="1" applyAlignment="1">
      <alignment vertical="center" wrapText="1"/>
    </xf>
    <xf numFmtId="10" fontId="18" fillId="0" borderId="0" xfId="1" applyNumberFormat="1" applyFont="1" applyAlignment="1">
      <alignment vertical="center"/>
    </xf>
    <xf numFmtId="37" fontId="18" fillId="5" borderId="108" xfId="0" applyNumberFormat="1" applyFont="1" applyFill="1" applyBorder="1" applyAlignment="1">
      <alignment vertical="center"/>
    </xf>
    <xf numFmtId="171" fontId="18" fillId="0" borderId="0" xfId="1" applyNumberFormat="1" applyFont="1" applyAlignment="1">
      <alignment vertical="center"/>
    </xf>
    <xf numFmtId="172" fontId="18" fillId="0" borderId="0" xfId="1" applyNumberFormat="1" applyFont="1" applyAlignment="1">
      <alignment vertical="center"/>
    </xf>
    <xf numFmtId="0" fontId="35" fillId="5" borderId="146" xfId="0" applyFont="1" applyFill="1" applyBorder="1" applyAlignment="1">
      <alignment horizontal="center" vertical="center"/>
    </xf>
    <xf numFmtId="37" fontId="50" fillId="5" borderId="135" xfId="0" applyNumberFormat="1" applyFont="1" applyFill="1" applyBorder="1" applyAlignment="1">
      <alignment horizontal="center" vertical="center"/>
    </xf>
    <xf numFmtId="37" fontId="50" fillId="5" borderId="17" xfId="0" applyNumberFormat="1" applyFont="1" applyFill="1" applyBorder="1" applyAlignment="1">
      <alignment horizontal="center" vertical="center"/>
    </xf>
    <xf numFmtId="37" fontId="39" fillId="5" borderId="143" xfId="0" applyNumberFormat="1" applyFont="1" applyFill="1" applyBorder="1" applyAlignment="1">
      <alignment horizontal="center" vertical="center"/>
    </xf>
    <xf numFmtId="37" fontId="39" fillId="5" borderId="146" xfId="0" applyNumberFormat="1" applyFont="1" applyFill="1" applyBorder="1" applyAlignment="1">
      <alignment horizontal="center" vertical="center"/>
    </xf>
    <xf numFmtId="37" fontId="49" fillId="5" borderId="144" xfId="0" applyNumberFormat="1" applyFont="1" applyFill="1" applyBorder="1" applyAlignment="1">
      <alignment horizontal="center" vertical="center"/>
    </xf>
    <xf numFmtId="37" fontId="44" fillId="5" borderId="142" xfId="0" applyNumberFormat="1" applyFont="1" applyFill="1" applyBorder="1" applyAlignment="1">
      <alignment vertical="center"/>
    </xf>
    <xf numFmtId="37" fontId="44" fillId="5" borderId="155" xfId="0" applyNumberFormat="1" applyFont="1" applyFill="1" applyBorder="1" applyAlignment="1">
      <alignment vertical="center"/>
    </xf>
    <xf numFmtId="37" fontId="18" fillId="5" borderId="0" xfId="0" applyNumberFormat="1" applyFont="1" applyFill="1" applyAlignment="1">
      <alignment horizontal="center" vertical="center"/>
    </xf>
    <xf numFmtId="37" fontId="44" fillId="5" borderId="95" xfId="0" applyNumberFormat="1" applyFont="1" applyFill="1" applyBorder="1" applyAlignment="1">
      <alignment horizontal="center" vertical="center"/>
    </xf>
    <xf numFmtId="49" fontId="17" fillId="0" borderId="39" xfId="0" applyNumberFormat="1" applyFont="1" applyBorder="1" applyAlignment="1">
      <alignment horizontal="center" vertical="center" wrapText="1"/>
    </xf>
    <xf numFmtId="37" fontId="19" fillId="0" borderId="115" xfId="0" applyNumberFormat="1" applyFont="1" applyBorder="1" applyAlignment="1">
      <alignment horizontal="center" vertical="center"/>
    </xf>
    <xf numFmtId="37" fontId="19" fillId="0" borderId="166" xfId="0" applyNumberFormat="1" applyFont="1" applyBorder="1" applyAlignment="1">
      <alignment horizontal="center" vertical="center"/>
    </xf>
    <xf numFmtId="37" fontId="19" fillId="2" borderId="167" xfId="0" applyNumberFormat="1" applyFont="1" applyFill="1" applyBorder="1" applyAlignment="1">
      <alignment horizontal="center" vertical="center"/>
    </xf>
    <xf numFmtId="37" fontId="17" fillId="0" borderId="166" xfId="0" applyNumberFormat="1" applyFont="1" applyBorder="1" applyAlignment="1">
      <alignment horizontal="center" vertical="center" wrapText="1"/>
    </xf>
    <xf numFmtId="37" fontId="17" fillId="0" borderId="167" xfId="0" applyNumberFormat="1" applyFont="1" applyBorder="1" applyAlignment="1">
      <alignment horizontal="center" vertical="center" wrapText="1"/>
    </xf>
    <xf numFmtId="37" fontId="19" fillId="11" borderId="107" xfId="0" applyNumberFormat="1" applyFont="1" applyFill="1" applyBorder="1" applyAlignment="1">
      <alignment vertical="center"/>
    </xf>
    <xf numFmtId="37" fontId="19" fillId="11" borderId="107" xfId="0" applyNumberFormat="1" applyFont="1" applyFill="1" applyBorder="1" applyAlignment="1">
      <alignment vertical="center" wrapText="1"/>
    </xf>
    <xf numFmtId="37" fontId="44" fillId="5" borderId="146" xfId="0" applyNumberFormat="1" applyFont="1" applyFill="1" applyBorder="1" applyAlignment="1">
      <alignment vertical="center"/>
    </xf>
    <xf numFmtId="166" fontId="44" fillId="5" borderId="149" xfId="2" applyFont="1" applyFill="1" applyBorder="1" applyAlignment="1">
      <alignment horizontal="right" vertical="center"/>
    </xf>
    <xf numFmtId="37" fontId="44" fillId="0" borderId="155" xfId="0" applyNumberFormat="1" applyFont="1" applyBorder="1" applyAlignment="1">
      <alignment vertical="center" wrapText="1"/>
    </xf>
    <xf numFmtId="3" fontId="9" fillId="5" borderId="8" xfId="0" applyNumberFormat="1" applyFont="1" applyFill="1" applyBorder="1" applyAlignment="1">
      <alignment vertical="center"/>
    </xf>
    <xf numFmtId="3" fontId="9" fillId="5" borderId="1" xfId="0" applyNumberFormat="1" applyFont="1" applyFill="1" applyBorder="1" applyAlignment="1">
      <alignment vertical="center"/>
    </xf>
    <xf numFmtId="37" fontId="23" fillId="5" borderId="3" xfId="0" applyNumberFormat="1" applyFont="1" applyFill="1" applyBorder="1" applyAlignment="1">
      <alignment vertical="center"/>
    </xf>
    <xf numFmtId="37" fontId="18" fillId="5" borderId="3" xfId="0" applyNumberFormat="1" applyFont="1" applyFill="1" applyBorder="1" applyAlignment="1">
      <alignment vertical="center"/>
    </xf>
    <xf numFmtId="37" fontId="80" fillId="5" borderId="3" xfId="0" applyNumberFormat="1" applyFont="1" applyFill="1" applyBorder="1" applyAlignment="1">
      <alignment vertical="center"/>
    </xf>
    <xf numFmtId="37" fontId="15" fillId="5" borderId="3" xfId="0" applyNumberFormat="1" applyFont="1" applyFill="1" applyBorder="1" applyAlignment="1">
      <alignment vertical="center"/>
    </xf>
    <xf numFmtId="37" fontId="19" fillId="5" borderId="10" xfId="0" applyNumberFormat="1" applyFont="1" applyFill="1" applyBorder="1" applyAlignment="1">
      <alignment vertical="center"/>
    </xf>
    <xf numFmtId="37" fontId="9" fillId="5" borderId="142" xfId="0" applyNumberFormat="1" applyFont="1" applyFill="1" applyBorder="1" applyAlignment="1">
      <alignment horizontal="right" vertical="center"/>
    </xf>
    <xf numFmtId="0" fontId="2" fillId="5" borderId="143" xfId="0" applyFont="1" applyFill="1" applyBorder="1" applyAlignment="1">
      <alignment vertical="center" wrapText="1"/>
    </xf>
    <xf numFmtId="37" fontId="31" fillId="0" borderId="142" xfId="0" applyNumberFormat="1" applyFont="1" applyBorder="1" applyAlignment="1">
      <alignment vertical="center"/>
    </xf>
    <xf numFmtId="3" fontId="18" fillId="0" borderId="88" xfId="0" applyNumberFormat="1" applyFont="1" applyBorder="1" applyAlignment="1">
      <alignment vertical="center"/>
    </xf>
    <xf numFmtId="3" fontId="26" fillId="0" borderId="0" xfId="0" applyNumberFormat="1" applyFont="1" applyAlignment="1">
      <alignment horizontal="center" vertical="center"/>
    </xf>
    <xf numFmtId="37" fontId="30" fillId="0" borderId="68" xfId="0" applyNumberFormat="1" applyFont="1" applyBorder="1" applyAlignment="1">
      <alignment vertical="center"/>
    </xf>
    <xf numFmtId="3" fontId="44" fillId="0" borderId="88" xfId="0" applyNumberFormat="1" applyFont="1" applyBorder="1" applyAlignment="1">
      <alignment vertical="center" wrapText="1"/>
    </xf>
    <xf numFmtId="3" fontId="60" fillId="0" borderId="0" xfId="0" applyNumberFormat="1" applyFont="1" applyAlignment="1">
      <alignment horizontal="center" vertical="center"/>
    </xf>
    <xf numFmtId="15" fontId="44" fillId="0" borderId="88" xfId="0" applyNumberFormat="1" applyFont="1" applyBorder="1" applyAlignment="1">
      <alignment vertical="center" wrapText="1"/>
    </xf>
    <xf numFmtId="37" fontId="66" fillId="15" borderId="0" xfId="0" applyNumberFormat="1" applyFont="1" applyFill="1" applyAlignment="1">
      <alignment horizontal="center" vertical="center"/>
    </xf>
    <xf numFmtId="37" fontId="98" fillId="5" borderId="0" xfId="0" applyNumberFormat="1" applyFont="1" applyFill="1" applyAlignment="1">
      <alignment horizontal="center" vertical="center"/>
    </xf>
    <xf numFmtId="37" fontId="44" fillId="15" borderId="3" xfId="0" applyNumberFormat="1" applyFont="1" applyFill="1" applyBorder="1" applyAlignment="1">
      <alignment vertical="center"/>
    </xf>
    <xf numFmtId="37" fontId="44" fillId="15" borderId="10" xfId="0" applyNumberFormat="1" applyFont="1" applyFill="1" applyBorder="1" applyAlignment="1">
      <alignment vertical="center"/>
    </xf>
    <xf numFmtId="37" fontId="61" fillId="5" borderId="10" xfId="0" applyNumberFormat="1" applyFont="1" applyFill="1" applyBorder="1" applyAlignment="1">
      <alignment vertical="center"/>
    </xf>
    <xf numFmtId="37" fontId="44" fillId="15" borderId="129" xfId="0" applyNumberFormat="1" applyFont="1" applyFill="1" applyBorder="1" applyAlignment="1">
      <alignment horizontal="left" vertical="center"/>
    </xf>
    <xf numFmtId="14" fontId="19" fillId="5" borderId="88" xfId="0" applyNumberFormat="1" applyFont="1" applyFill="1" applyBorder="1" applyAlignment="1">
      <alignment horizontal="center" vertical="center"/>
    </xf>
    <xf numFmtId="37" fontId="45" fillId="5" borderId="34" xfId="0" applyNumberFormat="1" applyFont="1" applyFill="1" applyBorder="1" applyAlignment="1">
      <alignment vertical="center"/>
    </xf>
    <xf numFmtId="37" fontId="19" fillId="7" borderId="142" xfId="0" applyNumberFormat="1" applyFont="1" applyFill="1" applyBorder="1" applyAlignment="1">
      <alignment vertical="center"/>
    </xf>
    <xf numFmtId="37" fontId="25" fillId="7" borderId="142" xfId="0" applyNumberFormat="1" applyFont="1" applyFill="1" applyBorder="1" applyAlignment="1">
      <alignment vertical="center"/>
    </xf>
    <xf numFmtId="37" fontId="17" fillId="0" borderId="143" xfId="0" applyNumberFormat="1" applyFont="1" applyBorder="1" applyAlignment="1">
      <alignment horizontal="center" vertical="center"/>
    </xf>
    <xf numFmtId="14" fontId="17" fillId="0" borderId="143" xfId="0" applyNumberFormat="1" applyFont="1" applyBorder="1" applyAlignment="1">
      <alignment horizontal="center" vertical="center"/>
    </xf>
    <xf numFmtId="37" fontId="25" fillId="7" borderId="109" xfId="0" applyNumberFormat="1" applyFont="1" applyFill="1" applyBorder="1" applyAlignment="1">
      <alignment vertical="center"/>
    </xf>
    <xf numFmtId="0" fontId="5" fillId="10" borderId="143" xfId="0" applyFont="1" applyFill="1" applyBorder="1" applyAlignment="1">
      <alignment vertical="center" wrapText="1"/>
    </xf>
    <xf numFmtId="0" fontId="1" fillId="10" borderId="143" xfId="0" applyFont="1" applyFill="1" applyBorder="1" applyAlignment="1">
      <alignment vertical="center" wrapText="1"/>
    </xf>
    <xf numFmtId="0" fontId="19" fillId="0" borderId="97" xfId="0" quotePrefix="1" applyFont="1" applyBorder="1" applyAlignment="1">
      <alignment horizontal="center" vertical="center"/>
    </xf>
    <xf numFmtId="0" fontId="19" fillId="0" borderId="89" xfId="0" quotePrefix="1" applyFont="1" applyBorder="1" applyAlignment="1">
      <alignment horizontal="center" vertical="center"/>
    </xf>
    <xf numFmtId="0" fontId="19" fillId="0" borderId="111" xfId="0" quotePrefix="1" applyFont="1" applyBorder="1" applyAlignment="1">
      <alignment horizontal="center" vertical="center"/>
    </xf>
    <xf numFmtId="0" fontId="19" fillId="0" borderId="98" xfId="0" quotePrefix="1" applyFont="1" applyBorder="1" applyAlignment="1">
      <alignment horizontal="center" vertical="center"/>
    </xf>
    <xf numFmtId="0" fontId="19" fillId="0" borderId="110" xfId="0" quotePrefix="1" applyFont="1" applyBorder="1" applyAlignment="1">
      <alignment horizontal="center" vertical="center"/>
    </xf>
    <xf numFmtId="0" fontId="19" fillId="0" borderId="151" xfId="0" quotePrefix="1" applyFont="1" applyBorder="1" applyAlignment="1">
      <alignment horizontal="center" vertical="center"/>
    </xf>
    <xf numFmtId="37" fontId="41" fillId="0" borderId="52" xfId="0" quotePrefix="1" applyNumberFormat="1" applyFont="1" applyBorder="1" applyAlignment="1">
      <alignment horizontal="center" vertical="center" wrapText="1"/>
    </xf>
    <xf numFmtId="37" fontId="41" fillId="0" borderId="53" xfId="0" quotePrefix="1" applyNumberFormat="1" applyFont="1" applyBorder="1" applyAlignment="1">
      <alignment horizontal="center" vertical="center" wrapText="1"/>
    </xf>
    <xf numFmtId="37" fontId="44" fillId="0" borderId="38" xfId="0" quotePrefix="1" applyNumberFormat="1" applyFont="1" applyBorder="1" applyAlignment="1">
      <alignment horizontal="center" vertical="center"/>
    </xf>
    <xf numFmtId="37" fontId="44" fillId="0" borderId="52" xfId="0" quotePrefix="1" applyNumberFormat="1" applyFont="1" applyBorder="1" applyAlignment="1">
      <alignment horizontal="center" vertical="center"/>
    </xf>
    <xf numFmtId="37" fontId="44" fillId="0" borderId="53" xfId="0" quotePrefix="1" applyNumberFormat="1" applyFont="1" applyBorder="1" applyAlignment="1">
      <alignment horizontal="center" vertical="center"/>
    </xf>
    <xf numFmtId="170" fontId="19" fillId="0" borderId="0" xfId="0" applyNumberFormat="1" applyFont="1" applyAlignment="1">
      <alignment horizontal="center" vertical="center"/>
    </xf>
    <xf numFmtId="170" fontId="61" fillId="5" borderId="0" xfId="0" applyNumberFormat="1" applyFont="1" applyFill="1" applyAlignment="1">
      <alignment horizontal="center" vertical="center"/>
    </xf>
    <xf numFmtId="0" fontId="67" fillId="0" borderId="147" xfId="0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47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 wrapText="1"/>
    </xf>
    <xf numFmtId="37" fontId="67" fillId="0" borderId="147" xfId="0" applyNumberFormat="1" applyFont="1" applyBorder="1" applyAlignment="1">
      <alignment horizontal="center" vertical="center" wrapText="1"/>
    </xf>
    <xf numFmtId="37" fontId="67" fillId="0" borderId="15" xfId="0" applyNumberFormat="1" applyFont="1" applyBorder="1" applyAlignment="1">
      <alignment horizontal="center" vertical="center" wrapText="1"/>
    </xf>
    <xf numFmtId="0" fontId="38" fillId="0" borderId="147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17" fillId="0" borderId="146" xfId="0" applyFont="1" applyBorder="1" applyAlignment="1">
      <alignment horizontal="center" vertical="center" wrapText="1"/>
    </xf>
    <xf numFmtId="0" fontId="17" fillId="0" borderId="145" xfId="0" applyFont="1" applyBorder="1" applyAlignment="1">
      <alignment horizontal="center" vertical="center" wrapText="1"/>
    </xf>
    <xf numFmtId="0" fontId="17" fillId="0" borderId="149" xfId="0" applyFont="1" applyBorder="1" applyAlignment="1">
      <alignment horizontal="center" vertical="center" wrapText="1"/>
    </xf>
    <xf numFmtId="37" fontId="19" fillId="5" borderId="143" xfId="0" applyNumberFormat="1" applyFont="1" applyFill="1" applyBorder="1" applyAlignment="1">
      <alignment vertical="center"/>
    </xf>
    <xf numFmtId="39" fontId="61" fillId="19" borderId="146" xfId="0" applyNumberFormat="1" applyFont="1" applyFill="1" applyBorder="1" applyAlignment="1">
      <alignment horizontal="center" vertical="center" wrapText="1"/>
    </xf>
    <xf numFmtId="39" fontId="61" fillId="19" borderId="145" xfId="0" applyNumberFormat="1" applyFont="1" applyFill="1" applyBorder="1" applyAlignment="1">
      <alignment horizontal="center" vertical="center" wrapText="1"/>
    </xf>
    <xf numFmtId="39" fontId="61" fillId="19" borderId="149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170" fontId="61" fillId="5" borderId="146" xfId="0" applyNumberFormat="1" applyFont="1" applyFill="1" applyBorder="1" applyAlignment="1">
      <alignment horizontal="center" vertical="center"/>
    </xf>
    <xf numFmtId="170" fontId="61" fillId="5" borderId="145" xfId="0" applyNumberFormat="1" applyFont="1" applyFill="1" applyBorder="1" applyAlignment="1">
      <alignment horizontal="center" vertical="center"/>
    </xf>
    <xf numFmtId="170" fontId="61" fillId="5" borderId="149" xfId="0" applyNumberFormat="1" applyFont="1" applyFill="1" applyBorder="1" applyAlignment="1">
      <alignment horizontal="center" vertical="center"/>
    </xf>
    <xf numFmtId="0" fontId="44" fillId="0" borderId="146" xfId="0" applyFont="1" applyBorder="1" applyAlignment="1">
      <alignment horizontal="center" vertical="center"/>
    </xf>
    <xf numFmtId="0" fontId="44" fillId="0" borderId="145" xfId="0" applyFont="1" applyBorder="1" applyAlignment="1">
      <alignment horizontal="center" vertical="center"/>
    </xf>
    <xf numFmtId="0" fontId="44" fillId="0" borderId="149" xfId="0" applyFont="1" applyBorder="1" applyAlignment="1">
      <alignment horizontal="center" vertical="center"/>
    </xf>
    <xf numFmtId="0" fontId="44" fillId="11" borderId="146" xfId="0" applyFont="1" applyFill="1" applyBorder="1" applyAlignment="1">
      <alignment horizontal="center" vertical="center"/>
    </xf>
    <xf numFmtId="0" fontId="44" fillId="11" borderId="145" xfId="0" applyFont="1" applyFill="1" applyBorder="1" applyAlignment="1">
      <alignment horizontal="center" vertical="center"/>
    </xf>
    <xf numFmtId="0" fontId="44" fillId="11" borderId="149" xfId="0" applyFont="1" applyFill="1" applyBorder="1" applyAlignment="1">
      <alignment horizontal="center" vertical="center"/>
    </xf>
    <xf numFmtId="0" fontId="61" fillId="11" borderId="146" xfId="0" applyFont="1" applyFill="1" applyBorder="1" applyAlignment="1">
      <alignment horizontal="center" vertical="center"/>
    </xf>
    <xf numFmtId="0" fontId="61" fillId="11" borderId="145" xfId="0" applyFont="1" applyFill="1" applyBorder="1" applyAlignment="1">
      <alignment horizontal="center" vertical="center"/>
    </xf>
    <xf numFmtId="0" fontId="61" fillId="11" borderId="149" xfId="0" applyFont="1" applyFill="1" applyBorder="1" applyAlignment="1">
      <alignment horizontal="center" vertical="center"/>
    </xf>
    <xf numFmtId="0" fontId="41" fillId="11" borderId="146" xfId="0" applyFont="1" applyFill="1" applyBorder="1" applyAlignment="1">
      <alignment horizontal="center" vertical="center"/>
    </xf>
    <xf numFmtId="0" fontId="41" fillId="11" borderId="145" xfId="0" applyFont="1" applyFill="1" applyBorder="1" applyAlignment="1">
      <alignment horizontal="center" vertical="center"/>
    </xf>
    <xf numFmtId="0" fontId="41" fillId="11" borderId="149" xfId="0" applyFont="1" applyFill="1" applyBorder="1" applyAlignment="1">
      <alignment horizontal="center" vertical="center"/>
    </xf>
    <xf numFmtId="170" fontId="73" fillId="0" borderId="0" xfId="0" applyNumberFormat="1" applyFont="1" applyAlignment="1">
      <alignment horizontal="center" vertical="center"/>
    </xf>
    <xf numFmtId="37" fontId="38" fillId="0" borderId="146" xfId="0" applyNumberFormat="1" applyFont="1" applyBorder="1" applyAlignment="1">
      <alignment horizontal="center" vertical="center"/>
    </xf>
    <xf numFmtId="37" fontId="38" fillId="0" borderId="145" xfId="0" applyNumberFormat="1" applyFont="1" applyBorder="1" applyAlignment="1">
      <alignment horizontal="center" vertical="center"/>
    </xf>
    <xf numFmtId="38" fontId="67" fillId="0" borderId="115" xfId="0" applyNumberFormat="1" applyFont="1" applyBorder="1" applyAlignment="1">
      <alignment horizontal="center" vertical="center"/>
    </xf>
    <xf numFmtId="38" fontId="67" fillId="0" borderId="124" xfId="0" applyNumberFormat="1" applyFont="1" applyBorder="1" applyAlignment="1">
      <alignment horizontal="center" vertical="center"/>
    </xf>
    <xf numFmtId="38" fontId="101" fillId="0" borderId="165" xfId="0" applyNumberFormat="1" applyFont="1" applyBorder="1" applyAlignment="1">
      <alignment horizontal="center" vertical="center" wrapText="1"/>
    </xf>
    <xf numFmtId="38" fontId="101" fillId="0" borderId="100" xfId="0" applyNumberFormat="1" applyFont="1" applyBorder="1" applyAlignment="1">
      <alignment horizontal="center" vertical="center" wrapText="1"/>
    </xf>
    <xf numFmtId="0" fontId="67" fillId="0" borderId="67" xfId="0" applyFont="1" applyBorder="1" applyAlignment="1">
      <alignment horizontal="center" vertical="center" wrapText="1"/>
    </xf>
    <xf numFmtId="0" fontId="67" fillId="0" borderId="130" xfId="0" applyFont="1" applyBorder="1" applyAlignment="1">
      <alignment horizontal="center" vertical="center" wrapText="1"/>
    </xf>
    <xf numFmtId="0" fontId="67" fillId="0" borderId="134" xfId="0" applyFont="1" applyBorder="1" applyAlignment="1">
      <alignment horizontal="center" vertical="center" wrapText="1"/>
    </xf>
    <xf numFmtId="0" fontId="62" fillId="0" borderId="53" xfId="0" applyFont="1" applyBorder="1" applyAlignment="1">
      <alignment horizontal="center" vertical="center" wrapText="1"/>
    </xf>
    <xf numFmtId="0" fontId="62" fillId="0" borderId="138" xfId="0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8" fillId="0" borderId="163" xfId="0" applyFont="1" applyBorder="1" applyAlignment="1">
      <alignment horizontal="center" vertical="center" wrapText="1"/>
    </xf>
    <xf numFmtId="0" fontId="38" fillId="0" borderId="55" xfId="0" applyFont="1" applyBorder="1" applyAlignment="1">
      <alignment horizontal="center" vertical="center" wrapText="1"/>
    </xf>
    <xf numFmtId="0" fontId="101" fillId="0" borderId="165" xfId="0" applyFont="1" applyBorder="1" applyAlignment="1">
      <alignment horizontal="center" vertical="center" wrapText="1"/>
    </xf>
    <xf numFmtId="0" fontId="101" fillId="0" borderId="100" xfId="0" applyFont="1" applyBorder="1" applyAlignment="1">
      <alignment horizontal="center" vertical="center" wrapText="1"/>
    </xf>
    <xf numFmtId="0" fontId="67" fillId="0" borderId="162" xfId="0" applyFont="1" applyBorder="1" applyAlignment="1">
      <alignment horizontal="center" vertical="center"/>
    </xf>
    <xf numFmtId="0" fontId="67" fillId="0" borderId="54" xfId="0" applyFont="1" applyBorder="1" applyAlignment="1">
      <alignment horizontal="center" vertical="center"/>
    </xf>
    <xf numFmtId="0" fontId="67" fillId="0" borderId="163" xfId="0" applyFont="1" applyBorder="1" applyAlignment="1">
      <alignment horizontal="center" vertical="center" wrapText="1"/>
    </xf>
    <xf numFmtId="0" fontId="67" fillId="0" borderId="55" xfId="0" applyFont="1" applyBorder="1" applyAlignment="1">
      <alignment horizontal="center" vertical="center" wrapText="1"/>
    </xf>
    <xf numFmtId="37" fontId="67" fillId="0" borderId="163" xfId="0" applyNumberFormat="1" applyFont="1" applyBorder="1" applyAlignment="1">
      <alignment horizontal="center" vertical="center" wrapText="1"/>
    </xf>
    <xf numFmtId="37" fontId="67" fillId="0" borderId="55" xfId="0" applyNumberFormat="1" applyFont="1" applyBorder="1" applyAlignment="1">
      <alignment horizontal="center" vertical="center" wrapText="1"/>
    </xf>
    <xf numFmtId="0" fontId="67" fillId="0" borderId="164" xfId="0" applyFont="1" applyBorder="1" applyAlignment="1">
      <alignment horizontal="center" vertical="center" wrapText="1"/>
    </xf>
    <xf numFmtId="0" fontId="67" fillId="0" borderId="99" xfId="0" applyFont="1" applyBorder="1" applyAlignment="1">
      <alignment horizontal="center" vertical="center" wrapText="1"/>
    </xf>
    <xf numFmtId="3" fontId="20" fillId="2" borderId="38" xfId="0" applyNumberFormat="1" applyFont="1" applyFill="1" applyBorder="1" applyAlignment="1" applyProtection="1">
      <alignment horizontal="center" vertical="center"/>
      <protection locked="0"/>
    </xf>
    <xf numFmtId="3" fontId="20" fillId="2" borderId="53" xfId="0" applyNumberFormat="1" applyFont="1" applyFill="1" applyBorder="1" applyAlignment="1" applyProtection="1">
      <alignment horizontal="center" vertical="center"/>
      <protection locked="0"/>
    </xf>
    <xf numFmtId="3" fontId="35" fillId="2" borderId="44" xfId="0" applyNumberFormat="1" applyFont="1" applyFill="1" applyBorder="1" applyAlignment="1">
      <alignment vertical="center" wrapText="1"/>
    </xf>
    <xf numFmtId="3" fontId="35" fillId="2" borderId="0" xfId="0" applyNumberFormat="1" applyFont="1" applyFill="1" applyAlignment="1">
      <alignment vertical="center" wrapText="1"/>
    </xf>
    <xf numFmtId="3" fontId="35" fillId="2" borderId="47" xfId="0" applyNumberFormat="1" applyFont="1" applyFill="1" applyBorder="1" applyAlignment="1">
      <alignment vertical="center" wrapText="1"/>
    </xf>
    <xf numFmtId="3" fontId="61" fillId="5" borderId="38" xfId="0" applyNumberFormat="1" applyFont="1" applyFill="1" applyBorder="1" applyAlignment="1">
      <alignment vertical="center" wrapText="1"/>
    </xf>
    <xf numFmtId="3" fontId="61" fillId="5" borderId="52" xfId="0" applyNumberFormat="1" applyFont="1" applyFill="1" applyBorder="1" applyAlignment="1">
      <alignment vertical="center" wrapText="1"/>
    </xf>
    <xf numFmtId="3" fontId="61" fillId="5" borderId="53" xfId="0" applyNumberFormat="1" applyFont="1" applyFill="1" applyBorder="1" applyAlignment="1">
      <alignment vertical="center" wrapText="1"/>
    </xf>
    <xf numFmtId="3" fontId="16" fillId="2" borderId="44" xfId="0" applyNumberFormat="1" applyFont="1" applyFill="1" applyBorder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0" fontId="5" fillId="5" borderId="143" xfId="0" applyFont="1" applyFill="1" applyBorder="1" applyAlignment="1">
      <alignment vertical="center" wrapText="1"/>
    </xf>
    <xf numFmtId="37" fontId="9" fillId="0" borderId="168" xfId="0" applyNumberFormat="1" applyFont="1" applyBorder="1" applyAlignment="1">
      <alignment horizontal="right" vertical="center"/>
    </xf>
    <xf numFmtId="0" fontId="5" fillId="0" borderId="15" xfId="0" applyFont="1" applyBorder="1" applyAlignment="1">
      <alignment vertical="center" wrapText="1"/>
    </xf>
    <xf numFmtId="37" fontId="50" fillId="0" borderId="15" xfId="0" applyNumberFormat="1" applyFont="1" applyBorder="1" applyAlignment="1">
      <alignment horizontal="center" vertical="center"/>
    </xf>
    <xf numFmtId="37" fontId="17" fillId="0" borderId="15" xfId="0" applyNumberFormat="1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37" fontId="19" fillId="0" borderId="15" xfId="0" applyNumberFormat="1" applyFont="1" applyBorder="1" applyAlignment="1">
      <alignment horizontal="center" vertical="center"/>
    </xf>
    <xf numFmtId="37" fontId="19" fillId="0" borderId="60" xfId="0" applyNumberFormat="1" applyFont="1" applyBorder="1" applyAlignment="1">
      <alignment horizontal="center" vertical="center"/>
    </xf>
    <xf numFmtId="3" fontId="44" fillId="0" borderId="168" xfId="0" applyNumberFormat="1" applyFont="1" applyBorder="1" applyAlignment="1">
      <alignment vertical="center"/>
    </xf>
    <xf numFmtId="3" fontId="44" fillId="0" borderId="169" xfId="0" applyNumberFormat="1" applyFont="1" applyBorder="1" applyAlignment="1">
      <alignment vertical="center"/>
    </xf>
    <xf numFmtId="37" fontId="5" fillId="0" borderId="15" xfId="0" applyNumberFormat="1" applyFont="1" applyBorder="1" applyAlignment="1">
      <alignment horizontal="right" vertical="center"/>
    </xf>
    <xf numFmtId="37" fontId="43" fillId="0" borderId="168" xfId="0" applyNumberFormat="1" applyFont="1" applyBorder="1" applyAlignment="1">
      <alignment vertical="center"/>
    </xf>
    <xf numFmtId="37" fontId="15" fillId="0" borderId="170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</cellXfs>
  <cellStyles count="3">
    <cellStyle name="Moneda" xfId="2" builtinId="4"/>
    <cellStyle name="Normal" xfId="0" builtinId="0"/>
    <cellStyle name="Porcentaje" xfId="1" builtinId="5"/>
  </cellStyles>
  <dxfs count="51"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F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F00"/>
        </patternFill>
      </fill>
    </dxf>
    <dxf>
      <font>
        <b val="0"/>
        <i val="0"/>
        <strike val="0"/>
      </font>
      <fill>
        <patternFill patternType="none">
          <bgColor auto="1"/>
        </patternFill>
      </fill>
    </dxf>
    <dxf>
      <font>
        <b/>
        <i/>
        <strike val="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00FF"/>
      <color rgb="FF0000FF"/>
      <color rgb="FF00FFCC"/>
      <color rgb="FFFF6600"/>
      <color rgb="FF00CC99"/>
      <color rgb="FF00FFFF"/>
      <color rgb="FF800000"/>
      <color rgb="FF0000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">
    <tabColor rgb="FF7030A0"/>
  </sheetPr>
  <dimension ref="A1:GK593"/>
  <sheetViews>
    <sheetView showGridLines="0" showOutlineSymbols="0" zoomScale="80" zoomScaleNormal="80" workbookViewId="0">
      <pane xSplit="2" ySplit="6" topLeftCell="D89" activePane="bottomRight" state="frozen"/>
      <selection pane="topRight" activeCell="C1" sqref="C1"/>
      <selection pane="bottomLeft" activeCell="A6" sqref="A6"/>
      <selection pane="bottomRight" activeCell="H131" sqref="H131"/>
    </sheetView>
  </sheetViews>
  <sheetFormatPr baseColWidth="10" defaultColWidth="9.6640625" defaultRowHeight="12.75" x14ac:dyDescent="0.2"/>
  <cols>
    <col min="1" max="1" width="10.88671875" style="16" customWidth="1"/>
    <col min="2" max="2" width="40.77734375" style="16" customWidth="1"/>
    <col min="3" max="3" width="12.88671875" style="65" bestFit="1" customWidth="1"/>
    <col min="4" max="4" width="16.77734375" style="65" bestFit="1" customWidth="1"/>
    <col min="5" max="6" width="16.77734375" style="222" customWidth="1"/>
    <col min="7" max="7" width="12.88671875" style="65" bestFit="1" customWidth="1"/>
    <col min="8" max="8" width="14.109375" style="398" customWidth="1"/>
    <col min="9" max="9" width="17.5546875" style="97" customWidth="1"/>
    <col min="10" max="10" width="37" style="148" bestFit="1" customWidth="1"/>
    <col min="11" max="11" width="1.6640625" style="65" customWidth="1"/>
    <col min="12" max="12" width="12.5546875" style="5" customWidth="1"/>
    <col min="13" max="13" width="11" style="5" bestFit="1" customWidth="1"/>
    <col min="14" max="14" width="11.44140625" style="208" customWidth="1"/>
    <col min="15" max="15" width="14.44140625" style="5" bestFit="1" customWidth="1"/>
    <col min="16" max="16" width="13" style="16" customWidth="1"/>
    <col min="17" max="17" width="13.109375" style="291" customWidth="1"/>
    <col min="18" max="21" width="9.6640625" style="16"/>
    <col min="22" max="22" width="21.6640625" style="16" customWidth="1"/>
    <col min="23" max="16384" width="9.6640625" style="16"/>
  </cols>
  <sheetData>
    <row r="1" spans="1:17" ht="15" x14ac:dyDescent="0.2">
      <c r="A1" s="845" t="s">
        <v>352</v>
      </c>
    </row>
    <row r="2" spans="1:17" ht="15" x14ac:dyDescent="0.2">
      <c r="A2" s="1211" t="s">
        <v>202</v>
      </c>
      <c r="B2" s="2"/>
      <c r="C2" s="1007"/>
      <c r="D2" s="1007"/>
      <c r="E2" s="1008"/>
      <c r="F2" s="1008"/>
      <c r="G2" s="1009"/>
      <c r="H2" s="1010"/>
      <c r="I2" s="1857" t="s">
        <v>1128</v>
      </c>
      <c r="J2" s="103"/>
      <c r="K2" s="8"/>
      <c r="L2" s="148" t="s">
        <v>459</v>
      </c>
      <c r="N2" s="994"/>
    </row>
    <row r="3" spans="1:17" ht="15.75" thickBot="1" x14ac:dyDescent="0.25">
      <c r="A3" s="165" t="s">
        <v>919</v>
      </c>
      <c r="B3" s="2"/>
      <c r="C3" s="1007"/>
      <c r="D3" s="1007"/>
      <c r="E3" s="1008"/>
      <c r="F3" s="1008"/>
      <c r="G3" s="1009"/>
      <c r="H3" s="1010"/>
      <c r="I3" s="1858" t="s">
        <v>1129</v>
      </c>
      <c r="J3" s="103"/>
      <c r="K3" s="8"/>
      <c r="N3" s="994"/>
    </row>
    <row r="4" spans="1:17" ht="32.25" thickBot="1" x14ac:dyDescent="0.25">
      <c r="A4" s="1028" t="s">
        <v>893</v>
      </c>
      <c r="B4" s="3"/>
      <c r="C4" s="82"/>
      <c r="D4" s="82"/>
      <c r="E4" s="1011"/>
      <c r="F4" s="1011"/>
      <c r="G4" s="931"/>
      <c r="H4" s="478"/>
      <c r="I4" s="693"/>
      <c r="J4" s="103"/>
      <c r="K4" s="8"/>
      <c r="N4" s="994"/>
      <c r="O4" s="1106" t="s">
        <v>723</v>
      </c>
      <c r="P4" s="1004" t="s">
        <v>898</v>
      </c>
    </row>
    <row r="5" spans="1:17" s="65" customFormat="1" ht="15.75" thickBot="1" x14ac:dyDescent="0.25">
      <c r="A5" s="1029"/>
      <c r="B5" s="79" t="str">
        <f>+A583</f>
        <v>GRAN TOTAL</v>
      </c>
      <c r="C5" s="79">
        <f t="shared" ref="C5:I5" si="0">+C583</f>
        <v>121229000</v>
      </c>
      <c r="D5" s="79">
        <f t="shared" si="0"/>
        <v>23033510</v>
      </c>
      <c r="E5" s="79">
        <f t="shared" si="0"/>
        <v>-12447490</v>
      </c>
      <c r="F5" s="79">
        <f t="shared" si="0"/>
        <v>144262510</v>
      </c>
      <c r="G5" s="79">
        <f t="shared" si="0"/>
        <v>131815020</v>
      </c>
      <c r="H5" s="79">
        <f t="shared" si="0"/>
        <v>96430000</v>
      </c>
      <c r="I5" s="79">
        <f t="shared" si="0"/>
        <v>228245020</v>
      </c>
      <c r="J5" s="103"/>
      <c r="K5" s="8"/>
      <c r="L5" s="148"/>
      <c r="M5" s="148"/>
      <c r="N5" s="994"/>
      <c r="O5" s="1107">
        <v>0.11</v>
      </c>
      <c r="P5" s="1005">
        <v>49799</v>
      </c>
      <c r="Q5" s="291"/>
    </row>
    <row r="6" spans="1:17" s="163" customFormat="1" ht="39.75" customHeight="1" thickBot="1" x14ac:dyDescent="0.25">
      <c r="A6" s="1030" t="s">
        <v>2</v>
      </c>
      <c r="B6" s="154" t="s">
        <v>279</v>
      </c>
      <c r="C6" s="164" t="s">
        <v>297</v>
      </c>
      <c r="D6" s="164" t="s">
        <v>276</v>
      </c>
      <c r="E6" s="523" t="s">
        <v>459</v>
      </c>
      <c r="F6" s="523" t="s">
        <v>460</v>
      </c>
      <c r="G6" s="139" t="s">
        <v>462</v>
      </c>
      <c r="H6" s="592" t="s">
        <v>298</v>
      </c>
      <c r="I6" s="593" t="s">
        <v>827</v>
      </c>
      <c r="J6" s="594" t="s">
        <v>201</v>
      </c>
      <c r="K6" s="479"/>
      <c r="L6" s="998" t="s">
        <v>706</v>
      </c>
      <c r="M6" s="1000" t="s">
        <v>707</v>
      </c>
      <c r="N6" s="997" t="s">
        <v>469</v>
      </c>
      <c r="O6" s="999" t="s">
        <v>459</v>
      </c>
      <c r="P6" s="1000" t="s">
        <v>708</v>
      </c>
      <c r="Q6" s="1046"/>
    </row>
    <row r="7" spans="1:17" ht="12" customHeight="1" x14ac:dyDescent="0.2">
      <c r="A7" s="1031"/>
      <c r="B7" s="396"/>
      <c r="C7" s="397"/>
      <c r="D7" s="397"/>
      <c r="E7" s="542"/>
      <c r="F7" s="542"/>
      <c r="G7" s="397"/>
      <c r="I7" s="399"/>
      <c r="J7" s="394"/>
      <c r="K7" s="8"/>
      <c r="L7" s="993">
        <f>12.5%+16%</f>
        <v>0.28500000000000003</v>
      </c>
      <c r="N7" s="994"/>
    </row>
    <row r="8" spans="1:17" ht="12" customHeight="1" x14ac:dyDescent="0.2">
      <c r="A8" s="263" t="s">
        <v>203</v>
      </c>
      <c r="B8" s="400"/>
      <c r="C8" s="401"/>
      <c r="D8" s="401"/>
      <c r="E8" s="543"/>
      <c r="F8" s="543"/>
      <c r="G8" s="401"/>
      <c r="H8" s="402"/>
      <c r="I8" s="402"/>
      <c r="J8" s="403"/>
      <c r="K8" s="8"/>
      <c r="N8" s="994"/>
    </row>
    <row r="9" spans="1:17" ht="12" customHeight="1" x14ac:dyDescent="0.2">
      <c r="A9" s="11"/>
      <c r="I9" s="398"/>
      <c r="J9" s="394"/>
      <c r="K9" s="8"/>
      <c r="N9" s="994"/>
    </row>
    <row r="10" spans="1:17" ht="12" customHeight="1" x14ac:dyDescent="0.2">
      <c r="A10" s="11"/>
      <c r="B10" s="12" t="s">
        <v>229</v>
      </c>
      <c r="I10" s="398"/>
      <c r="J10" s="394"/>
      <c r="K10" s="8"/>
      <c r="N10" s="994"/>
    </row>
    <row r="11" spans="1:17" ht="12" customHeight="1" x14ac:dyDescent="0.2">
      <c r="A11" s="350">
        <v>1</v>
      </c>
      <c r="B11" s="350" t="s">
        <v>8</v>
      </c>
      <c r="C11" s="404">
        <f>SUMIF('Consolidado Cobros'!$B$10:$B$314,B11,'Consolidado Cobros'!$F$10:$F$314)</f>
        <v>0</v>
      </c>
      <c r="D11" s="404">
        <f>SUMIF('Consolidado Cobros'!$B$10:$B$314,B11,'Consolidado Cobros'!$G$10:$G$314)</f>
        <v>0</v>
      </c>
      <c r="E11" s="487">
        <f>SUMIF('Consolidado Cobros'!$B$10:$B$314,B11,'Consolidado Cobros'!$H$10:$H$314)</f>
        <v>0</v>
      </c>
      <c r="F11" s="487">
        <f>SUMIF('Consolidado Cobros'!$B$10:$B$314,B11,'Consolidado Cobros'!$I$10:$I$314)</f>
        <v>0</v>
      </c>
      <c r="G11" s="226">
        <f>SUMIF('Consolidado Cobros'!$B$10:$B$314,B11,'Consolidado Cobros'!$J$10:$J$314)</f>
        <v>0</v>
      </c>
      <c r="H11" s="405">
        <f>SUMIF('Consolidado Cobros'!$B$10:$B$314,B11,'Consolidado Cobros'!$L$10:$L$314)</f>
        <v>1010000</v>
      </c>
      <c r="I11" s="406">
        <f>+G11+H11</f>
        <v>1010000</v>
      </c>
      <c r="J11" s="407"/>
      <c r="K11" s="8"/>
      <c r="N11" s="994"/>
    </row>
    <row r="12" spans="1:17" ht="12" customHeight="1" x14ac:dyDescent="0.2">
      <c r="A12" s="13" t="s">
        <v>204</v>
      </c>
      <c r="B12" s="1012"/>
      <c r="C12" s="408">
        <f>SUM(C9:C11)</f>
        <v>0</v>
      </c>
      <c r="D12" s="408">
        <f t="shared" ref="D12:G12" si="1">SUM(D9:D11)</f>
        <v>0</v>
      </c>
      <c r="E12" s="529">
        <f>IF(O12="NO RETENCIÓN",0,-O12)</f>
        <v>0</v>
      </c>
      <c r="F12" s="529">
        <f t="shared" si="1"/>
        <v>0</v>
      </c>
      <c r="G12" s="407">
        <f t="shared" si="1"/>
        <v>0</v>
      </c>
      <c r="H12" s="571">
        <f>SUM(H9:H11)</f>
        <v>1010000</v>
      </c>
      <c r="I12" s="572">
        <f>SUM(I9:I11)</f>
        <v>1010000</v>
      </c>
      <c r="J12" s="407"/>
      <c r="K12" s="8"/>
      <c r="L12" s="995">
        <f>+C12*$L$7</f>
        <v>0</v>
      </c>
      <c r="M12" s="1001">
        <f>+C12-L12*0</f>
        <v>0</v>
      </c>
      <c r="N12" s="660" t="s">
        <v>470</v>
      </c>
      <c r="O12" s="529" t="str">
        <f>IF(N12="S",M12*$O$5,"NO RETENCIÓN")</f>
        <v>NO RETENCIÓN</v>
      </c>
      <c r="P12" s="1003">
        <f>+M12/$P$5</f>
        <v>0</v>
      </c>
    </row>
    <row r="13" spans="1:17" ht="12" customHeight="1" x14ac:dyDescent="0.2">
      <c r="A13" s="1032"/>
      <c r="B13" s="1"/>
      <c r="C13" s="324"/>
      <c r="D13" s="324"/>
      <c r="J13" s="394"/>
      <c r="K13" s="8"/>
      <c r="N13" s="994"/>
    </row>
    <row r="14" spans="1:17" ht="12" customHeight="1" x14ac:dyDescent="0.2">
      <c r="A14" s="1032"/>
      <c r="B14" s="12" t="s">
        <v>187</v>
      </c>
      <c r="C14" s="324"/>
      <c r="D14" s="324"/>
      <c r="J14" s="573" t="s">
        <v>229</v>
      </c>
      <c r="K14" s="8"/>
      <c r="N14" s="994"/>
    </row>
    <row r="15" spans="1:17" ht="12" customHeight="1" x14ac:dyDescent="0.2">
      <c r="A15" s="350">
        <v>1</v>
      </c>
      <c r="B15" s="350" t="s">
        <v>117</v>
      </c>
      <c r="C15" s="404">
        <f>SUMIF('Consolidado Cobros'!$B$10:$B$314,B15,'Consolidado Cobros'!$F$10:$F$314)</f>
        <v>800000</v>
      </c>
      <c r="D15" s="404">
        <f>SUMIF('Consolidado Cobros'!$B$10:$B$314,B15,'Consolidado Cobros'!$G$10:$G$314)</f>
        <v>152000</v>
      </c>
      <c r="E15" s="487">
        <f>SUMIF('Consolidado Cobros'!$B$10:$B$314,B15,'Consolidado Cobros'!$H$10:$H$314)</f>
        <v>-88000</v>
      </c>
      <c r="F15" s="487">
        <f>SUMIF('Consolidado Cobros'!$B$10:$B$314,B15,'Consolidado Cobros'!$I$10:$I$314)</f>
        <v>952000</v>
      </c>
      <c r="G15" s="226">
        <f>SUMIF('Consolidado Cobros'!$B$10:$B$314,B15,'Consolidado Cobros'!$J$10:$J$314)</f>
        <v>864000</v>
      </c>
      <c r="H15" s="405">
        <f>SUMIF('Consolidado Cobros'!$B$10:$B$314,B15,'Consolidado Cobros'!$L$10:$L$314)</f>
        <v>0</v>
      </c>
      <c r="I15" s="406">
        <f t="shared" ref="I15:I16" si="2">+G15+H15</f>
        <v>864000</v>
      </c>
      <c r="J15" s="1859" t="s">
        <v>1107</v>
      </c>
      <c r="K15" s="8"/>
      <c r="N15" s="994"/>
    </row>
    <row r="16" spans="1:17" ht="25.5" x14ac:dyDescent="0.2">
      <c r="A16" s="350">
        <f>A15+1</f>
        <v>2</v>
      </c>
      <c r="B16" s="1048" t="s">
        <v>187</v>
      </c>
      <c r="C16" s="404">
        <f>SUMIF('Consolidado Cobros'!$B$10:$B$314,B16,'Consolidado Cobros'!$F$10:$F$314)</f>
        <v>3876000</v>
      </c>
      <c r="D16" s="404">
        <f>SUMIF('Consolidado Cobros'!$B$10:$B$314,B16,'Consolidado Cobros'!$G$10:$G$314)</f>
        <v>736440</v>
      </c>
      <c r="E16" s="487">
        <f>SUMIF('Consolidado Cobros'!$B$10:$B$314,B16,'Consolidado Cobros'!$H$10:$H$314)</f>
        <v>-426360</v>
      </c>
      <c r="F16" s="487">
        <f>SUMIF('Consolidado Cobros'!$B$10:$B$314,B16,'Consolidado Cobros'!$I$10:$I$314)</f>
        <v>4612440</v>
      </c>
      <c r="G16" s="226">
        <f>SUMIF('Consolidado Cobros'!$B$10:$B$314,B16,'Consolidado Cobros'!$J$10:$J$314)</f>
        <v>4186080</v>
      </c>
      <c r="H16" s="405">
        <f>SUMIF('Consolidado Cobros'!$B$10:$B$314,B16,'Consolidado Cobros'!$L$10:$L$314)</f>
        <v>0</v>
      </c>
      <c r="I16" s="406">
        <f t="shared" si="2"/>
        <v>4186080</v>
      </c>
      <c r="J16" s="1859" t="s">
        <v>1107</v>
      </c>
      <c r="K16" s="8"/>
      <c r="N16" s="994"/>
    </row>
    <row r="17" spans="1:22" ht="25.5" x14ac:dyDescent="0.2">
      <c r="A17" s="11" t="s">
        <v>204</v>
      </c>
      <c r="B17" s="1049" t="s">
        <v>187</v>
      </c>
      <c r="C17" s="408">
        <f>SUM(C14:C16)</f>
        <v>4676000</v>
      </c>
      <c r="D17" s="408">
        <f t="shared" ref="D17:G17" si="3">SUM(D14:D16)</f>
        <v>888440</v>
      </c>
      <c r="E17" s="529">
        <f>SUM(E15:E16)</f>
        <v>-514360</v>
      </c>
      <c r="F17" s="529">
        <f t="shared" si="3"/>
        <v>5564440</v>
      </c>
      <c r="G17" s="407">
        <f t="shared" si="3"/>
        <v>5050080</v>
      </c>
      <c r="H17" s="571">
        <f>SUM(H14:H16)</f>
        <v>0</v>
      </c>
      <c r="I17" s="572">
        <f>SUM(I14:I16)</f>
        <v>5050080</v>
      </c>
      <c r="J17" s="407"/>
      <c r="K17" s="7"/>
      <c r="L17" s="995">
        <f>+C17*$L$7</f>
        <v>1332660.0000000002</v>
      </c>
      <c r="M17" s="1001">
        <f>+C17-L17*0</f>
        <v>4676000</v>
      </c>
      <c r="N17" s="568" t="s">
        <v>471</v>
      </c>
      <c r="O17" s="529">
        <f>IF(N17="S",M17*$O$5,"NO RETENCIÓN")</f>
        <v>514360</v>
      </c>
      <c r="P17" s="1003">
        <f>+M17/$P$5</f>
        <v>93.897467820638965</v>
      </c>
    </row>
    <row r="18" spans="1:22" ht="12" customHeight="1" x14ac:dyDescent="0.2">
      <c r="A18" s="11"/>
      <c r="B18" s="555"/>
      <c r="C18" s="100"/>
      <c r="D18" s="100"/>
      <c r="E18" s="358"/>
      <c r="F18" s="358"/>
      <c r="G18" s="148"/>
      <c r="H18" s="470"/>
      <c r="I18" s="470"/>
      <c r="J18" s="394"/>
      <c r="K18" s="7"/>
    </row>
    <row r="19" spans="1:22" ht="12" customHeight="1" x14ac:dyDescent="0.2">
      <c r="A19" s="11"/>
      <c r="B19" s="12" t="s">
        <v>230</v>
      </c>
      <c r="C19" s="100"/>
      <c r="D19" s="100"/>
      <c r="E19" s="358"/>
      <c r="F19" s="358"/>
      <c r="G19" s="148"/>
      <c r="H19" s="470"/>
      <c r="I19" s="470"/>
      <c r="J19" s="394"/>
      <c r="K19" s="7"/>
      <c r="V19" s="1819">
        <v>-6.3025210084033612E-2</v>
      </c>
    </row>
    <row r="20" spans="1:22" ht="12" customHeight="1" x14ac:dyDescent="0.2">
      <c r="A20" s="11"/>
      <c r="B20" s="12" t="s">
        <v>128</v>
      </c>
      <c r="C20" s="100"/>
      <c r="D20" s="100"/>
      <c r="E20" s="358"/>
      <c r="F20" s="358"/>
      <c r="G20" s="148"/>
      <c r="H20" s="470"/>
      <c r="I20" s="470"/>
      <c r="J20" s="573" t="s">
        <v>230</v>
      </c>
      <c r="K20" s="7"/>
    </row>
    <row r="21" spans="1:22" ht="12" customHeight="1" x14ac:dyDescent="0.2">
      <c r="A21" s="350">
        <v>1</v>
      </c>
      <c r="B21" s="350" t="s">
        <v>128</v>
      </c>
      <c r="C21" s="404">
        <f>SUMIF('Consolidado Cobros'!$B$10:$B$314,B21,'Consolidado Cobros'!$F$10:$F$314)</f>
        <v>2530000</v>
      </c>
      <c r="D21" s="404">
        <f>SUMIF('Consolidado Cobros'!$B$10:$B$314,B21,'Consolidado Cobros'!$G$10:$G$314)</f>
        <v>480700</v>
      </c>
      <c r="E21" s="487">
        <f>SUMIF('Consolidado Cobros'!$B$10:$B$314,B21,'Consolidado Cobros'!$H$10:$H$314)</f>
        <v>0</v>
      </c>
      <c r="F21" s="487">
        <f>SUMIF('Consolidado Cobros'!$B$10:$B$314,B21,'Consolidado Cobros'!$I$10:$I$314)</f>
        <v>3010700</v>
      </c>
      <c r="G21" s="226">
        <f>SUMIF('Consolidado Cobros'!$B$10:$B$314,B21,'Consolidado Cobros'!$J$10:$J$314)</f>
        <v>3010700</v>
      </c>
      <c r="H21" s="405">
        <f>SUMIF('Consolidado Cobros'!$B$10:$B$314,B21,'Consolidado Cobros'!$L$10:$L$314)</f>
        <v>0</v>
      </c>
      <c r="I21" s="406">
        <f t="shared" ref="I21:I30" si="4">+G21+H21</f>
        <v>3010700</v>
      </c>
      <c r="J21" s="1859" t="s">
        <v>1106</v>
      </c>
      <c r="K21" s="7"/>
      <c r="Q21" s="291">
        <f>+'Facturas año anterior'!F25</f>
        <v>2380000</v>
      </c>
      <c r="R21" s="16">
        <f>+Q21*5.2%</f>
        <v>123760.00000000001</v>
      </c>
      <c r="S21" s="16">
        <f>+Q21+R21</f>
        <v>2503760</v>
      </c>
      <c r="T21" s="16">
        <f>+C21</f>
        <v>2530000</v>
      </c>
      <c r="U21" s="16">
        <f>+Q21-T21</f>
        <v>-150000</v>
      </c>
      <c r="V21" s="1819">
        <f>+U21/Q21</f>
        <v>-6.3025210084033612E-2</v>
      </c>
    </row>
    <row r="22" spans="1:22" ht="12" customHeight="1" x14ac:dyDescent="0.2">
      <c r="A22" s="13" t="s">
        <v>204</v>
      </c>
      <c r="B22" s="1012"/>
      <c r="C22" s="408">
        <f>SUM(C18:C21)</f>
        <v>2530000</v>
      </c>
      <c r="D22" s="408">
        <f t="shared" ref="D22:G22" si="5">SUM(D18:D21)</f>
        <v>480700</v>
      </c>
      <c r="E22" s="529">
        <f>SUM(E21)</f>
        <v>0</v>
      </c>
      <c r="F22" s="529">
        <f t="shared" si="5"/>
        <v>3010700</v>
      </c>
      <c r="G22" s="407">
        <f t="shared" si="5"/>
        <v>3010700</v>
      </c>
      <c r="H22" s="571">
        <f>SUM(H18:H21)</f>
        <v>0</v>
      </c>
      <c r="I22" s="572">
        <f>SUM(I18:I21)</f>
        <v>3010700</v>
      </c>
      <c r="J22" s="407"/>
      <c r="K22" s="8"/>
      <c r="L22" s="995">
        <f>+C22*$L$7</f>
        <v>721050.00000000012</v>
      </c>
      <c r="M22" s="1001">
        <f>+C22-L22*0</f>
        <v>2530000</v>
      </c>
      <c r="N22" s="660" t="s">
        <v>470</v>
      </c>
      <c r="O22" s="529" t="str">
        <f>IF(N22="S",M22*$O$5,"NO RETENCIÓN")</f>
        <v>NO RETENCIÓN</v>
      </c>
      <c r="P22" s="1003">
        <f>+M22/$P$5</f>
        <v>50.804233016727245</v>
      </c>
    </row>
    <row r="23" spans="1:22" ht="12" customHeight="1" x14ac:dyDescent="0.2">
      <c r="A23" s="11"/>
      <c r="B23" s="555"/>
      <c r="C23" s="100"/>
      <c r="D23" s="100"/>
      <c r="E23" s="358"/>
      <c r="F23" s="358"/>
      <c r="G23" s="148"/>
      <c r="H23" s="470"/>
      <c r="I23" s="470"/>
      <c r="J23" s="394"/>
      <c r="K23" s="7"/>
    </row>
    <row r="24" spans="1:22" ht="12" customHeight="1" x14ac:dyDescent="0.2">
      <c r="A24" s="11"/>
      <c r="B24" s="12" t="s">
        <v>15</v>
      </c>
      <c r="C24" s="100"/>
      <c r="D24" s="100"/>
      <c r="E24" s="358"/>
      <c r="F24" s="358"/>
      <c r="G24" s="148"/>
      <c r="H24" s="470"/>
      <c r="I24" s="470"/>
      <c r="J24" s="394"/>
      <c r="K24" s="7"/>
    </row>
    <row r="25" spans="1:22" ht="12" customHeight="1" x14ac:dyDescent="0.2">
      <c r="A25" s="350">
        <f>A21+1</f>
        <v>2</v>
      </c>
      <c r="B25" s="350" t="s">
        <v>15</v>
      </c>
      <c r="C25" s="404">
        <f>SUMIF('Consolidado Cobros'!$B$10:$B$314,B25,'Consolidado Cobros'!$F$10:$F$314)</f>
        <v>1950000</v>
      </c>
      <c r="D25" s="404">
        <f>SUMIF('Consolidado Cobros'!$B$10:$B$314,B25,'Consolidado Cobros'!$G$10:$G$314)</f>
        <v>370500</v>
      </c>
      <c r="E25" s="487">
        <f>SUMIF('Consolidado Cobros'!$B$10:$B$314,B25,'Consolidado Cobros'!$H$10:$H$314)</f>
        <v>0</v>
      </c>
      <c r="F25" s="487">
        <f>SUMIF('Consolidado Cobros'!$B$10:$B$314,B25,'Consolidado Cobros'!$I$10:$I$314)</f>
        <v>2320500</v>
      </c>
      <c r="G25" s="226">
        <f>SUMIF('Consolidado Cobros'!$B$10:$B$314,B25,'Consolidado Cobros'!$J$10:$J$314)</f>
        <v>2320500</v>
      </c>
      <c r="H25" s="405">
        <f>SUMIF('Consolidado Cobros'!$B$10:$B$314,B25,'Consolidado Cobros'!$L$10:$L$314)</f>
        <v>0</v>
      </c>
      <c r="I25" s="406">
        <f t="shared" si="4"/>
        <v>2320500</v>
      </c>
      <c r="J25" s="1859" t="s">
        <v>1103</v>
      </c>
      <c r="K25" s="7"/>
      <c r="Q25" s="291">
        <f>+'Facturas año anterior'!F10</f>
        <v>1830000</v>
      </c>
      <c r="R25" s="16">
        <f>+Q25*5.2%</f>
        <v>95160.000000000015</v>
      </c>
      <c r="S25" s="16">
        <f>+Q25+R25</f>
        <v>1925160</v>
      </c>
      <c r="T25" s="16">
        <f>+C25</f>
        <v>1950000</v>
      </c>
      <c r="U25" s="16">
        <f>+Q25-T25</f>
        <v>-120000</v>
      </c>
      <c r="V25" s="1816">
        <f>+U25/Q25</f>
        <v>-6.5573770491803282E-2</v>
      </c>
    </row>
    <row r="26" spans="1:22" ht="12" customHeight="1" x14ac:dyDescent="0.2">
      <c r="A26" s="13" t="s">
        <v>204</v>
      </c>
      <c r="B26" s="1012"/>
      <c r="C26" s="408">
        <f>SUM(C23:C25)</f>
        <v>1950000</v>
      </c>
      <c r="D26" s="408">
        <f t="shared" ref="D26" si="6">SUM(D23:D25)</f>
        <v>370500</v>
      </c>
      <c r="E26" s="529">
        <f>SUM(E25)</f>
        <v>0</v>
      </c>
      <c r="F26" s="529">
        <f t="shared" ref="F26:G26" si="7">SUM(F23:F25)</f>
        <v>2320500</v>
      </c>
      <c r="G26" s="407">
        <f t="shared" si="7"/>
        <v>2320500</v>
      </c>
      <c r="H26" s="571">
        <f>SUM(H23:H25)</f>
        <v>0</v>
      </c>
      <c r="I26" s="572">
        <f>SUM(I23:I25)</f>
        <v>2320500</v>
      </c>
      <c r="J26" s="407"/>
      <c r="K26" s="8"/>
      <c r="L26" s="995">
        <f>+C26*$L$7</f>
        <v>555750.00000000012</v>
      </c>
      <c r="M26" s="1001">
        <f>+C26-L26*0</f>
        <v>1950000</v>
      </c>
      <c r="N26" s="660" t="s">
        <v>470</v>
      </c>
      <c r="O26" s="529" t="str">
        <f>IF(N26="S",M26*$O$5,"NO RETENCIÓN")</f>
        <v>NO RETENCIÓN</v>
      </c>
      <c r="P26" s="1003">
        <f>+M26/$P$5</f>
        <v>39.157412799453802</v>
      </c>
    </row>
    <row r="27" spans="1:22" ht="12" customHeight="1" x14ac:dyDescent="0.2">
      <c r="A27" s="11"/>
      <c r="B27" s="555"/>
      <c r="C27" s="100"/>
      <c r="D27" s="100"/>
      <c r="E27" s="358"/>
      <c r="F27" s="358"/>
      <c r="G27" s="148"/>
      <c r="H27" s="470"/>
      <c r="I27" s="470"/>
      <c r="J27" s="394"/>
      <c r="K27" s="7"/>
    </row>
    <row r="28" spans="1:22" ht="12" customHeight="1" x14ac:dyDescent="0.2">
      <c r="A28" s="11"/>
      <c r="B28" s="12" t="s">
        <v>510</v>
      </c>
      <c r="C28" s="100"/>
      <c r="D28" s="100"/>
      <c r="E28" s="358"/>
      <c r="F28" s="358"/>
      <c r="G28" s="148"/>
      <c r="H28" s="470"/>
      <c r="I28" s="470"/>
      <c r="J28" s="394"/>
      <c r="K28" s="7"/>
    </row>
    <row r="29" spans="1:22" ht="27" customHeight="1" x14ac:dyDescent="0.2">
      <c r="A29" s="350">
        <f>A25+1</f>
        <v>3</v>
      </c>
      <c r="B29" s="448" t="s">
        <v>368</v>
      </c>
      <c r="C29" s="404">
        <f>SUMIF('Consolidado Cobros'!$B$10:$B$314,B29,'Consolidado Cobros'!$F$10:$F$314)</f>
        <v>3391000</v>
      </c>
      <c r="D29" s="404">
        <f>SUMIF('Consolidado Cobros'!$B$10:$B$314,B29,'Consolidado Cobros'!$G$10:$G$314)</f>
        <v>644290</v>
      </c>
      <c r="E29" s="487">
        <f>SUMIF('Consolidado Cobros'!$B$10:$B$314,B29,'Consolidado Cobros'!$H$10:$H$314)</f>
        <v>-373010</v>
      </c>
      <c r="F29" s="487">
        <f>SUMIF('Consolidado Cobros'!$B$10:$B$314,B29,'Consolidado Cobros'!$I$10:$I$314)</f>
        <v>4035290</v>
      </c>
      <c r="G29" s="226">
        <f>SUMIF('Consolidado Cobros'!$B$10:$B$314,B29,'Consolidado Cobros'!$J$10:$J$314)</f>
        <v>3662280</v>
      </c>
      <c r="H29" s="405">
        <f>SUMIF('Consolidado Cobros'!$B$10:$B$314,B29,'Consolidado Cobros'!$L$10:$L$314)</f>
        <v>0</v>
      </c>
      <c r="I29" s="406">
        <f t="shared" si="4"/>
        <v>3662280</v>
      </c>
      <c r="J29" s="1859" t="s">
        <v>1108</v>
      </c>
      <c r="K29" s="7"/>
    </row>
    <row r="30" spans="1:22" ht="23.25" customHeight="1" x14ac:dyDescent="0.2">
      <c r="A30" s="1033">
        <f>A29+1</f>
        <v>4</v>
      </c>
      <c r="B30" s="375" t="s">
        <v>740</v>
      </c>
      <c r="C30" s="404">
        <f>SUMIF('Consolidado Cobros'!$B$10:$B$314,B30,'Consolidado Cobros'!$F$10:$F$314)</f>
        <v>3873000</v>
      </c>
      <c r="D30" s="404">
        <f>SUMIF('Consolidado Cobros'!$B$10:$B$314,B30,'Consolidado Cobros'!$G$10:$G$314)</f>
        <v>735870</v>
      </c>
      <c r="E30" s="487">
        <f>SUMIF('Consolidado Cobros'!$B$10:$B$314,B30,'Consolidado Cobros'!$H$10:$H$314)</f>
        <v>-426030</v>
      </c>
      <c r="F30" s="487">
        <f>SUMIF('Consolidado Cobros'!$B$10:$B$314,B30,'Consolidado Cobros'!$I$10:$I$314)</f>
        <v>4608870</v>
      </c>
      <c r="G30" s="226">
        <f>SUMIF('Consolidado Cobros'!$B$10:$B$314,B30,'Consolidado Cobros'!$J$10:$J$314)</f>
        <v>4182840</v>
      </c>
      <c r="H30" s="405">
        <f>SUMIF('Consolidado Cobros'!$B$10:$B$314,B30,'Consolidado Cobros'!$L$10:$L$314)</f>
        <v>0</v>
      </c>
      <c r="I30" s="406">
        <f t="shared" si="4"/>
        <v>4182840</v>
      </c>
      <c r="J30" s="1859" t="s">
        <v>1108</v>
      </c>
      <c r="K30" s="8"/>
      <c r="N30" s="994"/>
    </row>
    <row r="31" spans="1:22" ht="12" customHeight="1" x14ac:dyDescent="0.2">
      <c r="A31" s="13" t="s">
        <v>204</v>
      </c>
      <c r="B31" s="12" t="s">
        <v>510</v>
      </c>
      <c r="C31" s="579">
        <f>SUM(C28:C30)</f>
        <v>7264000</v>
      </c>
      <c r="D31" s="579">
        <f t="shared" ref="D31:I31" si="8">SUM(D28:D30)</f>
        <v>1380160</v>
      </c>
      <c r="E31" s="529">
        <f>SUM(E29:E30)</f>
        <v>-799040</v>
      </c>
      <c r="F31" s="529">
        <f t="shared" si="8"/>
        <v>8644160</v>
      </c>
      <c r="G31" s="355">
        <f t="shared" si="8"/>
        <v>7845120</v>
      </c>
      <c r="H31" s="580">
        <f t="shared" si="8"/>
        <v>0</v>
      </c>
      <c r="I31" s="581">
        <f t="shared" si="8"/>
        <v>7845120</v>
      </c>
      <c r="J31" s="407"/>
      <c r="K31" s="7"/>
      <c r="L31" s="995">
        <f>+C31*$L$7</f>
        <v>2070240.0000000002</v>
      </c>
      <c r="M31" s="1001">
        <f>+C31-L31*0</f>
        <v>7264000</v>
      </c>
      <c r="N31" s="568" t="s">
        <v>471</v>
      </c>
      <c r="O31" s="529">
        <f>IF(N31="S",M31*$O$5,"NO RETENCIÓN")</f>
        <v>799040</v>
      </c>
      <c r="P31" s="1003">
        <f>+M31/$P$5</f>
        <v>145.86638285909356</v>
      </c>
    </row>
    <row r="32" spans="1:22" ht="12" customHeight="1" x14ac:dyDescent="0.2">
      <c r="A32" s="11"/>
      <c r="B32" s="555"/>
      <c r="C32" s="100"/>
      <c r="D32" s="100"/>
      <c r="E32" s="358"/>
      <c r="F32" s="358"/>
      <c r="G32" s="148"/>
      <c r="H32" s="470"/>
      <c r="I32" s="470"/>
      <c r="J32" s="394"/>
      <c r="K32" s="7"/>
      <c r="N32" s="5"/>
      <c r="P32" s="5"/>
      <c r="Q32" s="1047"/>
    </row>
    <row r="33" spans="1:17" ht="12" customHeight="1" x14ac:dyDescent="0.2">
      <c r="A33" s="11" t="s">
        <v>712</v>
      </c>
      <c r="B33" s="555"/>
      <c r="C33" s="579">
        <f>+C22+C26+C31</f>
        <v>11744000</v>
      </c>
      <c r="D33" s="579">
        <f t="shared" ref="D33:I33" si="9">+D22+D26+D31</f>
        <v>2231360</v>
      </c>
      <c r="E33" s="529">
        <f t="shared" si="9"/>
        <v>-799040</v>
      </c>
      <c r="F33" s="529">
        <f t="shared" si="9"/>
        <v>13975360</v>
      </c>
      <c r="G33" s="355">
        <f t="shared" si="9"/>
        <v>13176320</v>
      </c>
      <c r="H33" s="580">
        <f t="shared" si="9"/>
        <v>0</v>
      </c>
      <c r="I33" s="581">
        <f t="shared" si="9"/>
        <v>13176320</v>
      </c>
      <c r="J33" s="355"/>
      <c r="K33" s="7"/>
      <c r="N33" s="5"/>
      <c r="P33" s="5"/>
      <c r="Q33" s="1047"/>
    </row>
    <row r="34" spans="1:17" ht="12" customHeight="1" x14ac:dyDescent="0.2">
      <c r="A34" s="11"/>
      <c r="B34" s="555"/>
      <c r="C34" s="100"/>
      <c r="D34" s="100"/>
      <c r="E34" s="358"/>
      <c r="F34" s="358"/>
      <c r="G34" s="148"/>
      <c r="H34" s="470"/>
      <c r="I34" s="470"/>
      <c r="J34" s="394"/>
      <c r="K34" s="7"/>
    </row>
    <row r="35" spans="1:17" ht="12" customHeight="1" x14ac:dyDescent="0.2">
      <c r="A35" s="11"/>
      <c r="B35" s="555"/>
      <c r="C35" s="100"/>
      <c r="D35" s="100"/>
      <c r="E35" s="358"/>
      <c r="F35" s="358"/>
      <c r="G35" s="148"/>
      <c r="H35" s="470"/>
      <c r="I35" s="470"/>
      <c r="J35" s="394"/>
      <c r="K35" s="7"/>
    </row>
    <row r="36" spans="1:17" ht="12" customHeight="1" x14ac:dyDescent="0.2">
      <c r="A36" s="11"/>
      <c r="B36" s="12" t="s">
        <v>183</v>
      </c>
      <c r="C36" s="100"/>
      <c r="D36" s="100"/>
      <c r="E36" s="358"/>
      <c r="F36" s="358"/>
      <c r="G36" s="148"/>
      <c r="H36" s="470"/>
      <c r="I36" s="470"/>
      <c r="J36" s="573" t="s">
        <v>231</v>
      </c>
      <c r="K36" s="7"/>
    </row>
    <row r="37" spans="1:17" ht="12" customHeight="1" x14ac:dyDescent="0.2">
      <c r="A37" s="350">
        <v>1</v>
      </c>
      <c r="B37" s="350" t="s">
        <v>125</v>
      </c>
      <c r="C37" s="404">
        <f>SUMIF('Consolidado Cobros'!$B$10:$B$314,B37,'Consolidado Cobros'!$F$10:$F$314)</f>
        <v>1830000</v>
      </c>
      <c r="D37" s="404">
        <f>SUMIF('Consolidado Cobros'!$B$10:$B$314,B37,'Consolidado Cobros'!$G$10:$G$314)</f>
        <v>347700</v>
      </c>
      <c r="E37" s="487">
        <f>SUMIF('Consolidado Cobros'!$B$10:$B$314,B37,'Consolidado Cobros'!$H$10:$H$314)</f>
        <v>-201300</v>
      </c>
      <c r="F37" s="487">
        <f>SUMIF('Consolidado Cobros'!$B$10:$B$314,B37,'Consolidado Cobros'!$I$10:$I$314)</f>
        <v>2177700</v>
      </c>
      <c r="G37" s="226">
        <f>SUMIF('Consolidado Cobros'!$B$10:$B$314,B37,'Consolidado Cobros'!$J$10:$J$314)</f>
        <v>1976400</v>
      </c>
      <c r="H37" s="405">
        <f>SUMIF('Consolidado Cobros'!$B$10:$B$314,B37,'Consolidado Cobros'!$L$10:$L$314)</f>
        <v>0</v>
      </c>
      <c r="I37" s="406">
        <f t="shared" ref="I37:I38" si="10">+G37+H37</f>
        <v>1976400</v>
      </c>
      <c r="J37" s="1859" t="s">
        <v>1109</v>
      </c>
      <c r="K37" s="8"/>
      <c r="N37" s="994"/>
    </row>
    <row r="38" spans="1:17" ht="12" customHeight="1" x14ac:dyDescent="0.2">
      <c r="A38" s="1032">
        <f>A37+1</f>
        <v>2</v>
      </c>
      <c r="B38" s="375" t="s">
        <v>366</v>
      </c>
      <c r="C38" s="404">
        <f>SUMIF('Consolidado Cobros'!$B$10:$B$314,B38,'Consolidado Cobros'!$F$10:$F$314)</f>
        <v>3876000</v>
      </c>
      <c r="D38" s="404">
        <f>SUMIF('Consolidado Cobros'!$B$10:$B$314,B38,'Consolidado Cobros'!$G$10:$G$314)</f>
        <v>736440</v>
      </c>
      <c r="E38" s="487">
        <f>SUMIF('Consolidado Cobros'!$B$10:$B$314,B38,'Consolidado Cobros'!$H$10:$H$314)</f>
        <v>-426360</v>
      </c>
      <c r="F38" s="487">
        <f>SUMIF('Consolidado Cobros'!$B$10:$B$314,B38,'Consolidado Cobros'!$I$10:$I$314)</f>
        <v>4612440</v>
      </c>
      <c r="G38" s="226">
        <f>SUMIF('Consolidado Cobros'!$B$10:$B$314,B38,'Consolidado Cobros'!$J$10:$J$314)</f>
        <v>4186080</v>
      </c>
      <c r="H38" s="405">
        <f>SUMIF('Consolidado Cobros'!$B$10:$B$314,B38,'Consolidado Cobros'!$L$10:$L$314)</f>
        <v>0</v>
      </c>
      <c r="I38" s="406">
        <f t="shared" si="10"/>
        <v>4186080</v>
      </c>
      <c r="J38" s="1859" t="s">
        <v>1109</v>
      </c>
      <c r="K38" s="8"/>
      <c r="N38" s="994"/>
    </row>
    <row r="39" spans="1:17" ht="12" customHeight="1" x14ac:dyDescent="0.2">
      <c r="A39" s="13" t="s">
        <v>204</v>
      </c>
      <c r="B39" s="1012"/>
      <c r="C39" s="415">
        <f>SUM(C37:C38)</f>
        <v>5706000</v>
      </c>
      <c r="D39" s="415">
        <f t="shared" ref="D39:G39" si="11">SUM(D37:D38)</f>
        <v>1084140</v>
      </c>
      <c r="E39" s="529">
        <f>SUM(E37:E38)</f>
        <v>-627660</v>
      </c>
      <c r="F39" s="544">
        <f t="shared" si="11"/>
        <v>6790140</v>
      </c>
      <c r="G39" s="532">
        <f t="shared" si="11"/>
        <v>6162480</v>
      </c>
      <c r="H39" s="574">
        <f>SUM(H37:H38)</f>
        <v>0</v>
      </c>
      <c r="I39" s="575">
        <f>SUM(I37:I38)</f>
        <v>6162480</v>
      </c>
      <c r="J39" s="413"/>
      <c r="K39" s="7"/>
      <c r="L39" s="995">
        <f>+C39*$L$7</f>
        <v>1626210.0000000002</v>
      </c>
      <c r="M39" s="1001">
        <f>+C39-L39*0</f>
        <v>5706000</v>
      </c>
      <c r="N39" s="568" t="s">
        <v>471</v>
      </c>
      <c r="O39" s="529">
        <f>IF(N39="S",M39*$O$5,"NO RETENCIÓN")</f>
        <v>627660</v>
      </c>
      <c r="P39" s="1003">
        <f>+M39/$P$5</f>
        <v>114.58061406855559</v>
      </c>
    </row>
    <row r="40" spans="1:17" ht="12" customHeight="1" x14ac:dyDescent="0.2">
      <c r="A40" s="11"/>
      <c r="B40" s="555"/>
      <c r="C40" s="418"/>
      <c r="D40" s="418"/>
      <c r="E40" s="545"/>
      <c r="F40" s="545"/>
      <c r="G40" s="454"/>
      <c r="H40" s="471"/>
      <c r="I40" s="471"/>
      <c r="J40" s="455"/>
      <c r="K40" s="7"/>
    </row>
    <row r="41" spans="1:17" ht="12" customHeight="1" x14ac:dyDescent="0.2">
      <c r="A41" s="11"/>
      <c r="B41" s="12" t="s">
        <v>232</v>
      </c>
      <c r="C41" s="100"/>
      <c r="D41" s="100"/>
      <c r="E41" s="358"/>
      <c r="F41" s="358"/>
      <c r="G41" s="148"/>
      <c r="H41" s="470"/>
      <c r="I41" s="470"/>
      <c r="J41" s="394"/>
      <c r="K41" s="7"/>
    </row>
    <row r="42" spans="1:17" ht="12" customHeight="1" x14ac:dyDescent="0.2">
      <c r="A42" s="350">
        <v>1</v>
      </c>
      <c r="B42" s="350" t="s">
        <v>120</v>
      </c>
      <c r="C42" s="404">
        <f>SUMIF('Consolidado Cobros'!$B$10:$B$314,B42,'Consolidado Cobros'!$F$10:$F$314)</f>
        <v>1790000</v>
      </c>
      <c r="D42" s="404">
        <f>SUMIF('Consolidado Cobros'!$B$10:$B$314,B42,'Consolidado Cobros'!$G$10:$G$314)</f>
        <v>340100</v>
      </c>
      <c r="E42" s="487">
        <f>SUMIF('Consolidado Cobros'!$B$10:$B$314,B42,'Consolidado Cobros'!$H$10:$H$314)</f>
        <v>0</v>
      </c>
      <c r="F42" s="487">
        <f>SUMIF('Consolidado Cobros'!$B$10:$B$314,B42,'Consolidado Cobros'!$I$10:$I$314)</f>
        <v>2130100</v>
      </c>
      <c r="G42" s="226">
        <f>SUMIF('Consolidado Cobros'!$B$10:$B$314,B42,'Consolidado Cobros'!$J$10:$J$314)</f>
        <v>2130100</v>
      </c>
      <c r="H42" s="405">
        <f>SUMIF('Consolidado Cobros'!$B$10:$B$314,B42,'Consolidado Cobros'!$L$10:$L$314)</f>
        <v>0</v>
      </c>
      <c r="I42" s="406">
        <f t="shared" ref="I42:I44" si="12">+G42+H42</f>
        <v>2130100</v>
      </c>
      <c r="J42" s="1859" t="s">
        <v>1105</v>
      </c>
      <c r="K42" s="7"/>
      <c r="L42" s="5">
        <f>+'Facturas año anterior'!F19</f>
        <v>1710000</v>
      </c>
    </row>
    <row r="43" spans="1:17" ht="12" customHeight="1" x14ac:dyDescent="0.2">
      <c r="A43" s="350">
        <f>A42+1</f>
        <v>2</v>
      </c>
      <c r="B43" s="350" t="s">
        <v>137</v>
      </c>
      <c r="C43" s="404">
        <f>SUMIF('Consolidado Cobros'!$B$10:$B$314,B43,'Consolidado Cobros'!$F$10:$F$314)</f>
        <v>800000</v>
      </c>
      <c r="D43" s="404">
        <f>SUMIF('Consolidado Cobros'!$B$10:$B$314,B43,'Consolidado Cobros'!$G$10:$G$314)</f>
        <v>152000</v>
      </c>
      <c r="E43" s="487">
        <f>SUMIF('Consolidado Cobros'!$B$10:$B$314,B43,'Consolidado Cobros'!$H$10:$H$314)</f>
        <v>0</v>
      </c>
      <c r="F43" s="487">
        <f>SUMIF('Consolidado Cobros'!$B$10:$B$314,B43,'Consolidado Cobros'!$I$10:$I$314)</f>
        <v>952000</v>
      </c>
      <c r="G43" s="226">
        <f>SUMIF('Consolidado Cobros'!$B$10:$B$314,B43,'Consolidado Cobros'!$J$10:$J$314)</f>
        <v>952000</v>
      </c>
      <c r="H43" s="405">
        <f>SUMIF('Consolidado Cobros'!$B$10:$B$314,B43,'Consolidado Cobros'!$L$10:$L$314)</f>
        <v>0</v>
      </c>
      <c r="I43" s="406">
        <f t="shared" si="12"/>
        <v>952000</v>
      </c>
      <c r="J43" s="1859" t="s">
        <v>1105</v>
      </c>
      <c r="K43" s="7"/>
      <c r="L43" s="5">
        <f>+'Facturas año anterior'!F30</f>
        <v>760000</v>
      </c>
    </row>
    <row r="44" spans="1:17" ht="12" customHeight="1" x14ac:dyDescent="0.2">
      <c r="A44" s="350">
        <f>+A43+1</f>
        <v>3</v>
      </c>
      <c r="B44" s="350" t="s">
        <v>139</v>
      </c>
      <c r="C44" s="404">
        <f>SUMIF('Consolidado Cobros'!$B$10:$B$314,B44,'Consolidado Cobros'!$F$10:$F$314)</f>
        <v>0</v>
      </c>
      <c r="D44" s="404">
        <f>SUMIF('Consolidado Cobros'!$B$10:$B$314,B44,'Consolidado Cobros'!$G$10:$G$314)</f>
        <v>0</v>
      </c>
      <c r="E44" s="487">
        <f>SUMIF('Consolidado Cobros'!$B$10:$B$314,B44,'Consolidado Cobros'!$H$10:$H$314)</f>
        <v>0</v>
      </c>
      <c r="F44" s="487">
        <f>SUMIF('Consolidado Cobros'!$B$10:$B$314,B44,'Consolidado Cobros'!$I$10:$I$314)</f>
        <v>0</v>
      </c>
      <c r="G44" s="226">
        <f>SUMIF('Consolidado Cobros'!$B$10:$B$314,B44,'Consolidado Cobros'!$J$10:$J$314)</f>
        <v>0</v>
      </c>
      <c r="H44" s="405">
        <f>SUMIF('Consolidado Cobros'!$B$10:$B$314,B44,'Consolidado Cobros'!$L$10:$L$314)</f>
        <v>0</v>
      </c>
      <c r="I44" s="406">
        <f t="shared" si="12"/>
        <v>0</v>
      </c>
      <c r="J44" s="407"/>
      <c r="K44" s="7"/>
    </row>
    <row r="45" spans="1:17" ht="12" customHeight="1" x14ac:dyDescent="0.2">
      <c r="A45" s="11" t="s">
        <v>204</v>
      </c>
      <c r="B45" s="555"/>
      <c r="C45" s="415">
        <f>SUM(C42:C44)</f>
        <v>2590000</v>
      </c>
      <c r="D45" s="415">
        <f>SUM(D42:D44)</f>
        <v>492100</v>
      </c>
      <c r="E45" s="529">
        <f>SUM(E42:E44)</f>
        <v>0</v>
      </c>
      <c r="F45" s="544">
        <f t="shared" ref="F45" si="13">SUM(F42:F44)</f>
        <v>3082100</v>
      </c>
      <c r="G45" s="532">
        <f>SUM(G42:G44)</f>
        <v>3082100</v>
      </c>
      <c r="H45" s="574">
        <f>SUM(H42:H44)</f>
        <v>0</v>
      </c>
      <c r="I45" s="575">
        <f>SUM(I42:I44)</f>
        <v>3082100</v>
      </c>
      <c r="J45" s="413"/>
      <c r="K45" s="7"/>
      <c r="L45" s="995">
        <f>+C45*$L$7</f>
        <v>738150.00000000012</v>
      </c>
      <c r="M45" s="1001">
        <f>+C45-L45*0</f>
        <v>2590000</v>
      </c>
      <c r="N45" s="660" t="s">
        <v>470</v>
      </c>
      <c r="O45" s="529" t="str">
        <f>IF(N45="S",M45*$O$5,"NO RETENCIÓN")</f>
        <v>NO RETENCIÓN</v>
      </c>
      <c r="P45" s="1003">
        <f>+M45/$P$5</f>
        <v>52.009076487479668</v>
      </c>
    </row>
    <row r="46" spans="1:17" ht="12" customHeight="1" x14ac:dyDescent="0.2">
      <c r="A46" s="11"/>
      <c r="B46" s="555"/>
      <c r="C46" s="418"/>
      <c r="D46" s="418"/>
      <c r="E46" s="545"/>
      <c r="F46" s="545"/>
      <c r="G46" s="454"/>
      <c r="H46" s="471"/>
      <c r="I46" s="471"/>
      <c r="J46" s="455"/>
      <c r="K46" s="7"/>
    </row>
    <row r="47" spans="1:17" ht="12" customHeight="1" x14ac:dyDescent="0.2">
      <c r="A47" s="11"/>
      <c r="B47" s="555"/>
      <c r="C47" s="100"/>
      <c r="D47" s="100"/>
      <c r="E47" s="358"/>
      <c r="F47" s="358"/>
      <c r="G47" s="148"/>
      <c r="H47" s="470"/>
      <c r="I47" s="470"/>
      <c r="J47" s="394"/>
      <c r="K47" s="7"/>
    </row>
    <row r="48" spans="1:17" ht="12" customHeight="1" x14ac:dyDescent="0.2">
      <c r="A48" s="350">
        <f>+A44+1</f>
        <v>4</v>
      </c>
      <c r="B48" s="350" t="s">
        <v>138</v>
      </c>
      <c r="C48" s="576">
        <f>SUMIF('Consolidado Cobros'!$B$10:$B$314,B48,'Consolidado Cobros'!$F$10:$F$314)</f>
        <v>1000000</v>
      </c>
      <c r="D48" s="576">
        <f>SUMIF('Consolidado Cobros'!$B$10:$B$314,B48,'Consolidado Cobros'!$G$10:$G$314)</f>
        <v>190000</v>
      </c>
      <c r="E48" s="516">
        <f>SUMIF('Consolidado Cobros'!$B$10:$B$314,B48,'Consolidado Cobros'!$H$10:$H$314)</f>
        <v>0</v>
      </c>
      <c r="F48" s="516">
        <f>SUMIF('Consolidado Cobros'!$B$10:$B$314,B48,'Consolidado Cobros'!$I$10:$I$314)</f>
        <v>1190000</v>
      </c>
      <c r="G48" s="391">
        <f>SUMIF('Consolidado Cobros'!$B$10:$B$314,B48,'Consolidado Cobros'!$J$10:$J$314)</f>
        <v>1190000</v>
      </c>
      <c r="H48" s="577">
        <f>SUMIF('Consolidado Cobros'!$B$10:$B$314,B48,'Consolidado Cobros'!$L$10:$L$314)</f>
        <v>0</v>
      </c>
      <c r="I48" s="578">
        <f t="shared" ref="I48" si="14">+G48+H48</f>
        <v>1190000</v>
      </c>
      <c r="J48" s="1859" t="s">
        <v>1104</v>
      </c>
      <c r="K48" s="7"/>
    </row>
    <row r="49" spans="1:20" ht="12" customHeight="1" x14ac:dyDescent="0.2">
      <c r="A49" s="11" t="s">
        <v>204</v>
      </c>
      <c r="B49" s="555"/>
      <c r="C49" s="579">
        <f>SUM(C46:C48)</f>
        <v>1000000</v>
      </c>
      <c r="D49" s="579">
        <f>SUM(D46:D48)</f>
        <v>190000</v>
      </c>
      <c r="E49" s="529">
        <f>SUM(E48)</f>
        <v>0</v>
      </c>
      <c r="F49" s="529">
        <f t="shared" ref="F49" si="15">SUM(F46:F48)</f>
        <v>1190000</v>
      </c>
      <c r="G49" s="355">
        <f>SUM(G46:G48)</f>
        <v>1190000</v>
      </c>
      <c r="H49" s="580">
        <f>SUM(H46:H48)</f>
        <v>0</v>
      </c>
      <c r="I49" s="581">
        <f>SUM(I46:I48)</f>
        <v>1190000</v>
      </c>
      <c r="J49" s="355"/>
      <c r="K49" s="7"/>
      <c r="L49" s="995">
        <f>+C49*$L$7</f>
        <v>285000.00000000006</v>
      </c>
      <c r="M49" s="1001">
        <f>+C49-L49*0</f>
        <v>1000000</v>
      </c>
      <c r="N49" s="660" t="s">
        <v>470</v>
      </c>
      <c r="O49" s="529" t="str">
        <f>IF(N49="S",M49*$O$5,"NO RETENCIÓN")</f>
        <v>NO RETENCIÓN</v>
      </c>
      <c r="P49" s="1003">
        <f>+M49/$P$5</f>
        <v>20.080724512540414</v>
      </c>
    </row>
    <row r="50" spans="1:20" ht="12" customHeight="1" x14ac:dyDescent="0.2">
      <c r="A50" s="11"/>
      <c r="B50" s="555"/>
      <c r="C50" s="100"/>
      <c r="D50" s="100"/>
      <c r="E50" s="358"/>
      <c r="F50" s="358"/>
      <c r="G50" s="148"/>
      <c r="H50" s="470"/>
      <c r="I50" s="470"/>
      <c r="J50" s="394"/>
      <c r="K50" s="7"/>
    </row>
    <row r="51" spans="1:20" ht="12" customHeight="1" x14ac:dyDescent="0.2">
      <c r="A51" s="11"/>
      <c r="B51" s="555"/>
      <c r="C51" s="100"/>
      <c r="D51" s="100"/>
      <c r="E51" s="358"/>
      <c r="F51" s="358"/>
      <c r="G51" s="148"/>
      <c r="H51" s="470"/>
      <c r="I51" s="470"/>
      <c r="J51" s="394"/>
      <c r="K51" s="7"/>
    </row>
    <row r="52" spans="1:20" ht="12" customHeight="1" x14ac:dyDescent="0.2">
      <c r="A52" s="11"/>
      <c r="B52" s="12" t="s">
        <v>233</v>
      </c>
      <c r="C52" s="100"/>
      <c r="D52" s="100"/>
      <c r="E52" s="358"/>
      <c r="F52" s="358"/>
      <c r="G52" s="148"/>
      <c r="H52" s="470"/>
      <c r="I52" s="470"/>
      <c r="J52" s="394"/>
      <c r="K52" s="7"/>
    </row>
    <row r="53" spans="1:20" ht="12" customHeight="1" x14ac:dyDescent="0.2">
      <c r="A53" s="350">
        <v>1</v>
      </c>
      <c r="B53" s="350" t="s">
        <v>127</v>
      </c>
      <c r="C53" s="404">
        <f>SUMIF('Consolidado Cobros'!$B$10:$B$314,B53,'Consolidado Cobros'!$F$10:$F$314)</f>
        <v>1410000</v>
      </c>
      <c r="D53" s="404">
        <f>SUMIF('Consolidado Cobros'!$B$10:$B$314,B53,'Consolidado Cobros'!$G$10:$G$314)</f>
        <v>267900</v>
      </c>
      <c r="E53" s="487">
        <f>SUMIF('Consolidado Cobros'!$B$10:$B$314,B53,'Consolidado Cobros'!$H$10:$H$314)</f>
        <v>-155100</v>
      </c>
      <c r="F53" s="487">
        <f>SUMIF('Consolidado Cobros'!$B$10:$B$314,B53,'Consolidado Cobros'!$I$10:$I$314)</f>
        <v>1677900</v>
      </c>
      <c r="G53" s="226">
        <f>SUMIF('Consolidado Cobros'!$B$10:$B$314,B53,'Consolidado Cobros'!$J$10:$J$314)</f>
        <v>1522800</v>
      </c>
      <c r="H53" s="405">
        <f>SUMIF('Consolidado Cobros'!$B$10:$B$314,B53,'Consolidado Cobros'!$L$10:$L$314)</f>
        <v>0</v>
      </c>
      <c r="I53" s="406">
        <f t="shared" ref="I53:I56" si="16">+G53+H53</f>
        <v>1522800</v>
      </c>
      <c r="J53" s="1859" t="s">
        <v>1094</v>
      </c>
      <c r="K53" s="7"/>
    </row>
    <row r="54" spans="1:20" ht="12" customHeight="1" x14ac:dyDescent="0.2">
      <c r="A54" s="350">
        <f>+A53+1</f>
        <v>2</v>
      </c>
      <c r="B54" s="350" t="s">
        <v>121</v>
      </c>
      <c r="C54" s="404">
        <f>SUMIF('Consolidado Cobros'!$B$10:$B$314,B54,'Consolidado Cobros'!$F$10:$F$314)</f>
        <v>610000</v>
      </c>
      <c r="D54" s="404">
        <f>SUMIF('Consolidado Cobros'!$B$10:$B$314,B54,'Consolidado Cobros'!$G$10:$G$314)</f>
        <v>115900</v>
      </c>
      <c r="E54" s="487">
        <f>SUMIF('Consolidado Cobros'!$B$10:$B$314,B54,'Consolidado Cobros'!$H$10:$H$314)</f>
        <v>-67100</v>
      </c>
      <c r="F54" s="487">
        <f>SUMIF('Consolidado Cobros'!$B$10:$B$314,B54,'Consolidado Cobros'!$I$10:$I$314)</f>
        <v>725900</v>
      </c>
      <c r="G54" s="226">
        <f>SUMIF('Consolidado Cobros'!$B$10:$B$314,B54,'Consolidado Cobros'!$J$10:$J$314)</f>
        <v>658800</v>
      </c>
      <c r="H54" s="405">
        <f>SUMIF('Consolidado Cobros'!$B$10:$B$314,B54,'Consolidado Cobros'!$L$10:$L$314)</f>
        <v>0</v>
      </c>
      <c r="I54" s="406">
        <f t="shared" si="16"/>
        <v>658800</v>
      </c>
      <c r="J54" s="1859" t="s">
        <v>1094</v>
      </c>
      <c r="K54" s="7"/>
    </row>
    <row r="55" spans="1:20" ht="12" customHeight="1" x14ac:dyDescent="0.2">
      <c r="A55" s="350">
        <f>A54+1</f>
        <v>3</v>
      </c>
      <c r="B55" s="350" t="s">
        <v>122</v>
      </c>
      <c r="C55" s="404">
        <f>SUMIF('Consolidado Cobros'!$B$10:$B$314,B55,'Consolidado Cobros'!$F$10:$F$314)</f>
        <v>1280000</v>
      </c>
      <c r="D55" s="404">
        <f>SUMIF('Consolidado Cobros'!$B$10:$B$314,B55,'Consolidado Cobros'!$G$10:$G$314)</f>
        <v>243200</v>
      </c>
      <c r="E55" s="487">
        <f>SUMIF('Consolidado Cobros'!$B$10:$B$314,B55,'Consolidado Cobros'!$H$10:$H$314)</f>
        <v>-140800</v>
      </c>
      <c r="F55" s="487">
        <f>SUMIF('Consolidado Cobros'!$B$10:$B$314,B55,'Consolidado Cobros'!$I$10:$I$314)</f>
        <v>1523200</v>
      </c>
      <c r="G55" s="226">
        <f>SUMIF('Consolidado Cobros'!$B$10:$B$314,B55,'Consolidado Cobros'!$J$10:$J$314)</f>
        <v>1382400</v>
      </c>
      <c r="H55" s="405">
        <f>SUMIF('Consolidado Cobros'!$B$10:$B$314,B55,'Consolidado Cobros'!$L$10:$L$314)</f>
        <v>0</v>
      </c>
      <c r="I55" s="406">
        <f t="shared" si="16"/>
        <v>1382400</v>
      </c>
      <c r="J55" s="1859" t="s">
        <v>1094</v>
      </c>
      <c r="K55" s="7"/>
    </row>
    <row r="56" spans="1:20" ht="12" customHeight="1" x14ac:dyDescent="0.2">
      <c r="A56" s="1032">
        <f>+A55+1</f>
        <v>4</v>
      </c>
      <c r="B56" s="457" t="s">
        <v>317</v>
      </c>
      <c r="C56" s="404">
        <f>SUMIF('Consolidado Cobros'!$B$10:$B$314,B56,'Consolidado Cobros'!$F$10:$F$314)</f>
        <v>5146000</v>
      </c>
      <c r="D56" s="404">
        <f>SUMIF('Consolidado Cobros'!$B$10:$B$314,B56,'Consolidado Cobros'!$G$10:$G$314)</f>
        <v>977740</v>
      </c>
      <c r="E56" s="487">
        <f>SUMIF('Consolidado Cobros'!$B$10:$B$314,B56,'Consolidado Cobros'!$H$10:$H$314)</f>
        <v>-566060</v>
      </c>
      <c r="F56" s="487">
        <f>SUMIF('Consolidado Cobros'!$B$10:$B$314,B56,'Consolidado Cobros'!$I$10:$I$314)</f>
        <v>6123740</v>
      </c>
      <c r="G56" s="226">
        <f>SUMIF('Consolidado Cobros'!$B$10:$B$314,B56,'Consolidado Cobros'!$J$10:$J$314)</f>
        <v>5557680</v>
      </c>
      <c r="H56" s="405">
        <f>SUMIF('Consolidado Cobros'!$B$10:$B$314,B56,'Consolidado Cobros'!$L$10:$L$314)</f>
        <v>0</v>
      </c>
      <c r="I56" s="406">
        <f t="shared" si="16"/>
        <v>5557680</v>
      </c>
      <c r="J56" s="1859" t="s">
        <v>1094</v>
      </c>
      <c r="K56" s="7"/>
    </row>
    <row r="57" spans="1:20" ht="12" customHeight="1" x14ac:dyDescent="0.2">
      <c r="A57" s="13" t="s">
        <v>204</v>
      </c>
      <c r="B57" s="1050" t="s">
        <v>317</v>
      </c>
      <c r="C57" s="415">
        <f>SUM(C53:C56)</f>
        <v>8446000</v>
      </c>
      <c r="D57" s="415">
        <f t="shared" ref="D57:G57" si="17">SUM(D53:D56)</f>
        <v>1604740</v>
      </c>
      <c r="E57" s="529">
        <f>SUM(E53:E56)</f>
        <v>-929060</v>
      </c>
      <c r="F57" s="529">
        <f t="shared" si="17"/>
        <v>10050740</v>
      </c>
      <c r="G57" s="532">
        <f t="shared" si="17"/>
        <v>9121680</v>
      </c>
      <c r="H57" s="574">
        <f>SUM(H53:H56)</f>
        <v>0</v>
      </c>
      <c r="I57" s="575">
        <f>SUM(I53:I56)</f>
        <v>9121680</v>
      </c>
      <c r="J57" s="413"/>
      <c r="K57" s="7"/>
      <c r="L57" s="995">
        <f>+C57*$L$7</f>
        <v>2407110.0000000005</v>
      </c>
      <c r="M57" s="1001">
        <f>+C57-L57*0</f>
        <v>8446000</v>
      </c>
      <c r="N57" s="568" t="s">
        <v>471</v>
      </c>
      <c r="O57" s="529">
        <f>IF(N57="S",M57*$O$5,"NO RETENCIÓN")</f>
        <v>929060</v>
      </c>
      <c r="P57" s="1003">
        <f>+M57/$P$5</f>
        <v>169.60179923291633</v>
      </c>
    </row>
    <row r="58" spans="1:20" ht="12" customHeight="1" x14ac:dyDescent="0.2">
      <c r="A58" s="11"/>
      <c r="B58" s="555"/>
      <c r="C58" s="418"/>
      <c r="D58" s="418"/>
      <c r="E58" s="545"/>
      <c r="F58" s="545"/>
      <c r="G58" s="454"/>
      <c r="H58" s="471"/>
      <c r="I58" s="471"/>
      <c r="J58" s="455"/>
      <c r="K58" s="7"/>
    </row>
    <row r="59" spans="1:20" ht="12" customHeight="1" x14ac:dyDescent="0.2">
      <c r="A59" s="11"/>
      <c r="B59" s="12" t="s">
        <v>617</v>
      </c>
      <c r="C59" s="100"/>
      <c r="D59" s="100"/>
      <c r="E59" s="358"/>
      <c r="F59" s="358"/>
      <c r="G59" s="148"/>
      <c r="H59" s="470"/>
      <c r="I59" s="470"/>
      <c r="J59" s="573" t="s">
        <v>234</v>
      </c>
      <c r="K59" s="7"/>
    </row>
    <row r="60" spans="1:20" ht="12" customHeight="1" x14ac:dyDescent="0.2">
      <c r="A60" s="350">
        <f>A58+1</f>
        <v>1</v>
      </c>
      <c r="B60" s="350" t="s">
        <v>126</v>
      </c>
      <c r="C60" s="404">
        <f>SUMIF('Consolidado Cobros'!$B$10:$B$314,B60,'Consolidado Cobros'!$F$10:$F$314)</f>
        <v>2430000</v>
      </c>
      <c r="D60" s="404">
        <f>SUMIF('Consolidado Cobros'!$B$10:$B$314,B60,'Consolidado Cobros'!$G$10:$G$314)</f>
        <v>461700</v>
      </c>
      <c r="E60" s="487">
        <f>SUMIF('Consolidado Cobros'!$B$10:$B$314,B60,'Consolidado Cobros'!$H$10:$H$314)</f>
        <v>-267300</v>
      </c>
      <c r="F60" s="487">
        <f>SUMIF('Consolidado Cobros'!$B$10:$B$314,B60,'Consolidado Cobros'!$I$10:$I$314)</f>
        <v>2891700</v>
      </c>
      <c r="G60" s="226">
        <f>SUMIF('Consolidado Cobros'!$B$10:$B$314,B60,'Consolidado Cobros'!$J$10:$J$314)</f>
        <v>2624400</v>
      </c>
      <c r="H60" s="405">
        <f>SUMIF('Consolidado Cobros'!$B$10:$B$314,B60,'Consolidado Cobros'!$L$10:$L$314)</f>
        <v>0</v>
      </c>
      <c r="I60" s="406">
        <f t="shared" ref="I60:I64" si="18">+G60+H60</f>
        <v>2624400</v>
      </c>
      <c r="J60" s="1859" t="s">
        <v>1110</v>
      </c>
      <c r="K60" s="7"/>
      <c r="Q60" s="291" t="s">
        <v>17</v>
      </c>
      <c r="R60" s="16">
        <v>580000</v>
      </c>
      <c r="S60" s="16">
        <f>+SUMIF($B$60:$B$64,Q60,$C$60:$C$64)</f>
        <v>610000</v>
      </c>
      <c r="T60" s="16">
        <f>+R60-S60</f>
        <v>-30000</v>
      </c>
    </row>
    <row r="61" spans="1:20" ht="12" customHeight="1" x14ac:dyDescent="0.2">
      <c r="A61" s="1034">
        <f>+A60+1</f>
        <v>2</v>
      </c>
      <c r="B61" s="582" t="s">
        <v>390</v>
      </c>
      <c r="C61" s="404">
        <f>SUMIF('Consolidado Cobros'!$B$10:$B$314,B61,'Consolidado Cobros'!$F$10:$F$314)</f>
        <v>610000</v>
      </c>
      <c r="D61" s="404">
        <f>SUMIF('Consolidado Cobros'!$B$10:$B$314,B61,'Consolidado Cobros'!$G$10:$G$314)</f>
        <v>115900</v>
      </c>
      <c r="E61" s="487">
        <f>SUMIF('Consolidado Cobros'!$B$10:$B$314,B61,'Consolidado Cobros'!$H$10:$H$314)</f>
        <v>-67100</v>
      </c>
      <c r="F61" s="487">
        <f>SUMIF('Consolidado Cobros'!$B$10:$B$314,B61,'Consolidado Cobros'!$I$10:$I$314)</f>
        <v>725900</v>
      </c>
      <c r="G61" s="226">
        <f>SUMIF('Consolidado Cobros'!$B$10:$B$314,B61,'Consolidado Cobros'!$J$10:$J$314)</f>
        <v>658800</v>
      </c>
      <c r="H61" s="405">
        <f>SUMIF('Consolidado Cobros'!$B$10:$B$314,B61,'Consolidado Cobros'!$L$10:$L$314)</f>
        <v>0</v>
      </c>
      <c r="I61" s="406">
        <f t="shared" ref="I61" si="19">+G61+H61</f>
        <v>658800</v>
      </c>
      <c r="J61" s="1859" t="s">
        <v>1110</v>
      </c>
      <c r="K61" s="7"/>
      <c r="Q61" s="291" t="s">
        <v>390</v>
      </c>
      <c r="R61" s="16">
        <v>580000</v>
      </c>
      <c r="S61" s="16">
        <f t="shared" ref="S61:S64" si="20">+SUMIF($B$60:$B$64,Q61,$C$60:$C$64)</f>
        <v>610000</v>
      </c>
      <c r="T61" s="16">
        <f t="shared" ref="T61:T65" si="21">+R61-S61</f>
        <v>-30000</v>
      </c>
    </row>
    <row r="62" spans="1:20" ht="12" customHeight="1" x14ac:dyDescent="0.2">
      <c r="A62" s="1034">
        <f>+A61+1</f>
        <v>3</v>
      </c>
      <c r="B62" s="350" t="s">
        <v>59</v>
      </c>
      <c r="C62" s="404">
        <f>SUMIF('Consolidado Cobros'!$B$10:$B$314,B62,'Consolidado Cobros'!$F$10:$F$314)</f>
        <v>1410000</v>
      </c>
      <c r="D62" s="404">
        <f>SUMIF('Consolidado Cobros'!$B$10:$B$314,B62,'Consolidado Cobros'!$G$10:$G$314)</f>
        <v>267900</v>
      </c>
      <c r="E62" s="487">
        <f>SUMIF('Consolidado Cobros'!$B$10:$B$314,B62,'Consolidado Cobros'!$H$10:$H$314)</f>
        <v>-155100</v>
      </c>
      <c r="F62" s="487">
        <f>SUMIF('Consolidado Cobros'!$B$10:$B$314,B62,'Consolidado Cobros'!$I$10:$I$314)</f>
        <v>1677900</v>
      </c>
      <c r="G62" s="226">
        <f>SUMIF('Consolidado Cobros'!$B$10:$B$314,B62,'Consolidado Cobros'!$J$10:$J$314)</f>
        <v>1522800</v>
      </c>
      <c r="H62" s="405">
        <f>SUMIF('Consolidado Cobros'!$B$10:$B$314,B62,'Consolidado Cobros'!$L$10:$L$314)</f>
        <v>0</v>
      </c>
      <c r="I62" s="406">
        <f t="shared" si="18"/>
        <v>1522800</v>
      </c>
      <c r="J62" s="1859" t="s">
        <v>1110</v>
      </c>
      <c r="K62" s="7"/>
      <c r="Q62" s="291" t="s">
        <v>59</v>
      </c>
      <c r="R62" s="16">
        <v>1340000</v>
      </c>
      <c r="S62" s="16">
        <f t="shared" si="20"/>
        <v>1410000</v>
      </c>
      <c r="T62" s="16">
        <f t="shared" si="21"/>
        <v>-70000</v>
      </c>
    </row>
    <row r="63" spans="1:20" ht="12" customHeight="1" x14ac:dyDescent="0.2">
      <c r="A63" s="350">
        <f>A62+1</f>
        <v>4</v>
      </c>
      <c r="B63" s="350" t="s">
        <v>17</v>
      </c>
      <c r="C63" s="404">
        <f>SUMIF('Consolidado Cobros'!$B$10:$B$314,B63,'Consolidado Cobros'!$F$10:$F$314)</f>
        <v>610000</v>
      </c>
      <c r="D63" s="404">
        <f>SUMIF('Consolidado Cobros'!$B$10:$B$314,B63,'Consolidado Cobros'!$G$10:$G$314)</f>
        <v>115900</v>
      </c>
      <c r="E63" s="487">
        <f>SUMIF('Consolidado Cobros'!$B$10:$B$314,B63,'Consolidado Cobros'!$H$10:$H$314)</f>
        <v>-67100</v>
      </c>
      <c r="F63" s="487">
        <f>SUMIF('Consolidado Cobros'!$B$10:$B$314,B63,'Consolidado Cobros'!$I$10:$I$314)</f>
        <v>725900</v>
      </c>
      <c r="G63" s="226">
        <f>SUMIF('Consolidado Cobros'!$B$10:$B$314,B63,'Consolidado Cobros'!$J$10:$J$314)</f>
        <v>658800</v>
      </c>
      <c r="H63" s="405">
        <f>SUMIF('Consolidado Cobros'!$B$10:$B$314,B63,'Consolidado Cobros'!$L$10:$L$314)</f>
        <v>0</v>
      </c>
      <c r="I63" s="406">
        <f t="shared" si="18"/>
        <v>658800</v>
      </c>
      <c r="J63" s="1859" t="s">
        <v>1110</v>
      </c>
      <c r="K63" s="7"/>
      <c r="Q63" s="291" t="s">
        <v>126</v>
      </c>
      <c r="R63" s="16">
        <v>2240000</v>
      </c>
      <c r="S63" s="16">
        <f t="shared" si="20"/>
        <v>2430000</v>
      </c>
      <c r="T63" s="16">
        <f t="shared" si="21"/>
        <v>-190000</v>
      </c>
    </row>
    <row r="64" spans="1:20" ht="12" customHeight="1" x14ac:dyDescent="0.2">
      <c r="A64" s="1033">
        <f>A63+1</f>
        <v>5</v>
      </c>
      <c r="B64" s="375" t="s">
        <v>724</v>
      </c>
      <c r="C64" s="404">
        <f>SUMIF('Consolidado Cobros'!$B$10:$B$314,B64,'Consolidado Cobros'!$F$10:$F$314)</f>
        <v>3873000</v>
      </c>
      <c r="D64" s="404">
        <f>SUMIF('Consolidado Cobros'!$B$10:$B$314,B64,'Consolidado Cobros'!$G$10:$G$314)</f>
        <v>735870</v>
      </c>
      <c r="E64" s="487">
        <f>SUMIF('Consolidado Cobros'!$B$10:$B$314,B64,'Consolidado Cobros'!$H$10:$H$314)</f>
        <v>-426030</v>
      </c>
      <c r="F64" s="487">
        <f>SUMIF('Consolidado Cobros'!$B$10:$B$314,B64,'Consolidado Cobros'!$I$10:$I$314)</f>
        <v>4608870</v>
      </c>
      <c r="G64" s="226">
        <f>SUMIF('Consolidado Cobros'!$B$10:$B$314,B64,'Consolidado Cobros'!$J$10:$J$314)</f>
        <v>4182840</v>
      </c>
      <c r="H64" s="405">
        <f>SUMIF('Consolidado Cobros'!$B$10:$B$314,B64,'Consolidado Cobros'!$L$10:$L$314)</f>
        <v>0</v>
      </c>
      <c r="I64" s="406">
        <f t="shared" si="18"/>
        <v>4182840</v>
      </c>
      <c r="J64" s="1859" t="s">
        <v>1110</v>
      </c>
      <c r="K64" s="7"/>
      <c r="Q64" s="291" t="s">
        <v>724</v>
      </c>
      <c r="R64" s="16">
        <v>3690000</v>
      </c>
      <c r="S64" s="16">
        <f t="shared" si="20"/>
        <v>3873000</v>
      </c>
      <c r="T64" s="16">
        <f t="shared" si="21"/>
        <v>-183000</v>
      </c>
    </row>
    <row r="65" spans="1:22" ht="12" customHeight="1" x14ac:dyDescent="0.2">
      <c r="A65" s="13" t="s">
        <v>204</v>
      </c>
      <c r="B65" s="1050" t="s">
        <v>617</v>
      </c>
      <c r="C65" s="408">
        <f>SUM(C59:C64)</f>
        <v>8933000</v>
      </c>
      <c r="D65" s="408">
        <f>SUM(D59:D64)</f>
        <v>1697270</v>
      </c>
      <c r="E65" s="529">
        <f>SUM(E60:E64)</f>
        <v>-982630</v>
      </c>
      <c r="F65" s="529">
        <f>SUM(F60:F64)</f>
        <v>10630270</v>
      </c>
      <c r="G65" s="407">
        <f>SUM(G59:G64)</f>
        <v>9647640</v>
      </c>
      <c r="H65" s="571">
        <f>SUM(H59:H64)</f>
        <v>0</v>
      </c>
      <c r="I65" s="572">
        <f>SUM(I59:I64)</f>
        <v>9647640</v>
      </c>
      <c r="J65" s="407"/>
      <c r="K65" s="7"/>
      <c r="L65" s="995">
        <f>+C65*$L$7</f>
        <v>2545905.0000000005</v>
      </c>
      <c r="M65" s="1001">
        <f>+C65-L65*0</f>
        <v>8933000</v>
      </c>
      <c r="N65" s="568" t="s">
        <v>471</v>
      </c>
      <c r="O65" s="529">
        <f>IF(N65="S",M65*$O$5,"NO RETENCIÓN")</f>
        <v>982630</v>
      </c>
      <c r="P65" s="1003">
        <f>+M65/$P$5</f>
        <v>179.3811120705235</v>
      </c>
      <c r="R65" s="16">
        <f>SUM(R60:R64)</f>
        <v>8430000</v>
      </c>
      <c r="S65" s="16">
        <f>SUM(S60:S64)</f>
        <v>8933000</v>
      </c>
      <c r="T65" s="16">
        <f t="shared" si="21"/>
        <v>-503000</v>
      </c>
      <c r="U65" s="16">
        <f>+R65*5.2%</f>
        <v>438360.00000000006</v>
      </c>
      <c r="V65" s="1816">
        <f>+T65/R65</f>
        <v>-5.9667852906287067E-2</v>
      </c>
    </row>
    <row r="66" spans="1:22" ht="12" customHeight="1" x14ac:dyDescent="0.2">
      <c r="A66" s="11"/>
      <c r="B66" s="555"/>
      <c r="C66" s="100"/>
      <c r="D66" s="100"/>
      <c r="E66" s="1081"/>
      <c r="F66" s="358"/>
      <c r="G66" s="148"/>
      <c r="H66" s="470"/>
      <c r="I66" s="470"/>
      <c r="J66" s="394"/>
      <c r="K66" s="7"/>
    </row>
    <row r="67" spans="1:22" ht="12" customHeight="1" x14ac:dyDescent="0.2">
      <c r="A67" s="11"/>
      <c r="B67" s="555"/>
      <c r="C67" s="100"/>
      <c r="D67" s="100"/>
      <c r="E67" s="358"/>
      <c r="F67" s="358"/>
      <c r="G67" s="148"/>
      <c r="H67" s="470"/>
      <c r="I67" s="470"/>
      <c r="J67" s="394"/>
      <c r="K67" s="7"/>
    </row>
    <row r="68" spans="1:22" ht="12" customHeight="1" x14ac:dyDescent="0.2">
      <c r="A68" s="11"/>
      <c r="B68" s="12" t="s">
        <v>268</v>
      </c>
      <c r="C68" s="100"/>
      <c r="D68" s="100"/>
      <c r="E68" s="358"/>
      <c r="F68" s="358"/>
      <c r="G68" s="148"/>
      <c r="H68" s="470"/>
      <c r="I68" s="12" t="s">
        <v>235</v>
      </c>
      <c r="J68" s="394"/>
      <c r="K68" s="7"/>
    </row>
    <row r="69" spans="1:22" ht="12" customHeight="1" x14ac:dyDescent="0.2">
      <c r="A69" s="350">
        <f>+A64+1</f>
        <v>6</v>
      </c>
      <c r="B69" s="356" t="s">
        <v>268</v>
      </c>
      <c r="C69" s="404">
        <f>SUMIF('Consolidado Cobros'!$B$10:$B$314,B69,'Consolidado Cobros'!$F$10:$F$314)</f>
        <v>0</v>
      </c>
      <c r="D69" s="404">
        <f>SUMIF('Consolidado Cobros'!$B$10:$B$314,B69,'Consolidado Cobros'!$G$10:$G$314)</f>
        <v>0</v>
      </c>
      <c r="E69" s="487">
        <f>SUMIF('Consolidado Cobros'!$B$10:$B$314,B69,'Consolidado Cobros'!$H$10:$H$314)</f>
        <v>0</v>
      </c>
      <c r="F69" s="487">
        <f>SUMIF('Consolidado Cobros'!$B$10:$B$314,B69,'Consolidado Cobros'!$I$10:$I$314)</f>
        <v>0</v>
      </c>
      <c r="G69" s="226">
        <f>SUMIF('Consolidado Cobros'!$B$10:$B$314,B69,'Consolidado Cobros'!$J$10:$J$314)</f>
        <v>0</v>
      </c>
      <c r="H69" s="405">
        <f>SUMIF('Consolidado Cobros'!$B$10:$B$314,B69,'Consolidado Cobros'!$L$10:$L$314)</f>
        <v>0</v>
      </c>
      <c r="I69" s="406">
        <f>+G69+H69</f>
        <v>0</v>
      </c>
      <c r="J69" s="407"/>
      <c r="K69" s="7"/>
    </row>
    <row r="70" spans="1:22" ht="12" customHeight="1" x14ac:dyDescent="0.2">
      <c r="A70" s="11" t="s">
        <v>204</v>
      </c>
      <c r="B70" s="197" t="s">
        <v>268</v>
      </c>
      <c r="C70" s="583">
        <f>SUM(C69:C69)</f>
        <v>0</v>
      </c>
      <c r="D70" s="583">
        <f t="shared" ref="D70:G70" si="22">SUM(D69:D69)</f>
        <v>0</v>
      </c>
      <c r="E70" s="529">
        <f>SUM(E69)</f>
        <v>0</v>
      </c>
      <c r="F70" s="584">
        <f t="shared" si="22"/>
        <v>0</v>
      </c>
      <c r="G70" s="585">
        <f t="shared" si="22"/>
        <v>0</v>
      </c>
      <c r="H70" s="586">
        <f>SUM(H69:H69)</f>
        <v>0</v>
      </c>
      <c r="I70" s="587">
        <f>SUM(I68:I69)</f>
        <v>0</v>
      </c>
      <c r="J70" s="585"/>
      <c r="K70" s="7"/>
      <c r="L70" s="995">
        <f>+C70*$L$7</f>
        <v>0</v>
      </c>
      <c r="M70" s="1001">
        <f>+C70-L70*0</f>
        <v>0</v>
      </c>
      <c r="N70" s="568" t="s">
        <v>471</v>
      </c>
      <c r="O70" s="529">
        <f>IF(N70="S",M70*$O$5,"NO RETENCIÓN")</f>
        <v>0</v>
      </c>
      <c r="P70" s="1003">
        <f>+M70/$P$5</f>
        <v>0</v>
      </c>
    </row>
    <row r="71" spans="1:22" ht="12" customHeight="1" x14ac:dyDescent="0.2">
      <c r="A71" s="11"/>
      <c r="B71" s="555"/>
      <c r="C71" s="100"/>
      <c r="D71" s="100"/>
      <c r="E71" s="358"/>
      <c r="F71" s="358"/>
      <c r="G71" s="148"/>
      <c r="H71" s="470"/>
      <c r="I71" s="470"/>
      <c r="J71" s="394"/>
      <c r="K71" s="7"/>
    </row>
    <row r="72" spans="1:22" ht="12" customHeight="1" x14ac:dyDescent="0.2">
      <c r="A72" s="11"/>
      <c r="B72" s="12" t="s">
        <v>185</v>
      </c>
      <c r="C72" s="100"/>
      <c r="D72" s="100"/>
      <c r="E72" s="358"/>
      <c r="F72" s="358"/>
      <c r="G72" s="148"/>
      <c r="H72" s="470"/>
      <c r="I72" s="12" t="s">
        <v>235</v>
      </c>
      <c r="J72" s="394"/>
      <c r="K72" s="7"/>
    </row>
    <row r="73" spans="1:22" ht="12" customHeight="1" x14ac:dyDescent="0.2">
      <c r="A73" s="1033">
        <f>+A69+1</f>
        <v>7</v>
      </c>
      <c r="B73" s="356" t="s">
        <v>185</v>
      </c>
      <c r="C73" s="404">
        <f>SUMIF('Consolidado Cobros'!$B$10:$B$314,B73,'Consolidado Cobros'!$F$10:$F$314)</f>
        <v>3007000</v>
      </c>
      <c r="D73" s="404">
        <f>SUMIF('Consolidado Cobros'!$B$10:$B$314,B73,'Consolidado Cobros'!$G$10:$G$314)</f>
        <v>571330</v>
      </c>
      <c r="E73" s="487">
        <f>SUMIF('Consolidado Cobros'!$B$10:$B$314,B73,'Consolidado Cobros'!$H$10:$H$314)</f>
        <v>-330770</v>
      </c>
      <c r="F73" s="487">
        <f>SUMIF('Consolidado Cobros'!$B$10:$B$314,B73,'Consolidado Cobros'!$I$10:$I$314)</f>
        <v>3578330</v>
      </c>
      <c r="G73" s="226">
        <f>SUMIF('Consolidado Cobros'!$B$10:$B$314,B73,'Consolidado Cobros'!$J$10:$J$314)</f>
        <v>3247560</v>
      </c>
      <c r="H73" s="405">
        <f>SUMIF('Consolidado Cobros'!$B$10:$B$314,B73,'Consolidado Cobros'!$L$10:$L$314)</f>
        <v>0</v>
      </c>
      <c r="I73" s="406">
        <f>+G73+H73</f>
        <v>3247560</v>
      </c>
      <c r="J73" s="1859" t="s">
        <v>1111</v>
      </c>
      <c r="K73" s="7"/>
      <c r="Q73" s="356" t="s">
        <v>185</v>
      </c>
      <c r="R73" s="290">
        <v>2820000</v>
      </c>
      <c r="S73" s="16">
        <f>+C73</f>
        <v>3007000</v>
      </c>
      <c r="T73" s="16">
        <f t="shared" ref="T73" si="23">+R73-S73</f>
        <v>-187000</v>
      </c>
      <c r="U73" s="1818">
        <f>+T73/R73</f>
        <v>-6.6312056737588651E-2</v>
      </c>
    </row>
    <row r="74" spans="1:22" ht="12" customHeight="1" x14ac:dyDescent="0.2">
      <c r="A74" s="13" t="s">
        <v>204</v>
      </c>
      <c r="B74" s="1050" t="s">
        <v>185</v>
      </c>
      <c r="C74" s="408">
        <f>SUM(C73:C73)</f>
        <v>3007000</v>
      </c>
      <c r="D74" s="408">
        <f t="shared" ref="D74:G74" si="24">SUM(D73:D73)</f>
        <v>571330</v>
      </c>
      <c r="E74" s="529">
        <f>SUM(E73)</f>
        <v>-330770</v>
      </c>
      <c r="F74" s="529">
        <f t="shared" si="24"/>
        <v>3578330</v>
      </c>
      <c r="G74" s="407">
        <f t="shared" si="24"/>
        <v>3247560</v>
      </c>
      <c r="H74" s="571">
        <f>SUM(H73:H73)</f>
        <v>0</v>
      </c>
      <c r="I74" s="572">
        <f>SUM(I72:I73)</f>
        <v>3247560</v>
      </c>
      <c r="J74" s="407"/>
      <c r="K74" s="7"/>
      <c r="L74" s="995">
        <f>+C74*$L$7</f>
        <v>856995.00000000012</v>
      </c>
      <c r="M74" s="1001">
        <f>+C74-L74*0</f>
        <v>3007000</v>
      </c>
      <c r="N74" s="568" t="s">
        <v>471</v>
      </c>
      <c r="O74" s="529">
        <f>IF(N74="S",M74*$O$5,"NO RETENCIÓN")</f>
        <v>330770</v>
      </c>
      <c r="P74" s="1003">
        <f>+M74/$P$5</f>
        <v>60.382738609209021</v>
      </c>
    </row>
    <row r="75" spans="1:22" ht="12" customHeight="1" x14ac:dyDescent="0.2">
      <c r="A75" s="11"/>
      <c r="B75" s="555"/>
      <c r="C75" s="100"/>
      <c r="D75" s="100"/>
      <c r="E75" s="358"/>
      <c r="F75" s="358"/>
      <c r="G75" s="148"/>
      <c r="H75" s="470"/>
      <c r="I75" s="470"/>
      <c r="J75" s="394"/>
      <c r="K75" s="7"/>
    </row>
    <row r="76" spans="1:22" ht="12" customHeight="1" x14ac:dyDescent="0.2">
      <c r="A76" s="11"/>
      <c r="B76" s="12" t="s">
        <v>3</v>
      </c>
      <c r="C76" s="100"/>
      <c r="D76" s="100"/>
      <c r="E76" s="358"/>
      <c r="F76" s="358"/>
      <c r="G76" s="148"/>
      <c r="H76" s="470"/>
      <c r="I76" s="470"/>
      <c r="J76" s="394"/>
      <c r="K76" s="7"/>
    </row>
    <row r="77" spans="1:22" ht="12" customHeight="1" x14ac:dyDescent="0.2">
      <c r="A77" s="1033">
        <v>1</v>
      </c>
      <c r="B77" s="356" t="s">
        <v>173</v>
      </c>
      <c r="C77" s="404">
        <f>SUMIF('Consolidado Cobros'!$B$10:$B$314,B77,'Consolidado Cobros'!$F$10:$F$314)</f>
        <v>3004000</v>
      </c>
      <c r="D77" s="404">
        <f>SUMIF('Consolidado Cobros'!$B$10:$B$314,B77,'Consolidado Cobros'!$G$10:$G$314)</f>
        <v>570760</v>
      </c>
      <c r="E77" s="487">
        <f>SUMIF('Consolidado Cobros'!$B$10:$B$314,B77,'Consolidado Cobros'!$H$10:$H$314)</f>
        <v>-330440</v>
      </c>
      <c r="F77" s="487">
        <f>SUMIF('Consolidado Cobros'!$B$10:$B$314,B77,'Consolidado Cobros'!$I$10:$I$314)</f>
        <v>3574760</v>
      </c>
      <c r="G77" s="226">
        <f>SUMIF('Consolidado Cobros'!$B$10:$B$314,B77,'Consolidado Cobros'!$J$10:$J$314)</f>
        <v>3244320</v>
      </c>
      <c r="H77" s="405">
        <f>SUMIF('Consolidado Cobros'!$B$10:$B$314,B77,'Consolidado Cobros'!$L$10:$L$314)</f>
        <v>0</v>
      </c>
      <c r="I77" s="406">
        <f t="shared" ref="I77:I82" si="25">+G77+H77</f>
        <v>3244320</v>
      </c>
      <c r="J77" s="1859" t="s">
        <v>1112</v>
      </c>
      <c r="K77" s="7"/>
      <c r="L77" s="995">
        <f t="shared" ref="L77:L78" si="26">+C77*$L$7</f>
        <v>856140.00000000012</v>
      </c>
      <c r="M77" s="1001">
        <f t="shared" ref="M77:M78" si="27">+C77-L77*0</f>
        <v>3004000</v>
      </c>
      <c r="N77" s="568" t="s">
        <v>471</v>
      </c>
      <c r="O77" s="529">
        <f t="shared" ref="O77:O78" si="28">IF(N77="S",M77*$O$5,"NO RETENCIÓN")</f>
        <v>330440</v>
      </c>
      <c r="P77" s="1003">
        <f t="shared" ref="P77:P78" si="29">+M77/$P$5</f>
        <v>60.322496435671397</v>
      </c>
    </row>
    <row r="78" spans="1:22" ht="12" customHeight="1" x14ac:dyDescent="0.2">
      <c r="A78" s="1033">
        <f>A77+1</f>
        <v>2</v>
      </c>
      <c r="B78" s="356" t="s">
        <v>363</v>
      </c>
      <c r="C78" s="404">
        <f>SUMIF('Consolidado Cobros'!$B$10:$B$314,B78,'Consolidado Cobros'!$F$10:$F$314)</f>
        <v>1508000</v>
      </c>
      <c r="D78" s="404">
        <f>SUMIF('Consolidado Cobros'!$B$10:$B$314,B78,'Consolidado Cobros'!$G$10:$G$314)</f>
        <v>286520</v>
      </c>
      <c r="E78" s="487">
        <f>SUMIF('Consolidado Cobros'!$B$10:$B$314,B78,'Consolidado Cobros'!$H$10:$H$314)</f>
        <v>-165880</v>
      </c>
      <c r="F78" s="487">
        <f>SUMIF('Consolidado Cobros'!$B$10:$B$314,B78,'Consolidado Cobros'!$I$10:$I$314)</f>
        <v>1794520</v>
      </c>
      <c r="G78" s="226">
        <f>SUMIF('Consolidado Cobros'!$B$10:$B$314,B78,'Consolidado Cobros'!$J$10:$J$314)</f>
        <v>1628640</v>
      </c>
      <c r="H78" s="405">
        <f>SUMIF('Consolidado Cobros'!$B$10:$B$314,B78,'Consolidado Cobros'!$L$10:$L$314)</f>
        <v>0</v>
      </c>
      <c r="I78" s="406">
        <f t="shared" si="25"/>
        <v>1628640</v>
      </c>
      <c r="J78" s="1859" t="s">
        <v>1113</v>
      </c>
      <c r="K78" s="7"/>
      <c r="L78" s="995">
        <f t="shared" si="26"/>
        <v>429780.00000000006</v>
      </c>
      <c r="M78" s="1001">
        <f t="shared" si="27"/>
        <v>1508000</v>
      </c>
      <c r="N78" s="568" t="s">
        <v>471</v>
      </c>
      <c r="O78" s="529">
        <f t="shared" si="28"/>
        <v>165880</v>
      </c>
      <c r="P78" s="1003">
        <f t="shared" si="29"/>
        <v>30.281732564910943</v>
      </c>
    </row>
    <row r="79" spans="1:22" ht="25.5" x14ac:dyDescent="0.2">
      <c r="A79" s="1033">
        <f>A78+1</f>
        <v>3</v>
      </c>
      <c r="B79" s="356" t="s">
        <v>181</v>
      </c>
      <c r="C79" s="404">
        <f>SUMIF('Consolidado Cobros'!$B$10:$B$314,B79,'Consolidado Cobros'!$F$10:$F$314)</f>
        <v>0</v>
      </c>
      <c r="D79" s="404">
        <f>SUMIF('Consolidado Cobros'!$B$10:$B$314,B79,'Consolidado Cobros'!$G$10:$G$314)</f>
        <v>0</v>
      </c>
      <c r="E79" s="487">
        <f>SUMIF('Consolidado Cobros'!$B$10:$B$314,B79,'Consolidado Cobros'!$H$10:$H$314)</f>
        <v>0</v>
      </c>
      <c r="F79" s="487">
        <f>SUMIF('Consolidado Cobros'!$B$10:$B$314,B79,'Consolidado Cobros'!$I$10:$I$314)</f>
        <v>0</v>
      </c>
      <c r="G79" s="226">
        <f>SUMIF('Consolidado Cobros'!$B$10:$B$314,B79,'Consolidado Cobros'!$J$10:$J$314)</f>
        <v>0</v>
      </c>
      <c r="H79" s="405">
        <f>SUMIF('Consolidado Cobros'!$B$10:$B$314,B79,'Consolidado Cobros'!$L$10:$L$314)</f>
        <v>1850000</v>
      </c>
      <c r="I79" s="406">
        <f t="shared" si="25"/>
        <v>1850000</v>
      </c>
      <c r="J79" s="1859"/>
      <c r="K79" s="7"/>
    </row>
    <row r="80" spans="1:22" x14ac:dyDescent="0.2">
      <c r="A80" s="1033">
        <f t="shared" ref="A80:A82" si="30">A79+1</f>
        <v>4</v>
      </c>
      <c r="B80" s="356" t="s">
        <v>672</v>
      </c>
      <c r="C80" s="404">
        <f>SUMIF('Consolidado Cobros'!$B$10:$B$314,B80,'Consolidado Cobros'!$F$10:$F$314)</f>
        <v>3700000</v>
      </c>
      <c r="D80" s="404">
        <f>SUMIF('Consolidado Cobros'!$B$10:$B$314,B80,'Consolidado Cobros'!$G$10:$G$314)</f>
        <v>703000</v>
      </c>
      <c r="E80" s="487">
        <f>SUMIF('Consolidado Cobros'!$B$10:$B$314,B80,'Consolidado Cobros'!$H$10:$H$314)</f>
        <v>-407000</v>
      </c>
      <c r="F80" s="487">
        <f>SUMIF('Consolidado Cobros'!$B$10:$B$314,B80,'Consolidado Cobros'!$I$10:$I$314)</f>
        <v>4403000</v>
      </c>
      <c r="G80" s="226">
        <f>SUMIF('Consolidado Cobros'!$B$10:$B$314,B80,'Consolidado Cobros'!$J$10:$J$314)</f>
        <v>3996000</v>
      </c>
      <c r="H80" s="405">
        <f>SUMIF('Consolidado Cobros'!$B$10:$B$314,B80,'Consolidado Cobros'!$L$10:$L$314)</f>
        <v>0</v>
      </c>
      <c r="I80" s="406">
        <f t="shared" ref="I80" si="31">+G80+H80</f>
        <v>3996000</v>
      </c>
      <c r="J80" s="1859" t="s">
        <v>1114</v>
      </c>
      <c r="K80" s="7"/>
      <c r="L80" s="995">
        <f t="shared" ref="L80:L83" si="32">+C80*$L$7</f>
        <v>1054500</v>
      </c>
      <c r="M80" s="1001">
        <f t="shared" ref="M80:M83" si="33">+C80-L80*0</f>
        <v>3700000</v>
      </c>
      <c r="N80" s="568" t="s">
        <v>471</v>
      </c>
      <c r="O80" s="529">
        <f t="shared" ref="O80:O82" si="34">IF(N80="S",M80*$O$5,"NO RETENCIÓN")</f>
        <v>407000</v>
      </c>
      <c r="P80" s="1003">
        <f t="shared" ref="P80:P82" si="35">+M80/$P$5</f>
        <v>74.298680696399529</v>
      </c>
      <c r="R80" s="16">
        <f>+'Facturas año anterior'!F60</f>
        <v>2330000</v>
      </c>
      <c r="S80" s="16">
        <f>+C80</f>
        <v>3700000</v>
      </c>
      <c r="T80" s="16">
        <f>+R80-S80</f>
        <v>-1370000</v>
      </c>
      <c r="U80" s="1818">
        <f>+T80/R80</f>
        <v>-0.58798283261802575</v>
      </c>
    </row>
    <row r="81" spans="1:21" ht="12" customHeight="1" x14ac:dyDescent="0.2">
      <c r="A81" s="1033">
        <f t="shared" si="30"/>
        <v>5</v>
      </c>
      <c r="B81" s="356" t="s">
        <v>731</v>
      </c>
      <c r="C81" s="404">
        <f>SUMIF('Consolidado Cobros'!$B$10:$B$314,B81,'Consolidado Cobros'!$F$10:$F$314)</f>
        <v>2637000</v>
      </c>
      <c r="D81" s="404">
        <f>SUMIF('Consolidado Cobros'!$B$10:$B$314,B81,'Consolidado Cobros'!$G$10:$G$314)</f>
        <v>501030</v>
      </c>
      <c r="E81" s="487">
        <f>SUMIF('Consolidado Cobros'!$B$10:$B$314,B81,'Consolidado Cobros'!$H$10:$H$314)</f>
        <v>-290070</v>
      </c>
      <c r="F81" s="487">
        <f>SUMIF('Consolidado Cobros'!$B$10:$B$314,B81,'Consolidado Cobros'!$I$10:$I$314)</f>
        <v>3138030</v>
      </c>
      <c r="G81" s="226">
        <f>SUMIF('Consolidado Cobros'!$B$10:$B$314,B81,'Consolidado Cobros'!$J$10:$J$314)</f>
        <v>2847960</v>
      </c>
      <c r="H81" s="405">
        <f>SUMIF('Consolidado Cobros'!$B$10:$B$314,B81,'Consolidado Cobros'!$L$10:$L$314)</f>
        <v>0</v>
      </c>
      <c r="I81" s="406">
        <f t="shared" si="25"/>
        <v>2847960</v>
      </c>
      <c r="J81" s="1859" t="s">
        <v>1115</v>
      </c>
      <c r="K81" s="7"/>
      <c r="L81" s="995">
        <f t="shared" si="32"/>
        <v>751545.00000000012</v>
      </c>
      <c r="M81" s="1001">
        <f t="shared" si="33"/>
        <v>2637000</v>
      </c>
      <c r="N81" s="568" t="s">
        <v>471</v>
      </c>
      <c r="O81" s="529">
        <f t="shared" si="34"/>
        <v>290070</v>
      </c>
      <c r="P81" s="1003">
        <f t="shared" si="35"/>
        <v>52.952870539569069</v>
      </c>
    </row>
    <row r="82" spans="1:21" ht="12" customHeight="1" x14ac:dyDescent="0.2">
      <c r="A82" s="1033">
        <f t="shared" si="30"/>
        <v>6</v>
      </c>
      <c r="B82" s="356" t="s">
        <v>184</v>
      </c>
      <c r="C82" s="404">
        <f>SUMIF('Consolidado Cobros'!$B$10:$B$314,B82,'Consolidado Cobros'!$F$10:$F$314)</f>
        <v>3929000</v>
      </c>
      <c r="D82" s="404">
        <f>SUMIF('Consolidado Cobros'!$B$10:$B$314,B82,'Consolidado Cobros'!$G$10:$G$314)</f>
        <v>746510</v>
      </c>
      <c r="E82" s="487">
        <f>SUMIF('Consolidado Cobros'!$B$10:$B$314,B82,'Consolidado Cobros'!$H$10:$H$314)</f>
        <v>-432190</v>
      </c>
      <c r="F82" s="487">
        <f>SUMIF('Consolidado Cobros'!$B$10:$B$314,B82,'Consolidado Cobros'!$I$10:$I$314)</f>
        <v>4675510</v>
      </c>
      <c r="G82" s="226">
        <f>SUMIF('Consolidado Cobros'!$B$10:$B$314,B82,'Consolidado Cobros'!$J$10:$J$314)</f>
        <v>4243320</v>
      </c>
      <c r="H82" s="405">
        <f>SUMIF('Consolidado Cobros'!$B$10:$B$314,B82,'Consolidado Cobros'!$L$10:$L$314)</f>
        <v>0</v>
      </c>
      <c r="I82" s="406">
        <f t="shared" si="25"/>
        <v>4243320</v>
      </c>
      <c r="J82" s="1859" t="s">
        <v>1116</v>
      </c>
      <c r="K82" s="7"/>
      <c r="L82" s="995">
        <f t="shared" si="32"/>
        <v>1119765.0000000002</v>
      </c>
      <c r="M82" s="1001">
        <f t="shared" si="33"/>
        <v>3929000</v>
      </c>
      <c r="N82" s="568" t="s">
        <v>471</v>
      </c>
      <c r="O82" s="529">
        <f t="shared" si="34"/>
        <v>432190</v>
      </c>
      <c r="P82" s="1003">
        <f t="shared" si="35"/>
        <v>78.897166609771276</v>
      </c>
      <c r="R82" s="16">
        <f>+'Facturas año anterior'!F65</f>
        <v>3690000</v>
      </c>
      <c r="S82" s="16">
        <f>+Facturas!F65</f>
        <v>3929000</v>
      </c>
      <c r="T82" s="16">
        <f t="shared" ref="T82" si="36">+R82-S82</f>
        <v>-239000</v>
      </c>
      <c r="U82" s="1818">
        <f>+T82/R82</f>
        <v>-6.4769647696476959E-2</v>
      </c>
    </row>
    <row r="83" spans="1:21" ht="12" customHeight="1" x14ac:dyDescent="0.2">
      <c r="A83" s="13" t="s">
        <v>205</v>
      </c>
      <c r="B83" s="1013"/>
      <c r="C83" s="415">
        <f t="shared" ref="C83:I83" si="37">SUM(C77:C82)</f>
        <v>14778000</v>
      </c>
      <c r="D83" s="415">
        <f t="shared" si="37"/>
        <v>2807820</v>
      </c>
      <c r="E83" s="529">
        <f t="shared" si="37"/>
        <v>-1625580</v>
      </c>
      <c r="F83" s="529">
        <f t="shared" si="37"/>
        <v>17585820</v>
      </c>
      <c r="G83" s="532">
        <f t="shared" si="37"/>
        <v>15960240</v>
      </c>
      <c r="H83" s="574">
        <f t="shared" si="37"/>
        <v>1850000</v>
      </c>
      <c r="I83" s="575">
        <f t="shared" si="37"/>
        <v>17810240</v>
      </c>
      <c r="J83" s="413"/>
      <c r="K83" s="7"/>
      <c r="L83" s="995">
        <f t="shared" si="32"/>
        <v>4211730</v>
      </c>
      <c r="M83" s="1001">
        <f t="shared" si="33"/>
        <v>14778000</v>
      </c>
      <c r="N83" s="568"/>
      <c r="O83" s="529">
        <f>SUM(O77:O82)</f>
        <v>1625580</v>
      </c>
      <c r="P83" s="996"/>
    </row>
    <row r="84" spans="1:21" ht="12" customHeight="1" x14ac:dyDescent="0.2">
      <c r="A84" s="1082"/>
      <c r="B84" s="1083"/>
      <c r="C84" s="1084"/>
      <c r="D84" s="1084"/>
      <c r="E84" s="358"/>
      <c r="F84" s="358"/>
      <c r="G84" s="1085"/>
      <c r="H84" s="1086"/>
      <c r="I84" s="1087"/>
      <c r="J84" s="1088"/>
      <c r="K84" s="7"/>
      <c r="L84" s="1560"/>
      <c r="N84" s="104"/>
      <c r="O84" s="358"/>
    </row>
    <row r="85" spans="1:21" ht="12" customHeight="1" x14ac:dyDescent="0.2">
      <c r="A85" s="1565"/>
      <c r="B85" s="1012"/>
      <c r="C85" s="418"/>
      <c r="D85" s="418"/>
      <c r="E85" s="545"/>
      <c r="F85" s="545"/>
      <c r="G85" s="454"/>
      <c r="H85" s="471"/>
      <c r="I85" s="471"/>
      <c r="J85" s="455"/>
      <c r="K85" s="7"/>
    </row>
    <row r="86" spans="1:21" ht="18.75" customHeight="1" x14ac:dyDescent="0.2">
      <c r="A86" s="1566" t="s">
        <v>345</v>
      </c>
      <c r="B86" s="197" t="s">
        <v>713</v>
      </c>
      <c r="C86" s="100"/>
      <c r="D86" s="100"/>
      <c r="E86" s="358"/>
      <c r="F86" s="358"/>
      <c r="G86" s="148"/>
      <c r="H86" s="470"/>
      <c r="I86" s="588" t="s">
        <v>89</v>
      </c>
      <c r="J86" s="394"/>
      <c r="K86" s="7"/>
    </row>
    <row r="87" spans="1:21" ht="12" customHeight="1" x14ac:dyDescent="0.2">
      <c r="A87" s="350">
        <v>1</v>
      </c>
      <c r="B87" s="350" t="s">
        <v>89</v>
      </c>
      <c r="C87" s="404">
        <f>SUMIF('Consolidado Cobros'!$B$10:$B$314,B87,'Consolidado Cobros'!$F$10:$F$314)</f>
        <v>1480000</v>
      </c>
      <c r="D87" s="404">
        <f>SUMIF('Consolidado Cobros'!$B$10:$B$314,B87,'Consolidado Cobros'!$G$10:$G$314)</f>
        <v>281200</v>
      </c>
      <c r="E87" s="487">
        <f>SUMIF('Consolidado Cobros'!$B$10:$B$314,B87,'Consolidado Cobros'!$H$10:$H$314)</f>
        <v>-162800</v>
      </c>
      <c r="F87" s="487">
        <f>SUMIF('Consolidado Cobros'!$B$10:$B$314,B87,'Consolidado Cobros'!$I$10:$I$314)</f>
        <v>1761200</v>
      </c>
      <c r="G87" s="226">
        <f>SUMIF('Consolidado Cobros'!$B$10:$B$314,B87,'Consolidado Cobros'!$J$10:$J$314)</f>
        <v>1598400</v>
      </c>
      <c r="H87" s="405">
        <f>SUMIF('Consolidado Cobros'!$B$10:$B$314,B87,'Consolidado Cobros'!$L$10:$L$314)</f>
        <v>0</v>
      </c>
      <c r="I87" s="406">
        <f>+G87+H87</f>
        <v>1598400</v>
      </c>
      <c r="J87" s="1859" t="s">
        <v>1117</v>
      </c>
      <c r="K87" s="7"/>
    </row>
    <row r="88" spans="1:21" ht="12" customHeight="1" x14ac:dyDescent="0.2">
      <c r="A88" s="13" t="s">
        <v>204</v>
      </c>
      <c r="B88" s="1050" t="s">
        <v>345</v>
      </c>
      <c r="C88" s="408">
        <f>SUM(C86:C87)</f>
        <v>1480000</v>
      </c>
      <c r="D88" s="408">
        <f t="shared" ref="D88:G88" si="38">SUM(D86:D87)</f>
        <v>281200</v>
      </c>
      <c r="E88" s="529">
        <f>SUM(E87)</f>
        <v>-162800</v>
      </c>
      <c r="F88" s="529">
        <f t="shared" si="38"/>
        <v>1761200</v>
      </c>
      <c r="G88" s="407">
        <f t="shared" si="38"/>
        <v>1598400</v>
      </c>
      <c r="H88" s="571">
        <f>SUM(H86:H87)</f>
        <v>0</v>
      </c>
      <c r="I88" s="572">
        <f>SUM(I86:I87)</f>
        <v>1598400</v>
      </c>
      <c r="J88" s="407"/>
      <c r="K88" s="7"/>
      <c r="L88" s="995">
        <f>+C88*$L$7</f>
        <v>421800.00000000006</v>
      </c>
      <c r="M88" s="1001">
        <f>+C88-L88*0</f>
        <v>1480000</v>
      </c>
      <c r="N88" s="568" t="s">
        <v>471</v>
      </c>
      <c r="O88" s="529">
        <f>IF(N88="S",M88*$O$5,"NO RETENCIÓN")</f>
        <v>162800</v>
      </c>
      <c r="P88" s="1003">
        <f>+M88/$P$5</f>
        <v>29.71947227855981</v>
      </c>
    </row>
    <row r="89" spans="1:21" ht="12" customHeight="1" x14ac:dyDescent="0.2">
      <c r="A89" s="11"/>
      <c r="B89" s="555"/>
      <c r="C89" s="100"/>
      <c r="D89" s="100"/>
      <c r="E89" s="358"/>
      <c r="F89" s="358"/>
      <c r="G89" s="148"/>
      <c r="H89" s="470"/>
      <c r="I89" s="470"/>
      <c r="J89" s="394"/>
      <c r="K89" s="7"/>
    </row>
    <row r="90" spans="1:21" ht="12" customHeight="1" x14ac:dyDescent="0.2">
      <c r="A90" s="11"/>
      <c r="B90" s="555"/>
      <c r="C90" s="100"/>
      <c r="D90" s="100"/>
      <c r="E90" s="358"/>
      <c r="F90" s="358"/>
      <c r="G90" s="148"/>
      <c r="H90" s="470"/>
      <c r="I90" s="470"/>
      <c r="J90" s="394"/>
      <c r="K90" s="7"/>
    </row>
    <row r="91" spans="1:21" ht="12" customHeight="1" x14ac:dyDescent="0.2">
      <c r="A91" s="57" t="s">
        <v>206</v>
      </c>
      <c r="B91" s="1014"/>
      <c r="C91" s="424">
        <f t="shared" ref="C91:I91" si="39">+C12+C17+C39+C45+C49+C57+C33+C65+C70+C74+C83+C88</f>
        <v>62360000</v>
      </c>
      <c r="D91" s="424">
        <f t="shared" si="39"/>
        <v>11848400</v>
      </c>
      <c r="E91" s="546">
        <f t="shared" si="39"/>
        <v>-5971900</v>
      </c>
      <c r="F91" s="546">
        <f t="shared" si="39"/>
        <v>74208400</v>
      </c>
      <c r="G91" s="533">
        <f t="shared" si="39"/>
        <v>68236500</v>
      </c>
      <c r="H91" s="424">
        <f t="shared" si="39"/>
        <v>2860000</v>
      </c>
      <c r="I91" s="424">
        <f t="shared" si="39"/>
        <v>71096500</v>
      </c>
      <c r="J91" s="425"/>
      <c r="K91" s="7"/>
      <c r="L91" s="995">
        <f>+L12+L17+L39+L45+L49+L57+L33+L65+L70+L74+L83+L88</f>
        <v>14425560.000000002</v>
      </c>
      <c r="M91" s="1001">
        <f>+M12+M17+M39+M45+M49+M57+M33+M65+M70+M74+M83+M88</f>
        <v>50616000</v>
      </c>
      <c r="N91" s="568"/>
      <c r="O91" s="529"/>
      <c r="P91" s="996"/>
    </row>
    <row r="92" spans="1:21" ht="12" customHeight="1" x14ac:dyDescent="0.2">
      <c r="A92" s="1035"/>
      <c r="B92" s="1015"/>
      <c r="C92" s="426"/>
      <c r="D92" s="426"/>
      <c r="E92" s="358"/>
      <c r="F92" s="358"/>
      <c r="G92" s="148"/>
      <c r="H92" s="412"/>
      <c r="I92" s="412"/>
      <c r="J92" s="332"/>
      <c r="K92" s="7"/>
    </row>
    <row r="93" spans="1:21" ht="2.1" customHeight="1" x14ac:dyDescent="0.2">
      <c r="A93" s="1036"/>
      <c r="B93" s="1016"/>
      <c r="C93" s="427"/>
      <c r="D93" s="427"/>
      <c r="E93" s="156"/>
      <c r="F93" s="156"/>
      <c r="G93" s="66"/>
      <c r="H93" s="428"/>
      <c r="I93" s="428"/>
      <c r="J93" s="429"/>
      <c r="K93" s="7"/>
    </row>
    <row r="94" spans="1:21" ht="12" customHeight="1" x14ac:dyDescent="0.2">
      <c r="A94" s="1035"/>
      <c r="B94" s="1015"/>
      <c r="C94" s="426"/>
      <c r="D94" s="426"/>
      <c r="E94" s="358"/>
      <c r="F94" s="358"/>
      <c r="G94" s="148"/>
      <c r="H94" s="426"/>
      <c r="I94" s="426"/>
      <c r="J94" s="426"/>
      <c r="K94" s="7"/>
    </row>
    <row r="95" spans="1:21" ht="12" customHeight="1" x14ac:dyDescent="0.2">
      <c r="A95" s="10" t="s">
        <v>207</v>
      </c>
      <c r="B95" s="555"/>
      <c r="C95" s="426"/>
      <c r="D95" s="426"/>
      <c r="E95" s="358"/>
      <c r="F95" s="358"/>
      <c r="G95" s="148"/>
      <c r="I95" s="398"/>
      <c r="J95" s="430"/>
      <c r="K95" s="7"/>
    </row>
    <row r="96" spans="1:21" ht="12" customHeight="1" x14ac:dyDescent="0.2">
      <c r="A96" s="432">
        <v>1</v>
      </c>
      <c r="B96" s="431" t="s">
        <v>163</v>
      </c>
      <c r="C96" s="1561">
        <f>SUMIF('Consolidado Cobros'!$B$10:$B$314,B96,'Consolidado Cobros'!$F$10:$F$314)</f>
        <v>2280000</v>
      </c>
      <c r="D96" s="1561">
        <f>SUMIF('Consolidado Cobros'!$B$10:$B$314,B96,'Consolidado Cobros'!$G$10:$G$314)</f>
        <v>433200</v>
      </c>
      <c r="E96" s="1187">
        <f>SUMIF('Consolidado Cobros'!$B$10:$B$314,B96,'Consolidado Cobros'!$H$10:$H$314)</f>
        <v>-250800</v>
      </c>
      <c r="F96" s="1187">
        <f>+C96+D96</f>
        <v>2713200</v>
      </c>
      <c r="G96" s="1138">
        <f>SUMIF('Consolidado Cobros'!$B$10:$B$314,B96,'Consolidado Cobros'!$J$10:$J$314)</f>
        <v>2462400</v>
      </c>
      <c r="H96" s="1562">
        <f>SUMIF('Consolidado Cobros'!$B$10:$B$314,B96,'Consolidado Cobros'!$L$10:$L$314)</f>
        <v>0</v>
      </c>
      <c r="I96" s="1563">
        <f t="shared" ref="I96" si="40">+G96+H96</f>
        <v>2462400</v>
      </c>
      <c r="J96" s="1859" t="s">
        <v>1118</v>
      </c>
      <c r="K96" s="7"/>
      <c r="L96" s="5">
        <f>+'Facturas año anterior'!F34</f>
        <v>2500000</v>
      </c>
      <c r="M96" s="5">
        <f>+L96-C96</f>
        <v>220000</v>
      </c>
    </row>
    <row r="97" spans="1:17" ht="12" customHeight="1" x14ac:dyDescent="0.2">
      <c r="A97" s="13" t="s">
        <v>204</v>
      </c>
      <c r="B97" s="1012"/>
      <c r="C97" s="1564">
        <f>SUM(C95:C96)</f>
        <v>2280000</v>
      </c>
      <c r="D97" s="1564">
        <f>SUM(D95:D96)</f>
        <v>433200</v>
      </c>
      <c r="E97" s="1465">
        <f>SUM(E96)</f>
        <v>-250800</v>
      </c>
      <c r="F97" s="1465">
        <f t="shared" ref="F97" si="41">SUM(F95:F96)</f>
        <v>2713200</v>
      </c>
      <c r="G97" s="1553">
        <f>SUM(G95:G96)</f>
        <v>2462400</v>
      </c>
      <c r="H97" s="1564">
        <f>SUM(H95:H96)</f>
        <v>0</v>
      </c>
      <c r="I97" s="1564">
        <f>SUM(I95:I96)</f>
        <v>2462400</v>
      </c>
      <c r="J97" s="1553"/>
      <c r="K97" s="7"/>
    </row>
    <row r="98" spans="1:17" ht="12" customHeight="1" x14ac:dyDescent="0.2">
      <c r="A98" s="1035"/>
      <c r="B98" s="555"/>
      <c r="C98" s="426"/>
      <c r="D98" s="426"/>
      <c r="E98" s="358"/>
      <c r="F98" s="358"/>
      <c r="G98" s="148"/>
      <c r="H98" s="412"/>
      <c r="I98" s="412"/>
      <c r="J98" s="332"/>
      <c r="K98" s="7"/>
    </row>
    <row r="99" spans="1:17" ht="12" customHeight="1" x14ac:dyDescent="0.2">
      <c r="A99" s="10" t="s">
        <v>208</v>
      </c>
      <c r="B99" s="555"/>
      <c r="C99" s="426"/>
      <c r="D99" s="426"/>
      <c r="E99" s="358"/>
      <c r="F99" s="358"/>
      <c r="G99" s="148"/>
      <c r="I99" s="398"/>
      <c r="J99" s="430"/>
      <c r="K99" s="7"/>
    </row>
    <row r="100" spans="1:17" ht="12" customHeight="1" x14ac:dyDescent="0.2">
      <c r="A100" s="432">
        <v>1</v>
      </c>
      <c r="B100" s="422" t="s">
        <v>269</v>
      </c>
      <c r="C100" s="404">
        <f>SUMIF('Consolidado Cobros'!$B$10:$B$314,B100,'Consolidado Cobros'!$F$10:$F$314)</f>
        <v>7938000</v>
      </c>
      <c r="D100" s="404">
        <f>SUMIF('Consolidado Cobros'!$B$10:$B$314,B100,'Consolidado Cobros'!$G$10:$G$314)</f>
        <v>1508220</v>
      </c>
      <c r="E100" s="487">
        <f>SUMIF('Consolidado Cobros'!$B$10:$B$314,B100,'Consolidado Cobros'!$H$10:$H$314)</f>
        <v>-873180</v>
      </c>
      <c r="F100" s="487">
        <f>SUMIF('Consolidado Cobros'!$B$10:$B$314,B100,'Consolidado Cobros'!$I$10:$I$314)</f>
        <v>9446220</v>
      </c>
      <c r="G100" s="226">
        <f>SUMIF('Consolidado Cobros'!$B$10:$B$314,B100,'Consolidado Cobros'!$J$10:$J$314)</f>
        <v>8573040</v>
      </c>
      <c r="H100" s="405">
        <f>SUMIF('Consolidado Cobros'!$B$10:$B$314,B100,'Consolidado Cobros'!$L$10:$L$314)</f>
        <v>0</v>
      </c>
      <c r="I100" s="406">
        <f t="shared" ref="I100:I102" si="42">+G100+H100</f>
        <v>8573040</v>
      </c>
      <c r="J100" s="1860" t="s">
        <v>923</v>
      </c>
      <c r="K100" s="7"/>
      <c r="L100" s="1053">
        <f t="shared" ref="L100:L102" si="43">+C100*$L$7</f>
        <v>2262330.0000000005</v>
      </c>
      <c r="M100" s="1054">
        <f t="shared" ref="M100:M102" si="44">+C100-L100*0</f>
        <v>7938000</v>
      </c>
      <c r="N100" s="1055" t="s">
        <v>471</v>
      </c>
      <c r="O100" s="529">
        <f t="shared" ref="O100:O102" si="45">IF(N100="S",M100*$O$5,"NO RETENCIÓN")</f>
        <v>873180</v>
      </c>
      <c r="P100" s="1056">
        <f t="shared" ref="P100:P102" si="46">+M100/$P$5</f>
        <v>159.40079118054578</v>
      </c>
    </row>
    <row r="101" spans="1:17" ht="12" customHeight="1" x14ac:dyDescent="0.2">
      <c r="A101" s="432">
        <f>A100+1</f>
        <v>2</v>
      </c>
      <c r="B101" s="356" t="s">
        <v>188</v>
      </c>
      <c r="C101" s="404">
        <f>SUMIF('Consolidado Cobros'!$B$10:$B$314,B101,'Consolidado Cobros'!$F$10:$F$314)</f>
        <v>11587000</v>
      </c>
      <c r="D101" s="404">
        <f>SUMIF('Consolidado Cobros'!$B$10:$B$314,B101,'Consolidado Cobros'!$G$10:$G$314)</f>
        <v>2201530</v>
      </c>
      <c r="E101" s="487">
        <f>SUMIF('Consolidado Cobros'!$B$10:$B$314,B101,'Consolidado Cobros'!$H$10:$H$314)</f>
        <v>-1274570</v>
      </c>
      <c r="F101" s="487">
        <f>SUMIF('Consolidado Cobros'!$B$10:$B$314,B101,'Consolidado Cobros'!$I$10:$I$314)</f>
        <v>13788530</v>
      </c>
      <c r="G101" s="226">
        <f>SUMIF('Consolidado Cobros'!$B$10:$B$314,B101,'Consolidado Cobros'!$J$10:$J$314)</f>
        <v>12513960</v>
      </c>
      <c r="H101" s="405">
        <f>SUMIF('Consolidado Cobros'!$B$10:$B$314,B101,'Consolidado Cobros'!$L$10:$L$314)</f>
        <v>0</v>
      </c>
      <c r="I101" s="406">
        <f t="shared" si="42"/>
        <v>12513960</v>
      </c>
      <c r="J101" s="1860" t="s">
        <v>925</v>
      </c>
      <c r="K101" s="7"/>
      <c r="L101" s="1053">
        <f t="shared" si="43"/>
        <v>3302295.0000000005</v>
      </c>
      <c r="M101" s="1054">
        <f t="shared" si="44"/>
        <v>11587000</v>
      </c>
      <c r="N101" s="1055" t="s">
        <v>471</v>
      </c>
      <c r="O101" s="529">
        <f t="shared" si="45"/>
        <v>1274570</v>
      </c>
      <c r="P101" s="1056">
        <f t="shared" si="46"/>
        <v>232.67535492680577</v>
      </c>
    </row>
    <row r="102" spans="1:17" ht="12" customHeight="1" x14ac:dyDescent="0.2">
      <c r="A102" s="432">
        <f>A101+1</f>
        <v>3</v>
      </c>
      <c r="B102" s="356" t="s">
        <v>738</v>
      </c>
      <c r="C102" s="404">
        <f>SUMIF('Consolidado Cobros'!$B$10:$B$314,B102,'Consolidado Cobros'!$F$10:$F$314)</f>
        <v>11587000</v>
      </c>
      <c r="D102" s="404">
        <f>SUMIF('Consolidado Cobros'!$B$10:$B$314,B102,'Consolidado Cobros'!$G$10:$G$314)</f>
        <v>2201530</v>
      </c>
      <c r="E102" s="487">
        <f>SUMIF('Consolidado Cobros'!$B$10:$B$314,B102,'Consolidado Cobros'!$H$10:$H$314)</f>
        <v>-1274570</v>
      </c>
      <c r="F102" s="487">
        <f>SUMIF('Consolidado Cobros'!$B$10:$B$314,B102,'Consolidado Cobros'!$I$10:$I$314)</f>
        <v>13788530</v>
      </c>
      <c r="G102" s="226">
        <f>SUMIF('Consolidado Cobros'!$B$10:$B$314,B102,'Consolidado Cobros'!$J$10:$J$314)</f>
        <v>12513960</v>
      </c>
      <c r="H102" s="405">
        <f>SUMIF('Consolidado Cobros'!$B$10:$B$314,B102,'Consolidado Cobros'!$L$10:$L$314)</f>
        <v>0</v>
      </c>
      <c r="I102" s="406">
        <f t="shared" si="42"/>
        <v>12513960</v>
      </c>
      <c r="J102" s="1860" t="s">
        <v>924</v>
      </c>
      <c r="K102" s="7"/>
      <c r="L102" s="1053">
        <f t="shared" si="43"/>
        <v>3302295.0000000005</v>
      </c>
      <c r="M102" s="1054">
        <f t="shared" si="44"/>
        <v>11587000</v>
      </c>
      <c r="N102" s="1055" t="s">
        <v>471</v>
      </c>
      <c r="O102" s="529">
        <f t="shared" si="45"/>
        <v>1274570</v>
      </c>
      <c r="P102" s="1056">
        <f t="shared" si="46"/>
        <v>232.67535492680577</v>
      </c>
    </row>
    <row r="103" spans="1:17" ht="12" customHeight="1" x14ac:dyDescent="0.2">
      <c r="A103" s="13" t="s">
        <v>204</v>
      </c>
      <c r="B103" s="1012"/>
      <c r="C103" s="415">
        <f>SUM(C99:C102)</f>
        <v>31112000</v>
      </c>
      <c r="D103" s="415">
        <f t="shared" ref="D103:G103" si="47">SUM(D99:D102)</f>
        <v>5911280</v>
      </c>
      <c r="E103" s="544">
        <f>SUM(E100:E102)</f>
        <v>-3422320</v>
      </c>
      <c r="F103" s="544">
        <f t="shared" ref="F103" si="48">SUM(F99:F102)</f>
        <v>37023280</v>
      </c>
      <c r="G103" s="532">
        <f t="shared" si="47"/>
        <v>33600960</v>
      </c>
      <c r="H103" s="415">
        <f>SUM(H99:H102)</f>
        <v>0</v>
      </c>
      <c r="I103" s="433">
        <f>SUM(I99:I102)</f>
        <v>33600960</v>
      </c>
      <c r="J103" s="413"/>
      <c r="K103" s="7"/>
      <c r="Q103" s="291">
        <f>SUM(O100:O102)</f>
        <v>3422320</v>
      </c>
    </row>
    <row r="104" spans="1:17" ht="12" customHeight="1" x14ac:dyDescent="0.2">
      <c r="A104" s="1035"/>
      <c r="B104" s="555"/>
      <c r="C104" s="434"/>
      <c r="D104" s="434"/>
      <c r="E104" s="545"/>
      <c r="F104" s="545"/>
      <c r="G104" s="454"/>
      <c r="H104" s="419"/>
      <c r="I104" s="419"/>
      <c r="J104" s="420"/>
      <c r="K104" s="7"/>
      <c r="Q104" s="291">
        <f>+E105+Q103</f>
        <v>-250800</v>
      </c>
    </row>
    <row r="105" spans="1:17" ht="12" customHeight="1" x14ac:dyDescent="0.2">
      <c r="A105" s="56" t="s">
        <v>303</v>
      </c>
      <c r="B105" s="1017"/>
      <c r="C105" s="435">
        <f t="shared" ref="C105:I105" si="49">+C97+C103</f>
        <v>33392000</v>
      </c>
      <c r="D105" s="435">
        <f t="shared" si="49"/>
        <v>6344480</v>
      </c>
      <c r="E105" s="547">
        <f t="shared" si="49"/>
        <v>-3673120</v>
      </c>
      <c r="F105" s="547">
        <f t="shared" si="49"/>
        <v>39736480</v>
      </c>
      <c r="G105" s="534">
        <f t="shared" si="49"/>
        <v>36063360</v>
      </c>
      <c r="H105" s="435">
        <f t="shared" si="49"/>
        <v>0</v>
      </c>
      <c r="I105" s="435">
        <f t="shared" si="49"/>
        <v>36063360</v>
      </c>
      <c r="J105" s="436"/>
      <c r="K105" s="7"/>
    </row>
    <row r="106" spans="1:17" ht="12" customHeight="1" x14ac:dyDescent="0.2">
      <c r="A106" s="1035"/>
      <c r="B106" s="555"/>
      <c r="C106" s="426"/>
      <c r="D106" s="426"/>
      <c r="E106" s="358"/>
      <c r="F106" s="358"/>
      <c r="G106" s="148"/>
      <c r="H106" s="426"/>
      <c r="I106" s="426"/>
      <c r="J106" s="437"/>
      <c r="K106" s="7"/>
    </row>
    <row r="107" spans="1:17" ht="2.1" customHeight="1" x14ac:dyDescent="0.2">
      <c r="A107" s="1036"/>
      <c r="B107" s="1016"/>
      <c r="C107" s="427"/>
      <c r="D107" s="427"/>
      <c r="E107" s="156"/>
      <c r="F107" s="156"/>
      <c r="G107" s="66"/>
      <c r="H107" s="427"/>
      <c r="I107" s="427"/>
      <c r="J107" s="438"/>
      <c r="K107" s="7"/>
    </row>
    <row r="108" spans="1:17" ht="12" customHeight="1" x14ac:dyDescent="0.2">
      <c r="A108" s="1035"/>
      <c r="B108" s="555"/>
      <c r="C108" s="426"/>
      <c r="D108" s="426"/>
      <c r="E108" s="358"/>
      <c r="F108" s="358"/>
      <c r="G108" s="148"/>
      <c r="H108" s="426"/>
      <c r="I108" s="426"/>
      <c r="J108" s="437"/>
      <c r="K108" s="7"/>
    </row>
    <row r="109" spans="1:17" ht="12" customHeight="1" x14ac:dyDescent="0.2">
      <c r="A109" s="10" t="s">
        <v>209</v>
      </c>
      <c r="B109" s="14"/>
      <c r="C109" s="1018"/>
      <c r="D109" s="1018"/>
      <c r="E109" s="1019"/>
      <c r="F109" s="1019"/>
      <c r="G109" s="216"/>
      <c r="H109" s="439"/>
      <c r="I109" s="439"/>
      <c r="J109" s="332"/>
      <c r="K109" s="440"/>
      <c r="N109" s="150"/>
    </row>
    <row r="110" spans="1:17" ht="12" customHeight="1" x14ac:dyDescent="0.2">
      <c r="A110" s="1033">
        <v>1</v>
      </c>
      <c r="B110" s="356" t="s">
        <v>735</v>
      </c>
      <c r="C110" s="404">
        <f>SUMIF('Consolidado Cobros'!$B$10:$B$314,B110,'Consolidado Cobros'!$F$10:$F$314)</f>
        <v>0</v>
      </c>
      <c r="D110" s="404">
        <f>SUMIF('Consolidado Cobros'!$B$10:$B$314,B110,'Consolidado Cobros'!$G$10:$G$314)</f>
        <v>0</v>
      </c>
      <c r="E110" s="487">
        <f>SUMIF('Consolidado Cobros'!$B$10:$B$314,B110,'Consolidado Cobros'!$H$10:$H$314)</f>
        <v>0</v>
      </c>
      <c r="F110" s="487">
        <f>SUMIF('Consolidado Cobros'!$B$10:$B$314,B110,'Consolidado Cobros'!$I$10:$I$314)</f>
        <v>0</v>
      </c>
      <c r="G110" s="226">
        <f>SUMIF('Consolidado Cobros'!$B$10:$B$314,B110,'Consolidado Cobros'!$J$10:$J$314)</f>
        <v>0</v>
      </c>
      <c r="H110" s="405">
        <f>SUMIF('Consolidado Cobros'!$B$10:$B$314,B110,'Consolidado Cobros'!$L$10:$L$314)</f>
        <v>0</v>
      </c>
      <c r="I110" s="406">
        <f t="shared" ref="I110:I112" si="50">+G110+H110</f>
        <v>0</v>
      </c>
      <c r="J110" s="414"/>
      <c r="K110" s="7"/>
    </row>
    <row r="111" spans="1:17" ht="12" customHeight="1" x14ac:dyDescent="0.2">
      <c r="A111" s="1841">
        <f>A110+1</f>
        <v>2</v>
      </c>
      <c r="B111" s="1842" t="s">
        <v>33</v>
      </c>
      <c r="C111" s="1843">
        <f>SUMIF('Consolidado Cobros'!$B$10:$B$314,B111,'Consolidado Cobros'!$F$10:$F$314)</f>
        <v>2240000</v>
      </c>
      <c r="D111" s="1843">
        <f>SUMIF('Consolidado Cobros'!$B$10:$B$314,B111,'Consolidado Cobros'!$G$10:$G$314)</f>
        <v>425600</v>
      </c>
      <c r="E111" s="1112">
        <f>SUMIF('Consolidado Cobros'!$B$10:$B$314,B111,'Consolidado Cobros'!$H$10:$H$314)</f>
        <v>-246400</v>
      </c>
      <c r="F111" s="1112">
        <f>SUMIF('Consolidado Cobros'!$B$10:$B$314,B111,'Consolidado Cobros'!$I$10:$I$314)</f>
        <v>2665600</v>
      </c>
      <c r="G111" s="1844">
        <f>SUMIF('Consolidado Cobros'!$B$10:$B$314,B111,'Consolidado Cobros'!$J$10:$J$314)</f>
        <v>2419200</v>
      </c>
      <c r="H111" s="1845">
        <f>SUMIF('Consolidado Cobros'!$B$10:$B$314,B111,'Consolidado Cobros'!$L$10:$L$314)</f>
        <v>0</v>
      </c>
      <c r="I111" s="1846">
        <f t="shared" si="50"/>
        <v>2419200</v>
      </c>
      <c r="J111" s="1847" t="s">
        <v>1119</v>
      </c>
      <c r="K111" s="7"/>
    </row>
    <row r="112" spans="1:17" ht="12" customHeight="1" x14ac:dyDescent="0.2">
      <c r="A112" s="1841">
        <f>A111+1</f>
        <v>3</v>
      </c>
      <c r="B112" s="1842" t="s">
        <v>131</v>
      </c>
      <c r="C112" s="1843">
        <f>SUMIF('Consolidado Cobros'!$B$10:$B$314,B112,'Consolidado Cobros'!$F$10:$F$314)</f>
        <v>990000</v>
      </c>
      <c r="D112" s="1843">
        <f>SUMIF('Consolidado Cobros'!$B$10:$B$314,B112,'Consolidado Cobros'!$G$10:$G$314)</f>
        <v>188100</v>
      </c>
      <c r="E112" s="1112">
        <f>SUMIF('Consolidado Cobros'!$B$10:$B$314,B112,'Consolidado Cobros'!$H$10:$H$314)</f>
        <v>-108900</v>
      </c>
      <c r="F112" s="1112">
        <f>SUMIF('Consolidado Cobros'!$B$10:$B$314,B112,'Consolidado Cobros'!$I$10:$I$314)</f>
        <v>1178100</v>
      </c>
      <c r="G112" s="1844">
        <f>SUMIF('Consolidado Cobros'!$B$10:$B$314,B112,'Consolidado Cobros'!$J$10:$J$314)</f>
        <v>1069200</v>
      </c>
      <c r="H112" s="1845">
        <f>SUMIF('Consolidado Cobros'!$B$10:$B$314,B112,'Consolidado Cobros'!$L$10:$L$314)</f>
        <v>0</v>
      </c>
      <c r="I112" s="1846">
        <f t="shared" si="50"/>
        <v>1069200</v>
      </c>
      <c r="J112" s="1847" t="s">
        <v>1119</v>
      </c>
      <c r="K112" s="7"/>
    </row>
    <row r="113" spans="1:16" ht="12" customHeight="1" x14ac:dyDescent="0.2">
      <c r="A113" s="13" t="s">
        <v>204</v>
      </c>
      <c r="B113" s="1050" t="s">
        <v>508</v>
      </c>
      <c r="C113" s="415">
        <f>SUM(C110:C112)</f>
        <v>3230000</v>
      </c>
      <c r="D113" s="415">
        <f t="shared" ref="D113:G113" si="51">SUM(D110:D112)</f>
        <v>613700</v>
      </c>
      <c r="E113" s="529">
        <f>SUM(E110:E112)</f>
        <v>-355300</v>
      </c>
      <c r="F113" s="544">
        <f t="shared" si="51"/>
        <v>3843700</v>
      </c>
      <c r="G113" s="532">
        <f t="shared" si="51"/>
        <v>3488400</v>
      </c>
      <c r="H113" s="415">
        <f>SUM(H110:H112)</f>
        <v>0</v>
      </c>
      <c r="I113" s="433">
        <f>SUM(I110:I112)</f>
        <v>3488400</v>
      </c>
      <c r="J113" s="413"/>
      <c r="K113" s="7"/>
      <c r="L113" s="995">
        <f t="shared" ref="L113" si="52">+C113*$L$7</f>
        <v>920550.00000000012</v>
      </c>
      <c r="M113" s="1001">
        <f>+C113-L113*0</f>
        <v>3230000</v>
      </c>
      <c r="N113" s="568" t="s">
        <v>471</v>
      </c>
      <c r="O113" s="529">
        <f>IF(N113="S",M113*$O$5,"NO RETENCIÓN")</f>
        <v>355300</v>
      </c>
      <c r="P113" s="1003">
        <f>+M113/$P$5</f>
        <v>64.860740175505526</v>
      </c>
    </row>
    <row r="114" spans="1:16" ht="12" customHeight="1" x14ac:dyDescent="0.2">
      <c r="A114" s="1035"/>
      <c r="B114" s="555"/>
      <c r="C114" s="434"/>
      <c r="D114" s="434"/>
      <c r="E114" s="545"/>
      <c r="F114" s="545"/>
      <c r="G114" s="454"/>
      <c r="H114" s="419"/>
      <c r="I114" s="419"/>
      <c r="J114" s="420"/>
      <c r="K114" s="7"/>
    </row>
    <row r="115" spans="1:16" ht="12" customHeight="1" x14ac:dyDescent="0.2">
      <c r="A115" s="1035"/>
      <c r="B115" s="555"/>
      <c r="C115" s="148"/>
      <c r="D115" s="148"/>
      <c r="E115" s="358"/>
      <c r="F115" s="358"/>
      <c r="G115" s="148"/>
      <c r="H115" s="148"/>
      <c r="I115" s="148"/>
      <c r="J115" s="332"/>
      <c r="K115" s="7"/>
    </row>
    <row r="116" spans="1:16" ht="12" customHeight="1" x14ac:dyDescent="0.2">
      <c r="A116" s="1035"/>
      <c r="B116" s="197" t="s">
        <v>130</v>
      </c>
      <c r="C116" s="442"/>
      <c r="D116" s="442"/>
      <c r="E116" s="548"/>
      <c r="F116" s="548"/>
      <c r="G116" s="535"/>
      <c r="H116" s="443"/>
      <c r="I116" s="443"/>
      <c r="J116" s="332"/>
      <c r="K116" s="7"/>
    </row>
    <row r="117" spans="1:16" ht="12" customHeight="1" x14ac:dyDescent="0.2">
      <c r="A117" s="1033">
        <f>A112+1</f>
        <v>4</v>
      </c>
      <c r="B117" s="356" t="s">
        <v>130</v>
      </c>
      <c r="C117" s="404">
        <f>SUMIF('Consolidado Cobros'!$B$10:$B$314,B117,'Consolidado Cobros'!$F$10:$F$314)</f>
        <v>0</v>
      </c>
      <c r="D117" s="404">
        <f>SUMIF('Consolidado Cobros'!$B$10:$B$314,B117,'Consolidado Cobros'!$G$10:$G$314)</f>
        <v>0</v>
      </c>
      <c r="E117" s="487"/>
      <c r="F117" s="487">
        <f>SUMIF('Consolidado Cobros'!$B$10:$B$314,B117,'Consolidado Cobros'!$I$10:$I$314)</f>
        <v>0</v>
      </c>
      <c r="G117" s="226">
        <f>SUMIF('Consolidado Cobros'!$B$10:$B$314,B117,'Consolidado Cobros'!$J$10:$J$314)</f>
        <v>0</v>
      </c>
      <c r="H117" s="405">
        <f>SUMIF('Consolidado Cobros'!$B$10:$B$314,B117,'Consolidado Cobros'!$L$10:$L$314)</f>
        <v>1500000</v>
      </c>
      <c r="I117" s="406">
        <f t="shared" ref="I117" si="53">+G117+H117</f>
        <v>1500000</v>
      </c>
      <c r="J117" s="444"/>
      <c r="K117" s="7"/>
    </row>
    <row r="118" spans="1:16" ht="12" customHeight="1" x14ac:dyDescent="0.2">
      <c r="A118" s="13" t="s">
        <v>204</v>
      </c>
      <c r="B118" s="1012"/>
      <c r="C118" s="445">
        <f>SUM(C117)</f>
        <v>0</v>
      </c>
      <c r="D118" s="445">
        <f t="shared" ref="D118:G118" si="54">SUM(D117)</f>
        <v>0</v>
      </c>
      <c r="E118" s="549">
        <f t="shared" si="54"/>
        <v>0</v>
      </c>
      <c r="F118" s="549">
        <f t="shared" si="54"/>
        <v>0</v>
      </c>
      <c r="G118" s="536">
        <f t="shared" si="54"/>
        <v>0</v>
      </c>
      <c r="H118" s="445">
        <f t="shared" ref="H118:I118" si="55">SUM(H117)</f>
        <v>1500000</v>
      </c>
      <c r="I118" s="445">
        <f t="shared" si="55"/>
        <v>1500000</v>
      </c>
      <c r="J118" s="425"/>
      <c r="K118" s="7"/>
    </row>
    <row r="119" spans="1:16" ht="12" customHeight="1" x14ac:dyDescent="0.2">
      <c r="A119" s="12"/>
      <c r="B119" s="555"/>
      <c r="C119" s="100"/>
      <c r="D119" s="100"/>
      <c r="E119" s="358"/>
      <c r="F119" s="358"/>
      <c r="G119" s="148"/>
      <c r="H119" s="100"/>
      <c r="I119" s="100"/>
      <c r="K119" s="7"/>
    </row>
    <row r="120" spans="1:16" ht="12" customHeight="1" x14ac:dyDescent="0.2">
      <c r="A120" s="56" t="s">
        <v>275</v>
      </c>
      <c r="B120" s="1017"/>
      <c r="C120" s="435">
        <f t="shared" ref="C120:I120" si="56">C113+C118</f>
        <v>3230000</v>
      </c>
      <c r="D120" s="435">
        <f t="shared" si="56"/>
        <v>613700</v>
      </c>
      <c r="E120" s="547">
        <f t="shared" si="56"/>
        <v>-355300</v>
      </c>
      <c r="F120" s="547">
        <f t="shared" si="56"/>
        <v>3843700</v>
      </c>
      <c r="G120" s="534">
        <f t="shared" si="56"/>
        <v>3488400</v>
      </c>
      <c r="H120" s="446">
        <f t="shared" si="56"/>
        <v>1500000</v>
      </c>
      <c r="I120" s="447">
        <f t="shared" si="56"/>
        <v>4988400</v>
      </c>
      <c r="J120" s="436"/>
      <c r="K120" s="7"/>
    </row>
    <row r="121" spans="1:16" ht="12" customHeight="1" x14ac:dyDescent="0.2">
      <c r="A121" s="12"/>
      <c r="B121" s="555"/>
      <c r="C121" s="100"/>
      <c r="D121" s="100"/>
      <c r="E121" s="358"/>
      <c r="F121" s="358"/>
      <c r="G121" s="148"/>
      <c r="H121" s="100"/>
      <c r="I121" s="100"/>
      <c r="K121" s="7"/>
    </row>
    <row r="122" spans="1:16" ht="2.1" customHeight="1" x14ac:dyDescent="0.2">
      <c r="A122" s="1036"/>
      <c r="B122" s="1016"/>
      <c r="C122" s="427"/>
      <c r="D122" s="427"/>
      <c r="E122" s="156"/>
      <c r="F122" s="156"/>
      <c r="G122" s="66"/>
      <c r="H122" s="428"/>
      <c r="I122" s="428"/>
      <c r="J122" s="429"/>
      <c r="K122" s="7"/>
    </row>
    <row r="123" spans="1:16" ht="12" customHeight="1" x14ac:dyDescent="0.2">
      <c r="A123" s="15"/>
      <c r="C123" s="16"/>
      <c r="D123" s="16"/>
      <c r="E123" s="484"/>
      <c r="F123" s="484"/>
      <c r="G123" s="16"/>
      <c r="H123" s="16"/>
      <c r="I123" s="16"/>
      <c r="J123" s="16"/>
      <c r="K123" s="7"/>
    </row>
    <row r="124" spans="1:16" ht="12" customHeight="1" x14ac:dyDescent="0.2">
      <c r="A124" s="10" t="s">
        <v>210</v>
      </c>
      <c r="C124" s="931"/>
      <c r="D124" s="931"/>
      <c r="E124" s="1011"/>
      <c r="F124" s="1011"/>
      <c r="G124" s="931"/>
      <c r="H124" s="439"/>
      <c r="I124" s="439"/>
      <c r="J124" s="333"/>
      <c r="K124" s="7"/>
    </row>
    <row r="125" spans="1:16" ht="24.95" customHeight="1" x14ac:dyDescent="0.2">
      <c r="A125" s="1037">
        <v>1</v>
      </c>
      <c r="B125" s="450" t="s">
        <v>177</v>
      </c>
      <c r="C125" s="404">
        <f>SUMIF('Consolidado Cobros'!$B$10:$B$314,B125,'Consolidado Cobros'!$F$10:$F$314)</f>
        <v>0</v>
      </c>
      <c r="D125" s="404">
        <f>SUMIF('Consolidado Cobros'!$B$10:$B$314,B125,'Consolidado Cobros'!$G$10:$G$314)</f>
        <v>0</v>
      </c>
      <c r="E125" s="487">
        <f>SUMIF('Consolidado Cobros'!$B$10:$B$314,B125,'Consolidado Cobros'!$H$10:$H$314)</f>
        <v>0</v>
      </c>
      <c r="F125" s="487">
        <f>SUMIF('Consolidado Cobros'!$B$10:$B$314,B125,'Consolidado Cobros'!$I$10:$I$314)</f>
        <v>0</v>
      </c>
      <c r="G125" s="226">
        <f>SUMIF('Consolidado Cobros'!$B$10:$B$314,B125,'Consolidado Cobros'!$J$10:$J$314)</f>
        <v>0</v>
      </c>
      <c r="H125" s="405">
        <f>SUMIF('Consolidado Cobros'!$B$10:$B$314,B125,'Consolidado Cobros'!$L$10:$L$314)</f>
        <v>860000</v>
      </c>
      <c r="I125" s="406">
        <f t="shared" ref="I125:I130" si="57">+G125+H125</f>
        <v>860000</v>
      </c>
      <c r="J125" s="414"/>
      <c r="K125" s="7"/>
    </row>
    <row r="126" spans="1:16" ht="12" customHeight="1" x14ac:dyDescent="0.2">
      <c r="A126" s="1033">
        <f t="shared" ref="A126:A130" si="58">A125+1</f>
        <v>2</v>
      </c>
      <c r="B126" s="422" t="s">
        <v>175</v>
      </c>
      <c r="C126" s="404">
        <f>SUMIF('Consolidado Cobros'!$B$10:$B$314,B126,'Consolidado Cobros'!$F$10:$F$314)</f>
        <v>0</v>
      </c>
      <c r="D126" s="404">
        <f>SUMIF('Consolidado Cobros'!$B$10:$B$314,B126,'Consolidado Cobros'!$G$10:$G$314)</f>
        <v>0</v>
      </c>
      <c r="E126" s="487">
        <f>SUMIF('Consolidado Cobros'!$B$10:$B$314,B126,'Consolidado Cobros'!$H$10:$H$314)</f>
        <v>0</v>
      </c>
      <c r="F126" s="487">
        <f>SUMIF('Consolidado Cobros'!$B$10:$B$314,B126,'Consolidado Cobros'!$I$10:$I$314)</f>
        <v>0</v>
      </c>
      <c r="G126" s="226">
        <f>SUMIF('Consolidado Cobros'!$B$10:$B$314,B126,'Consolidado Cobros'!$J$10:$J$314)</f>
        <v>0</v>
      </c>
      <c r="H126" s="405">
        <f>SUMIF('Consolidado Cobros'!$B$10:$B$314,B126,'Consolidado Cobros'!$L$10:$L$314)</f>
        <v>860000</v>
      </c>
      <c r="I126" s="406">
        <f t="shared" si="57"/>
        <v>860000</v>
      </c>
      <c r="J126" s="414"/>
      <c r="K126" s="7"/>
    </row>
    <row r="127" spans="1:16" ht="12" customHeight="1" x14ac:dyDescent="0.2">
      <c r="A127" s="1033">
        <f t="shared" si="58"/>
        <v>3</v>
      </c>
      <c r="B127" s="441" t="s">
        <v>58</v>
      </c>
      <c r="C127" s="404">
        <f>SUMIF('Consolidado Cobros'!$B$10:$B$314,B127,'Consolidado Cobros'!$F$10:$F$314)</f>
        <v>0</v>
      </c>
      <c r="D127" s="404">
        <f>SUMIF('Consolidado Cobros'!$B$10:$B$314,B127,'Consolidado Cobros'!$G$10:$G$314)</f>
        <v>0</v>
      </c>
      <c r="E127" s="487">
        <f>SUMIF('Consolidado Cobros'!$B$10:$B$314,B127,'Consolidado Cobros'!$H$10:$H$314)</f>
        <v>0</v>
      </c>
      <c r="F127" s="487">
        <f>SUMIF('Consolidado Cobros'!$B$10:$B$314,B127,'Consolidado Cobros'!$I$10:$I$314)</f>
        <v>0</v>
      </c>
      <c r="G127" s="226">
        <f>SUMIF('Consolidado Cobros'!$B$10:$B$314,B127,'Consolidado Cobros'!$J$10:$J$314)</f>
        <v>0</v>
      </c>
      <c r="H127" s="405">
        <f>SUMIF('Consolidado Cobros'!$B$10:$B$314,B127,'Consolidado Cobros'!$L$10:$L$314)</f>
        <v>860000</v>
      </c>
      <c r="I127" s="406">
        <f t="shared" si="57"/>
        <v>860000</v>
      </c>
      <c r="J127" s="413"/>
      <c r="K127" s="7"/>
    </row>
    <row r="128" spans="1:16" ht="12" customHeight="1" x14ac:dyDescent="0.2">
      <c r="A128" s="1033">
        <f t="shared" si="58"/>
        <v>4</v>
      </c>
      <c r="B128" s="441" t="s">
        <v>55</v>
      </c>
      <c r="C128" s="404">
        <f>SUMIF('Consolidado Cobros'!$B$10:$B$314,B128,'Consolidado Cobros'!$F$10:$F$314)</f>
        <v>0</v>
      </c>
      <c r="D128" s="404">
        <f>SUMIF('Consolidado Cobros'!$B$10:$B$314,B128,'Consolidado Cobros'!$G$10:$G$314)</f>
        <v>0</v>
      </c>
      <c r="E128" s="487">
        <f>SUMIF('Consolidado Cobros'!$B$10:$B$314,B128,'Consolidado Cobros'!$H$10:$H$314)</f>
        <v>0</v>
      </c>
      <c r="F128" s="487">
        <f>SUMIF('Consolidado Cobros'!$B$10:$B$314,B128,'Consolidado Cobros'!$I$10:$I$314)</f>
        <v>0</v>
      </c>
      <c r="G128" s="226">
        <f>SUMIF('Consolidado Cobros'!$B$10:$B$314,B128,'Consolidado Cobros'!$J$10:$J$314)</f>
        <v>0</v>
      </c>
      <c r="H128" s="405">
        <f>SUMIF('Consolidado Cobros'!$B$10:$B$314,B128,'Consolidado Cobros'!$L$10:$L$314)</f>
        <v>1120000</v>
      </c>
      <c r="I128" s="406">
        <f t="shared" si="57"/>
        <v>1120000</v>
      </c>
      <c r="J128" s="413"/>
      <c r="K128" s="7"/>
    </row>
    <row r="129" spans="1:12" ht="12" customHeight="1" x14ac:dyDescent="0.2">
      <c r="A129" s="1033">
        <f t="shared" si="58"/>
        <v>5</v>
      </c>
      <c r="B129" s="1784" t="s">
        <v>57</v>
      </c>
      <c r="C129" s="576">
        <f>SUMIF('Consolidado Cobros'!$B$10:$B$314,B129,'Consolidado Cobros'!$F$10:$F$314)</f>
        <v>0</v>
      </c>
      <c r="D129" s="576">
        <f>SUMIF('Consolidado Cobros'!$B$10:$B$314,B129,'Consolidado Cobros'!$G$10:$G$314)</f>
        <v>0</v>
      </c>
      <c r="E129" s="516">
        <f>SUMIF('Consolidado Cobros'!$B$10:$B$314,B129,'Consolidado Cobros'!$H$10:$H$314)</f>
        <v>0</v>
      </c>
      <c r="F129" s="516">
        <f>SUMIF('Consolidado Cobros'!$B$10:$B$314,B129,'Consolidado Cobros'!$I$10:$I$314)</f>
        <v>0</v>
      </c>
      <c r="G129" s="391">
        <f>SUMIF('Consolidado Cobros'!$B$10:$B$314,B129,'Consolidado Cobros'!$J$10:$J$314)</f>
        <v>0</v>
      </c>
      <c r="H129" s="577">
        <f>SUMIF('Consolidado Cobros'!$B$10:$B$314,B129,'Consolidado Cobros'!$L$10:$L$314)</f>
        <v>1340000</v>
      </c>
      <c r="I129" s="578">
        <f t="shared" si="57"/>
        <v>1340000</v>
      </c>
      <c r="J129" s="413"/>
      <c r="K129" s="7"/>
    </row>
    <row r="130" spans="1:12" ht="12" customHeight="1" x14ac:dyDescent="0.2">
      <c r="A130" s="668">
        <f t="shared" si="58"/>
        <v>6</v>
      </c>
      <c r="B130" s="668" t="s">
        <v>154</v>
      </c>
      <c r="C130" s="531">
        <f>SUMIF('Consolidado Cobros'!$B$10:$B$314,B130,'Consolidado Cobros'!$F$10:$F$314)</f>
        <v>0</v>
      </c>
      <c r="D130" s="531">
        <f>SUMIF('Consolidado Cobros'!$B$10:$B$314,B130,'Consolidado Cobros'!$G$10:$G$314)</f>
        <v>0</v>
      </c>
      <c r="E130" s="487">
        <f>SUMIF('Consolidado Cobros'!$B$10:$B$314,B130,'Consolidado Cobros'!$H$10:$H$314)</f>
        <v>0</v>
      </c>
      <c r="F130" s="487">
        <f>SUMIF('Consolidado Cobros'!$B$10:$B$314,B130,'Consolidado Cobros'!$I$10:$I$314)</f>
        <v>0</v>
      </c>
      <c r="G130" s="381">
        <f>SUMIF('Consolidado Cobros'!$B$10:$B$314,B130,'Consolidado Cobros'!$J$10:$J$314)</f>
        <v>0</v>
      </c>
      <c r="H130" s="552">
        <f>SUMIF('Consolidado Cobros'!$B$10:$B$314,B130,'Consolidado Cobros'!$L$10:$L$314)</f>
        <v>1600000</v>
      </c>
      <c r="I130" s="553">
        <f t="shared" si="57"/>
        <v>1600000</v>
      </c>
      <c r="J130" s="662"/>
      <c r="K130" s="7"/>
    </row>
    <row r="131" spans="1:12" ht="12" customHeight="1" x14ac:dyDescent="0.2">
      <c r="A131" s="11" t="s">
        <v>204</v>
      </c>
      <c r="B131" s="555"/>
      <c r="C131" s="663">
        <f>SUM(C125:C130)</f>
        <v>0</v>
      </c>
      <c r="D131" s="663">
        <f>SUM(D125:D130)</f>
        <v>0</v>
      </c>
      <c r="E131" s="664">
        <f t="shared" ref="E131:F131" si="59">SUM(E125:E130)</f>
        <v>0</v>
      </c>
      <c r="F131" s="664">
        <f t="shared" si="59"/>
        <v>0</v>
      </c>
      <c r="G131" s="665">
        <f>SUM(G125:G130)</f>
        <v>0</v>
      </c>
      <c r="H131" s="666">
        <f>SUM(H125:H130)</f>
        <v>6640000</v>
      </c>
      <c r="I131" s="667">
        <f>SUM(I125:I130)</f>
        <v>6640000</v>
      </c>
      <c r="J131" s="413"/>
      <c r="K131" s="7"/>
    </row>
    <row r="132" spans="1:12" ht="12" customHeight="1" x14ac:dyDescent="0.2">
      <c r="A132" s="15"/>
      <c r="C132" s="418"/>
      <c r="D132" s="418"/>
      <c r="E132" s="545"/>
      <c r="F132" s="545"/>
      <c r="G132" s="454"/>
      <c r="H132" s="452"/>
      <c r="I132" s="453"/>
      <c r="J132" s="455"/>
      <c r="K132" s="7"/>
    </row>
    <row r="133" spans="1:12" ht="12" customHeight="1" x14ac:dyDescent="0.2">
      <c r="A133" s="350">
        <f>+A130+1</f>
        <v>7</v>
      </c>
      <c r="B133" s="350" t="s">
        <v>56</v>
      </c>
      <c r="C133" s="404">
        <f>SUMIF('Consolidado Cobros'!$B$10:$B$314,B133,'Consolidado Cobros'!$F$10:$F$314)</f>
        <v>0</v>
      </c>
      <c r="D133" s="404">
        <f>SUMIF('Consolidado Cobros'!$B$10:$B$314,B133,'Consolidado Cobros'!$G$10:$G$314)</f>
        <v>0</v>
      </c>
      <c r="E133" s="487">
        <f>SUMIF('Consolidado Cobros'!$B$10:$B$314,B133,'Consolidado Cobros'!$H$10:$H$314)</f>
        <v>0</v>
      </c>
      <c r="F133" s="487">
        <f>SUMIF('Consolidado Cobros'!$B$10:$B$314,B133,'Consolidado Cobros'!$I$10:$I$314)</f>
        <v>0</v>
      </c>
      <c r="G133" s="226">
        <f>SUMIF('Consolidado Cobros'!$B$10:$B$314,B133,'Consolidado Cobros'!$J$10:$J$314)</f>
        <v>0</v>
      </c>
      <c r="H133" s="405">
        <f>SUMIF('Consolidado Cobros'!$B$10:$B$314,B133,'Consolidado Cobros'!$L$10:$L$314)</f>
        <v>1340000</v>
      </c>
      <c r="I133" s="406">
        <f t="shared" ref="I133" si="60">+G133+H133</f>
        <v>1340000</v>
      </c>
      <c r="J133" s="413"/>
      <c r="K133" s="7"/>
    </row>
    <row r="134" spans="1:12" ht="12" customHeight="1" x14ac:dyDescent="0.2">
      <c r="A134" s="11" t="s">
        <v>204</v>
      </c>
      <c r="B134" s="555"/>
      <c r="C134" s="415">
        <f>SUM(C133)</f>
        <v>0</v>
      </c>
      <c r="D134" s="415">
        <f t="shared" ref="D134:G134" si="61">SUM(D133)</f>
        <v>0</v>
      </c>
      <c r="E134" s="544">
        <f t="shared" si="61"/>
        <v>0</v>
      </c>
      <c r="F134" s="544">
        <f t="shared" si="61"/>
        <v>0</v>
      </c>
      <c r="G134" s="532">
        <f t="shared" si="61"/>
        <v>0</v>
      </c>
      <c r="H134" s="433">
        <f>SUM(H133)</f>
        <v>1340000</v>
      </c>
      <c r="I134" s="451">
        <f>SUM(I133)</f>
        <v>1340000</v>
      </c>
      <c r="J134" s="413"/>
      <c r="K134" s="7"/>
    </row>
    <row r="135" spans="1:12" ht="12" customHeight="1" x14ac:dyDescent="0.2">
      <c r="A135" s="12"/>
      <c r="B135" s="555"/>
      <c r="C135" s="418"/>
      <c r="D135" s="418"/>
      <c r="E135" s="545"/>
      <c r="F135" s="545"/>
      <c r="G135" s="454"/>
      <c r="H135" s="418"/>
      <c r="I135" s="418"/>
      <c r="J135" s="454"/>
      <c r="K135" s="7"/>
    </row>
    <row r="136" spans="1:12" ht="12" customHeight="1" x14ac:dyDescent="0.2">
      <c r="A136" s="57" t="s">
        <v>211</v>
      </c>
      <c r="B136" s="1014"/>
      <c r="C136" s="424">
        <f>C131+C134</f>
        <v>0</v>
      </c>
      <c r="D136" s="424">
        <f t="shared" ref="D136:I136" si="62">D131+D134</f>
        <v>0</v>
      </c>
      <c r="E136" s="546">
        <f t="shared" si="62"/>
        <v>0</v>
      </c>
      <c r="F136" s="546">
        <f t="shared" si="62"/>
        <v>0</v>
      </c>
      <c r="G136" s="533">
        <f t="shared" si="62"/>
        <v>0</v>
      </c>
      <c r="H136" s="424">
        <f t="shared" si="62"/>
        <v>7980000</v>
      </c>
      <c r="I136" s="424">
        <f t="shared" si="62"/>
        <v>7980000</v>
      </c>
      <c r="J136" s="413"/>
      <c r="K136" s="7"/>
    </row>
    <row r="137" spans="1:12" ht="12" customHeight="1" x14ac:dyDescent="0.2">
      <c r="A137" s="1035"/>
      <c r="B137" s="1015"/>
      <c r="C137" s="426"/>
      <c r="D137" s="426"/>
      <c r="E137" s="358"/>
      <c r="F137" s="358"/>
      <c r="G137" s="148"/>
      <c r="H137" s="412"/>
      <c r="I137" s="419"/>
      <c r="J137" s="420"/>
      <c r="K137" s="7"/>
    </row>
    <row r="138" spans="1:12" ht="2.1" customHeight="1" x14ac:dyDescent="0.2">
      <c r="A138" s="1036"/>
      <c r="B138" s="1016"/>
      <c r="C138" s="427"/>
      <c r="D138" s="427"/>
      <c r="E138" s="156"/>
      <c r="F138" s="156"/>
      <c r="G138" s="66"/>
      <c r="H138" s="428"/>
      <c r="I138" s="428"/>
      <c r="J138" s="429"/>
      <c r="K138" s="7"/>
    </row>
    <row r="139" spans="1:12" ht="9.9499999999999993" customHeight="1" x14ac:dyDescent="0.2">
      <c r="A139" s="15"/>
      <c r="C139" s="16"/>
      <c r="D139" s="16"/>
      <c r="E139" s="484"/>
      <c r="F139" s="484"/>
      <c r="G139" s="16"/>
      <c r="H139" s="16"/>
      <c r="I139" s="16"/>
      <c r="J139" s="16"/>
      <c r="K139" s="7"/>
    </row>
    <row r="140" spans="1:12" ht="12" customHeight="1" x14ac:dyDescent="0.2">
      <c r="A140" s="10" t="s">
        <v>212</v>
      </c>
      <c r="C140" s="931"/>
      <c r="D140" s="931"/>
      <c r="E140" s="1011"/>
      <c r="F140" s="1011"/>
      <c r="G140" s="931"/>
      <c r="H140" s="439"/>
      <c r="I140" s="439"/>
      <c r="J140" s="430"/>
      <c r="K140" s="7"/>
    </row>
    <row r="141" spans="1:12" ht="26.25" customHeight="1" x14ac:dyDescent="0.2">
      <c r="A141" s="350">
        <v>1</v>
      </c>
      <c r="B141" s="350" t="s">
        <v>41</v>
      </c>
      <c r="C141" s="404">
        <f>SUMIF('Consolidado Cobros'!$B$10:$B$314,B141,'Consolidado Cobros'!$F$10:$F$314)</f>
        <v>1900000</v>
      </c>
      <c r="D141" s="404">
        <f>SUMIF('Consolidado Cobros'!$B$10:$B$314,B141,'Consolidado Cobros'!$G$10:$G$314)</f>
        <v>361000</v>
      </c>
      <c r="E141" s="487">
        <f>SUMIF('Consolidado Cobros'!$B$10:$B$314,B141,'Consolidado Cobros'!$H$10:$H$314)</f>
        <v>-209000</v>
      </c>
      <c r="F141" s="487">
        <f>SUMIF('Consolidado Cobros'!$B$10:$B$314,B141,'Consolidado Cobros'!$I$10:$I$314)</f>
        <v>2261000</v>
      </c>
      <c r="G141" s="226">
        <f>SUMIF('Consolidado Cobros'!$B$10:$B$314,B141,'Consolidado Cobros'!$J$10:$J$314)</f>
        <v>2052000</v>
      </c>
      <c r="H141" s="405">
        <f>SUMIF('Consolidado Cobros'!$B$10:$B$314,B141,'Consolidado Cobros'!$L$10:$L$314)</f>
        <v>0</v>
      </c>
      <c r="I141" s="406">
        <f t="shared" ref="I141:I144" si="63">+G141+H141</f>
        <v>2052000</v>
      </c>
      <c r="J141" s="1860" t="s">
        <v>1120</v>
      </c>
      <c r="K141" s="7"/>
      <c r="L141" s="5">
        <f>+C141*11%</f>
        <v>209000</v>
      </c>
    </row>
    <row r="142" spans="1:12" ht="26.25" customHeight="1" x14ac:dyDescent="0.2">
      <c r="A142" s="350">
        <f>A141+1</f>
        <v>2</v>
      </c>
      <c r="B142" s="350" t="s">
        <v>168</v>
      </c>
      <c r="C142" s="404">
        <f>SUMIF('Consolidado Cobros'!$B$10:$B$314,B142,'Consolidado Cobros'!$F$10:$F$314)</f>
        <v>1900000</v>
      </c>
      <c r="D142" s="404">
        <f>SUMIF('Consolidado Cobros'!$B$10:$B$314,B142,'Consolidado Cobros'!$G$10:$G$314)</f>
        <v>361000</v>
      </c>
      <c r="E142" s="487">
        <f>SUMIF('Consolidado Cobros'!$B$10:$B$314,B142,'Consolidado Cobros'!$H$10:$H$314)</f>
        <v>-209000</v>
      </c>
      <c r="F142" s="487">
        <f>SUMIF('Consolidado Cobros'!$B$10:$B$314,B142,'Consolidado Cobros'!$I$10:$I$314)</f>
        <v>2261000</v>
      </c>
      <c r="G142" s="226">
        <f>SUMIF('Consolidado Cobros'!$B$10:$B$314,B142,'Consolidado Cobros'!$J$10:$J$314)</f>
        <v>2052000</v>
      </c>
      <c r="H142" s="405">
        <f>SUMIF('Consolidado Cobros'!$B$10:$B$314,B142,'Consolidado Cobros'!$L$10:$L$314)</f>
        <v>0</v>
      </c>
      <c r="I142" s="406">
        <f t="shared" si="63"/>
        <v>2052000</v>
      </c>
      <c r="J142" s="1860" t="s">
        <v>1120</v>
      </c>
      <c r="K142" s="7"/>
    </row>
    <row r="143" spans="1:12" ht="26.25" customHeight="1" x14ac:dyDescent="0.2">
      <c r="A143" s="350">
        <f>A142+1</f>
        <v>3</v>
      </c>
      <c r="B143" s="350" t="s">
        <v>165</v>
      </c>
      <c r="C143" s="404">
        <f>SUMIF('Consolidado Cobros'!$B$10:$B$314,B143,'Consolidado Cobros'!$F$10:$F$314)</f>
        <v>1900000</v>
      </c>
      <c r="D143" s="404">
        <f>SUMIF('Consolidado Cobros'!$B$10:$B$314,B143,'Consolidado Cobros'!$G$10:$G$314)</f>
        <v>361000</v>
      </c>
      <c r="E143" s="487">
        <f>SUMIF('Consolidado Cobros'!$B$10:$B$314,B143,'Consolidado Cobros'!$H$10:$H$314)</f>
        <v>-209000</v>
      </c>
      <c r="F143" s="487">
        <f>SUMIF('Consolidado Cobros'!$B$10:$B$314,B143,'Consolidado Cobros'!$I$10:$I$314)</f>
        <v>2261000</v>
      </c>
      <c r="G143" s="226">
        <f>SUMIF('Consolidado Cobros'!$B$10:$B$314,B143,'Consolidado Cobros'!$J$10:$J$314)</f>
        <v>2052000</v>
      </c>
      <c r="H143" s="405">
        <f>SUMIF('Consolidado Cobros'!$B$10:$B$314,B143,'Consolidado Cobros'!$L$10:$L$314)</f>
        <v>0</v>
      </c>
      <c r="I143" s="406">
        <f t="shared" si="63"/>
        <v>2052000</v>
      </c>
      <c r="J143" s="1860" t="s">
        <v>1120</v>
      </c>
      <c r="K143" s="7"/>
    </row>
    <row r="144" spans="1:12" ht="26.25" customHeight="1" x14ac:dyDescent="0.2">
      <c r="A144" s="350">
        <f>A143+1</f>
        <v>4</v>
      </c>
      <c r="B144" s="350" t="s">
        <v>164</v>
      </c>
      <c r="C144" s="404">
        <f>SUMIF('Consolidado Cobros'!$B$10:$B$314,B144,'Consolidado Cobros'!$F$10:$F$314)</f>
        <v>1900000</v>
      </c>
      <c r="D144" s="404">
        <f>SUMIF('Consolidado Cobros'!$B$10:$B$314,B144,'Consolidado Cobros'!$G$10:$G$314)</f>
        <v>361000</v>
      </c>
      <c r="E144" s="487">
        <f>SUMIF('Consolidado Cobros'!$B$10:$B$314,B144,'Consolidado Cobros'!$H$10:$H$314)</f>
        <v>-209000</v>
      </c>
      <c r="F144" s="487">
        <f>SUMIF('Consolidado Cobros'!$B$10:$B$314,B144,'Consolidado Cobros'!$I$10:$I$314)</f>
        <v>2261000</v>
      </c>
      <c r="G144" s="226">
        <f>SUMIF('Consolidado Cobros'!$B$10:$B$314,B144,'Consolidado Cobros'!$J$10:$J$314)</f>
        <v>2052000</v>
      </c>
      <c r="H144" s="405">
        <f>SUMIF('Consolidado Cobros'!$B$10:$B$314,B144,'Consolidado Cobros'!$L$10:$L$314)</f>
        <v>0</v>
      </c>
      <c r="I144" s="406">
        <f t="shared" si="63"/>
        <v>2052000</v>
      </c>
      <c r="J144" s="1860" t="s">
        <v>1120</v>
      </c>
      <c r="K144" s="7"/>
    </row>
    <row r="145" spans="1:16" ht="12" customHeight="1" x14ac:dyDescent="0.2">
      <c r="A145" s="1051" t="s">
        <v>200</v>
      </c>
      <c r="B145" s="1052" t="s">
        <v>454</v>
      </c>
      <c r="C145" s="408">
        <f>SUM(C141:C144)</f>
        <v>7600000</v>
      </c>
      <c r="D145" s="408">
        <f t="shared" ref="D145:G145" si="64">SUM(D141:D144)</f>
        <v>1444000</v>
      </c>
      <c r="E145" s="529">
        <f>SUM(E141:E144)</f>
        <v>-836000</v>
      </c>
      <c r="F145" s="529">
        <f t="shared" si="64"/>
        <v>9044000</v>
      </c>
      <c r="G145" s="407">
        <f t="shared" si="64"/>
        <v>8208000</v>
      </c>
      <c r="H145" s="408">
        <f>SUM(H141:H144)</f>
        <v>0</v>
      </c>
      <c r="I145" s="408">
        <f>SUM(I141:I144)</f>
        <v>8208000</v>
      </c>
      <c r="K145" s="7"/>
      <c r="L145" s="995">
        <f t="shared" ref="L145" si="65">+C145*$L$7</f>
        <v>2166000.0000000005</v>
      </c>
      <c r="M145" s="1001">
        <f>+C145-L145*0</f>
        <v>7600000</v>
      </c>
      <c r="N145" s="568" t="s">
        <v>471</v>
      </c>
      <c r="O145" s="529">
        <f>IF(N145="S",M145*$O$5,"NO RETENCIÓN")</f>
        <v>836000</v>
      </c>
      <c r="P145" s="1003">
        <f>+M145/$P$5</f>
        <v>152.61350629530713</v>
      </c>
    </row>
    <row r="146" spans="1:16" ht="12" customHeight="1" x14ac:dyDescent="0.2">
      <c r="A146" s="11"/>
      <c r="B146" s="555"/>
      <c r="C146" s="100"/>
      <c r="D146" s="100"/>
      <c r="E146" s="358"/>
      <c r="F146" s="358"/>
      <c r="G146" s="148"/>
      <c r="H146" s="100"/>
      <c r="I146" s="100"/>
      <c r="K146" s="7"/>
    </row>
    <row r="147" spans="1:16" ht="2.1" customHeight="1" x14ac:dyDescent="0.2">
      <c r="A147" s="1036"/>
      <c r="B147" s="1016"/>
      <c r="C147" s="427"/>
      <c r="D147" s="427"/>
      <c r="E147" s="156"/>
      <c r="F147" s="156"/>
      <c r="G147" s="66"/>
      <c r="H147" s="428"/>
      <c r="I147" s="428"/>
      <c r="J147" s="429"/>
      <c r="K147" s="7"/>
    </row>
    <row r="148" spans="1:16" ht="12" customHeight="1" x14ac:dyDescent="0.2">
      <c r="A148" s="15"/>
      <c r="C148" s="16"/>
      <c r="D148" s="16"/>
      <c r="E148" s="484"/>
      <c r="F148" s="484"/>
      <c r="G148" s="16"/>
      <c r="H148" s="16"/>
      <c r="I148" s="16"/>
      <c r="J148" s="16"/>
      <c r="K148" s="7"/>
    </row>
    <row r="149" spans="1:16" ht="12" customHeight="1" x14ac:dyDescent="0.2">
      <c r="A149" s="10" t="s">
        <v>213</v>
      </c>
      <c r="C149" s="931"/>
      <c r="D149" s="931"/>
      <c r="E149" s="1011"/>
      <c r="F149" s="1011"/>
      <c r="G149" s="931"/>
      <c r="H149" s="439"/>
      <c r="I149" s="439"/>
      <c r="J149" s="333"/>
      <c r="K149" s="7"/>
    </row>
    <row r="150" spans="1:16" ht="12" customHeight="1" x14ac:dyDescent="0.2">
      <c r="A150" s="350">
        <v>1</v>
      </c>
      <c r="B150" s="350" t="s">
        <v>7</v>
      </c>
      <c r="C150" s="404">
        <f>SUMIF('Consolidado Cobros'!$B$10:$B$314,B150,'Consolidado Cobros'!$F$10:$F$314)</f>
        <v>0</v>
      </c>
      <c r="D150" s="404">
        <f>SUMIF('Consolidado Cobros'!$B$10:$B$314,B150,'Consolidado Cobros'!$G$10:$G$314)</f>
        <v>0</v>
      </c>
      <c r="E150" s="487">
        <f>SUMIF('Consolidado Cobros'!$B$10:$B$314,B150,'Consolidado Cobros'!$H$10:$H$314)</f>
        <v>0</v>
      </c>
      <c r="F150" s="487">
        <f>SUMIF('Consolidado Cobros'!$B$10:$B$314,B150,'Consolidado Cobros'!$I$10:$I$314)</f>
        <v>0</v>
      </c>
      <c r="G150" s="226">
        <f>SUMIF('Consolidado Cobros'!$B$10:$B$314,B150,'Consolidado Cobros'!$J$10:$J$314)</f>
        <v>0</v>
      </c>
      <c r="H150" s="405">
        <f>SUMIF('Consolidado Cobros'!$B$10:$B$314,B150,'Consolidado Cobros'!$L$10:$L$314)</f>
        <v>1920000</v>
      </c>
      <c r="I150" s="406">
        <f t="shared" ref="I150:I157" si="66">+G150+H150</f>
        <v>1920000</v>
      </c>
      <c r="J150" s="413"/>
      <c r="K150" s="7"/>
    </row>
    <row r="151" spans="1:16" ht="12" customHeight="1" x14ac:dyDescent="0.2">
      <c r="A151" s="350">
        <f>+A150+1</f>
        <v>2</v>
      </c>
      <c r="B151" s="350" t="s">
        <v>22</v>
      </c>
      <c r="C151" s="404">
        <f>SUMIF('Consolidado Cobros'!$B$10:$B$314,B151,'Consolidado Cobros'!$F$10:$F$314)</f>
        <v>0</v>
      </c>
      <c r="D151" s="404">
        <f>SUMIF('Consolidado Cobros'!$B$10:$B$314,B151,'Consolidado Cobros'!$G$10:$G$314)</f>
        <v>0</v>
      </c>
      <c r="E151" s="487">
        <f>SUMIF('Consolidado Cobros'!$B$10:$B$314,B151,'Consolidado Cobros'!$H$10:$H$314)</f>
        <v>0</v>
      </c>
      <c r="F151" s="487">
        <f>SUMIF('Consolidado Cobros'!$B$10:$B$314,B151,'Consolidado Cobros'!$I$10:$I$314)</f>
        <v>0</v>
      </c>
      <c r="G151" s="226">
        <f>SUMIF('Consolidado Cobros'!$B$10:$B$314,B151,'Consolidado Cobros'!$J$10:$J$314)</f>
        <v>0</v>
      </c>
      <c r="H151" s="405">
        <f>SUMIF('Consolidado Cobros'!$B$10:$B$314,B151,'Consolidado Cobros'!$L$10:$L$314)</f>
        <v>770000</v>
      </c>
      <c r="I151" s="406">
        <f t="shared" si="66"/>
        <v>770000</v>
      </c>
      <c r="J151" s="413"/>
      <c r="K151" s="7"/>
    </row>
    <row r="152" spans="1:16" ht="12" customHeight="1" x14ac:dyDescent="0.2">
      <c r="A152" s="350">
        <f t="shared" ref="A152:A157" si="67">A151+1</f>
        <v>3</v>
      </c>
      <c r="B152" s="350" t="s">
        <v>23</v>
      </c>
      <c r="C152" s="404">
        <f>SUMIF('Consolidado Cobros'!$B$10:$B$314,B152,'Consolidado Cobros'!$F$10:$F$314)</f>
        <v>0</v>
      </c>
      <c r="D152" s="404">
        <f>SUMIF('Consolidado Cobros'!$B$10:$B$314,B152,'Consolidado Cobros'!$G$10:$G$314)</f>
        <v>0</v>
      </c>
      <c r="E152" s="487">
        <f>SUMIF('Consolidado Cobros'!$B$10:$B$314,B152,'Consolidado Cobros'!$H$10:$H$314)</f>
        <v>0</v>
      </c>
      <c r="F152" s="487">
        <f>SUMIF('Consolidado Cobros'!$B$10:$B$314,B152,'Consolidado Cobros'!$I$10:$I$314)</f>
        <v>0</v>
      </c>
      <c r="G152" s="226">
        <f>SUMIF('Consolidado Cobros'!$B$10:$B$314,B152,'Consolidado Cobros'!$J$10:$J$314)</f>
        <v>0</v>
      </c>
      <c r="H152" s="405">
        <f>SUMIF('Consolidado Cobros'!$B$10:$B$314,B152,'Consolidado Cobros'!$L$10:$L$314)</f>
        <v>1660000</v>
      </c>
      <c r="I152" s="406">
        <f t="shared" si="66"/>
        <v>1660000</v>
      </c>
      <c r="J152" s="413"/>
      <c r="K152" s="7"/>
    </row>
    <row r="153" spans="1:16" ht="12" customHeight="1" x14ac:dyDescent="0.2">
      <c r="A153" s="11" t="s">
        <v>204</v>
      </c>
      <c r="B153" s="555"/>
      <c r="C153" s="415">
        <f t="shared" ref="C153:I153" si="68">SUM(C150:C152)</f>
        <v>0</v>
      </c>
      <c r="D153" s="415">
        <f t="shared" si="68"/>
        <v>0</v>
      </c>
      <c r="E153" s="544">
        <f t="shared" si="68"/>
        <v>0</v>
      </c>
      <c r="F153" s="544">
        <f t="shared" si="68"/>
        <v>0</v>
      </c>
      <c r="G153" s="532">
        <f t="shared" si="68"/>
        <v>0</v>
      </c>
      <c r="H153" s="416">
        <f t="shared" si="68"/>
        <v>4350000</v>
      </c>
      <c r="I153" s="417">
        <f t="shared" si="68"/>
        <v>4350000</v>
      </c>
      <c r="J153" s="413"/>
      <c r="K153" s="7"/>
    </row>
    <row r="154" spans="1:16" ht="12" customHeight="1" x14ac:dyDescent="0.2">
      <c r="A154" s="1035"/>
      <c r="B154" s="555"/>
      <c r="C154" s="418"/>
      <c r="D154" s="418"/>
      <c r="E154" s="545"/>
      <c r="F154" s="545"/>
      <c r="G154" s="454"/>
      <c r="H154" s="419"/>
      <c r="I154" s="419"/>
      <c r="J154" s="420"/>
      <c r="K154" s="7"/>
    </row>
    <row r="155" spans="1:16" ht="12" customHeight="1" x14ac:dyDescent="0.2">
      <c r="A155" s="350">
        <f t="shared" si="67"/>
        <v>1</v>
      </c>
      <c r="B155" s="350" t="s">
        <v>21</v>
      </c>
      <c r="C155" s="404">
        <f>SUMIF('Consolidado Cobros'!$B$10:$B$314,B155,'Consolidado Cobros'!$F$10:$F$314)</f>
        <v>0</v>
      </c>
      <c r="D155" s="404">
        <f>SUMIF('Consolidado Cobros'!$B$10:$B$314,B155,'Consolidado Cobros'!$G$10:$G$314)</f>
        <v>0</v>
      </c>
      <c r="E155" s="487">
        <f>SUMIF('Consolidado Cobros'!$B$10:$B$314,B155,'Consolidado Cobros'!$H$10:$H$314)</f>
        <v>0</v>
      </c>
      <c r="F155" s="487">
        <f>SUMIF('Consolidado Cobros'!$B$10:$B$314,B155,'Consolidado Cobros'!$I$10:$I$314)</f>
        <v>0</v>
      </c>
      <c r="G155" s="226">
        <f>SUMIF('Consolidado Cobros'!$B$10:$B$314,B155,'Consolidado Cobros'!$J$10:$J$314)</f>
        <v>0</v>
      </c>
      <c r="H155" s="405">
        <f>SUMIF('Consolidado Cobros'!$B$10:$B$314,B155,'Consolidado Cobros'!$L$10:$L$314)</f>
        <v>1380000</v>
      </c>
      <c r="I155" s="406">
        <f t="shared" ref="I155" si="69">+G155+H155</f>
        <v>1380000</v>
      </c>
      <c r="J155" s="413"/>
      <c r="K155" s="7"/>
    </row>
    <row r="156" spans="1:16" ht="12" customHeight="1" x14ac:dyDescent="0.2">
      <c r="A156" s="350">
        <f>A152+1</f>
        <v>4</v>
      </c>
      <c r="B156" s="350" t="s">
        <v>47</v>
      </c>
      <c r="C156" s="404">
        <f>SUMIF('Consolidado Cobros'!$B$10:$B$314,B156,'Consolidado Cobros'!$F$10:$F$314)</f>
        <v>0</v>
      </c>
      <c r="D156" s="404">
        <f>SUMIF('Consolidado Cobros'!$B$10:$B$314,B156,'Consolidado Cobros'!$G$10:$G$314)</f>
        <v>0</v>
      </c>
      <c r="E156" s="487">
        <f>SUMIF('Consolidado Cobros'!$B$10:$B$314,B156,'Consolidado Cobros'!$H$10:$H$314)</f>
        <v>0</v>
      </c>
      <c r="F156" s="487">
        <f>SUMIF('Consolidado Cobros'!$B$10:$B$314,B156,'Consolidado Cobros'!$I$10:$I$314)</f>
        <v>0</v>
      </c>
      <c r="G156" s="226">
        <f>SUMIF('Consolidado Cobros'!$B$10:$B$314,B156,'Consolidado Cobros'!$J$10:$J$314)</f>
        <v>0</v>
      </c>
      <c r="H156" s="405">
        <f>SUMIF('Consolidado Cobros'!$B$10:$B$314,B156,'Consolidado Cobros'!$L$10:$L$314)</f>
        <v>0</v>
      </c>
      <c r="I156" s="406">
        <f t="shared" si="66"/>
        <v>0</v>
      </c>
      <c r="J156" s="413"/>
      <c r="K156" s="7"/>
    </row>
    <row r="157" spans="1:16" ht="12" customHeight="1" x14ac:dyDescent="0.2">
      <c r="A157" s="350">
        <f t="shared" si="67"/>
        <v>5</v>
      </c>
      <c r="B157" s="350" t="s">
        <v>48</v>
      </c>
      <c r="C157" s="404">
        <f>SUMIF('Consolidado Cobros'!$B$10:$B$314,B157,'Consolidado Cobros'!$F$10:$F$314)</f>
        <v>0</v>
      </c>
      <c r="D157" s="404">
        <f>SUMIF('Consolidado Cobros'!$B$10:$B$314,B157,'Consolidado Cobros'!$G$10:$G$314)</f>
        <v>0</v>
      </c>
      <c r="E157" s="487">
        <f>SUMIF('Consolidado Cobros'!$B$10:$B$314,B157,'Consolidado Cobros'!$H$10:$H$314)</f>
        <v>0</v>
      </c>
      <c r="F157" s="487">
        <f>SUMIF('Consolidado Cobros'!$B$10:$B$314,B157,'Consolidado Cobros'!$I$10:$I$314)</f>
        <v>0</v>
      </c>
      <c r="G157" s="226">
        <f>SUMIF('Consolidado Cobros'!$B$10:$B$314,B157,'Consolidado Cobros'!$J$10:$J$314)</f>
        <v>0</v>
      </c>
      <c r="H157" s="405">
        <f>SUMIF('Consolidado Cobros'!$B$10:$B$314,B157,'Consolidado Cobros'!$L$10:$L$314)</f>
        <v>590000</v>
      </c>
      <c r="I157" s="406">
        <f t="shared" si="66"/>
        <v>590000</v>
      </c>
      <c r="J157" s="413"/>
      <c r="K157" s="7"/>
    </row>
    <row r="158" spans="1:16" ht="12" customHeight="1" x14ac:dyDescent="0.2">
      <c r="A158" s="11" t="s">
        <v>204</v>
      </c>
      <c r="B158" s="555"/>
      <c r="C158" s="415">
        <f t="shared" ref="C158:G158" si="70">SUM(C155:C157)</f>
        <v>0</v>
      </c>
      <c r="D158" s="415">
        <f t="shared" si="70"/>
        <v>0</v>
      </c>
      <c r="E158" s="544">
        <f t="shared" si="70"/>
        <v>0</v>
      </c>
      <c r="F158" s="544">
        <f t="shared" si="70"/>
        <v>0</v>
      </c>
      <c r="G158" s="532">
        <f t="shared" si="70"/>
        <v>0</v>
      </c>
      <c r="H158" s="416">
        <f>SUM(H155:H157)</f>
        <v>1970000</v>
      </c>
      <c r="I158" s="417">
        <f t="shared" ref="I158" si="71">SUM(I155:I157)</f>
        <v>1970000</v>
      </c>
      <c r="J158" s="413"/>
      <c r="K158" s="7"/>
    </row>
    <row r="159" spans="1:16" ht="12" customHeight="1" x14ac:dyDescent="0.2">
      <c r="A159" s="1035"/>
      <c r="B159" s="555"/>
      <c r="C159" s="1020"/>
      <c r="D159" s="1020"/>
      <c r="E159" s="1021"/>
      <c r="F159" s="1021"/>
      <c r="G159" s="1020"/>
      <c r="H159" s="419"/>
      <c r="I159" s="419"/>
      <c r="J159" s="420"/>
      <c r="K159" s="7"/>
    </row>
    <row r="160" spans="1:16" ht="12" customHeight="1" x14ac:dyDescent="0.2">
      <c r="A160" s="56" t="s">
        <v>718</v>
      </c>
      <c r="B160" s="1017"/>
      <c r="C160" s="446">
        <f>+C158</f>
        <v>0</v>
      </c>
      <c r="D160" s="446">
        <f>+D158</f>
        <v>0</v>
      </c>
      <c r="E160" s="550">
        <f t="shared" ref="E160:G160" si="72">+E158</f>
        <v>0</v>
      </c>
      <c r="F160" s="550">
        <f t="shared" si="72"/>
        <v>0</v>
      </c>
      <c r="G160" s="538">
        <f t="shared" si="72"/>
        <v>0</v>
      </c>
      <c r="H160" s="446">
        <f>+H153+H158</f>
        <v>6320000</v>
      </c>
      <c r="I160" s="446">
        <f>+I153+I158</f>
        <v>6320000</v>
      </c>
      <c r="J160" s="459"/>
      <c r="K160" s="7"/>
    </row>
    <row r="161" spans="1:14" ht="12" customHeight="1" x14ac:dyDescent="0.2">
      <c r="A161" s="1035"/>
      <c r="B161" s="555"/>
      <c r="C161" s="418"/>
      <c r="D161" s="418"/>
      <c r="E161" s="545"/>
      <c r="F161" s="545"/>
      <c r="G161" s="454"/>
      <c r="H161" s="419"/>
      <c r="I161" s="419"/>
      <c r="J161" s="420"/>
      <c r="K161" s="7"/>
    </row>
    <row r="162" spans="1:14" ht="2.1" customHeight="1" x14ac:dyDescent="0.2">
      <c r="A162" s="1036"/>
      <c r="B162" s="1016"/>
      <c r="C162" s="427"/>
      <c r="D162" s="427"/>
      <c r="E162" s="156"/>
      <c r="F162" s="156"/>
      <c r="G162" s="66"/>
      <c r="H162" s="428"/>
      <c r="I162" s="428"/>
      <c r="J162" s="429"/>
      <c r="K162" s="7"/>
    </row>
    <row r="163" spans="1:14" ht="12" customHeight="1" x14ac:dyDescent="0.2">
      <c r="A163" s="15"/>
      <c r="C163" s="16"/>
      <c r="D163" s="16"/>
      <c r="E163" s="484"/>
      <c r="F163" s="484"/>
      <c r="G163" s="16"/>
      <c r="H163" s="16"/>
      <c r="I163" s="16"/>
      <c r="J163" s="16"/>
      <c r="K163" s="7"/>
    </row>
    <row r="164" spans="1:14" ht="12" customHeight="1" x14ac:dyDescent="0.2">
      <c r="A164" s="10" t="s">
        <v>296</v>
      </c>
      <c r="B164" s="14"/>
      <c r="C164" s="1018"/>
      <c r="D164" s="1018"/>
      <c r="E164" s="1019"/>
      <c r="F164" s="1019"/>
      <c r="G164" s="216"/>
      <c r="H164" s="439"/>
      <c r="I164" s="261"/>
      <c r="J164" s="333"/>
      <c r="K164" s="440"/>
      <c r="N164" s="150"/>
    </row>
    <row r="165" spans="1:14" ht="12" customHeight="1" x14ac:dyDescent="0.2">
      <c r="A165" s="350">
        <v>1</v>
      </c>
      <c r="B165" s="350" t="s">
        <v>294</v>
      </c>
      <c r="C165" s="404">
        <f>SUMIF('Consolidado Cobros'!$B$10:$B$314,B165,'Consolidado Cobros'!$F$10:$F$314)</f>
        <v>0</v>
      </c>
      <c r="D165" s="404">
        <f>SUMIF('Consolidado Cobros'!$B$10:$B$314,B165,'Consolidado Cobros'!$G$10:$G$314)</f>
        <v>0</v>
      </c>
      <c r="E165" s="487"/>
      <c r="F165" s="487"/>
      <c r="G165" s="226">
        <f>SUMIF('Consolidado Cobros'!$B$10:$B$314,B165,'Consolidado Cobros'!$J$10:$J$314)</f>
        <v>0</v>
      </c>
      <c r="H165" s="405">
        <f>SUMIF('Consolidado Cobros'!$B$10:$B$314,B165,'Consolidado Cobros'!$L$10:$L$314)</f>
        <v>1060000</v>
      </c>
      <c r="I165" s="406">
        <f t="shared" ref="I165:I166" si="73">+G165+H165</f>
        <v>1060000</v>
      </c>
      <c r="J165" s="414"/>
      <c r="K165" s="7"/>
    </row>
    <row r="166" spans="1:14" ht="12" customHeight="1" x14ac:dyDescent="0.2">
      <c r="A166" s="350">
        <f>A165+1</f>
        <v>2</v>
      </c>
      <c r="B166" s="350" t="s">
        <v>295</v>
      </c>
      <c r="C166" s="404">
        <f>SUMIF('Consolidado Cobros'!$B$10:$B$314,B166,'Consolidado Cobros'!$F$10:$F$314)</f>
        <v>0</v>
      </c>
      <c r="D166" s="404">
        <f>SUMIF('Consolidado Cobros'!$B$10:$B$314,B166,'Consolidado Cobros'!$G$10:$G$314)</f>
        <v>0</v>
      </c>
      <c r="E166" s="487"/>
      <c r="F166" s="487"/>
      <c r="G166" s="226">
        <f>SUMIF('Consolidado Cobros'!$B$10:$B$314,B166,'Consolidado Cobros'!$J$10:$J$314)</f>
        <v>0</v>
      </c>
      <c r="H166" s="405">
        <f>SUMIF('Consolidado Cobros'!$B$10:$B$314,B166,'Consolidado Cobros'!$L$10:$L$314)</f>
        <v>1060000</v>
      </c>
      <c r="I166" s="406">
        <f t="shared" si="73"/>
        <v>1060000</v>
      </c>
      <c r="J166" s="414"/>
      <c r="K166" s="7"/>
    </row>
    <row r="167" spans="1:14" ht="12" customHeight="1" x14ac:dyDescent="0.2">
      <c r="A167" s="11" t="s">
        <v>204</v>
      </c>
      <c r="B167" s="555"/>
      <c r="C167" s="415">
        <f>SUM(C165:C166)</f>
        <v>0</v>
      </c>
      <c r="D167" s="415">
        <f t="shared" ref="D167:G167" si="74">SUM(D165:D166)</f>
        <v>0</v>
      </c>
      <c r="E167" s="544">
        <f t="shared" ref="E167:F167" si="75">SUM(E165:E166)</f>
        <v>0</v>
      </c>
      <c r="F167" s="544">
        <f t="shared" si="75"/>
        <v>0</v>
      </c>
      <c r="G167" s="532">
        <f t="shared" si="74"/>
        <v>0</v>
      </c>
      <c r="H167" s="416">
        <f>SUM(H165:H166)</f>
        <v>2120000</v>
      </c>
      <c r="I167" s="417">
        <f>SUM(I165:I166)</f>
        <v>2120000</v>
      </c>
      <c r="J167" s="414"/>
      <c r="K167" s="7"/>
    </row>
    <row r="168" spans="1:14" ht="12" customHeight="1" x14ac:dyDescent="0.2">
      <c r="A168" s="1035"/>
      <c r="B168" s="555"/>
      <c r="C168" s="1020"/>
      <c r="D168" s="1020"/>
      <c r="E168" s="1021"/>
      <c r="F168" s="1021"/>
      <c r="G168" s="1020"/>
      <c r="H168" s="419"/>
      <c r="I168" s="419"/>
      <c r="J168" s="420"/>
      <c r="K168" s="7"/>
    </row>
    <row r="169" spans="1:14" ht="12" customHeight="1" x14ac:dyDescent="0.2">
      <c r="A169" s="56" t="s">
        <v>302</v>
      </c>
      <c r="B169" s="1017"/>
      <c r="C169" s="446">
        <f>+C167</f>
        <v>0</v>
      </c>
      <c r="D169" s="446">
        <f>+D167</f>
        <v>0</v>
      </c>
      <c r="E169" s="550">
        <f t="shared" ref="E169:F169" si="76">+E167</f>
        <v>0</v>
      </c>
      <c r="F169" s="550">
        <f t="shared" si="76"/>
        <v>0</v>
      </c>
      <c r="G169" s="538">
        <f t="shared" ref="G169:I169" si="77">+G167</f>
        <v>0</v>
      </c>
      <c r="H169" s="446">
        <f t="shared" si="77"/>
        <v>2120000</v>
      </c>
      <c r="I169" s="446">
        <f t="shared" si="77"/>
        <v>2120000</v>
      </c>
      <c r="J169" s="459"/>
      <c r="K169" s="7"/>
    </row>
    <row r="170" spans="1:14" ht="12" customHeight="1" x14ac:dyDescent="0.2">
      <c r="A170" s="1035"/>
      <c r="B170" s="555"/>
      <c r="C170" s="931"/>
      <c r="D170" s="931"/>
      <c r="E170" s="1011"/>
      <c r="F170" s="1011"/>
      <c r="G170" s="931"/>
      <c r="H170" s="412"/>
      <c r="I170" s="412"/>
      <c r="J170" s="332"/>
      <c r="K170" s="7"/>
    </row>
    <row r="171" spans="1:14" ht="2.1" customHeight="1" x14ac:dyDescent="0.2">
      <c r="A171" s="1036"/>
      <c r="B171" s="1016"/>
      <c r="C171" s="427"/>
      <c r="D171" s="427"/>
      <c r="E171" s="156"/>
      <c r="F171" s="156"/>
      <c r="G171" s="66"/>
      <c r="H171" s="428"/>
      <c r="I171" s="428"/>
      <c r="J171" s="429"/>
      <c r="K171" s="7"/>
    </row>
    <row r="172" spans="1:14" ht="12" customHeight="1" x14ac:dyDescent="0.2">
      <c r="A172" s="15"/>
      <c r="B172" s="398"/>
      <c r="C172" s="398"/>
      <c r="D172" s="398"/>
      <c r="I172" s="398"/>
      <c r="J172" s="430"/>
      <c r="K172" s="7"/>
    </row>
    <row r="173" spans="1:14" ht="12" customHeight="1" x14ac:dyDescent="0.2">
      <c r="A173" s="10" t="s">
        <v>214</v>
      </c>
      <c r="C173" s="931"/>
      <c r="D173" s="931"/>
      <c r="E173" s="1011"/>
      <c r="F173" s="1011"/>
      <c r="G173" s="931"/>
      <c r="I173" s="398"/>
      <c r="J173" s="430"/>
      <c r="K173" s="7"/>
    </row>
    <row r="174" spans="1:14" ht="12" customHeight="1" x14ac:dyDescent="0.2">
      <c r="A174" s="421">
        <v>1</v>
      </c>
      <c r="B174" s="421" t="s">
        <v>160</v>
      </c>
      <c r="C174" s="404">
        <f>SUMIF('Consolidado Cobros'!$B$10:$B$314,B174,'Consolidado Cobros'!$F$10:$F$314)</f>
        <v>0</v>
      </c>
      <c r="D174" s="404">
        <f>SUMIF('Consolidado Cobros'!$B$10:$B$314,B174,'Consolidado Cobros'!$G$10:$G$314)</f>
        <v>0</v>
      </c>
      <c r="E174" s="487"/>
      <c r="F174" s="487"/>
      <c r="G174" s="226">
        <f>SUMIF('Consolidado Cobros'!$B$10:$B$314,B174,'Consolidado Cobros'!$J$10:$J$314)</f>
        <v>0</v>
      </c>
      <c r="H174" s="405">
        <f>SUMIF('Consolidado Cobros'!$B$10:$B$314,B174,'Consolidado Cobros'!$L$10:$L$314)</f>
        <v>1760000</v>
      </c>
      <c r="I174" s="406">
        <f t="shared" ref="I174:I178" si="78">+G174+H174</f>
        <v>1760000</v>
      </c>
      <c r="J174" s="414"/>
      <c r="K174" s="7"/>
    </row>
    <row r="175" spans="1:14" ht="12" customHeight="1" x14ac:dyDescent="0.2">
      <c r="A175" s="421">
        <f>A174+1</f>
        <v>2</v>
      </c>
      <c r="B175" s="421" t="s">
        <v>49</v>
      </c>
      <c r="C175" s="404">
        <f>SUMIF('Consolidado Cobros'!$B$10:$B$314,B175,'Consolidado Cobros'!$F$10:$F$314)</f>
        <v>0</v>
      </c>
      <c r="D175" s="404">
        <f>SUMIF('Consolidado Cobros'!$B$10:$B$314,B175,'Consolidado Cobros'!$G$10:$G$314)</f>
        <v>0</v>
      </c>
      <c r="E175" s="487"/>
      <c r="F175" s="487"/>
      <c r="G175" s="226">
        <f>SUMIF('Consolidado Cobros'!$B$10:$B$314,B175,'Consolidado Cobros'!$J$10:$J$314)</f>
        <v>0</v>
      </c>
      <c r="H175" s="405">
        <f>SUMIF('Consolidado Cobros'!$B$10:$B$314,B175,'Consolidado Cobros'!$L$10:$L$314)</f>
        <v>0</v>
      </c>
      <c r="I175" s="406">
        <f t="shared" si="78"/>
        <v>0</v>
      </c>
      <c r="J175" s="414"/>
      <c r="K175" s="7"/>
    </row>
    <row r="176" spans="1:14" ht="12" customHeight="1" x14ac:dyDescent="0.2">
      <c r="A176" s="421">
        <f>A175+1</f>
        <v>3</v>
      </c>
      <c r="B176" s="354" t="s">
        <v>432</v>
      </c>
      <c r="C176" s="404">
        <f>SUMIF('Consolidado Cobros'!$B$10:$B$314,B176,'Consolidado Cobros'!$F$10:$F$314)</f>
        <v>0</v>
      </c>
      <c r="D176" s="404">
        <f>SUMIF('Consolidado Cobros'!$B$10:$B$314,B176,'Consolidado Cobros'!$G$10:$G$314)</f>
        <v>0</v>
      </c>
      <c r="E176" s="487"/>
      <c r="F176" s="487"/>
      <c r="G176" s="226">
        <f>SUMIF('Consolidado Cobros'!$B$10:$B$314,B176,'Consolidado Cobros'!$J$10:$J$314)</f>
        <v>0</v>
      </c>
      <c r="H176" s="405">
        <f>SUMIF('Consolidado Cobros'!$B$10:$B$314,B176,'Consolidado Cobros'!$L$10:$L$314)</f>
        <v>640000</v>
      </c>
      <c r="I176" s="406">
        <f t="shared" si="78"/>
        <v>640000</v>
      </c>
      <c r="J176" s="414"/>
      <c r="K176" s="7"/>
    </row>
    <row r="177" spans="1:193" ht="12" customHeight="1" x14ac:dyDescent="0.2">
      <c r="A177" s="421">
        <f>A176+1</f>
        <v>4</v>
      </c>
      <c r="B177" s="421" t="s">
        <v>115</v>
      </c>
      <c r="C177" s="404">
        <f>SUMIF('Consolidado Cobros'!$B$10:$B$314,B177,'Consolidado Cobros'!$F$10:$F$314)</f>
        <v>0</v>
      </c>
      <c r="D177" s="404">
        <f>SUMIF('Consolidado Cobros'!$B$10:$B$314,B177,'Consolidado Cobros'!$G$10:$G$314)</f>
        <v>0</v>
      </c>
      <c r="E177" s="487"/>
      <c r="F177" s="487"/>
      <c r="G177" s="226">
        <f>SUMIF('Consolidado Cobros'!$B$10:$B$314,B177,'Consolidado Cobros'!$J$10:$J$314)</f>
        <v>0</v>
      </c>
      <c r="H177" s="405">
        <f>SUMIF('Consolidado Cobros'!$B$10:$B$314,B177,'Consolidado Cobros'!$L$10:$L$314)</f>
        <v>0</v>
      </c>
      <c r="I177" s="406">
        <f t="shared" si="78"/>
        <v>0</v>
      </c>
      <c r="J177" s="414"/>
      <c r="K177" s="7"/>
    </row>
    <row r="178" spans="1:193" ht="12" customHeight="1" x14ac:dyDescent="0.2">
      <c r="A178" s="421">
        <f>A177+1</f>
        <v>5</v>
      </c>
      <c r="B178" s="421" t="s">
        <v>157</v>
      </c>
      <c r="C178" s="404">
        <f>SUMIF('Consolidado Cobros'!$B$10:$B$314,B178,'Consolidado Cobros'!$F$10:$F$314)</f>
        <v>0</v>
      </c>
      <c r="D178" s="404">
        <f>SUMIF('Consolidado Cobros'!$B$10:$B$314,B178,'Consolidado Cobros'!$G$10:$G$314)</f>
        <v>0</v>
      </c>
      <c r="E178" s="487"/>
      <c r="F178" s="487"/>
      <c r="G178" s="226">
        <f>SUMIF('Consolidado Cobros'!$B$10:$B$314,B178,'Consolidado Cobros'!$J$10:$J$314)</f>
        <v>0</v>
      </c>
      <c r="H178" s="405">
        <f>SUMIF('Consolidado Cobros'!$B$10:$B$314,B178,'Consolidado Cobros'!$L$10:$L$314)</f>
        <v>500000</v>
      </c>
      <c r="I178" s="406">
        <f t="shared" si="78"/>
        <v>500000</v>
      </c>
      <c r="J178" s="414"/>
      <c r="K178" s="7"/>
    </row>
    <row r="179" spans="1:193" ht="12" customHeight="1" x14ac:dyDescent="0.2">
      <c r="A179" s="11" t="s">
        <v>204</v>
      </c>
      <c r="B179" s="555"/>
      <c r="C179" s="415">
        <f>SUM(C174:C178)</f>
        <v>0</v>
      </c>
      <c r="D179" s="415">
        <f t="shared" ref="D179:G179" si="79">SUM(D174:D178)</f>
        <v>0</v>
      </c>
      <c r="E179" s="544">
        <f t="shared" ref="E179:F179" si="80">SUM(E174:E178)</f>
        <v>0</v>
      </c>
      <c r="F179" s="544">
        <f t="shared" si="80"/>
        <v>0</v>
      </c>
      <c r="G179" s="532">
        <f t="shared" si="79"/>
        <v>0</v>
      </c>
      <c r="H179" s="416">
        <f>SUM(H174:H178)</f>
        <v>2900000</v>
      </c>
      <c r="I179" s="417">
        <f>SUM(I174:I178)</f>
        <v>2900000</v>
      </c>
      <c r="J179" s="414"/>
      <c r="K179" s="7"/>
    </row>
    <row r="180" spans="1:193" ht="12" customHeight="1" x14ac:dyDescent="0.2">
      <c r="A180" s="11"/>
      <c r="B180" s="555"/>
      <c r="C180" s="418"/>
      <c r="D180" s="418"/>
      <c r="E180" s="545"/>
      <c r="F180" s="545"/>
      <c r="G180" s="454"/>
      <c r="H180" s="419"/>
      <c r="I180" s="419"/>
      <c r="J180" s="420"/>
      <c r="K180" s="7"/>
    </row>
    <row r="181" spans="1:193" ht="12" customHeight="1" x14ac:dyDescent="0.2">
      <c r="A181" s="11"/>
      <c r="B181" s="555"/>
      <c r="C181" s="100"/>
      <c r="D181" s="100"/>
      <c r="E181" s="358"/>
      <c r="F181" s="358"/>
      <c r="G181" s="148"/>
      <c r="H181" s="412"/>
      <c r="I181" s="412"/>
      <c r="J181" s="332"/>
      <c r="K181" s="7"/>
    </row>
    <row r="182" spans="1:193" s="460" customFormat="1" ht="12" customHeight="1" x14ac:dyDescent="0.2">
      <c r="A182" s="56" t="s">
        <v>301</v>
      </c>
      <c r="B182" s="1017"/>
      <c r="C182" s="446">
        <f>+C179</f>
        <v>0</v>
      </c>
      <c r="D182" s="446">
        <f>+D179</f>
        <v>0</v>
      </c>
      <c r="E182" s="550">
        <f t="shared" ref="E182:F182" si="81">+E179</f>
        <v>0</v>
      </c>
      <c r="F182" s="550">
        <f t="shared" si="81"/>
        <v>0</v>
      </c>
      <c r="G182" s="538">
        <f t="shared" ref="G182:I182" si="82">+G179</f>
        <v>0</v>
      </c>
      <c r="H182" s="446">
        <f t="shared" si="82"/>
        <v>2900000</v>
      </c>
      <c r="I182" s="446">
        <f t="shared" si="82"/>
        <v>2900000</v>
      </c>
      <c r="J182" s="459"/>
      <c r="K182" s="7"/>
      <c r="L182" s="5"/>
      <c r="M182" s="5"/>
      <c r="N182" s="208"/>
      <c r="O182" s="5"/>
      <c r="P182" s="16"/>
      <c r="Q182" s="291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</row>
    <row r="183" spans="1:193" ht="12" customHeight="1" x14ac:dyDescent="0.2">
      <c r="A183" s="1035"/>
      <c r="B183" s="555"/>
      <c r="C183" s="931"/>
      <c r="D183" s="931"/>
      <c r="E183" s="1011"/>
      <c r="F183" s="1011"/>
      <c r="G183" s="931"/>
      <c r="H183" s="412"/>
      <c r="I183" s="412"/>
      <c r="J183" s="332"/>
      <c r="K183" s="7"/>
    </row>
    <row r="184" spans="1:193" ht="2.1" customHeight="1" x14ac:dyDescent="0.2">
      <c r="A184" s="1036"/>
      <c r="B184" s="1016"/>
      <c r="C184" s="427"/>
      <c r="D184" s="427"/>
      <c r="E184" s="156"/>
      <c r="F184" s="156"/>
      <c r="G184" s="66"/>
      <c r="H184" s="428"/>
      <c r="I184" s="428"/>
      <c r="J184" s="429"/>
      <c r="K184" s="7"/>
    </row>
    <row r="185" spans="1:193" ht="12" customHeight="1" x14ac:dyDescent="0.2">
      <c r="A185" s="15"/>
      <c r="C185" s="16"/>
      <c r="D185" s="16"/>
      <c r="E185" s="484"/>
      <c r="F185" s="484"/>
      <c r="G185" s="16"/>
      <c r="H185" s="16"/>
      <c r="I185" s="398"/>
      <c r="J185" s="430"/>
      <c r="K185" s="7"/>
    </row>
    <row r="186" spans="1:193" ht="12" customHeight="1" x14ac:dyDescent="0.2">
      <c r="A186" s="10" t="s">
        <v>215</v>
      </c>
      <c r="C186" s="931"/>
      <c r="D186" s="931"/>
      <c r="E186" s="1011"/>
      <c r="F186" s="1011"/>
      <c r="G186" s="931"/>
      <c r="I186" s="398"/>
      <c r="J186" s="430"/>
      <c r="K186" s="7"/>
    </row>
    <row r="187" spans="1:193" ht="12" customHeight="1" x14ac:dyDescent="0.2">
      <c r="A187" s="421">
        <v>1</v>
      </c>
      <c r="B187" s="421" t="s">
        <v>113</v>
      </c>
      <c r="C187" s="404">
        <f>SUMIF('Consolidado Cobros'!$B$10:$B$314,B187,'Consolidado Cobros'!$F$10:$F$314)</f>
        <v>0</v>
      </c>
      <c r="D187" s="404">
        <f>SUMIF('Consolidado Cobros'!$B$10:$B$314,B187,'Consolidado Cobros'!$G$10:$G$314)</f>
        <v>0</v>
      </c>
      <c r="E187" s="487">
        <f>SUMIF('Consolidado Cobros'!$B$10:$B$314,B187,'Consolidado Cobros'!$H$10:$H$314)</f>
        <v>0</v>
      </c>
      <c r="F187" s="487">
        <f>SUMIF('Consolidado Cobros'!$B$10:$B$314,B187,'Consolidado Cobros'!$I$10:$I$314)</f>
        <v>0</v>
      </c>
      <c r="G187" s="226">
        <f>SUMIF('Consolidado Cobros'!$B$10:$B$314,B187,'Consolidado Cobros'!$J$10:$J$314)</f>
        <v>0</v>
      </c>
      <c r="H187" s="405">
        <f>SUMIF('Consolidado Cobros'!$B$10:$B$314,B187,'Consolidado Cobros'!$L$10:$L$314)</f>
        <v>3860000</v>
      </c>
      <c r="I187" s="406">
        <f t="shared" ref="I187:I190" si="83">+G187+H187</f>
        <v>3860000</v>
      </c>
      <c r="J187" s="1232"/>
      <c r="K187" s="7"/>
    </row>
    <row r="188" spans="1:193" ht="12" customHeight="1" x14ac:dyDescent="0.2">
      <c r="A188" s="421">
        <f>A187+1</f>
        <v>2</v>
      </c>
      <c r="B188" s="356" t="s">
        <v>195</v>
      </c>
      <c r="C188" s="404">
        <f>SUMIF('Consolidado Cobros'!$B$10:$B$314,B188,'Consolidado Cobros'!$F$10:$F$314)</f>
        <v>3372000</v>
      </c>
      <c r="D188" s="404">
        <f>SUMIF('Consolidado Cobros'!$B$10:$B$314,B188,'Consolidado Cobros'!$G$10:$G$314)</f>
        <v>640680</v>
      </c>
      <c r="E188" s="487">
        <f>SUMIF('Consolidado Cobros'!$B$10:$B$314,B188,'Consolidado Cobros'!$H$10:$H$314)</f>
        <v>-370920</v>
      </c>
      <c r="F188" s="487">
        <f>SUMIF('Consolidado Cobros'!$B$10:$B$314,B188,'Consolidado Cobros'!$I$10:$I$314)</f>
        <v>4012680</v>
      </c>
      <c r="G188" s="226">
        <f>SUMIF('Consolidado Cobros'!$B$10:$B$314,B188,'Consolidado Cobros'!$J$10:$J$314)</f>
        <v>3641760</v>
      </c>
      <c r="H188" s="405">
        <f>SUMIF('Consolidado Cobros'!$B$10:$B$314,B188,'Consolidado Cobros'!$L$10:$L$314)</f>
        <v>0</v>
      </c>
      <c r="I188" s="406">
        <f t="shared" si="83"/>
        <v>3641760</v>
      </c>
      <c r="J188" s="1861" t="s">
        <v>1121</v>
      </c>
      <c r="K188" s="7"/>
      <c r="L188" s="995">
        <f t="shared" ref="L188:L189" si="84">+C188*$L$7</f>
        <v>961020.00000000012</v>
      </c>
      <c r="M188" s="1001">
        <f t="shared" ref="M188:M189" si="85">+C188-L188*0</f>
        <v>3372000</v>
      </c>
      <c r="N188" s="568" t="s">
        <v>471</v>
      </c>
      <c r="O188" s="529">
        <f t="shared" ref="O188:O189" si="86">IF(N188="S",M188*$O$5,"NO RETENCIÓN")</f>
        <v>370920</v>
      </c>
      <c r="P188" s="1003">
        <f t="shared" ref="P188:P189" si="87">+M188/$P$5</f>
        <v>67.71220305628627</v>
      </c>
    </row>
    <row r="189" spans="1:193" ht="12" customHeight="1" x14ac:dyDescent="0.2">
      <c r="A189" s="421">
        <f t="shared" ref="A189:A190" si="88">A188+1</f>
        <v>3</v>
      </c>
      <c r="B189" s="356" t="s">
        <v>349</v>
      </c>
      <c r="C189" s="404">
        <f>SUMIF('Consolidado Cobros'!$B$10:$B$314,B189,'Consolidado Cobros'!$F$10:$F$314)</f>
        <v>3377000</v>
      </c>
      <c r="D189" s="404">
        <f>SUMIF('Consolidado Cobros'!$B$10:$B$314,B189,'Consolidado Cobros'!$G$10:$G$314)</f>
        <v>641630</v>
      </c>
      <c r="E189" s="487">
        <f>SUMIF('Consolidado Cobros'!$B$10:$B$314,B189,'Consolidado Cobros'!$H$10:$H$314)</f>
        <v>-371470</v>
      </c>
      <c r="F189" s="487">
        <f>SUMIF('Consolidado Cobros'!$B$10:$B$314,B189,'Consolidado Cobros'!$I$10:$I$314)</f>
        <v>4018630</v>
      </c>
      <c r="G189" s="226">
        <f>SUMIF('Consolidado Cobros'!$B$10:$B$314,B189,'Consolidado Cobros'!$J$10:$J$314)</f>
        <v>3647160</v>
      </c>
      <c r="H189" s="405">
        <f>SUMIF('Consolidado Cobros'!$B$10:$B$314,B189,'Consolidado Cobros'!$L$10:$L$314)</f>
        <v>0</v>
      </c>
      <c r="I189" s="406">
        <f t="shared" ref="I189" si="89">+G189+H189</f>
        <v>3647160</v>
      </c>
      <c r="J189" s="1861" t="s">
        <v>1122</v>
      </c>
      <c r="K189" s="7"/>
      <c r="L189" s="995">
        <f t="shared" si="84"/>
        <v>962445.00000000012</v>
      </c>
      <c r="M189" s="1001">
        <f t="shared" si="85"/>
        <v>3377000</v>
      </c>
      <c r="N189" s="568" t="s">
        <v>471</v>
      </c>
      <c r="O189" s="529">
        <f t="shared" si="86"/>
        <v>371470</v>
      </c>
      <c r="P189" s="1003">
        <f t="shared" si="87"/>
        <v>67.812606678848979</v>
      </c>
    </row>
    <row r="190" spans="1:193" ht="12" customHeight="1" x14ac:dyDescent="0.2">
      <c r="A190" s="421">
        <f t="shared" si="88"/>
        <v>4</v>
      </c>
      <c r="B190" s="421" t="s">
        <v>46</v>
      </c>
      <c r="C190" s="404">
        <f>SUMIF('Consolidado Cobros'!$B$10:$B$314,B190,'Consolidado Cobros'!$F$10:$F$314)</f>
        <v>0</v>
      </c>
      <c r="D190" s="404">
        <f>SUMIF('Consolidado Cobros'!$B$10:$B$314,B190,'Consolidado Cobros'!$G$10:$G$314)</f>
        <v>0</v>
      </c>
      <c r="E190" s="487">
        <f>SUMIF('Consolidado Cobros'!$B$10:$B$314,B190,'Consolidado Cobros'!$H$10:$H$314)</f>
        <v>0</v>
      </c>
      <c r="F190" s="487">
        <f>SUMIF('Consolidado Cobros'!$B$10:$B$314,B190,'Consolidado Cobros'!$I$10:$I$314)</f>
        <v>0</v>
      </c>
      <c r="G190" s="226">
        <f>SUMIF('Consolidado Cobros'!$B$10:$B$314,B190,'Consolidado Cobros'!$J$10:$J$314)</f>
        <v>0</v>
      </c>
      <c r="H190" s="405">
        <f>SUMIF('Consolidado Cobros'!$B$10:$B$314,B190,'Consolidado Cobros'!$L$10:$L$314)</f>
        <v>640000</v>
      </c>
      <c r="I190" s="406">
        <f t="shared" si="83"/>
        <v>640000</v>
      </c>
      <c r="J190" s="1232"/>
      <c r="K190" s="7"/>
    </row>
    <row r="191" spans="1:193" ht="12" customHeight="1" x14ac:dyDescent="0.2">
      <c r="A191" s="13" t="s">
        <v>204</v>
      </c>
      <c r="B191" s="1012"/>
      <c r="C191" s="415">
        <f>SUM(C186:C190)</f>
        <v>6749000</v>
      </c>
      <c r="D191" s="415">
        <f>SUM(D186:D190)</f>
        <v>1282310</v>
      </c>
      <c r="E191" s="544">
        <f>SUM(E187:E190)</f>
        <v>-742390</v>
      </c>
      <c r="F191" s="544">
        <f t="shared" ref="F191" si="90">SUM(F186:F190)</f>
        <v>8031310</v>
      </c>
      <c r="G191" s="532">
        <f>SUM(G186:G190)</f>
        <v>7288920</v>
      </c>
      <c r="H191" s="416">
        <f>SUM(H187:H190)</f>
        <v>4500000</v>
      </c>
      <c r="I191" s="417">
        <f>SUM(I187:I190)</f>
        <v>11788920</v>
      </c>
      <c r="J191" s="413"/>
      <c r="K191" s="7"/>
      <c r="N191" s="5"/>
      <c r="P191" s="5"/>
      <c r="Q191" s="5"/>
    </row>
    <row r="192" spans="1:193" ht="12" customHeight="1" x14ac:dyDescent="0.2">
      <c r="A192" s="1035"/>
      <c r="B192" s="555"/>
      <c r="C192" s="1020"/>
      <c r="D192" s="1020"/>
      <c r="E192" s="1021"/>
      <c r="F192" s="1021"/>
      <c r="G192" s="1020"/>
      <c r="H192" s="419"/>
      <c r="I192" s="419"/>
      <c r="J192" s="420"/>
      <c r="K192" s="7"/>
    </row>
    <row r="193" spans="1:11" ht="2.1" customHeight="1" x14ac:dyDescent="0.2">
      <c r="A193" s="1036"/>
      <c r="B193" s="1016"/>
      <c r="C193" s="427"/>
      <c r="D193" s="427"/>
      <c r="E193" s="156"/>
      <c r="F193" s="156"/>
      <c r="G193" s="66"/>
      <c r="H193" s="428"/>
      <c r="I193" s="428"/>
      <c r="J193" s="429"/>
      <c r="K193" s="7"/>
    </row>
    <row r="194" spans="1:11" ht="12" customHeight="1" x14ac:dyDescent="0.2">
      <c r="A194" s="15"/>
      <c r="C194" s="16"/>
      <c r="D194" s="16"/>
      <c r="E194" s="484"/>
      <c r="F194" s="484"/>
      <c r="G194" s="16"/>
      <c r="H194" s="16"/>
      <c r="I194" s="398"/>
      <c r="J194" s="430"/>
      <c r="K194" s="7"/>
    </row>
    <row r="195" spans="1:11" ht="12" customHeight="1" x14ac:dyDescent="0.2">
      <c r="A195" s="10" t="s">
        <v>216</v>
      </c>
      <c r="C195" s="931"/>
      <c r="D195" s="931"/>
      <c r="E195" s="1011"/>
      <c r="F195" s="1011"/>
      <c r="G195" s="931"/>
      <c r="I195" s="398"/>
      <c r="J195" s="430"/>
      <c r="K195" s="7"/>
    </row>
    <row r="196" spans="1:11" ht="12" customHeight="1" x14ac:dyDescent="0.2">
      <c r="A196" s="432">
        <v>1</v>
      </c>
      <c r="B196" s="431" t="s">
        <v>12</v>
      </c>
      <c r="C196" s="404">
        <f>SUMIF('Consolidado Cobros'!$B$10:$B$314,B196,'Consolidado Cobros'!$F$10:$F$314)</f>
        <v>0</v>
      </c>
      <c r="D196" s="404">
        <f>SUMIF('Consolidado Cobros'!$B$10:$B$314,B196,'Consolidado Cobros'!$G$10:$G$314)</f>
        <v>0</v>
      </c>
      <c r="E196" s="487"/>
      <c r="F196" s="487"/>
      <c r="G196" s="226">
        <f>SUMIF('Consolidado Cobros'!$B$10:$B$314,B196,'Consolidado Cobros'!$J$10:$J$314)</f>
        <v>0</v>
      </c>
      <c r="H196" s="405">
        <f>SUMIF('Consolidado Cobros'!$B$10:$B$314,B196,'Consolidado Cobros'!$L$10:$L$314)</f>
        <v>0</v>
      </c>
      <c r="I196" s="406">
        <f t="shared" ref="I196:I199" si="91">+G196+H196</f>
        <v>0</v>
      </c>
      <c r="J196" s="414"/>
      <c r="K196" s="7"/>
    </row>
    <row r="197" spans="1:11" ht="12" customHeight="1" x14ac:dyDescent="0.2">
      <c r="A197" s="432">
        <f>A196+1</f>
        <v>2</v>
      </c>
      <c r="B197" s="431" t="s">
        <v>28</v>
      </c>
      <c r="C197" s="404">
        <f>SUMIF('Consolidado Cobros'!$B$10:$B$314,B197,'Consolidado Cobros'!$F$10:$F$314)</f>
        <v>0</v>
      </c>
      <c r="D197" s="404">
        <f>SUMIF('Consolidado Cobros'!$B$10:$B$314,B197,'Consolidado Cobros'!$G$10:$G$314)</f>
        <v>0</v>
      </c>
      <c r="E197" s="487"/>
      <c r="F197" s="487"/>
      <c r="G197" s="226">
        <f>SUMIF('Consolidado Cobros'!$B$10:$B$314,B197,'Consolidado Cobros'!$J$10:$J$314)</f>
        <v>0</v>
      </c>
      <c r="H197" s="405">
        <f>SUMIF('Consolidado Cobros'!$B$10:$B$314,B197,'Consolidado Cobros'!$L$10:$L$314)</f>
        <v>720000</v>
      </c>
      <c r="I197" s="406">
        <f t="shared" si="91"/>
        <v>720000</v>
      </c>
      <c r="J197" s="414"/>
      <c r="K197" s="7"/>
    </row>
    <row r="198" spans="1:11" ht="12" customHeight="1" x14ac:dyDescent="0.2">
      <c r="A198" s="432">
        <f>A197+1</f>
        <v>3</v>
      </c>
      <c r="B198" s="431" t="s">
        <v>11</v>
      </c>
      <c r="C198" s="404">
        <f>SUMIF('Consolidado Cobros'!$B$10:$B$314,B198,'Consolidado Cobros'!$F$10:$F$314)</f>
        <v>0</v>
      </c>
      <c r="D198" s="404">
        <f>SUMIF('Consolidado Cobros'!$B$10:$B$314,B198,'Consolidado Cobros'!$G$10:$G$314)</f>
        <v>0</v>
      </c>
      <c r="E198" s="487"/>
      <c r="F198" s="487"/>
      <c r="G198" s="226">
        <f>SUMIF('Consolidado Cobros'!$B$10:$B$314,B198,'Consolidado Cobros'!$J$10:$J$314)</f>
        <v>0</v>
      </c>
      <c r="H198" s="405">
        <f>SUMIF('Consolidado Cobros'!$B$10:$B$314,B198,'Consolidado Cobros'!$L$10:$L$314)</f>
        <v>360000</v>
      </c>
      <c r="I198" s="406">
        <f t="shared" si="91"/>
        <v>360000</v>
      </c>
      <c r="J198" s="414"/>
      <c r="K198" s="7"/>
    </row>
    <row r="199" spans="1:11" ht="12" customHeight="1" x14ac:dyDescent="0.2">
      <c r="A199" s="421">
        <f>A198+1</f>
        <v>4</v>
      </c>
      <c r="B199" s="421" t="s">
        <v>10</v>
      </c>
      <c r="C199" s="404">
        <f>SUMIF('Consolidado Cobros'!$B$10:$B$314,B199,'Consolidado Cobros'!$F$10:$F$314)</f>
        <v>0</v>
      </c>
      <c r="D199" s="404">
        <f>SUMIF('Consolidado Cobros'!$B$10:$B$314,B199,'Consolidado Cobros'!$G$10:$G$314)</f>
        <v>0</v>
      </c>
      <c r="E199" s="487"/>
      <c r="F199" s="487"/>
      <c r="G199" s="226">
        <f>SUMIF('Consolidado Cobros'!$B$10:$B$314,B199,'Consolidado Cobros'!$J$10:$J$314)</f>
        <v>0</v>
      </c>
      <c r="H199" s="405">
        <f>SUMIF('Consolidado Cobros'!$B$10:$B$314,B199,'Consolidado Cobros'!$L$10:$L$314)</f>
        <v>720000</v>
      </c>
      <c r="I199" s="406">
        <f t="shared" si="91"/>
        <v>720000</v>
      </c>
      <c r="J199" s="414"/>
      <c r="K199" s="7"/>
    </row>
    <row r="200" spans="1:11" ht="12" customHeight="1" x14ac:dyDescent="0.2">
      <c r="A200" s="11" t="s">
        <v>204</v>
      </c>
      <c r="B200" s="555"/>
      <c r="C200" s="415">
        <f>SUM(C195:C199)</f>
        <v>0</v>
      </c>
      <c r="D200" s="415">
        <f t="shared" ref="D200:G200" si="92">SUM(D195:D199)</f>
        <v>0</v>
      </c>
      <c r="E200" s="544">
        <f t="shared" si="92"/>
        <v>0</v>
      </c>
      <c r="F200" s="544">
        <f t="shared" si="92"/>
        <v>0</v>
      </c>
      <c r="G200" s="532">
        <f t="shared" si="92"/>
        <v>0</v>
      </c>
      <c r="H200" s="416">
        <f>SUM(H196:H199)</f>
        <v>1800000</v>
      </c>
      <c r="I200" s="417">
        <f>SUM(I196:I199)</f>
        <v>1800000</v>
      </c>
      <c r="J200" s="414"/>
      <c r="K200" s="7"/>
    </row>
    <row r="201" spans="1:11" ht="12" customHeight="1" x14ac:dyDescent="0.2">
      <c r="A201" s="1035"/>
      <c r="B201" s="555"/>
      <c r="C201" s="1020"/>
      <c r="D201" s="1020"/>
      <c r="E201" s="1021"/>
      <c r="F201" s="1021"/>
      <c r="G201" s="1020"/>
      <c r="H201" s="419"/>
      <c r="I201" s="419"/>
      <c r="J201" s="420"/>
      <c r="K201" s="7"/>
    </row>
    <row r="202" spans="1:11" ht="2.1" customHeight="1" x14ac:dyDescent="0.2">
      <c r="A202" s="1036"/>
      <c r="B202" s="1016"/>
      <c r="C202" s="427"/>
      <c r="D202" s="427"/>
      <c r="E202" s="156"/>
      <c r="F202" s="156"/>
      <c r="G202" s="66"/>
      <c r="H202" s="428"/>
      <c r="I202" s="428"/>
      <c r="J202" s="429"/>
      <c r="K202" s="7"/>
    </row>
    <row r="203" spans="1:11" ht="12" customHeight="1" x14ac:dyDescent="0.2">
      <c r="A203" s="15"/>
      <c r="C203" s="16"/>
      <c r="D203" s="16"/>
      <c r="E203" s="484"/>
      <c r="F203" s="484"/>
      <c r="G203" s="16"/>
      <c r="H203" s="16"/>
      <c r="I203" s="398"/>
      <c r="J203" s="430"/>
      <c r="K203" s="7"/>
    </row>
    <row r="204" spans="1:11" ht="12" customHeight="1" x14ac:dyDescent="0.2">
      <c r="A204" s="10" t="s">
        <v>217</v>
      </c>
      <c r="C204" s="931"/>
      <c r="D204" s="931"/>
      <c r="E204" s="1011"/>
      <c r="F204" s="1011"/>
      <c r="G204" s="931"/>
      <c r="I204" s="398"/>
      <c r="J204" s="430"/>
      <c r="K204" s="7"/>
    </row>
    <row r="205" spans="1:11" ht="12" customHeight="1" x14ac:dyDescent="0.2">
      <c r="A205" s="421">
        <v>1</v>
      </c>
      <c r="B205" s="421" t="s">
        <v>144</v>
      </c>
      <c r="C205" s="404">
        <f>SUMIF('Consolidado Cobros'!$B$10:$B$314,B205,'Consolidado Cobros'!$F$10:$F$314)</f>
        <v>0</v>
      </c>
      <c r="D205" s="404">
        <f>SUMIF('Consolidado Cobros'!$B$10:$B$314,B205,'Consolidado Cobros'!$G$10:$G$314)</f>
        <v>0</v>
      </c>
      <c r="E205" s="487"/>
      <c r="F205" s="487"/>
      <c r="G205" s="226">
        <f>SUMIF('Consolidado Cobros'!$B$10:$B$314,B205,'Consolidado Cobros'!$J$10:$J$314)</f>
        <v>0</v>
      </c>
      <c r="H205" s="405">
        <f>SUMIF('Consolidado Cobros'!$B$10:$B$314,B205,'Consolidado Cobros'!$L$10:$L$314)</f>
        <v>780000</v>
      </c>
      <c r="I205" s="406">
        <f t="shared" ref="I205:I209" si="93">+G205+H205</f>
        <v>780000</v>
      </c>
      <c r="J205" s="414"/>
      <c r="K205" s="7"/>
    </row>
    <row r="206" spans="1:11" ht="12" customHeight="1" x14ac:dyDescent="0.2">
      <c r="A206" s="421">
        <f>A205+1</f>
        <v>2</v>
      </c>
      <c r="B206" s="421" t="s">
        <v>150</v>
      </c>
      <c r="C206" s="404">
        <f>SUMIF('Consolidado Cobros'!$B$10:$B$314,B206,'Consolidado Cobros'!$F$10:$F$314)</f>
        <v>0</v>
      </c>
      <c r="D206" s="404">
        <f>SUMIF('Consolidado Cobros'!$B$10:$B$314,B206,'Consolidado Cobros'!$G$10:$G$314)</f>
        <v>0</v>
      </c>
      <c r="E206" s="487"/>
      <c r="F206" s="487"/>
      <c r="G206" s="226">
        <f>SUMIF('Consolidado Cobros'!$B$10:$B$314,B206,'Consolidado Cobros'!$J$10:$J$314)</f>
        <v>0</v>
      </c>
      <c r="H206" s="405">
        <f>SUMIF('Consolidado Cobros'!$B$10:$B$314,B206,'Consolidado Cobros'!$L$10:$L$314)</f>
        <v>770000</v>
      </c>
      <c r="I206" s="406">
        <f t="shared" si="93"/>
        <v>770000</v>
      </c>
      <c r="J206" s="414"/>
      <c r="K206" s="7"/>
    </row>
    <row r="207" spans="1:11" ht="12" customHeight="1" x14ac:dyDescent="0.2">
      <c r="A207" s="421">
        <f>A206+1</f>
        <v>3</v>
      </c>
      <c r="B207" s="356" t="s">
        <v>455</v>
      </c>
      <c r="C207" s="404">
        <f>SUMIF('Consolidado Cobros'!$B$10:$B$314,B207,'Consolidado Cobros'!$F$10:$F$314)</f>
        <v>0</v>
      </c>
      <c r="D207" s="404">
        <f>SUMIF('Consolidado Cobros'!$B$10:$B$314,B207,'Consolidado Cobros'!$G$10:$G$314)</f>
        <v>0</v>
      </c>
      <c r="E207" s="487"/>
      <c r="F207" s="487"/>
      <c r="G207" s="226">
        <f>SUMIF('Consolidado Cobros'!$B$10:$B$314,B207,'Consolidado Cobros'!$J$10:$J$314)</f>
        <v>0</v>
      </c>
      <c r="H207" s="405">
        <f>SUMIF('Consolidado Cobros'!$B$10:$B$314,B207,'Consolidado Cobros'!$L$10:$L$314)</f>
        <v>770000</v>
      </c>
      <c r="I207" s="406">
        <f t="shared" si="93"/>
        <v>770000</v>
      </c>
      <c r="J207" s="414"/>
      <c r="K207" s="7"/>
    </row>
    <row r="208" spans="1:11" ht="12" customHeight="1" x14ac:dyDescent="0.2">
      <c r="A208" s="421">
        <f>A207+1</f>
        <v>4</v>
      </c>
      <c r="B208" s="421" t="s">
        <v>153</v>
      </c>
      <c r="C208" s="404">
        <f>SUMIF('Consolidado Cobros'!$B$10:$B$314,B208,'Consolidado Cobros'!$F$10:$F$314)</f>
        <v>0</v>
      </c>
      <c r="D208" s="404">
        <f>SUMIF('Consolidado Cobros'!$B$10:$B$314,B208,'Consolidado Cobros'!$G$10:$G$314)</f>
        <v>0</v>
      </c>
      <c r="E208" s="487"/>
      <c r="F208" s="487"/>
      <c r="G208" s="226">
        <f>SUMIF('Consolidado Cobros'!$B$10:$B$314,B208,'Consolidado Cobros'!$J$10:$J$314)</f>
        <v>0</v>
      </c>
      <c r="H208" s="405">
        <f>SUMIF('Consolidado Cobros'!$B$10:$B$314,B208,'Consolidado Cobros'!$L$10:$L$314)</f>
        <v>500000</v>
      </c>
      <c r="I208" s="406">
        <f t="shared" si="93"/>
        <v>500000</v>
      </c>
      <c r="J208" s="414"/>
      <c r="K208" s="7"/>
    </row>
    <row r="209" spans="1:11" ht="12" customHeight="1" x14ac:dyDescent="0.2">
      <c r="A209" s="421">
        <f>A208+1</f>
        <v>5</v>
      </c>
      <c r="B209" s="421" t="s">
        <v>152</v>
      </c>
      <c r="C209" s="404">
        <f>SUMIF('Consolidado Cobros'!$B$10:$B$314,B209,'Consolidado Cobros'!$F$10:$F$314)</f>
        <v>0</v>
      </c>
      <c r="D209" s="404">
        <f>SUMIF('Consolidado Cobros'!$B$10:$B$314,B209,'Consolidado Cobros'!$G$10:$G$314)</f>
        <v>0</v>
      </c>
      <c r="E209" s="487"/>
      <c r="F209" s="487"/>
      <c r="G209" s="226">
        <f>SUMIF('Consolidado Cobros'!$B$10:$B$314,B209,'Consolidado Cobros'!$J$10:$J$314)</f>
        <v>0</v>
      </c>
      <c r="H209" s="405">
        <f>SUMIF('Consolidado Cobros'!$B$10:$B$314,B209,'Consolidado Cobros'!$L$10:$L$314)</f>
        <v>500000</v>
      </c>
      <c r="I209" s="406">
        <f t="shared" si="93"/>
        <v>500000</v>
      </c>
      <c r="J209" s="414"/>
      <c r="K209" s="7"/>
    </row>
    <row r="210" spans="1:11" ht="12" customHeight="1" x14ac:dyDescent="0.2">
      <c r="A210" s="11" t="s">
        <v>204</v>
      </c>
      <c r="B210" s="555"/>
      <c r="C210" s="415">
        <f>SUM(C205:C209)</f>
        <v>0</v>
      </c>
      <c r="D210" s="415">
        <f>SUM(D205:D209)</f>
        <v>0</v>
      </c>
      <c r="E210" s="544">
        <f t="shared" ref="E210:F210" si="94">SUM(E205:E209)</f>
        <v>0</v>
      </c>
      <c r="F210" s="544">
        <f t="shared" si="94"/>
        <v>0</v>
      </c>
      <c r="G210" s="532">
        <f>SUM(G205:G209)</f>
        <v>0</v>
      </c>
      <c r="H210" s="416">
        <f>SUM(H205:H209)</f>
        <v>3320000</v>
      </c>
      <c r="I210" s="417">
        <f>SUM(I205:I209)</f>
        <v>3320000</v>
      </c>
      <c r="J210" s="414"/>
      <c r="K210" s="7"/>
    </row>
    <row r="211" spans="1:11" ht="12" customHeight="1" x14ac:dyDescent="0.2">
      <c r="A211" s="1035"/>
      <c r="B211" s="555"/>
      <c r="C211" s="1020"/>
      <c r="D211" s="1020"/>
      <c r="E211" s="1021"/>
      <c r="F211" s="1021"/>
      <c r="G211" s="1020"/>
      <c r="H211" s="419"/>
      <c r="I211" s="419"/>
      <c r="J211" s="420"/>
      <c r="K211" s="7"/>
    </row>
    <row r="212" spans="1:11" ht="2.1" customHeight="1" x14ac:dyDescent="0.2">
      <c r="A212" s="1036"/>
      <c r="B212" s="1016"/>
      <c r="C212" s="427"/>
      <c r="D212" s="427"/>
      <c r="E212" s="156"/>
      <c r="F212" s="156"/>
      <c r="G212" s="66"/>
      <c r="H212" s="428"/>
      <c r="I212" s="428"/>
      <c r="J212" s="429"/>
      <c r="K212" s="7"/>
    </row>
    <row r="213" spans="1:11" ht="12" customHeight="1" x14ac:dyDescent="0.2">
      <c r="A213" s="1035"/>
      <c r="B213" s="555"/>
      <c r="C213" s="426"/>
      <c r="D213" s="426"/>
      <c r="E213" s="358"/>
      <c r="F213" s="358"/>
      <c r="G213" s="148"/>
      <c r="I213" s="398"/>
      <c r="J213" s="394"/>
      <c r="K213" s="7"/>
    </row>
    <row r="214" spans="1:11" ht="12" customHeight="1" x14ac:dyDescent="0.2">
      <c r="A214" s="1038" t="s">
        <v>254</v>
      </c>
      <c r="C214" s="931"/>
      <c r="D214" s="931"/>
      <c r="E214" s="1011"/>
      <c r="F214" s="1011"/>
      <c r="G214" s="931"/>
      <c r="I214" s="398"/>
      <c r="J214" s="430"/>
      <c r="K214" s="7"/>
    </row>
    <row r="215" spans="1:11" ht="12" customHeight="1" x14ac:dyDescent="0.2">
      <c r="A215" s="421">
        <v>1</v>
      </c>
      <c r="B215" s="462" t="s">
        <v>243</v>
      </c>
      <c r="C215" s="404">
        <f>SUMIF('Consolidado Cobros'!$B$10:$B$314,B215,'Consolidado Cobros'!$F$10:$F$314)</f>
        <v>0</v>
      </c>
      <c r="D215" s="404">
        <f>SUMIF('Consolidado Cobros'!$B$10:$B$314,B215,'Consolidado Cobros'!$G$10:$G$314)</f>
        <v>0</v>
      </c>
      <c r="E215" s="487"/>
      <c r="F215" s="487"/>
      <c r="G215" s="226">
        <f>SUMIF('Consolidado Cobros'!$B$10:$B$314,B215,'Consolidado Cobros'!$J$10:$J$314)</f>
        <v>0</v>
      </c>
      <c r="H215" s="405">
        <f>SUMIF('Consolidado Cobros'!$B$10:$B$314,B215,'Consolidado Cobros'!$L$10:$L$314)</f>
        <v>500000</v>
      </c>
      <c r="I215" s="406">
        <f t="shared" ref="I215:I216" si="95">+G215+H215</f>
        <v>500000</v>
      </c>
      <c r="J215" s="411"/>
      <c r="K215" s="7"/>
    </row>
    <row r="216" spans="1:11" ht="12" customHeight="1" x14ac:dyDescent="0.2">
      <c r="A216" s="421">
        <f>A215+1</f>
        <v>2</v>
      </c>
      <c r="B216" s="463" t="s">
        <v>242</v>
      </c>
      <c r="C216" s="404">
        <f>SUMIF('Consolidado Cobros'!$B$10:$B$314,B216,'Consolidado Cobros'!$F$10:$F$314)</f>
        <v>0</v>
      </c>
      <c r="D216" s="404">
        <f>SUMIF('Consolidado Cobros'!$B$10:$B$314,B216,'Consolidado Cobros'!$G$10:$G$314)</f>
        <v>0</v>
      </c>
      <c r="E216" s="487"/>
      <c r="F216" s="487"/>
      <c r="G216" s="226">
        <f>SUMIF('Consolidado Cobros'!$B$10:$B$314,B216,'Consolidado Cobros'!$J$10:$J$314)</f>
        <v>0</v>
      </c>
      <c r="H216" s="405">
        <f>SUMIF('Consolidado Cobros'!$B$10:$B$314,B216,'Consolidado Cobros'!$L$10:$L$314)</f>
        <v>500000</v>
      </c>
      <c r="I216" s="406">
        <f t="shared" si="95"/>
        <v>500000</v>
      </c>
      <c r="J216" s="411"/>
      <c r="K216" s="7"/>
    </row>
    <row r="217" spans="1:11" ht="12" customHeight="1" x14ac:dyDescent="0.2">
      <c r="A217" s="11" t="s">
        <v>204</v>
      </c>
      <c r="B217" s="555"/>
      <c r="C217" s="408">
        <f>SUM(C214:C216)</f>
        <v>0</v>
      </c>
      <c r="D217" s="408">
        <f t="shared" ref="D217:G217" si="96">SUM(D214:D216)</f>
        <v>0</v>
      </c>
      <c r="E217" s="529">
        <f t="shared" si="96"/>
        <v>0</v>
      </c>
      <c r="F217" s="529">
        <f t="shared" si="96"/>
        <v>0</v>
      </c>
      <c r="G217" s="407">
        <f t="shared" si="96"/>
        <v>0</v>
      </c>
      <c r="H217" s="409">
        <f>SUM(H215:H216)</f>
        <v>1000000</v>
      </c>
      <c r="I217" s="410">
        <f>SUM(I215:I216)</f>
        <v>1000000</v>
      </c>
      <c r="J217" s="411"/>
      <c r="K217" s="7"/>
    </row>
    <row r="218" spans="1:11" ht="12" customHeight="1" x14ac:dyDescent="0.2">
      <c r="A218" s="1035"/>
      <c r="B218" s="555"/>
      <c r="C218" s="931"/>
      <c r="D218" s="931"/>
      <c r="E218" s="1011"/>
      <c r="F218" s="1011"/>
      <c r="G218" s="931"/>
      <c r="H218" s="419"/>
      <c r="I218" s="419"/>
      <c r="J218" s="332"/>
      <c r="K218" s="7"/>
    </row>
    <row r="219" spans="1:11" ht="2.1" customHeight="1" x14ac:dyDescent="0.2">
      <c r="A219" s="1036"/>
      <c r="B219" s="1016"/>
      <c r="C219" s="427"/>
      <c r="D219" s="427"/>
      <c r="E219" s="156"/>
      <c r="F219" s="156"/>
      <c r="G219" s="66"/>
      <c r="H219" s="428"/>
      <c r="I219" s="428"/>
      <c r="J219" s="429"/>
      <c r="K219" s="7"/>
    </row>
    <row r="220" spans="1:11" ht="12" customHeight="1" x14ac:dyDescent="0.2">
      <c r="A220" s="15"/>
      <c r="C220" s="16"/>
      <c r="D220" s="16"/>
      <c r="E220" s="484"/>
      <c r="F220" s="484"/>
      <c r="G220" s="16"/>
      <c r="I220" s="398"/>
      <c r="J220" s="430"/>
      <c r="K220" s="7"/>
    </row>
    <row r="221" spans="1:11" ht="12" customHeight="1" x14ac:dyDescent="0.2">
      <c r="A221" s="10" t="s">
        <v>218</v>
      </c>
      <c r="C221" s="931"/>
      <c r="D221" s="931"/>
      <c r="E221" s="1011"/>
      <c r="F221" s="1011"/>
      <c r="G221" s="931"/>
      <c r="I221" s="398"/>
      <c r="J221" s="430"/>
      <c r="K221" s="7"/>
    </row>
    <row r="222" spans="1:11" ht="12" customHeight="1" x14ac:dyDescent="0.2">
      <c r="A222" s="421">
        <v>1</v>
      </c>
      <c r="B222" s="421" t="s">
        <v>357</v>
      </c>
      <c r="C222" s="404">
        <f>SUMIF('Consolidado Cobros'!$B$10:$B$314,B222,'Consolidado Cobros'!$F$10:$F$314)</f>
        <v>0</v>
      </c>
      <c r="D222" s="404">
        <f>SUMIF('Consolidado Cobros'!$B$10:$B$314,B222,'Consolidado Cobros'!$G$10:$G$314)</f>
        <v>0</v>
      </c>
      <c r="E222" s="487"/>
      <c r="F222" s="487"/>
      <c r="G222" s="226">
        <f>SUMIF('Consolidado Cobros'!$B$10:$B$314,B222,'Consolidado Cobros'!$J$10:$J$314)</f>
        <v>0</v>
      </c>
      <c r="H222" s="405">
        <f>SUMIF('Consolidado Cobros'!$B$10:$B$314,B222,'Consolidado Cobros'!$L$10:$L$314)</f>
        <v>1320000</v>
      </c>
      <c r="I222" s="406">
        <f t="shared" ref="I222:I226" si="97">+G222+H222</f>
        <v>1320000</v>
      </c>
      <c r="J222" s="414"/>
      <c r="K222" s="7"/>
    </row>
    <row r="223" spans="1:11" ht="12" customHeight="1" x14ac:dyDescent="0.2">
      <c r="A223" s="421">
        <f>A222+1</f>
        <v>2</v>
      </c>
      <c r="B223" s="421" t="s">
        <v>31</v>
      </c>
      <c r="C223" s="404">
        <f>SUMIF('Consolidado Cobros'!$B$10:$B$314,B223,'Consolidado Cobros'!$F$10:$F$314)</f>
        <v>0</v>
      </c>
      <c r="D223" s="404">
        <f>SUMIF('Consolidado Cobros'!$B$10:$B$314,B223,'Consolidado Cobros'!$G$10:$G$314)</f>
        <v>0</v>
      </c>
      <c r="E223" s="487"/>
      <c r="F223" s="487"/>
      <c r="G223" s="226">
        <f>SUMIF('Consolidado Cobros'!$B$10:$B$314,B223,'Consolidado Cobros'!$J$10:$J$314)</f>
        <v>0</v>
      </c>
      <c r="H223" s="405">
        <f>SUMIF('Consolidado Cobros'!$B$10:$B$314,B223,'Consolidado Cobros'!$L$10:$L$314)</f>
        <v>820000</v>
      </c>
      <c r="I223" s="406">
        <f t="shared" si="97"/>
        <v>820000</v>
      </c>
      <c r="J223" s="414"/>
      <c r="K223" s="7"/>
    </row>
    <row r="224" spans="1:11" ht="12" customHeight="1" x14ac:dyDescent="0.2">
      <c r="A224" s="421">
        <f>A223+1</f>
        <v>3</v>
      </c>
      <c r="B224" s="421" t="s">
        <v>30</v>
      </c>
      <c r="C224" s="404">
        <f>SUMIF('Consolidado Cobros'!$B$10:$B$314,B224,'Consolidado Cobros'!$F$10:$F$314)</f>
        <v>0</v>
      </c>
      <c r="D224" s="404">
        <f>SUMIF('Consolidado Cobros'!$B$10:$B$314,B224,'Consolidado Cobros'!$G$10:$G$314)</f>
        <v>0</v>
      </c>
      <c r="E224" s="487"/>
      <c r="F224" s="487"/>
      <c r="G224" s="226">
        <f>SUMIF('Consolidado Cobros'!$B$10:$B$314,B224,'Consolidado Cobros'!$J$10:$J$314)</f>
        <v>0</v>
      </c>
      <c r="H224" s="405">
        <f>SUMIF('Consolidado Cobros'!$B$10:$B$314,B224,'Consolidado Cobros'!$L$10:$L$314)</f>
        <v>1500000</v>
      </c>
      <c r="I224" s="406">
        <f t="shared" si="97"/>
        <v>1500000</v>
      </c>
      <c r="J224" s="414"/>
      <c r="K224" s="7"/>
    </row>
    <row r="225" spans="1:193" ht="12" customHeight="1" x14ac:dyDescent="0.2">
      <c r="A225" s="421">
        <f>A224+1</f>
        <v>4</v>
      </c>
      <c r="B225" s="421" t="s">
        <v>32</v>
      </c>
      <c r="C225" s="404">
        <f>SUMIF('Consolidado Cobros'!$B$10:$B$314,B225,'Consolidado Cobros'!$F$10:$F$314)</f>
        <v>0</v>
      </c>
      <c r="D225" s="404">
        <f>SUMIF('Consolidado Cobros'!$B$10:$B$314,B225,'Consolidado Cobros'!$G$10:$G$314)</f>
        <v>0</v>
      </c>
      <c r="E225" s="487"/>
      <c r="F225" s="487"/>
      <c r="G225" s="226">
        <f>SUMIF('Consolidado Cobros'!$B$10:$B$314,B225,'Consolidado Cobros'!$J$10:$J$314)</f>
        <v>0</v>
      </c>
      <c r="H225" s="405">
        <f>SUMIF('Consolidado Cobros'!$B$10:$B$314,B225,'Consolidado Cobros'!$L$10:$L$314)</f>
        <v>820000</v>
      </c>
      <c r="I225" s="406">
        <f t="shared" si="97"/>
        <v>820000</v>
      </c>
      <c r="J225" s="414"/>
      <c r="K225" s="7"/>
    </row>
    <row r="226" spans="1:193" ht="12" customHeight="1" x14ac:dyDescent="0.2">
      <c r="A226" s="421">
        <f>A225+1</f>
        <v>5</v>
      </c>
      <c r="B226" s="464" t="s">
        <v>75</v>
      </c>
      <c r="C226" s="404">
        <f>SUMIF('Consolidado Cobros'!$B$10:$B$314,B226,'Consolidado Cobros'!$F$10:$F$314)</f>
        <v>0</v>
      </c>
      <c r="D226" s="404">
        <f>SUMIF('Consolidado Cobros'!$B$10:$B$314,B226,'Consolidado Cobros'!$G$10:$G$314)</f>
        <v>0</v>
      </c>
      <c r="E226" s="487"/>
      <c r="F226" s="487"/>
      <c r="G226" s="226">
        <f>SUMIF('Consolidado Cobros'!$B$10:$B$314,B226,'Consolidado Cobros'!$J$10:$J$314)</f>
        <v>0</v>
      </c>
      <c r="H226" s="405">
        <f>SUMIF('Consolidado Cobros'!$B$10:$B$314,B226,'Consolidado Cobros'!$L$10:$L$314)</f>
        <v>260000</v>
      </c>
      <c r="I226" s="406">
        <f t="shared" si="97"/>
        <v>260000</v>
      </c>
      <c r="J226" s="414"/>
      <c r="K226" s="7"/>
    </row>
    <row r="227" spans="1:193" ht="12" customHeight="1" x14ac:dyDescent="0.2">
      <c r="A227" s="11" t="s">
        <v>204</v>
      </c>
      <c r="B227" s="555"/>
      <c r="C227" s="415">
        <f>SUM(C222:C226)</f>
        <v>0</v>
      </c>
      <c r="D227" s="415">
        <f t="shared" ref="D227:G227" si="98">SUM(D222:D226)</f>
        <v>0</v>
      </c>
      <c r="E227" s="544">
        <f t="shared" si="98"/>
        <v>0</v>
      </c>
      <c r="F227" s="544">
        <f t="shared" si="98"/>
        <v>0</v>
      </c>
      <c r="G227" s="532">
        <f t="shared" si="98"/>
        <v>0</v>
      </c>
      <c r="H227" s="416">
        <f>SUM(H222:H226)</f>
        <v>4720000</v>
      </c>
      <c r="I227" s="417">
        <f>SUM(I222:I226)</f>
        <v>4720000</v>
      </c>
      <c r="J227" s="414"/>
      <c r="K227" s="7"/>
    </row>
    <row r="228" spans="1:193" ht="12" customHeight="1" x14ac:dyDescent="0.2">
      <c r="A228" s="1035"/>
      <c r="B228" s="555"/>
      <c r="C228" s="1020"/>
      <c r="D228" s="1020"/>
      <c r="E228" s="1021"/>
      <c r="F228" s="1021"/>
      <c r="G228" s="1020"/>
      <c r="H228" s="419"/>
      <c r="I228" s="419"/>
      <c r="J228" s="420"/>
      <c r="K228" s="7"/>
    </row>
    <row r="229" spans="1:193" ht="2.1" customHeight="1" x14ac:dyDescent="0.2">
      <c r="A229" s="1036"/>
      <c r="B229" s="1016"/>
      <c r="C229" s="427"/>
      <c r="D229" s="427"/>
      <c r="E229" s="156"/>
      <c r="F229" s="156"/>
      <c r="G229" s="66"/>
      <c r="H229" s="428"/>
      <c r="I229" s="428"/>
      <c r="J229" s="429"/>
      <c r="K229" s="7"/>
    </row>
    <row r="230" spans="1:193" ht="12" customHeight="1" x14ac:dyDescent="0.2">
      <c r="A230" s="15"/>
      <c r="C230" s="16"/>
      <c r="D230" s="16"/>
      <c r="E230" s="484"/>
      <c r="F230" s="484"/>
      <c r="G230" s="16"/>
      <c r="I230" s="398"/>
      <c r="J230" s="430"/>
      <c r="K230" s="7"/>
    </row>
    <row r="231" spans="1:193" ht="12" customHeight="1" x14ac:dyDescent="0.2">
      <c r="A231" s="10" t="s">
        <v>219</v>
      </c>
      <c r="C231" s="931"/>
      <c r="D231" s="931"/>
      <c r="E231" s="1011"/>
      <c r="F231" s="1011"/>
      <c r="G231" s="931"/>
      <c r="I231" s="398"/>
      <c r="J231" s="430"/>
      <c r="K231" s="7"/>
    </row>
    <row r="232" spans="1:193" ht="12" customHeight="1" x14ac:dyDescent="0.2">
      <c r="A232" s="421">
        <v>1</v>
      </c>
      <c r="B232" s="421" t="s">
        <v>74</v>
      </c>
      <c r="C232" s="404">
        <f>SUMIF('Consolidado Cobros'!$B$10:$B$314,B232,'Consolidado Cobros'!$F$10:$F$314)</f>
        <v>0</v>
      </c>
      <c r="D232" s="404">
        <f>SUMIF('Consolidado Cobros'!$B$10:$B$314,B232,'Consolidado Cobros'!$G$10:$G$314)</f>
        <v>0</v>
      </c>
      <c r="E232" s="487"/>
      <c r="F232" s="487"/>
      <c r="G232" s="226">
        <f>SUMIF('Consolidado Cobros'!$B$10:$B$314,B232,'Consolidado Cobros'!$J$10:$J$314)</f>
        <v>0</v>
      </c>
      <c r="H232" s="405">
        <f>SUMIF('Consolidado Cobros'!$B$10:$B$314,B232,'Consolidado Cobros'!$L$10:$L$314)</f>
        <v>470000</v>
      </c>
      <c r="I232" s="406">
        <f t="shared" ref="I232:I233" si="99">+G232+H232</f>
        <v>470000</v>
      </c>
      <c r="J232" s="413"/>
      <c r="K232" s="7"/>
    </row>
    <row r="233" spans="1:193" ht="12" customHeight="1" x14ac:dyDescent="0.2">
      <c r="A233" s="421">
        <f>A232+1</f>
        <v>2</v>
      </c>
      <c r="B233" s="421" t="s">
        <v>136</v>
      </c>
      <c r="C233" s="404">
        <f>SUMIF('Consolidado Cobros'!$B$10:$B$314,B233,'Consolidado Cobros'!$F$10:$F$314)</f>
        <v>0</v>
      </c>
      <c r="D233" s="404">
        <f>SUMIF('Consolidado Cobros'!$B$10:$B$314,B233,'Consolidado Cobros'!$G$10:$G$314)</f>
        <v>0</v>
      </c>
      <c r="E233" s="487"/>
      <c r="F233" s="487"/>
      <c r="G233" s="226">
        <f>SUMIF('Consolidado Cobros'!$B$10:$B$314,B233,'Consolidado Cobros'!$J$10:$J$314)</f>
        <v>0</v>
      </c>
      <c r="H233" s="405">
        <f>SUMIF('Consolidado Cobros'!$B$10:$B$314,B233,'Consolidado Cobros'!$L$10:$L$314)</f>
        <v>470000</v>
      </c>
      <c r="I233" s="406">
        <f t="shared" si="99"/>
        <v>470000</v>
      </c>
      <c r="J233" s="413"/>
      <c r="K233" s="7"/>
    </row>
    <row r="234" spans="1:193" ht="12" customHeight="1" x14ac:dyDescent="0.2">
      <c r="A234" s="11" t="s">
        <v>204</v>
      </c>
      <c r="B234" s="555"/>
      <c r="C234" s="415">
        <f>SUM(C232:C233)</f>
        <v>0</v>
      </c>
      <c r="D234" s="415">
        <f t="shared" ref="D234:G234" si="100">SUM(D232:D233)</f>
        <v>0</v>
      </c>
      <c r="E234" s="544">
        <f t="shared" ref="E234:F234" si="101">SUM(E232:E233)</f>
        <v>0</v>
      </c>
      <c r="F234" s="544">
        <f t="shared" si="101"/>
        <v>0</v>
      </c>
      <c r="G234" s="532">
        <f t="shared" si="100"/>
        <v>0</v>
      </c>
      <c r="H234" s="416">
        <f>SUM(H232:H233)</f>
        <v>940000</v>
      </c>
      <c r="I234" s="417">
        <f>SUM(I232:I233)</f>
        <v>940000</v>
      </c>
      <c r="J234" s="413"/>
      <c r="K234" s="7"/>
    </row>
    <row r="235" spans="1:193" ht="12" customHeight="1" x14ac:dyDescent="0.2">
      <c r="A235" s="1035"/>
      <c r="B235" s="555"/>
      <c r="C235" s="1020"/>
      <c r="D235" s="1020"/>
      <c r="E235" s="1021"/>
      <c r="F235" s="1021"/>
      <c r="G235" s="1020"/>
      <c r="H235" s="419"/>
      <c r="I235" s="419"/>
      <c r="J235" s="420"/>
      <c r="K235" s="7"/>
    </row>
    <row r="236" spans="1:193" s="460" customFormat="1" ht="12" customHeight="1" x14ac:dyDescent="0.2">
      <c r="A236" s="56" t="s">
        <v>299</v>
      </c>
      <c r="B236" s="1017"/>
      <c r="C236" s="446">
        <f>+C234</f>
        <v>0</v>
      </c>
      <c r="D236" s="446">
        <f>+D234</f>
        <v>0</v>
      </c>
      <c r="E236" s="550">
        <f t="shared" ref="E236:F236" si="102">+E234</f>
        <v>0</v>
      </c>
      <c r="F236" s="550">
        <f t="shared" si="102"/>
        <v>0</v>
      </c>
      <c r="G236" s="538">
        <f>+G234</f>
        <v>0</v>
      </c>
      <c r="H236" s="465">
        <f t="shared" ref="H236:I236" si="103">+H234</f>
        <v>940000</v>
      </c>
      <c r="I236" s="466">
        <f t="shared" si="103"/>
        <v>940000</v>
      </c>
      <c r="J236" s="459"/>
      <c r="K236" s="7"/>
      <c r="L236" s="5"/>
      <c r="M236" s="5"/>
      <c r="N236" s="208"/>
      <c r="O236" s="5"/>
      <c r="P236" s="16"/>
      <c r="Q236" s="291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</row>
    <row r="237" spans="1:193" s="460" customFormat="1" ht="12" customHeight="1" x14ac:dyDescent="0.2">
      <c r="A237" s="11"/>
      <c r="B237" s="555"/>
      <c r="C237" s="100"/>
      <c r="D237" s="100"/>
      <c r="E237" s="358"/>
      <c r="F237" s="358"/>
      <c r="G237" s="148"/>
      <c r="H237" s="412"/>
      <c r="I237" s="412"/>
      <c r="J237" s="332"/>
      <c r="K237" s="7"/>
      <c r="L237" s="5"/>
      <c r="M237" s="5"/>
      <c r="N237" s="208"/>
      <c r="O237" s="5"/>
      <c r="P237" s="16"/>
      <c r="Q237" s="291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</row>
    <row r="238" spans="1:193" ht="2.1" customHeight="1" x14ac:dyDescent="0.2">
      <c r="A238" s="1036"/>
      <c r="B238" s="1016"/>
      <c r="C238" s="427"/>
      <c r="D238" s="427"/>
      <c r="E238" s="156"/>
      <c r="F238" s="156"/>
      <c r="G238" s="66"/>
      <c r="H238" s="428"/>
      <c r="I238" s="428"/>
      <c r="J238" s="429"/>
      <c r="K238" s="7"/>
    </row>
    <row r="239" spans="1:193" ht="12" customHeight="1" x14ac:dyDescent="0.2">
      <c r="A239" s="15"/>
      <c r="C239" s="16"/>
      <c r="D239" s="16"/>
      <c r="E239" s="484"/>
      <c r="F239" s="484"/>
      <c r="G239" s="16"/>
      <c r="H239" s="16"/>
      <c r="I239" s="398"/>
      <c r="J239" s="430"/>
      <c r="K239" s="7"/>
    </row>
    <row r="240" spans="1:193" ht="12" customHeight="1" x14ac:dyDescent="0.2">
      <c r="A240" s="10" t="s">
        <v>220</v>
      </c>
      <c r="C240" s="931"/>
      <c r="D240" s="931"/>
      <c r="E240" s="1011"/>
      <c r="F240" s="1011"/>
      <c r="G240" s="931"/>
      <c r="I240" s="398"/>
      <c r="J240" s="430"/>
      <c r="K240" s="7"/>
    </row>
    <row r="241" spans="1:11" ht="12" customHeight="1" x14ac:dyDescent="0.2">
      <c r="A241" s="421">
        <v>1</v>
      </c>
      <c r="B241" s="421" t="s">
        <v>105</v>
      </c>
      <c r="C241" s="404">
        <f>SUMIF('Consolidado Cobros'!$B$10:$B$314,B241,'Consolidado Cobros'!$F$10:$F$314)</f>
        <v>0</v>
      </c>
      <c r="D241" s="404">
        <f>SUMIF('Consolidado Cobros'!$B$10:$B$314,B241,'Consolidado Cobros'!$G$10:$G$314)</f>
        <v>0</v>
      </c>
      <c r="E241" s="487"/>
      <c r="F241" s="487"/>
      <c r="G241" s="226">
        <f>SUMIF('Consolidado Cobros'!$B$10:$B$314,B241,'Consolidado Cobros'!$J$10:$J$314)</f>
        <v>0</v>
      </c>
      <c r="H241" s="405">
        <f>SUMIF('Consolidado Cobros'!$B$10:$B$314,B241,'Consolidado Cobros'!$L$10:$L$314)</f>
        <v>1000000</v>
      </c>
      <c r="I241" s="406">
        <f t="shared" ref="I241:I245" si="104">+G241+H241</f>
        <v>1000000</v>
      </c>
      <c r="J241" s="414"/>
      <c r="K241" s="7"/>
    </row>
    <row r="242" spans="1:11" ht="12" customHeight="1" x14ac:dyDescent="0.2">
      <c r="A242" s="421">
        <f>A241+1</f>
        <v>2</v>
      </c>
      <c r="B242" s="421" t="s">
        <v>106</v>
      </c>
      <c r="C242" s="404">
        <f>SUMIF('Consolidado Cobros'!$B$10:$B$314,B242,'Consolidado Cobros'!$F$10:$F$314)</f>
        <v>0</v>
      </c>
      <c r="D242" s="404">
        <f>SUMIF('Consolidado Cobros'!$B$10:$B$314,B242,'Consolidado Cobros'!$G$10:$G$314)</f>
        <v>0</v>
      </c>
      <c r="E242" s="487"/>
      <c r="F242" s="487"/>
      <c r="G242" s="226">
        <f>SUMIF('Consolidado Cobros'!$B$10:$B$314,B242,'Consolidado Cobros'!$J$10:$J$314)</f>
        <v>0</v>
      </c>
      <c r="H242" s="405">
        <f>SUMIF('Consolidado Cobros'!$B$10:$B$314,B242,'Consolidado Cobros'!$L$10:$L$314)</f>
        <v>1410000</v>
      </c>
      <c r="I242" s="406">
        <f t="shared" si="104"/>
        <v>1410000</v>
      </c>
      <c r="J242" s="414"/>
      <c r="K242" s="7"/>
    </row>
    <row r="243" spans="1:11" ht="12" customHeight="1" x14ac:dyDescent="0.2">
      <c r="A243" s="421">
        <f>A242+1</f>
        <v>3</v>
      </c>
      <c r="B243" s="421" t="s">
        <v>108</v>
      </c>
      <c r="C243" s="404">
        <f>SUMIF('Consolidado Cobros'!$B$10:$B$314,B243,'Consolidado Cobros'!$F$10:$F$314)</f>
        <v>0</v>
      </c>
      <c r="D243" s="404">
        <f>SUMIF('Consolidado Cobros'!$B$10:$B$314,B243,'Consolidado Cobros'!$G$10:$G$314)</f>
        <v>0</v>
      </c>
      <c r="E243" s="487"/>
      <c r="F243" s="487"/>
      <c r="G243" s="226">
        <f>SUMIF('Consolidado Cobros'!$B$10:$B$314,B243,'Consolidado Cobros'!$J$10:$J$314)</f>
        <v>0</v>
      </c>
      <c r="H243" s="405">
        <f>SUMIF('Consolidado Cobros'!$B$10:$B$314,B243,'Consolidado Cobros'!$L$10:$L$314)</f>
        <v>0</v>
      </c>
      <c r="I243" s="406">
        <f t="shared" si="104"/>
        <v>0</v>
      </c>
      <c r="J243" s="414"/>
      <c r="K243" s="7"/>
    </row>
    <row r="244" spans="1:11" ht="12" customHeight="1" x14ac:dyDescent="0.2">
      <c r="A244" s="421">
        <f>A243+1</f>
        <v>4</v>
      </c>
      <c r="B244" s="421" t="s">
        <v>107</v>
      </c>
      <c r="C244" s="404">
        <f>SUMIF('Consolidado Cobros'!$B$10:$B$314,B244,'Consolidado Cobros'!$F$10:$F$314)</f>
        <v>0</v>
      </c>
      <c r="D244" s="404">
        <f>SUMIF('Consolidado Cobros'!$B$10:$B$314,B244,'Consolidado Cobros'!$G$10:$G$314)</f>
        <v>0</v>
      </c>
      <c r="E244" s="487"/>
      <c r="F244" s="487"/>
      <c r="G244" s="226">
        <f>SUMIF('Consolidado Cobros'!$B$10:$B$314,B244,'Consolidado Cobros'!$J$10:$J$314)</f>
        <v>0</v>
      </c>
      <c r="H244" s="405">
        <f>SUMIF('Consolidado Cobros'!$B$10:$B$314,B244,'Consolidado Cobros'!$L$10:$L$314)</f>
        <v>470000</v>
      </c>
      <c r="I244" s="406">
        <f t="shared" si="104"/>
        <v>470000</v>
      </c>
      <c r="J244" s="414"/>
      <c r="K244" s="7"/>
    </row>
    <row r="245" spans="1:11" ht="12" customHeight="1" x14ac:dyDescent="0.2">
      <c r="A245" s="1039">
        <f>A244+1</f>
        <v>5</v>
      </c>
      <c r="B245" s="458" t="s">
        <v>189</v>
      </c>
      <c r="C245" s="404">
        <f>SUMIF('Consolidado Cobros'!$B$10:$B$314,B245,'Consolidado Cobros'!$F$10:$F$314)</f>
        <v>0</v>
      </c>
      <c r="D245" s="404">
        <f>SUMIF('Consolidado Cobros'!$B$10:$B$314,B245,'Consolidado Cobros'!$G$10:$G$314)</f>
        <v>0</v>
      </c>
      <c r="E245" s="487"/>
      <c r="F245" s="487"/>
      <c r="G245" s="226">
        <f>SUMIF('Consolidado Cobros'!$B$10:$B$314,B245,'Consolidado Cobros'!$J$10:$J$314)</f>
        <v>0</v>
      </c>
      <c r="H245" s="405">
        <f>SUMIF('Consolidado Cobros'!$B$10:$B$314,B245,'Consolidado Cobros'!$L$10:$L$314)</f>
        <v>0</v>
      </c>
      <c r="I245" s="406">
        <f t="shared" si="104"/>
        <v>0</v>
      </c>
      <c r="J245" s="414"/>
      <c r="K245" s="7"/>
    </row>
    <row r="246" spans="1:11" ht="12" customHeight="1" x14ac:dyDescent="0.2">
      <c r="A246" s="13" t="s">
        <v>204</v>
      </c>
      <c r="B246" s="1012"/>
      <c r="C246" s="467">
        <f>SUM(C241:C245)</f>
        <v>0</v>
      </c>
      <c r="D246" s="467">
        <f t="shared" ref="D246:G246" si="105">SUM(D241:D245)</f>
        <v>0</v>
      </c>
      <c r="E246" s="529">
        <f t="shared" si="105"/>
        <v>0</v>
      </c>
      <c r="F246" s="529">
        <f t="shared" si="105"/>
        <v>0</v>
      </c>
      <c r="G246" s="539">
        <f t="shared" si="105"/>
        <v>0</v>
      </c>
      <c r="H246" s="468">
        <f>SUM(H241:H245)</f>
        <v>2880000</v>
      </c>
      <c r="I246" s="469">
        <f>SUM(I241:I245)</f>
        <v>2880000</v>
      </c>
      <c r="J246" s="414"/>
      <c r="K246" s="7"/>
    </row>
    <row r="247" spans="1:11" ht="12" customHeight="1" x14ac:dyDescent="0.2">
      <c r="A247" s="1035"/>
      <c r="B247" s="555"/>
      <c r="C247" s="100"/>
      <c r="D247" s="100"/>
      <c r="E247" s="358"/>
      <c r="F247" s="358"/>
      <c r="G247" s="148"/>
      <c r="H247" s="470"/>
      <c r="I247" s="471"/>
      <c r="J247" s="455"/>
      <c r="K247" s="7"/>
    </row>
    <row r="248" spans="1:11" ht="2.1" customHeight="1" x14ac:dyDescent="0.2">
      <c r="A248" s="1036"/>
      <c r="B248" s="1016"/>
      <c r="C248" s="427"/>
      <c r="D248" s="427"/>
      <c r="E248" s="156"/>
      <c r="F248" s="156"/>
      <c r="G248" s="66"/>
      <c r="H248" s="428"/>
      <c r="I248" s="428"/>
      <c r="J248" s="429"/>
      <c r="K248" s="7"/>
    </row>
    <row r="249" spans="1:11" ht="12" customHeight="1" x14ac:dyDescent="0.2">
      <c r="A249" s="15"/>
      <c r="C249" s="16"/>
      <c r="D249" s="16"/>
      <c r="E249" s="484"/>
      <c r="F249" s="484"/>
      <c r="G249" s="16"/>
      <c r="I249" s="398"/>
      <c r="J249" s="430"/>
      <c r="K249" s="7"/>
    </row>
    <row r="250" spans="1:11" ht="12" customHeight="1" x14ac:dyDescent="0.2">
      <c r="A250" s="10" t="s">
        <v>221</v>
      </c>
      <c r="C250" s="931"/>
      <c r="D250" s="931"/>
      <c r="E250" s="1011"/>
      <c r="F250" s="1011"/>
      <c r="G250" s="931"/>
      <c r="I250" s="398"/>
      <c r="J250" s="430"/>
      <c r="K250" s="7"/>
    </row>
    <row r="251" spans="1:11" ht="12" customHeight="1" x14ac:dyDescent="0.2">
      <c r="A251" s="421">
        <v>1</v>
      </c>
      <c r="B251" s="421" t="s">
        <v>156</v>
      </c>
      <c r="C251" s="404">
        <f>SUMIF('Consolidado Cobros'!$B$10:$B$314,B251,'Consolidado Cobros'!$F$10:$F$314)</f>
        <v>0</v>
      </c>
      <c r="D251" s="404">
        <f>SUMIF('Consolidado Cobros'!$B$10:$B$314,B251,'Consolidado Cobros'!$G$10:$G$314)</f>
        <v>0</v>
      </c>
      <c r="E251" s="487"/>
      <c r="F251" s="487"/>
      <c r="G251" s="226">
        <f>SUMIF('Consolidado Cobros'!$B$10:$B$314,B251,'Consolidado Cobros'!$J$10:$J$314)</f>
        <v>0</v>
      </c>
      <c r="H251" s="405">
        <f>SUMIF('Consolidado Cobros'!$B$10:$B$314,B251,'Consolidado Cobros'!$L$10:$L$314)</f>
        <v>0</v>
      </c>
      <c r="I251" s="406">
        <f t="shared" ref="I251:I256" si="106">+G251+H251</f>
        <v>0</v>
      </c>
      <c r="J251" s="413"/>
      <c r="K251" s="7"/>
    </row>
    <row r="252" spans="1:11" ht="12" customHeight="1" x14ac:dyDescent="0.2">
      <c r="A252" s="421">
        <f>A251+1</f>
        <v>2</v>
      </c>
      <c r="B252" s="421" t="s">
        <v>102</v>
      </c>
      <c r="C252" s="404">
        <f>SUMIF('Consolidado Cobros'!$B$10:$B$314,B252,'Consolidado Cobros'!$F$10:$F$314)</f>
        <v>0</v>
      </c>
      <c r="D252" s="404">
        <f>SUMIF('Consolidado Cobros'!$B$10:$B$314,B252,'Consolidado Cobros'!$G$10:$G$314)</f>
        <v>0</v>
      </c>
      <c r="E252" s="487"/>
      <c r="F252" s="487"/>
      <c r="G252" s="226">
        <f>SUMIF('Consolidado Cobros'!$B$10:$B$314,B252,'Consolidado Cobros'!$J$10:$J$314)</f>
        <v>0</v>
      </c>
      <c r="H252" s="405">
        <f>SUMIF('Consolidado Cobros'!$B$10:$B$314,B252,'Consolidado Cobros'!$L$10:$L$314)</f>
        <v>470000</v>
      </c>
      <c r="I252" s="406">
        <f t="shared" si="106"/>
        <v>470000</v>
      </c>
      <c r="J252" s="413"/>
      <c r="K252" s="7"/>
    </row>
    <row r="253" spans="1:11" ht="12" customHeight="1" x14ac:dyDescent="0.2">
      <c r="A253" s="421">
        <f>A252+1</f>
        <v>3</v>
      </c>
      <c r="B253" s="421" t="s">
        <v>104</v>
      </c>
      <c r="C253" s="404">
        <f>SUMIF('Consolidado Cobros'!$B$10:$B$314,B253,'Consolidado Cobros'!$F$10:$F$314)</f>
        <v>0</v>
      </c>
      <c r="D253" s="404">
        <f>SUMIF('Consolidado Cobros'!$B$10:$B$314,B253,'Consolidado Cobros'!$G$10:$G$314)</f>
        <v>0</v>
      </c>
      <c r="E253" s="487"/>
      <c r="F253" s="487"/>
      <c r="G253" s="226">
        <f>SUMIF('Consolidado Cobros'!$B$10:$B$314,B253,'Consolidado Cobros'!$J$10:$J$314)</f>
        <v>0</v>
      </c>
      <c r="H253" s="405">
        <f>SUMIF('Consolidado Cobros'!$B$10:$B$314,B253,'Consolidado Cobros'!$L$10:$L$314)</f>
        <v>470000</v>
      </c>
      <c r="I253" s="406">
        <f t="shared" si="106"/>
        <v>470000</v>
      </c>
      <c r="J253" s="413"/>
      <c r="K253" s="7"/>
    </row>
    <row r="254" spans="1:11" ht="12" customHeight="1" x14ac:dyDescent="0.2">
      <c r="A254" s="421">
        <f>A253+1</f>
        <v>4</v>
      </c>
      <c r="B254" s="421" t="s">
        <v>103</v>
      </c>
      <c r="C254" s="404">
        <f>SUMIF('Consolidado Cobros'!$B$10:$B$314,B254,'Consolidado Cobros'!$F$10:$F$314)</f>
        <v>0</v>
      </c>
      <c r="D254" s="404">
        <f>SUMIF('Consolidado Cobros'!$B$10:$B$314,B254,'Consolidado Cobros'!$G$10:$G$314)</f>
        <v>0</v>
      </c>
      <c r="E254" s="487"/>
      <c r="F254" s="487"/>
      <c r="G254" s="226">
        <f>SUMIF('Consolidado Cobros'!$B$10:$B$314,B254,'Consolidado Cobros'!$J$10:$J$314)</f>
        <v>0</v>
      </c>
      <c r="H254" s="405">
        <f>SUMIF('Consolidado Cobros'!$B$10:$B$314,B254,'Consolidado Cobros'!$L$10:$L$314)</f>
        <v>470000</v>
      </c>
      <c r="I254" s="406">
        <f t="shared" si="106"/>
        <v>470000</v>
      </c>
      <c r="J254" s="413"/>
      <c r="K254" s="7"/>
    </row>
    <row r="255" spans="1:11" ht="12" customHeight="1" x14ac:dyDescent="0.2">
      <c r="A255" s="421">
        <f>A254+1</f>
        <v>5</v>
      </c>
      <c r="B255" s="421" t="s">
        <v>26</v>
      </c>
      <c r="C255" s="404">
        <f>SUMIF('Consolidado Cobros'!$B$10:$B$314,B255,'Consolidado Cobros'!$F$10:$F$314)</f>
        <v>0</v>
      </c>
      <c r="D255" s="404">
        <f>SUMIF('Consolidado Cobros'!$B$10:$B$314,B255,'Consolidado Cobros'!$G$10:$G$314)</f>
        <v>0</v>
      </c>
      <c r="E255" s="487"/>
      <c r="F255" s="487"/>
      <c r="G255" s="226">
        <f>SUMIF('Consolidado Cobros'!$B$10:$B$314,B255,'Consolidado Cobros'!$J$10:$J$314)</f>
        <v>0</v>
      </c>
      <c r="H255" s="405">
        <f>SUMIF('Consolidado Cobros'!$B$10:$B$314,B255,'Consolidado Cobros'!$L$10:$L$314)</f>
        <v>470000</v>
      </c>
      <c r="I255" s="406">
        <f t="shared" si="106"/>
        <v>470000</v>
      </c>
      <c r="J255" s="413"/>
      <c r="K255" s="7"/>
    </row>
    <row r="256" spans="1:11" ht="12" customHeight="1" x14ac:dyDescent="0.2">
      <c r="A256" s="421">
        <f>A255+1</f>
        <v>6</v>
      </c>
      <c r="B256" s="421" t="s">
        <v>359</v>
      </c>
      <c r="C256" s="404">
        <f>SUMIF('Consolidado Cobros'!$B$10:$B$314,B256,'Consolidado Cobros'!$F$10:$F$314)</f>
        <v>0</v>
      </c>
      <c r="D256" s="404">
        <f>SUMIF('Consolidado Cobros'!$B$10:$B$314,B256,'Consolidado Cobros'!$G$10:$G$314)</f>
        <v>0</v>
      </c>
      <c r="E256" s="487"/>
      <c r="F256" s="487"/>
      <c r="G256" s="226">
        <f>SUMIF('Consolidado Cobros'!$B$10:$B$314,B256,'Consolidado Cobros'!$J$10:$J$314)</f>
        <v>0</v>
      </c>
      <c r="H256" s="405">
        <f>SUMIF('Consolidado Cobros'!$B$10:$B$314,B256,'Consolidado Cobros'!$L$10:$L$314)</f>
        <v>470000</v>
      </c>
      <c r="I256" s="406">
        <f t="shared" si="106"/>
        <v>470000</v>
      </c>
      <c r="J256" s="413"/>
      <c r="K256" s="7"/>
    </row>
    <row r="257" spans="1:11" ht="12" customHeight="1" x14ac:dyDescent="0.2">
      <c r="A257" s="11" t="s">
        <v>204</v>
      </c>
      <c r="B257" s="555"/>
      <c r="C257" s="415">
        <f>SUM(C251:C256)</f>
        <v>0</v>
      </c>
      <c r="D257" s="415">
        <f t="shared" ref="D257:G257" si="107">SUM(D251:D256)</f>
        <v>0</v>
      </c>
      <c r="E257" s="544">
        <f t="shared" si="107"/>
        <v>0</v>
      </c>
      <c r="F257" s="544">
        <f t="shared" si="107"/>
        <v>0</v>
      </c>
      <c r="G257" s="532">
        <f t="shared" si="107"/>
        <v>0</v>
      </c>
      <c r="H257" s="416">
        <f>SUM(H251:H256)</f>
        <v>2350000</v>
      </c>
      <c r="I257" s="417">
        <f>SUM(I251:I256)</f>
        <v>2350000</v>
      </c>
      <c r="J257" s="414"/>
      <c r="K257" s="7"/>
    </row>
    <row r="258" spans="1:11" ht="12" customHeight="1" x14ac:dyDescent="0.2">
      <c r="A258" s="1035"/>
      <c r="B258" s="555"/>
      <c r="C258" s="1020"/>
      <c r="D258" s="1020"/>
      <c r="E258" s="1021"/>
      <c r="F258" s="1021"/>
      <c r="G258" s="1020"/>
      <c r="H258" s="419"/>
      <c r="I258" s="471"/>
      <c r="J258" s="420"/>
      <c r="K258" s="7"/>
    </row>
    <row r="259" spans="1:11" ht="2.1" customHeight="1" x14ac:dyDescent="0.2">
      <c r="A259" s="1036"/>
      <c r="B259" s="1016"/>
      <c r="C259" s="427"/>
      <c r="D259" s="427"/>
      <c r="E259" s="156"/>
      <c r="F259" s="156"/>
      <c r="G259" s="66"/>
      <c r="H259" s="428"/>
      <c r="I259" s="428"/>
      <c r="J259" s="429"/>
      <c r="K259" s="7"/>
    </row>
    <row r="260" spans="1:11" ht="12" customHeight="1" x14ac:dyDescent="0.2">
      <c r="A260" s="15"/>
      <c r="C260" s="16"/>
      <c r="D260" s="16"/>
      <c r="E260" s="484"/>
      <c r="F260" s="484"/>
      <c r="G260" s="16"/>
      <c r="I260" s="398"/>
      <c r="J260" s="430"/>
      <c r="K260" s="7"/>
    </row>
    <row r="261" spans="1:11" ht="12" customHeight="1" x14ac:dyDescent="0.2">
      <c r="A261" s="10" t="s">
        <v>222</v>
      </c>
      <c r="C261" s="931"/>
      <c r="D261" s="931"/>
      <c r="E261" s="1011"/>
      <c r="F261" s="1011"/>
      <c r="G261" s="931"/>
      <c r="I261" s="398"/>
      <c r="J261" s="430"/>
      <c r="K261" s="7"/>
    </row>
    <row r="262" spans="1:11" ht="12" customHeight="1" x14ac:dyDescent="0.2">
      <c r="A262" s="421">
        <v>1</v>
      </c>
      <c r="B262" s="421" t="s">
        <v>83</v>
      </c>
      <c r="C262" s="404">
        <f>SUMIF('Consolidado Cobros'!$B$10:$B$314,B262,'Consolidado Cobros'!$F$10:$F$314)</f>
        <v>0</v>
      </c>
      <c r="D262" s="404">
        <f>SUMIF('Consolidado Cobros'!$B$10:$B$314,B262,'Consolidado Cobros'!$G$10:$G$314)</f>
        <v>0</v>
      </c>
      <c r="E262" s="487"/>
      <c r="F262" s="487"/>
      <c r="G262" s="226">
        <f>SUMIF('Consolidado Cobros'!$B$10:$B$314,B262,'Consolidado Cobros'!$J$10:$J$314)</f>
        <v>0</v>
      </c>
      <c r="H262" s="405">
        <f>SUMIF('Consolidado Cobros'!$B$10:$B$314,B262,'Consolidado Cobros'!$L$10:$L$314)</f>
        <v>720000</v>
      </c>
      <c r="I262" s="406">
        <f t="shared" ref="I262" si="108">+G262+H262</f>
        <v>720000</v>
      </c>
      <c r="J262" s="414"/>
      <c r="K262" s="7"/>
    </row>
    <row r="263" spans="1:11" ht="12" customHeight="1" x14ac:dyDescent="0.2">
      <c r="A263" s="11" t="s">
        <v>204</v>
      </c>
      <c r="B263" s="555"/>
      <c r="C263" s="415">
        <f>SUM(C261:C262)</f>
        <v>0</v>
      </c>
      <c r="D263" s="415">
        <f t="shared" ref="D263:G263" si="109">SUM(D261:D262)</f>
        <v>0</v>
      </c>
      <c r="E263" s="544">
        <f t="shared" si="109"/>
        <v>0</v>
      </c>
      <c r="F263" s="544">
        <f t="shared" si="109"/>
        <v>0</v>
      </c>
      <c r="G263" s="532">
        <f t="shared" si="109"/>
        <v>0</v>
      </c>
      <c r="H263" s="416">
        <f>SUM(H261:H262)</f>
        <v>720000</v>
      </c>
      <c r="I263" s="417">
        <f>SUM(I262)</f>
        <v>720000</v>
      </c>
      <c r="J263" s="414"/>
      <c r="K263" s="7"/>
    </row>
    <row r="264" spans="1:11" ht="9.9499999999999993" customHeight="1" x14ac:dyDescent="0.2">
      <c r="A264" s="1039"/>
      <c r="B264" s="386"/>
      <c r="C264" s="472"/>
      <c r="D264" s="472"/>
      <c r="E264" s="510"/>
      <c r="F264" s="510"/>
      <c r="G264" s="540"/>
      <c r="H264" s="453"/>
      <c r="I264" s="453"/>
      <c r="J264" s="420"/>
      <c r="K264" s="7"/>
    </row>
    <row r="265" spans="1:11" ht="12" customHeight="1" x14ac:dyDescent="0.2">
      <c r="A265" s="1039"/>
      <c r="B265" s="12" t="s">
        <v>236</v>
      </c>
      <c r="C265" s="324"/>
      <c r="D265" s="324"/>
      <c r="I265" s="398"/>
      <c r="J265" s="332"/>
      <c r="K265" s="7"/>
    </row>
    <row r="266" spans="1:11" ht="12" customHeight="1" x14ac:dyDescent="0.2">
      <c r="A266" s="421">
        <v>1</v>
      </c>
      <c r="B266" s="421" t="s">
        <v>68</v>
      </c>
      <c r="C266" s="404">
        <f>SUMIF('Consolidado Cobros'!$B$10:$B$314,B266,'Consolidado Cobros'!$F$10:$F$314)</f>
        <v>0</v>
      </c>
      <c r="D266" s="404">
        <f>SUMIF('Consolidado Cobros'!$B$10:$B$314,B266,'Consolidado Cobros'!$G$10:$G$314)</f>
        <v>0</v>
      </c>
      <c r="E266" s="487"/>
      <c r="F266" s="487"/>
      <c r="G266" s="226">
        <f>SUMIF('Consolidado Cobros'!$B$10:$B$314,B266,'Consolidado Cobros'!$J$10:$J$314)</f>
        <v>0</v>
      </c>
      <c r="H266" s="405">
        <f>SUMIF('Consolidado Cobros'!$B$10:$B$314,B266,'Consolidado Cobros'!$L$10:$L$314)</f>
        <v>1300000</v>
      </c>
      <c r="I266" s="406">
        <f t="shared" ref="I266:I267" si="110">+G266+H266</f>
        <v>1300000</v>
      </c>
      <c r="J266" s="414"/>
      <c r="K266" s="7"/>
    </row>
    <row r="267" spans="1:11" ht="12" customHeight="1" x14ac:dyDescent="0.2">
      <c r="A267" s="421">
        <f>A266+1</f>
        <v>2</v>
      </c>
      <c r="B267" s="421" t="s">
        <v>98</v>
      </c>
      <c r="C267" s="404">
        <f>SUMIF('Consolidado Cobros'!$B$10:$B$314,B267,'Consolidado Cobros'!$F$10:$F$314)</f>
        <v>0</v>
      </c>
      <c r="D267" s="404">
        <f>SUMIF('Consolidado Cobros'!$B$10:$B$314,B267,'Consolidado Cobros'!$G$10:$G$314)</f>
        <v>0</v>
      </c>
      <c r="E267" s="487"/>
      <c r="F267" s="487"/>
      <c r="G267" s="226">
        <f>SUMIF('Consolidado Cobros'!$B$10:$B$314,B267,'Consolidado Cobros'!$J$10:$J$314)</f>
        <v>0</v>
      </c>
      <c r="H267" s="405">
        <f>SUMIF('Consolidado Cobros'!$B$10:$B$314,B267,'Consolidado Cobros'!$L$10:$L$314)</f>
        <v>940000</v>
      </c>
      <c r="I267" s="406">
        <f t="shared" si="110"/>
        <v>940000</v>
      </c>
      <c r="J267" s="414"/>
      <c r="K267" s="7"/>
    </row>
    <row r="268" spans="1:11" ht="12" customHeight="1" x14ac:dyDescent="0.2">
      <c r="A268" s="421">
        <f t="shared" ref="A268:A269" si="111">A267+1</f>
        <v>3</v>
      </c>
      <c r="B268" s="356" t="s">
        <v>659</v>
      </c>
      <c r="C268" s="404">
        <f>SUMIF('Consolidado Cobros'!$B$10:$B$314,B268,'Consolidado Cobros'!$F$10:$F$314)</f>
        <v>0</v>
      </c>
      <c r="D268" s="404">
        <f>SUMIF('Consolidado Cobros'!$B$10:$B$314,B268,'Consolidado Cobros'!$G$10:$G$314)</f>
        <v>0</v>
      </c>
      <c r="E268" s="487"/>
      <c r="F268" s="487"/>
      <c r="G268" s="226">
        <f>SUMIF('Consolidado Cobros'!$B$10:$B$314,B268,'Consolidado Cobros'!$J$10:$J$314)</f>
        <v>0</v>
      </c>
      <c r="H268" s="405">
        <f>SUMIF('Consolidado Cobros'!$B$10:$B$314,B268,'Consolidado Cobros'!$L$10:$L$314)</f>
        <v>360000</v>
      </c>
      <c r="I268" s="406">
        <f t="shared" ref="I268:I269" si="112">+G268+H268</f>
        <v>360000</v>
      </c>
      <c r="J268" s="414"/>
      <c r="K268" s="7"/>
    </row>
    <row r="269" spans="1:11" ht="12" customHeight="1" x14ac:dyDescent="0.2">
      <c r="A269" s="421">
        <f t="shared" si="111"/>
        <v>4</v>
      </c>
      <c r="B269" s="356" t="s">
        <v>646</v>
      </c>
      <c r="C269" s="404">
        <f>SUMIF('Consolidado Cobros'!$B$10:$B$314,B269,'Consolidado Cobros'!$F$10:$F$314)</f>
        <v>0</v>
      </c>
      <c r="D269" s="404">
        <f>SUMIF('Consolidado Cobros'!$B$10:$B$314,B269,'Consolidado Cobros'!$G$10:$G$314)</f>
        <v>0</v>
      </c>
      <c r="E269" s="487"/>
      <c r="F269" s="487"/>
      <c r="G269" s="226">
        <f>SUMIF('Consolidado Cobros'!$B$10:$B$314,B269,'Consolidado Cobros'!$J$10:$J$314)</f>
        <v>0</v>
      </c>
      <c r="H269" s="405">
        <f>SUMIF('Consolidado Cobros'!$B$10:$B$314,B269,'Consolidado Cobros'!$L$10:$L$314)</f>
        <v>360000</v>
      </c>
      <c r="I269" s="406">
        <f t="shared" si="112"/>
        <v>360000</v>
      </c>
      <c r="J269" s="414"/>
      <c r="K269" s="7"/>
    </row>
    <row r="270" spans="1:11" ht="12" customHeight="1" x14ac:dyDescent="0.2">
      <c r="A270" s="11" t="s">
        <v>204</v>
      </c>
      <c r="B270" s="555"/>
      <c r="C270" s="415">
        <f>SUM(C266:C267)</f>
        <v>0</v>
      </c>
      <c r="D270" s="415">
        <f t="shared" ref="D270:G270" si="113">SUM(D266:D267)</f>
        <v>0</v>
      </c>
      <c r="E270" s="544">
        <f t="shared" si="113"/>
        <v>0</v>
      </c>
      <c r="F270" s="544">
        <f t="shared" si="113"/>
        <v>0</v>
      </c>
      <c r="G270" s="532">
        <f t="shared" si="113"/>
        <v>0</v>
      </c>
      <c r="H270" s="416">
        <f>SUM(H266:H269)</f>
        <v>2960000</v>
      </c>
      <c r="I270" s="992">
        <f>SUM(I266:I269)</f>
        <v>2960000</v>
      </c>
      <c r="J270" s="414"/>
      <c r="K270" s="7"/>
    </row>
    <row r="271" spans="1:11" ht="9.9499999999999993" customHeight="1" x14ac:dyDescent="0.2">
      <c r="A271" s="1039"/>
      <c r="B271" s="386"/>
      <c r="C271" s="472"/>
      <c r="D271" s="472"/>
      <c r="E271" s="510"/>
      <c r="F271" s="510"/>
      <c r="G271" s="540"/>
      <c r="H271" s="453"/>
      <c r="I271" s="453"/>
      <c r="J271" s="420"/>
      <c r="K271" s="7"/>
    </row>
    <row r="272" spans="1:11" ht="12" customHeight="1" x14ac:dyDescent="0.2">
      <c r="A272" s="1039"/>
      <c r="B272" s="12" t="s">
        <v>237</v>
      </c>
      <c r="C272" s="324"/>
      <c r="D272" s="324"/>
      <c r="I272" s="398"/>
      <c r="J272" s="332"/>
      <c r="K272" s="7"/>
    </row>
    <row r="273" spans="1:193" ht="12" customHeight="1" x14ac:dyDescent="0.2">
      <c r="A273" s="421">
        <f>A271+1</f>
        <v>1</v>
      </c>
      <c r="B273" s="421" t="s">
        <v>67</v>
      </c>
      <c r="C273" s="404">
        <f>SUMIF('Consolidado Cobros'!$B$10:$B$314,B273,'Consolidado Cobros'!$F$10:$F$314)</f>
        <v>0</v>
      </c>
      <c r="D273" s="404">
        <f>SUMIF('Consolidado Cobros'!$B$10:$B$314,B273,'Consolidado Cobros'!$G$10:$G$314)</f>
        <v>0</v>
      </c>
      <c r="E273" s="487"/>
      <c r="F273" s="487"/>
      <c r="G273" s="226">
        <f>SUMIF('Consolidado Cobros'!$B$10:$B$314,B273,'Consolidado Cobros'!$J$10:$J$314)</f>
        <v>0</v>
      </c>
      <c r="H273" s="405">
        <f>SUMIF('Consolidado Cobros'!$B$10:$B$314,B273,'Consolidado Cobros'!$L$10:$L$314)</f>
        <v>1850000</v>
      </c>
      <c r="I273" s="406">
        <f t="shared" ref="I273:I274" si="114">+G273+H273</f>
        <v>1850000</v>
      </c>
      <c r="J273" s="414"/>
      <c r="K273" s="7"/>
    </row>
    <row r="274" spans="1:193" ht="12" customHeight="1" x14ac:dyDescent="0.2">
      <c r="A274" s="421">
        <f>A273+1</f>
        <v>2</v>
      </c>
      <c r="B274" s="421" t="s">
        <v>111</v>
      </c>
      <c r="C274" s="404">
        <f>SUMIF('Consolidado Cobros'!$B$10:$B$314,B274,'Consolidado Cobros'!$F$10:$F$314)</f>
        <v>0</v>
      </c>
      <c r="D274" s="404">
        <f>SUMIF('Consolidado Cobros'!$B$10:$B$314,B274,'Consolidado Cobros'!$G$10:$G$314)</f>
        <v>0</v>
      </c>
      <c r="E274" s="487"/>
      <c r="F274" s="487"/>
      <c r="G274" s="226">
        <f>SUMIF('Consolidado Cobros'!$B$10:$B$314,B274,'Consolidado Cobros'!$J$10:$J$314)</f>
        <v>0</v>
      </c>
      <c r="H274" s="405">
        <f>SUMIF('Consolidado Cobros'!$B$10:$B$314,B274,'Consolidado Cobros'!$L$10:$L$314)</f>
        <v>720000</v>
      </c>
      <c r="I274" s="406">
        <f t="shared" si="114"/>
        <v>720000</v>
      </c>
      <c r="J274" s="414"/>
      <c r="K274" s="7"/>
    </row>
    <row r="275" spans="1:193" ht="12" customHeight="1" x14ac:dyDescent="0.2">
      <c r="A275" s="11" t="s">
        <v>204</v>
      </c>
      <c r="B275" s="555"/>
      <c r="C275" s="415">
        <f>SUM(C273:C274)</f>
        <v>0</v>
      </c>
      <c r="D275" s="415">
        <f t="shared" ref="D275:G275" si="115">SUM(D273:D274)</f>
        <v>0</v>
      </c>
      <c r="E275" s="544">
        <f t="shared" ref="E275:F275" si="116">SUM(E273:E274)</f>
        <v>0</v>
      </c>
      <c r="F275" s="544">
        <f t="shared" si="116"/>
        <v>0</v>
      </c>
      <c r="G275" s="532">
        <f t="shared" si="115"/>
        <v>0</v>
      </c>
      <c r="H275" s="416">
        <f>SUM(H273:H274)</f>
        <v>2570000</v>
      </c>
      <c r="I275" s="417">
        <f>SUM(I273:I274)</f>
        <v>2570000</v>
      </c>
      <c r="J275" s="414"/>
      <c r="K275" s="7"/>
    </row>
    <row r="276" spans="1:193" ht="12" customHeight="1" x14ac:dyDescent="0.2">
      <c r="A276" s="1035"/>
      <c r="B276" s="555"/>
      <c r="C276" s="1020"/>
      <c r="D276" s="1020"/>
      <c r="E276" s="1021"/>
      <c r="F276" s="1021"/>
      <c r="G276" s="1020"/>
      <c r="H276" s="419"/>
      <c r="I276" s="471"/>
      <c r="J276" s="420"/>
      <c r="K276" s="7"/>
    </row>
    <row r="277" spans="1:193" s="460" customFormat="1" ht="12" customHeight="1" x14ac:dyDescent="0.2">
      <c r="A277" s="56" t="s">
        <v>300</v>
      </c>
      <c r="B277" s="1017"/>
      <c r="C277" s="446">
        <f>+C275+C270+C263</f>
        <v>0</v>
      </c>
      <c r="D277" s="446">
        <f t="shared" ref="D277:G277" si="117">+D275+D270+D263</f>
        <v>0</v>
      </c>
      <c r="E277" s="550">
        <f t="shared" ref="E277:F277" si="118">+E275+E270+E263</f>
        <v>0</v>
      </c>
      <c r="F277" s="550">
        <f t="shared" si="118"/>
        <v>0</v>
      </c>
      <c r="G277" s="538">
        <f t="shared" si="117"/>
        <v>0</v>
      </c>
      <c r="H277" s="465">
        <f>+H275+H270+H263</f>
        <v>6250000</v>
      </c>
      <c r="I277" s="466">
        <f>+I275+I270+I263</f>
        <v>6250000</v>
      </c>
      <c r="J277" s="459"/>
      <c r="K277" s="7"/>
      <c r="L277" s="5"/>
      <c r="M277" s="5"/>
      <c r="N277" s="208"/>
      <c r="O277" s="5"/>
      <c r="P277" s="16"/>
      <c r="Q277" s="291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  <c r="DY277" s="16"/>
      <c r="DZ277" s="16"/>
      <c r="EA277" s="16"/>
      <c r="EB277" s="16"/>
      <c r="EC277" s="16"/>
      <c r="ED277" s="16"/>
      <c r="EE277" s="16"/>
      <c r="EF277" s="16"/>
      <c r="EG277" s="16"/>
      <c r="EH277" s="16"/>
      <c r="EI277" s="16"/>
      <c r="EJ277" s="16"/>
      <c r="EK277" s="16"/>
      <c r="EL277" s="16"/>
      <c r="EM277" s="16"/>
      <c r="EN277" s="16"/>
      <c r="EO277" s="16"/>
      <c r="EP277" s="16"/>
      <c r="EQ277" s="16"/>
      <c r="ER277" s="16"/>
      <c r="ES277" s="16"/>
      <c r="ET277" s="16"/>
      <c r="EU277" s="16"/>
      <c r="EV277" s="16"/>
      <c r="EW277" s="16"/>
      <c r="EX277" s="16"/>
      <c r="EY277" s="16"/>
      <c r="EZ277" s="16"/>
      <c r="FA277" s="16"/>
      <c r="FB277" s="16"/>
      <c r="FC277" s="16"/>
      <c r="FD277" s="16"/>
      <c r="FE277" s="16"/>
      <c r="FF277" s="16"/>
      <c r="FG277" s="16"/>
      <c r="FH277" s="16"/>
      <c r="FI277" s="16"/>
      <c r="FJ277" s="16"/>
      <c r="FK277" s="16"/>
      <c r="FL277" s="16"/>
      <c r="FM277" s="16"/>
      <c r="FN277" s="16"/>
      <c r="FO277" s="16"/>
      <c r="FP277" s="16"/>
      <c r="FQ277" s="16"/>
      <c r="FR277" s="16"/>
      <c r="FS277" s="16"/>
      <c r="FT277" s="16"/>
      <c r="FU277" s="16"/>
      <c r="FV277" s="16"/>
      <c r="FW277" s="16"/>
      <c r="FX277" s="16"/>
      <c r="FY277" s="16"/>
      <c r="FZ277" s="16"/>
      <c r="GA277" s="16"/>
      <c r="GB277" s="16"/>
      <c r="GC277" s="16"/>
      <c r="GD277" s="16"/>
      <c r="GE277" s="16"/>
      <c r="GF277" s="16"/>
      <c r="GG277" s="16"/>
      <c r="GH277" s="16"/>
      <c r="GI277" s="16"/>
      <c r="GJ277" s="16"/>
      <c r="GK277" s="16"/>
    </row>
    <row r="278" spans="1:193" ht="12" customHeight="1" x14ac:dyDescent="0.2">
      <c r="A278" s="1035"/>
      <c r="B278" s="555"/>
      <c r="C278" s="931"/>
      <c r="D278" s="931"/>
      <c r="E278" s="1011"/>
      <c r="F278" s="1011"/>
      <c r="G278" s="931"/>
      <c r="H278" s="412"/>
      <c r="I278" s="470"/>
      <c r="J278" s="332"/>
      <c r="K278" s="7"/>
    </row>
    <row r="279" spans="1:193" ht="2.1" customHeight="1" x14ac:dyDescent="0.2">
      <c r="A279" s="1036"/>
      <c r="B279" s="1016"/>
      <c r="C279" s="427"/>
      <c r="D279" s="427"/>
      <c r="E279" s="156"/>
      <c r="F279" s="156"/>
      <c r="G279" s="66"/>
      <c r="H279" s="428"/>
      <c r="I279" s="428"/>
      <c r="J279" s="429"/>
      <c r="K279" s="7"/>
    </row>
    <row r="280" spans="1:193" ht="12" customHeight="1" x14ac:dyDescent="0.2">
      <c r="A280" s="1035"/>
      <c r="B280" s="555"/>
      <c r="C280" s="426"/>
      <c r="D280" s="426"/>
      <c r="E280" s="358"/>
      <c r="F280" s="358"/>
      <c r="G280" s="148"/>
      <c r="I280" s="398"/>
      <c r="J280" s="430"/>
      <c r="K280" s="7"/>
    </row>
    <row r="281" spans="1:193" ht="12" customHeight="1" x14ac:dyDescent="0.2">
      <c r="A281" s="10" t="s">
        <v>223</v>
      </c>
      <c r="C281" s="931"/>
      <c r="D281" s="931"/>
      <c r="E281" s="1011"/>
      <c r="F281" s="1011"/>
      <c r="G281" s="931"/>
      <c r="H281" s="439"/>
      <c r="I281" s="398"/>
      <c r="J281" s="333"/>
      <c r="K281" s="7"/>
    </row>
    <row r="282" spans="1:193" ht="12" customHeight="1" x14ac:dyDescent="0.2">
      <c r="A282" s="421">
        <v>1</v>
      </c>
      <c r="B282" s="421" t="s">
        <v>135</v>
      </c>
      <c r="C282" s="404">
        <f>SUMIF('Consolidado Cobros'!$B$10:$B$314,B282,'Consolidado Cobros'!$F$10:$F$314)</f>
        <v>0</v>
      </c>
      <c r="D282" s="404">
        <f>SUMIF('Consolidado Cobros'!$B$10:$B$314,B282,'Consolidado Cobros'!$G$10:$G$314)</f>
        <v>0</v>
      </c>
      <c r="E282" s="487"/>
      <c r="F282" s="487"/>
      <c r="G282" s="226">
        <f>SUMIF('Consolidado Cobros'!$B$10:$B$314,B282,'Consolidado Cobros'!$J$10:$J$314)</f>
        <v>0</v>
      </c>
      <c r="H282" s="405">
        <f>SUMIF('Consolidado Cobros'!$B$10:$B$314,B282,'Consolidado Cobros'!$L$10:$L$314)</f>
        <v>4260000</v>
      </c>
      <c r="I282" s="406">
        <f t="shared" ref="I282" si="119">+G282+H282</f>
        <v>4260000</v>
      </c>
      <c r="J282" s="414"/>
      <c r="K282" s="7"/>
    </row>
    <row r="283" spans="1:193" ht="12" customHeight="1" x14ac:dyDescent="0.2">
      <c r="A283" s="11" t="s">
        <v>204</v>
      </c>
      <c r="B283" s="555"/>
      <c r="C283" s="415">
        <f>SUM(C282:C282)</f>
        <v>0</v>
      </c>
      <c r="D283" s="415">
        <f>SUM(D282:D282)</f>
        <v>0</v>
      </c>
      <c r="E283" s="544">
        <f t="shared" ref="E283:F283" si="120">SUM(E282:E282)</f>
        <v>0</v>
      </c>
      <c r="F283" s="544">
        <f t="shared" si="120"/>
        <v>0</v>
      </c>
      <c r="G283" s="532">
        <f>SUM(G282:G282)</f>
        <v>0</v>
      </c>
      <c r="H283" s="416">
        <f>SUM(H282:H282)</f>
        <v>4260000</v>
      </c>
      <c r="I283" s="417">
        <f>SUM(I282:I282)</f>
        <v>4260000</v>
      </c>
      <c r="J283" s="414"/>
      <c r="K283" s="7"/>
    </row>
    <row r="284" spans="1:193" ht="12" customHeight="1" x14ac:dyDescent="0.2">
      <c r="A284" s="1035"/>
      <c r="B284" s="555"/>
      <c r="C284" s="1020"/>
      <c r="D284" s="1020"/>
      <c r="E284" s="1021"/>
      <c r="F284" s="1021"/>
      <c r="G284" s="1020"/>
      <c r="H284" s="419"/>
      <c r="I284" s="471"/>
      <c r="J284" s="420"/>
      <c r="K284" s="7"/>
    </row>
    <row r="285" spans="1:193" ht="2.1" customHeight="1" x14ac:dyDescent="0.2">
      <c r="A285" s="1036"/>
      <c r="B285" s="1016"/>
      <c r="C285" s="427"/>
      <c r="D285" s="427"/>
      <c r="E285" s="156"/>
      <c r="F285" s="156"/>
      <c r="G285" s="66"/>
      <c r="H285" s="428"/>
      <c r="I285" s="428"/>
      <c r="J285" s="429"/>
      <c r="K285" s="7"/>
    </row>
    <row r="286" spans="1:193" ht="12" customHeight="1" x14ac:dyDescent="0.2">
      <c r="A286" s="1035"/>
      <c r="B286" s="555"/>
      <c r="C286" s="426"/>
      <c r="D286" s="426"/>
      <c r="E286" s="358"/>
      <c r="F286" s="358"/>
      <c r="G286" s="148"/>
      <c r="I286" s="398"/>
      <c r="J286" s="430"/>
      <c r="K286" s="7"/>
    </row>
    <row r="287" spans="1:193" ht="12" customHeight="1" x14ac:dyDescent="0.2">
      <c r="A287" s="10" t="s">
        <v>224</v>
      </c>
      <c r="C287" s="931"/>
      <c r="D287" s="931"/>
      <c r="E287" s="1011"/>
      <c r="F287" s="1011"/>
      <c r="G287" s="931"/>
      <c r="H287" s="439"/>
      <c r="I287" s="398"/>
      <c r="J287" s="333"/>
      <c r="K287" s="7"/>
    </row>
    <row r="288" spans="1:193" ht="12" customHeight="1" x14ac:dyDescent="0.2">
      <c r="A288" s="421">
        <v>1</v>
      </c>
      <c r="B288" s="421" t="s">
        <v>20</v>
      </c>
      <c r="C288" s="404">
        <f>SUMIF('Consolidado Cobros'!$B$10:$B$314,B288,'Consolidado Cobros'!$F$10:$F$314)</f>
        <v>0</v>
      </c>
      <c r="D288" s="404">
        <f>SUMIF('Consolidado Cobros'!$B$10:$B$314,B288,'Consolidado Cobros'!$G$10:$G$314)</f>
        <v>0</v>
      </c>
      <c r="E288" s="487"/>
      <c r="F288" s="487"/>
      <c r="G288" s="226">
        <f>SUMIF('Consolidado Cobros'!$B$10:$B$314,B288,'Consolidado Cobros'!$J$10:$J$314)</f>
        <v>0</v>
      </c>
      <c r="H288" s="405">
        <f>SUMIF('Consolidado Cobros'!$B$10:$B$314,B288,'Consolidado Cobros'!$L$10:$L$314)</f>
        <v>400000</v>
      </c>
      <c r="I288" s="406">
        <f t="shared" ref="I288:I290" si="121">+G288+H288</f>
        <v>400000</v>
      </c>
      <c r="J288" s="414"/>
      <c r="K288" s="7"/>
    </row>
    <row r="289" spans="1:11" ht="12" customHeight="1" x14ac:dyDescent="0.2">
      <c r="A289" s="421">
        <f>A288+1</f>
        <v>2</v>
      </c>
      <c r="B289" s="421" t="s">
        <v>34</v>
      </c>
      <c r="C289" s="404">
        <f>SUMIF('Consolidado Cobros'!$B$10:$B$314,B289,'Consolidado Cobros'!$F$10:$F$314)</f>
        <v>0</v>
      </c>
      <c r="D289" s="404">
        <f>SUMIF('Consolidado Cobros'!$B$10:$B$314,B289,'Consolidado Cobros'!$G$10:$G$314)</f>
        <v>0</v>
      </c>
      <c r="E289" s="487"/>
      <c r="F289" s="487"/>
      <c r="G289" s="226">
        <f>SUMIF('Consolidado Cobros'!$B$10:$B$314,B289,'Consolidado Cobros'!$J$10:$J$314)</f>
        <v>0</v>
      </c>
      <c r="H289" s="405">
        <f>SUMIF('Consolidado Cobros'!$B$10:$B$314,B289,'Consolidado Cobros'!$L$10:$L$314)</f>
        <v>0</v>
      </c>
      <c r="I289" s="406">
        <f t="shared" si="121"/>
        <v>0</v>
      </c>
      <c r="J289" s="414"/>
      <c r="K289" s="7"/>
    </row>
    <row r="290" spans="1:11" ht="12" customHeight="1" x14ac:dyDescent="0.2">
      <c r="A290" s="421">
        <f>A289+1</f>
        <v>3</v>
      </c>
      <c r="B290" s="421" t="s">
        <v>35</v>
      </c>
      <c r="C290" s="404">
        <f>SUMIF('Consolidado Cobros'!$B$10:$B$314,B290,'Consolidado Cobros'!$F$10:$F$314)</f>
        <v>0</v>
      </c>
      <c r="D290" s="404">
        <f>SUMIF('Consolidado Cobros'!$B$10:$B$314,B290,'Consolidado Cobros'!$G$10:$G$314)</f>
        <v>0</v>
      </c>
      <c r="E290" s="487"/>
      <c r="F290" s="487"/>
      <c r="G290" s="226">
        <f>SUMIF('Consolidado Cobros'!$B$10:$B$314,B290,'Consolidado Cobros'!$J$10:$J$314)</f>
        <v>0</v>
      </c>
      <c r="H290" s="405">
        <f>SUMIF('Consolidado Cobros'!$B$10:$B$314,B290,'Consolidado Cobros'!$L$10:$L$314)</f>
        <v>450000</v>
      </c>
      <c r="I290" s="406">
        <f t="shared" si="121"/>
        <v>450000</v>
      </c>
      <c r="J290" s="414"/>
      <c r="K290" s="7"/>
    </row>
    <row r="291" spans="1:11" ht="12" customHeight="1" x14ac:dyDescent="0.2">
      <c r="A291" s="11" t="s">
        <v>204</v>
      </c>
      <c r="B291" s="555"/>
      <c r="C291" s="415">
        <f>SUM(C288:C290)</f>
        <v>0</v>
      </c>
      <c r="D291" s="415">
        <f>SUM(D288:D290)</f>
        <v>0</v>
      </c>
      <c r="E291" s="544">
        <f t="shared" ref="E291:F291" si="122">SUM(E288:E290)</f>
        <v>0</v>
      </c>
      <c r="F291" s="544">
        <f t="shared" si="122"/>
        <v>0</v>
      </c>
      <c r="G291" s="532">
        <f>SUM(G288:G290)</f>
        <v>0</v>
      </c>
      <c r="H291" s="416">
        <f>SUM(H288:H290)</f>
        <v>850000</v>
      </c>
      <c r="I291" s="417">
        <f>SUM(I288:I290)</f>
        <v>850000</v>
      </c>
      <c r="J291" s="414"/>
      <c r="K291" s="7"/>
    </row>
    <row r="292" spans="1:11" ht="12" customHeight="1" x14ac:dyDescent="0.2">
      <c r="A292" s="1035"/>
      <c r="B292" s="555"/>
      <c r="C292" s="434"/>
      <c r="D292" s="434"/>
      <c r="E292" s="545"/>
      <c r="F292" s="545"/>
      <c r="G292" s="454"/>
      <c r="H292" s="471"/>
      <c r="I292" s="471"/>
      <c r="J292" s="455"/>
      <c r="K292" s="7"/>
    </row>
    <row r="293" spans="1:11" ht="2.1" customHeight="1" x14ac:dyDescent="0.2">
      <c r="A293" s="1036"/>
      <c r="B293" s="1016"/>
      <c r="C293" s="427"/>
      <c r="D293" s="427"/>
      <c r="E293" s="156"/>
      <c r="F293" s="156"/>
      <c r="G293" s="66"/>
      <c r="H293" s="428"/>
      <c r="I293" s="428"/>
      <c r="J293" s="429"/>
      <c r="K293" s="7"/>
    </row>
    <row r="294" spans="1:11" ht="12" customHeight="1" x14ac:dyDescent="0.2">
      <c r="A294" s="1035"/>
      <c r="B294" s="555"/>
      <c r="C294" s="426"/>
      <c r="D294" s="426"/>
      <c r="E294" s="358"/>
      <c r="F294" s="358"/>
      <c r="G294" s="148"/>
      <c r="H294" s="470"/>
      <c r="I294" s="398"/>
      <c r="J294" s="394"/>
      <c r="K294" s="7"/>
    </row>
    <row r="295" spans="1:11" ht="12" customHeight="1" x14ac:dyDescent="0.2">
      <c r="A295" s="10" t="s">
        <v>225</v>
      </c>
      <c r="C295" s="931"/>
      <c r="D295" s="931"/>
      <c r="E295" s="1011"/>
      <c r="F295" s="1011"/>
      <c r="G295" s="931"/>
      <c r="H295" s="439"/>
      <c r="I295" s="398"/>
      <c r="J295" s="333"/>
      <c r="K295" s="7"/>
    </row>
    <row r="296" spans="1:11" ht="12" customHeight="1" x14ac:dyDescent="0.2">
      <c r="A296" s="432">
        <v>1</v>
      </c>
      <c r="B296" s="431" t="s">
        <v>70</v>
      </c>
      <c r="C296" s="404">
        <f>SUMIF('Consolidado Cobros'!$B$10:$B$314,B296,'Consolidado Cobros'!$F$10:$F$314)</f>
        <v>0</v>
      </c>
      <c r="D296" s="404">
        <f>SUMIF('Consolidado Cobros'!$B$10:$B$314,B296,'Consolidado Cobros'!$G$10:$G$314)</f>
        <v>0</v>
      </c>
      <c r="E296" s="487"/>
      <c r="F296" s="487"/>
      <c r="G296" s="226">
        <f>SUMIF('Consolidado Cobros'!$B$10:$B$314,B296,'Consolidado Cobros'!$J$10:$J$314)</f>
        <v>0</v>
      </c>
      <c r="H296" s="405">
        <f>SUMIF('Consolidado Cobros'!$B$10:$B$314,B296,'Consolidado Cobros'!$L$10:$L$314)</f>
        <v>470000</v>
      </c>
      <c r="I296" s="406">
        <f t="shared" ref="I296:I297" si="123">+G296+H296</f>
        <v>470000</v>
      </c>
      <c r="J296" s="414"/>
      <c r="K296" s="7"/>
    </row>
    <row r="297" spans="1:11" ht="12" customHeight="1" x14ac:dyDescent="0.2">
      <c r="A297" s="432">
        <f>A296+1</f>
        <v>2</v>
      </c>
      <c r="B297" s="431" t="s">
        <v>132</v>
      </c>
      <c r="C297" s="404">
        <f>SUMIF('Consolidado Cobros'!$B$10:$B$314,B297,'Consolidado Cobros'!$F$10:$F$314)</f>
        <v>0</v>
      </c>
      <c r="D297" s="404">
        <f>SUMIF('Consolidado Cobros'!$B$10:$B$314,B297,'Consolidado Cobros'!$G$10:$G$314)</f>
        <v>0</v>
      </c>
      <c r="E297" s="487"/>
      <c r="F297" s="487"/>
      <c r="G297" s="226">
        <f>SUMIF('Consolidado Cobros'!$B$10:$B$314,B297,'Consolidado Cobros'!$J$10:$J$314)</f>
        <v>0</v>
      </c>
      <c r="H297" s="405">
        <f>SUMIF('Consolidado Cobros'!$B$10:$B$314,B297,'Consolidado Cobros'!$L$10:$L$314)</f>
        <v>720000</v>
      </c>
      <c r="I297" s="406">
        <f t="shared" si="123"/>
        <v>720000</v>
      </c>
      <c r="J297" s="414"/>
      <c r="K297" s="7"/>
    </row>
    <row r="298" spans="1:11" ht="12" customHeight="1" x14ac:dyDescent="0.2">
      <c r="A298" s="13" t="s">
        <v>204</v>
      </c>
      <c r="B298" s="1012"/>
      <c r="C298" s="415">
        <f>SUM(C296:C297)</f>
        <v>0</v>
      </c>
      <c r="D298" s="415">
        <f t="shared" ref="D298:G298" si="124">SUM(D296:D297)</f>
        <v>0</v>
      </c>
      <c r="E298" s="544">
        <f t="shared" si="124"/>
        <v>0</v>
      </c>
      <c r="F298" s="544">
        <f t="shared" si="124"/>
        <v>0</v>
      </c>
      <c r="G298" s="532">
        <f t="shared" si="124"/>
        <v>0</v>
      </c>
      <c r="H298" s="416">
        <f>SUM(H296:H297)</f>
        <v>1190000</v>
      </c>
      <c r="I298" s="417">
        <f>SUM(I296:I297)</f>
        <v>1190000</v>
      </c>
      <c r="J298" s="414"/>
      <c r="K298" s="7"/>
    </row>
    <row r="299" spans="1:11" ht="12" customHeight="1" x14ac:dyDescent="0.2">
      <c r="A299" s="1035"/>
      <c r="B299" s="555"/>
      <c r="C299" s="434"/>
      <c r="D299" s="434"/>
      <c r="E299" s="545"/>
      <c r="F299" s="545"/>
      <c r="G299" s="454"/>
      <c r="H299" s="471"/>
      <c r="I299" s="419"/>
      <c r="J299" s="455"/>
      <c r="K299" s="7"/>
    </row>
    <row r="300" spans="1:11" ht="12" customHeight="1" x14ac:dyDescent="0.2">
      <c r="A300" s="432">
        <v>1</v>
      </c>
      <c r="B300" s="431" t="s">
        <v>133</v>
      </c>
      <c r="C300" s="404">
        <f>SUMIF('Consolidado Cobros'!$B$10:$B$314,B300,'Consolidado Cobros'!$F$10:$F$314)</f>
        <v>0</v>
      </c>
      <c r="D300" s="404">
        <f>SUMIF('Consolidado Cobros'!$B$10:$B$314,B300,'Consolidado Cobros'!$G$10:$G$314)</f>
        <v>0</v>
      </c>
      <c r="E300" s="487"/>
      <c r="F300" s="487"/>
      <c r="G300" s="226">
        <f>SUMIF('Consolidado Cobros'!$B$10:$B$314,B300,'Consolidado Cobros'!$J$10:$J$314)</f>
        <v>0</v>
      </c>
      <c r="H300" s="405">
        <f>SUMIF('Consolidado Cobros'!$B$10:$B$314,B300,'Consolidado Cobros'!$L$10:$L$314)</f>
        <v>720000</v>
      </c>
      <c r="I300" s="406">
        <f t="shared" ref="I300:I301" si="125">+G300+H300</f>
        <v>720000</v>
      </c>
      <c r="J300" s="414"/>
      <c r="K300" s="7"/>
    </row>
    <row r="301" spans="1:11" ht="12" customHeight="1" x14ac:dyDescent="0.2">
      <c r="A301" s="432">
        <f>A300+1</f>
        <v>2</v>
      </c>
      <c r="B301" s="356" t="s">
        <v>674</v>
      </c>
      <c r="C301" s="404">
        <f>SUMIF('Consolidado Cobros'!$B$10:$B$314,B301,'Consolidado Cobros'!$F$10:$F$314)</f>
        <v>0</v>
      </c>
      <c r="D301" s="404">
        <f>SUMIF('Consolidado Cobros'!$B$10:$B$314,B301,'Consolidado Cobros'!$G$10:$G$314)</f>
        <v>0</v>
      </c>
      <c r="E301" s="487"/>
      <c r="F301" s="487"/>
      <c r="G301" s="226">
        <f>SUMIF('Consolidado Cobros'!$B$10:$B$314,B301,'Consolidado Cobros'!$J$10:$J$314)</f>
        <v>0</v>
      </c>
      <c r="H301" s="405">
        <f>SUMIF('Consolidado Cobros'!$B$10:$B$314,B301,'Consolidado Cobros'!$L$10:$L$314)</f>
        <v>0</v>
      </c>
      <c r="I301" s="406">
        <f t="shared" si="125"/>
        <v>0</v>
      </c>
      <c r="J301" s="414"/>
      <c r="K301" s="7"/>
    </row>
    <row r="302" spans="1:11" ht="12" customHeight="1" x14ac:dyDescent="0.2">
      <c r="A302" s="13" t="s">
        <v>204</v>
      </c>
      <c r="B302" s="1012"/>
      <c r="C302" s="415">
        <f>SUM(C300:C301)</f>
        <v>0</v>
      </c>
      <c r="D302" s="415">
        <f>SUM(D300:D301)</f>
        <v>0</v>
      </c>
      <c r="E302" s="544">
        <f t="shared" ref="E302:F302" si="126">SUM(E300:E301)</f>
        <v>0</v>
      </c>
      <c r="F302" s="544">
        <f t="shared" si="126"/>
        <v>0</v>
      </c>
      <c r="G302" s="532">
        <f>SUM(G300:G301)</f>
        <v>0</v>
      </c>
      <c r="H302" s="416">
        <f>SUM(H300:H301)</f>
        <v>720000</v>
      </c>
      <c r="I302" s="417">
        <f>SUM(I300:I301)</f>
        <v>720000</v>
      </c>
      <c r="J302" s="414"/>
      <c r="K302" s="7"/>
    </row>
    <row r="303" spans="1:11" ht="12" customHeight="1" x14ac:dyDescent="0.2">
      <c r="A303" s="11"/>
      <c r="B303" s="555"/>
      <c r="C303" s="418"/>
      <c r="D303" s="418"/>
      <c r="E303" s="545"/>
      <c r="F303" s="545"/>
      <c r="G303" s="454"/>
      <c r="H303" s="419"/>
      <c r="I303" s="419"/>
      <c r="J303" s="420"/>
      <c r="K303" s="7"/>
    </row>
    <row r="304" spans="1:11" ht="12" customHeight="1" x14ac:dyDescent="0.2">
      <c r="A304" s="13" t="s">
        <v>226</v>
      </c>
      <c r="B304" s="1022"/>
      <c r="C304" s="415">
        <f>C298+C302</f>
        <v>0</v>
      </c>
      <c r="D304" s="415">
        <f>D298+D302</f>
        <v>0</v>
      </c>
      <c r="E304" s="544">
        <f t="shared" ref="E304:F304" si="127">E298+E302</f>
        <v>0</v>
      </c>
      <c r="F304" s="544">
        <f t="shared" si="127"/>
        <v>0</v>
      </c>
      <c r="G304" s="532">
        <f>G298+G302</f>
        <v>0</v>
      </c>
      <c r="H304" s="416">
        <f>H298+H302</f>
        <v>1910000</v>
      </c>
      <c r="I304" s="417">
        <f>I298+I302</f>
        <v>1910000</v>
      </c>
      <c r="J304" s="414"/>
      <c r="K304" s="7"/>
    </row>
    <row r="305" spans="1:11" ht="12" customHeight="1" x14ac:dyDescent="0.2">
      <c r="A305" s="1040"/>
      <c r="B305" s="1012"/>
      <c r="C305" s="434"/>
      <c r="D305" s="434"/>
      <c r="E305" s="545"/>
      <c r="F305" s="545"/>
      <c r="G305" s="454"/>
      <c r="H305" s="471"/>
      <c r="I305" s="471"/>
      <c r="J305" s="455"/>
      <c r="K305" s="7"/>
    </row>
    <row r="306" spans="1:11" ht="2.1" customHeight="1" x14ac:dyDescent="0.2">
      <c r="A306" s="1036"/>
      <c r="B306" s="1016"/>
      <c r="C306" s="427"/>
      <c r="D306" s="427"/>
      <c r="E306" s="156"/>
      <c r="F306" s="156"/>
      <c r="G306" s="66"/>
      <c r="H306" s="428"/>
      <c r="I306" s="428"/>
      <c r="J306" s="429"/>
      <c r="K306" s="7"/>
    </row>
    <row r="307" spans="1:11" ht="12" customHeight="1" x14ac:dyDescent="0.2">
      <c r="A307" s="1035"/>
      <c r="B307" s="555"/>
      <c r="C307" s="426"/>
      <c r="D307" s="426"/>
      <c r="E307" s="358"/>
      <c r="F307" s="358"/>
      <c r="G307" s="148"/>
      <c r="H307" s="470"/>
      <c r="I307" s="398"/>
      <c r="J307" s="394"/>
      <c r="K307" s="7"/>
    </row>
    <row r="308" spans="1:11" ht="12" customHeight="1" x14ac:dyDescent="0.2">
      <c r="A308" s="10" t="s">
        <v>227</v>
      </c>
      <c r="C308" s="931"/>
      <c r="D308" s="931"/>
      <c r="E308" s="1011"/>
      <c r="F308" s="1011"/>
      <c r="G308" s="931"/>
      <c r="I308" s="398"/>
      <c r="J308" s="430"/>
      <c r="K308" s="7"/>
    </row>
    <row r="309" spans="1:11" ht="12" customHeight="1" x14ac:dyDescent="0.2">
      <c r="A309" s="421">
        <v>1</v>
      </c>
      <c r="B309" s="421" t="s">
        <v>9</v>
      </c>
      <c r="C309" s="404">
        <f>SUMIF('Consolidado Cobros'!$B$10:$B$314,B309,'Consolidado Cobros'!$F$10:$F$314)</f>
        <v>0</v>
      </c>
      <c r="D309" s="404">
        <f>SUMIF('Consolidado Cobros'!$B$10:$B$314,B309,'Consolidado Cobros'!$G$10:$G$314)</f>
        <v>0</v>
      </c>
      <c r="E309" s="487"/>
      <c r="F309" s="487"/>
      <c r="G309" s="226">
        <f>SUMIF('Consolidado Cobros'!$B$10:$B$314,B309,'Consolidado Cobros'!$J$10:$J$314)</f>
        <v>0</v>
      </c>
      <c r="H309" s="405">
        <f>SUMIF('Consolidado Cobros'!$B$10:$B$314,B309,'Consolidado Cobros'!$L$10:$L$314)</f>
        <v>600000</v>
      </c>
      <c r="I309" s="406">
        <f t="shared" ref="I309:I312" si="128">+G309+H309</f>
        <v>600000</v>
      </c>
      <c r="J309" s="414"/>
      <c r="K309" s="7"/>
    </row>
    <row r="310" spans="1:11" ht="12" customHeight="1" x14ac:dyDescent="0.2">
      <c r="A310" s="421">
        <f>A309+1</f>
        <v>2</v>
      </c>
      <c r="B310" s="421" t="s">
        <v>76</v>
      </c>
      <c r="C310" s="404">
        <f>SUMIF('Consolidado Cobros'!$B$10:$B$314,B310,'Consolidado Cobros'!$F$10:$F$314)</f>
        <v>0</v>
      </c>
      <c r="D310" s="404">
        <f>SUMIF('Consolidado Cobros'!$B$10:$B$314,B310,'Consolidado Cobros'!$G$10:$G$314)</f>
        <v>0</v>
      </c>
      <c r="E310" s="487"/>
      <c r="F310" s="487"/>
      <c r="G310" s="226">
        <f>SUMIF('Consolidado Cobros'!$B$10:$B$314,B310,'Consolidado Cobros'!$J$10:$J$314)</f>
        <v>0</v>
      </c>
      <c r="H310" s="405">
        <f>SUMIF('Consolidado Cobros'!$B$10:$B$314,B310,'Consolidado Cobros'!$L$10:$L$314)</f>
        <v>360000</v>
      </c>
      <c r="I310" s="406">
        <f t="shared" si="128"/>
        <v>360000</v>
      </c>
      <c r="J310" s="414"/>
      <c r="K310" s="7"/>
    </row>
    <row r="311" spans="1:11" ht="12" customHeight="1" x14ac:dyDescent="0.2">
      <c r="A311" s="421">
        <f>A310+1</f>
        <v>3</v>
      </c>
      <c r="B311" s="421" t="s">
        <v>77</v>
      </c>
      <c r="C311" s="404">
        <f>SUMIF('Consolidado Cobros'!$B$10:$B$314,B311,'Consolidado Cobros'!$F$10:$F$314)</f>
        <v>0</v>
      </c>
      <c r="D311" s="404">
        <f>SUMIF('Consolidado Cobros'!$B$10:$B$314,B311,'Consolidado Cobros'!$G$10:$G$314)</f>
        <v>0</v>
      </c>
      <c r="E311" s="487"/>
      <c r="F311" s="487"/>
      <c r="G311" s="226">
        <f>SUMIF('Consolidado Cobros'!$B$10:$B$314,B311,'Consolidado Cobros'!$J$10:$J$314)</f>
        <v>0</v>
      </c>
      <c r="H311" s="405">
        <f>SUMIF('Consolidado Cobros'!$B$10:$B$314,B311,'Consolidado Cobros'!$L$10:$L$314)</f>
        <v>360000</v>
      </c>
      <c r="I311" s="406">
        <f t="shared" si="128"/>
        <v>360000</v>
      </c>
      <c r="J311" s="414"/>
      <c r="K311" s="7"/>
    </row>
    <row r="312" spans="1:11" ht="12" customHeight="1" x14ac:dyDescent="0.2">
      <c r="A312" s="421">
        <f>A311+1</f>
        <v>4</v>
      </c>
      <c r="B312" s="421" t="s">
        <v>78</v>
      </c>
      <c r="C312" s="404">
        <f>SUMIF('Consolidado Cobros'!$B$10:$B$314,B312,'Consolidado Cobros'!$F$10:$F$314)</f>
        <v>0</v>
      </c>
      <c r="D312" s="404">
        <f>SUMIF('Consolidado Cobros'!$B$10:$B$314,B312,'Consolidado Cobros'!$G$10:$G$314)</f>
        <v>0</v>
      </c>
      <c r="E312" s="487"/>
      <c r="F312" s="487"/>
      <c r="G312" s="226">
        <f>SUMIF('Consolidado Cobros'!$B$10:$B$314,B312,'Consolidado Cobros'!$J$10:$J$314)</f>
        <v>0</v>
      </c>
      <c r="H312" s="405">
        <f>SUMIF('Consolidado Cobros'!$B$10:$B$314,B312,'Consolidado Cobros'!$L$10:$L$314)</f>
        <v>0</v>
      </c>
      <c r="I312" s="406">
        <f t="shared" si="128"/>
        <v>0</v>
      </c>
      <c r="J312" s="414"/>
      <c r="K312" s="7"/>
    </row>
    <row r="313" spans="1:11" ht="12" customHeight="1" x14ac:dyDescent="0.2">
      <c r="A313" s="11" t="s">
        <v>204</v>
      </c>
      <c r="B313" s="555"/>
      <c r="C313" s="415">
        <f>SUM(C308:C312)</f>
        <v>0</v>
      </c>
      <c r="D313" s="415">
        <f t="shared" ref="D313:G313" si="129">SUM(D308:D312)</f>
        <v>0</v>
      </c>
      <c r="E313" s="544">
        <f t="shared" si="129"/>
        <v>0</v>
      </c>
      <c r="F313" s="544">
        <f t="shared" si="129"/>
        <v>0</v>
      </c>
      <c r="G313" s="532">
        <f t="shared" si="129"/>
        <v>0</v>
      </c>
      <c r="H313" s="416">
        <f>SUM(H309:H312)</f>
        <v>1320000</v>
      </c>
      <c r="I313" s="417">
        <f>SUM(I309:I312)</f>
        <v>1320000</v>
      </c>
      <c r="J313" s="414"/>
      <c r="K313" s="7"/>
    </row>
    <row r="314" spans="1:11" ht="12" customHeight="1" x14ac:dyDescent="0.2">
      <c r="A314" s="1035"/>
      <c r="B314" s="555"/>
      <c r="C314" s="434"/>
      <c r="D314" s="434"/>
      <c r="E314" s="545"/>
      <c r="F314" s="545"/>
      <c r="G314" s="454"/>
      <c r="H314" s="471"/>
      <c r="I314" s="471"/>
      <c r="J314" s="455"/>
      <c r="K314" s="7"/>
    </row>
    <row r="315" spans="1:11" ht="2.1" customHeight="1" x14ac:dyDescent="0.2">
      <c r="A315" s="1036"/>
      <c r="B315" s="1016"/>
      <c r="C315" s="427"/>
      <c r="D315" s="427"/>
      <c r="E315" s="156"/>
      <c r="F315" s="156"/>
      <c r="G315" s="66"/>
      <c r="H315" s="428"/>
      <c r="I315" s="428"/>
      <c r="J315" s="429"/>
      <c r="K315" s="7"/>
    </row>
    <row r="316" spans="1:11" ht="12" customHeight="1" x14ac:dyDescent="0.2">
      <c r="A316" s="1035"/>
      <c r="B316" s="555"/>
      <c r="C316" s="426"/>
      <c r="D316" s="426"/>
      <c r="E316" s="358"/>
      <c r="F316" s="358"/>
      <c r="G316" s="148"/>
      <c r="H316" s="470"/>
      <c r="I316" s="398"/>
      <c r="J316" s="394"/>
      <c r="K316" s="7"/>
    </row>
    <row r="317" spans="1:11" ht="12" customHeight="1" x14ac:dyDescent="0.2">
      <c r="A317" s="1038" t="s">
        <v>252</v>
      </c>
      <c r="C317" s="931"/>
      <c r="D317" s="931"/>
      <c r="E317" s="1011"/>
      <c r="F317" s="1011"/>
      <c r="G317" s="931"/>
      <c r="I317" s="398"/>
      <c r="J317" s="430"/>
      <c r="K317" s="7"/>
    </row>
    <row r="318" spans="1:11" ht="12" customHeight="1" x14ac:dyDescent="0.2">
      <c r="A318" s="421">
        <v>1</v>
      </c>
      <c r="B318" s="421" t="s">
        <v>198</v>
      </c>
      <c r="C318" s="404">
        <f>SUMIF('Consolidado Cobros'!$B$10:$B$314,B318,'Consolidado Cobros'!$F$10:$F$314)</f>
        <v>0</v>
      </c>
      <c r="D318" s="404">
        <f>SUMIF('Consolidado Cobros'!$B$10:$B$314,B318,'Consolidado Cobros'!$G$10:$G$314)</f>
        <v>0</v>
      </c>
      <c r="E318" s="487"/>
      <c r="F318" s="487"/>
      <c r="G318" s="226">
        <f>SUMIF('Consolidado Cobros'!$B$10:$B$314,B318,'Consolidado Cobros'!$J$10:$J$314)</f>
        <v>0</v>
      </c>
      <c r="H318" s="405">
        <f>SUMIF('Consolidado Cobros'!$B$10:$B$314,B318,'Consolidado Cobros'!$L$10:$L$314)</f>
        <v>500000</v>
      </c>
      <c r="I318" s="406">
        <f t="shared" ref="I318:I320" si="130">+G318+H318</f>
        <v>500000</v>
      </c>
      <c r="J318" s="414"/>
      <c r="K318" s="7"/>
    </row>
    <row r="319" spans="1:11" ht="12" customHeight="1" x14ac:dyDescent="0.2">
      <c r="A319" s="421">
        <f>+A318+1</f>
        <v>2</v>
      </c>
      <c r="B319" s="462" t="s">
        <v>241</v>
      </c>
      <c r="C319" s="404">
        <f>SUMIF('Consolidado Cobros'!$B$10:$B$314,B319,'Consolidado Cobros'!$F$10:$F$314)</f>
        <v>0</v>
      </c>
      <c r="D319" s="404">
        <f>SUMIF('Consolidado Cobros'!$B$10:$B$314,B319,'Consolidado Cobros'!$G$10:$G$314)</f>
        <v>0</v>
      </c>
      <c r="E319" s="487"/>
      <c r="F319" s="487"/>
      <c r="G319" s="226">
        <f>SUMIF('Consolidado Cobros'!$B$10:$B$314,B319,'Consolidado Cobros'!$J$10:$J$314)</f>
        <v>0</v>
      </c>
      <c r="H319" s="405">
        <f>SUMIF('Consolidado Cobros'!$B$10:$B$314,B319,'Consolidado Cobros'!$L$10:$L$314)</f>
        <v>450000</v>
      </c>
      <c r="I319" s="406">
        <f t="shared" si="130"/>
        <v>450000</v>
      </c>
      <c r="J319" s="414"/>
      <c r="K319" s="7"/>
    </row>
    <row r="320" spans="1:11" ht="12" customHeight="1" x14ac:dyDescent="0.2">
      <c r="A320" s="421">
        <f>+A319+1</f>
        <v>3</v>
      </c>
      <c r="B320" s="421" t="s">
        <v>199</v>
      </c>
      <c r="C320" s="404">
        <f>SUMIF('Consolidado Cobros'!$B$10:$B$314,B320,'Consolidado Cobros'!$F$10:$F$314)</f>
        <v>0</v>
      </c>
      <c r="D320" s="404">
        <f>SUMIF('Consolidado Cobros'!$B$10:$B$314,B320,'Consolidado Cobros'!$G$10:$G$314)</f>
        <v>0</v>
      </c>
      <c r="E320" s="487"/>
      <c r="F320" s="487"/>
      <c r="G320" s="226">
        <f>SUMIF('Consolidado Cobros'!$B$10:$B$314,B320,'Consolidado Cobros'!$J$10:$J$314)</f>
        <v>0</v>
      </c>
      <c r="H320" s="405">
        <f>SUMIF('Consolidado Cobros'!$B$10:$B$314,B320,'Consolidado Cobros'!$L$10:$L$314)</f>
        <v>500000</v>
      </c>
      <c r="I320" s="406">
        <f t="shared" si="130"/>
        <v>500000</v>
      </c>
      <c r="J320" s="414"/>
      <c r="K320" s="7"/>
    </row>
    <row r="321" spans="1:11" ht="12" customHeight="1" x14ac:dyDescent="0.2">
      <c r="A321" s="11" t="s">
        <v>204</v>
      </c>
      <c r="B321" s="555"/>
      <c r="C321" s="408">
        <f>SUM(C317:C320)</f>
        <v>0</v>
      </c>
      <c r="D321" s="408">
        <f>SUM(D317:D320)</f>
        <v>0</v>
      </c>
      <c r="E321" s="529">
        <f t="shared" ref="E321:F321" si="131">SUM(E317:E320)</f>
        <v>0</v>
      </c>
      <c r="F321" s="529">
        <f t="shared" si="131"/>
        <v>0</v>
      </c>
      <c r="G321" s="407">
        <f>SUM(G317:G320)</f>
        <v>0</v>
      </c>
      <c r="H321" s="409">
        <f>SUM(H318:H320)</f>
        <v>1450000</v>
      </c>
      <c r="I321" s="410">
        <f>SUM(I318:I320)</f>
        <v>1450000</v>
      </c>
      <c r="J321" s="411"/>
      <c r="K321" s="7"/>
    </row>
    <row r="322" spans="1:11" ht="12" customHeight="1" x14ac:dyDescent="0.2">
      <c r="A322" s="1035"/>
      <c r="B322" s="555"/>
      <c r="C322" s="426"/>
      <c r="D322" s="426"/>
      <c r="E322" s="358"/>
      <c r="F322" s="358"/>
      <c r="G322" s="148"/>
      <c r="H322" s="470"/>
      <c r="I322" s="471"/>
      <c r="J322" s="394"/>
      <c r="K322" s="7"/>
    </row>
    <row r="323" spans="1:11" ht="2.1" customHeight="1" x14ac:dyDescent="0.2">
      <c r="A323" s="1036"/>
      <c r="B323" s="1016"/>
      <c r="C323" s="427"/>
      <c r="D323" s="427"/>
      <c r="E323" s="156"/>
      <c r="F323" s="156"/>
      <c r="G323" s="66"/>
      <c r="H323" s="428"/>
      <c r="I323" s="428"/>
      <c r="J323" s="429"/>
      <c r="K323" s="7"/>
    </row>
    <row r="324" spans="1:11" ht="12" customHeight="1" x14ac:dyDescent="0.2">
      <c r="A324" s="1035"/>
      <c r="B324" s="555"/>
      <c r="C324" s="426"/>
      <c r="D324" s="426"/>
      <c r="E324" s="358"/>
      <c r="F324" s="358"/>
      <c r="G324" s="148"/>
      <c r="H324" s="470"/>
      <c r="I324" s="398"/>
      <c r="J324" s="394"/>
      <c r="K324" s="7"/>
    </row>
    <row r="325" spans="1:11" ht="12" customHeight="1" x14ac:dyDescent="0.2">
      <c r="A325" s="10" t="s">
        <v>253</v>
      </c>
      <c r="C325" s="931"/>
      <c r="D325" s="931"/>
      <c r="E325" s="1011"/>
      <c r="F325" s="1011"/>
      <c r="G325" s="931"/>
      <c r="I325" s="398"/>
      <c r="J325" s="430"/>
      <c r="K325" s="7"/>
    </row>
    <row r="326" spans="1:11" ht="12" customHeight="1" x14ac:dyDescent="0.2">
      <c r="A326" s="421">
        <v>1</v>
      </c>
      <c r="B326" s="421" t="s">
        <v>37</v>
      </c>
      <c r="C326" s="404">
        <f>SUMIF('Consolidado Cobros'!$B$10:$B$314,B326,'Consolidado Cobros'!$F$10:$F$314)</f>
        <v>0</v>
      </c>
      <c r="D326" s="404">
        <f>SUMIF('Consolidado Cobros'!$B$10:$B$314,B326,'Consolidado Cobros'!$G$10:$G$314)</f>
        <v>0</v>
      </c>
      <c r="E326" s="487"/>
      <c r="F326" s="487"/>
      <c r="G326" s="226">
        <f>SUMIF('Consolidado Cobros'!$B$10:$B$314,B326,'Consolidado Cobros'!$J$10:$J$314)</f>
        <v>0</v>
      </c>
      <c r="H326" s="405">
        <f>SUMIF('Consolidado Cobros'!$B$10:$B$314,B326,'Consolidado Cobros'!$L$10:$L$314)</f>
        <v>1070000</v>
      </c>
      <c r="I326" s="406">
        <f t="shared" ref="I326:I327" si="132">+G326+H326</f>
        <v>1070000</v>
      </c>
      <c r="J326" s="411"/>
      <c r="K326" s="7"/>
    </row>
    <row r="327" spans="1:11" ht="12" customHeight="1" x14ac:dyDescent="0.2">
      <c r="A327" s="421">
        <f>A326+1</f>
        <v>2</v>
      </c>
      <c r="B327" s="462" t="s">
        <v>244</v>
      </c>
      <c r="C327" s="404">
        <f>SUMIF('Consolidado Cobros'!$B$10:$B$314,B327,'Consolidado Cobros'!$F$10:$F$314)</f>
        <v>0</v>
      </c>
      <c r="D327" s="404">
        <f>SUMIF('Consolidado Cobros'!$B$10:$B$314,B327,'Consolidado Cobros'!$G$10:$G$314)</f>
        <v>0</v>
      </c>
      <c r="E327" s="487"/>
      <c r="F327" s="487"/>
      <c r="G327" s="226">
        <f>SUMIF('Consolidado Cobros'!$B$10:$B$314,B327,'Consolidado Cobros'!$J$10:$J$314)</f>
        <v>0</v>
      </c>
      <c r="H327" s="405">
        <f>SUMIF('Consolidado Cobros'!$B$10:$B$314,B327,'Consolidado Cobros'!$L$10:$L$314)</f>
        <v>360000</v>
      </c>
      <c r="I327" s="406">
        <f t="shared" si="132"/>
        <v>360000</v>
      </c>
      <c r="J327" s="411"/>
      <c r="K327" s="7"/>
    </row>
    <row r="328" spans="1:11" ht="12" customHeight="1" x14ac:dyDescent="0.2">
      <c r="A328" s="11" t="s">
        <v>204</v>
      </c>
      <c r="B328" s="555"/>
      <c r="C328" s="408">
        <f>SUM(C325:C327)</f>
        <v>0</v>
      </c>
      <c r="D328" s="408">
        <f>SUM(D325:D327)</f>
        <v>0</v>
      </c>
      <c r="E328" s="529">
        <f t="shared" ref="E328:F328" si="133">SUM(E325:E327)</f>
        <v>0</v>
      </c>
      <c r="F328" s="529">
        <f t="shared" si="133"/>
        <v>0</v>
      </c>
      <c r="G328" s="407">
        <f>SUM(G325:G327)</f>
        <v>0</v>
      </c>
      <c r="H328" s="409">
        <f>SUM(H326:H327)</f>
        <v>1430000</v>
      </c>
      <c r="I328" s="410">
        <f>SUM(I326:I327)</f>
        <v>1430000</v>
      </c>
      <c r="J328" s="411"/>
      <c r="K328" s="7"/>
    </row>
    <row r="329" spans="1:11" ht="12" customHeight="1" x14ac:dyDescent="0.2">
      <c r="A329" s="1035"/>
      <c r="B329" s="555"/>
      <c r="C329" s="426"/>
      <c r="D329" s="426"/>
      <c r="E329" s="358"/>
      <c r="F329" s="358"/>
      <c r="G329" s="148"/>
      <c r="H329" s="470"/>
      <c r="I329" s="471"/>
      <c r="J329" s="394"/>
      <c r="K329" s="7"/>
    </row>
    <row r="330" spans="1:11" ht="2.1" customHeight="1" x14ac:dyDescent="0.2">
      <c r="A330" s="1036"/>
      <c r="B330" s="1016"/>
      <c r="C330" s="427"/>
      <c r="D330" s="427"/>
      <c r="E330" s="156"/>
      <c r="F330" s="156"/>
      <c r="G330" s="66"/>
      <c r="H330" s="428"/>
      <c r="I330" s="428"/>
      <c r="J330" s="429"/>
      <c r="K330" s="7"/>
    </row>
    <row r="331" spans="1:11" ht="12" customHeight="1" x14ac:dyDescent="0.2">
      <c r="A331" s="1035"/>
      <c r="B331" s="555"/>
      <c r="C331" s="426"/>
      <c r="D331" s="426"/>
      <c r="E331" s="358"/>
      <c r="F331" s="358"/>
      <c r="G331" s="148"/>
      <c r="H331" s="470"/>
      <c r="I331" s="398"/>
      <c r="J331" s="394"/>
      <c r="K331" s="7"/>
    </row>
    <row r="332" spans="1:11" ht="12" customHeight="1" x14ac:dyDescent="0.2">
      <c r="A332" s="1038" t="s">
        <v>255</v>
      </c>
      <c r="C332" s="931"/>
      <c r="D332" s="931"/>
      <c r="E332" s="1011"/>
      <c r="F332" s="1011"/>
      <c r="G332" s="931"/>
      <c r="I332" s="398"/>
      <c r="J332" s="430"/>
      <c r="K332" s="7"/>
    </row>
    <row r="333" spans="1:11" ht="12" customHeight="1" x14ac:dyDescent="0.2">
      <c r="A333" s="432">
        <v>1</v>
      </c>
      <c r="B333" s="431" t="s">
        <v>66</v>
      </c>
      <c r="C333" s="404">
        <f>SUMIF('Consolidado Cobros'!$B$10:$B$314,B333,'Consolidado Cobros'!$F$10:$F$314)</f>
        <v>0</v>
      </c>
      <c r="D333" s="404">
        <f>SUMIF('Consolidado Cobros'!$B$10:$B$314,B333,'Consolidado Cobros'!$G$10:$G$314)</f>
        <v>0</v>
      </c>
      <c r="E333" s="487"/>
      <c r="F333" s="487"/>
      <c r="G333" s="226">
        <f>SUMIF('Consolidado Cobros'!$B$10:$B$314,B333,'Consolidado Cobros'!$J$10:$J$314)</f>
        <v>0</v>
      </c>
      <c r="H333" s="405">
        <f>SUMIF('Consolidado Cobros'!$B$10:$B$314,B333,'Consolidado Cobros'!$L$10:$L$314)</f>
        <v>0</v>
      </c>
      <c r="I333" s="406">
        <f t="shared" ref="I333:I334" si="134">+G333+H333</f>
        <v>0</v>
      </c>
      <c r="J333" s="411"/>
      <c r="K333" s="7"/>
    </row>
    <row r="334" spans="1:11" ht="12" customHeight="1" x14ac:dyDescent="0.2">
      <c r="A334" s="432">
        <f>A333+1</f>
        <v>2</v>
      </c>
      <c r="B334" s="431" t="s">
        <v>69</v>
      </c>
      <c r="C334" s="404">
        <f>SUMIF('Consolidado Cobros'!$B$10:$B$314,B334,'Consolidado Cobros'!$F$10:$F$314)</f>
        <v>0</v>
      </c>
      <c r="D334" s="404">
        <f>SUMIF('Consolidado Cobros'!$B$10:$B$314,B334,'Consolidado Cobros'!$G$10:$G$314)</f>
        <v>0</v>
      </c>
      <c r="E334" s="487"/>
      <c r="F334" s="487"/>
      <c r="G334" s="226">
        <f>SUMIF('Consolidado Cobros'!$B$10:$B$314,B334,'Consolidado Cobros'!$J$10:$J$314)</f>
        <v>0</v>
      </c>
      <c r="H334" s="405">
        <f>SUMIF('Consolidado Cobros'!$B$10:$B$314,B334,'Consolidado Cobros'!$L$10:$L$314)</f>
        <v>390000</v>
      </c>
      <c r="I334" s="406">
        <f t="shared" si="134"/>
        <v>390000</v>
      </c>
      <c r="J334" s="411"/>
      <c r="K334" s="7"/>
    </row>
    <row r="335" spans="1:11" ht="12" customHeight="1" x14ac:dyDescent="0.2">
      <c r="A335" s="13" t="s">
        <v>204</v>
      </c>
      <c r="B335" s="1012"/>
      <c r="C335" s="408">
        <f>SUM(C332:C334)</f>
        <v>0</v>
      </c>
      <c r="D335" s="408">
        <f t="shared" ref="D335:G335" si="135">SUM(D332:D334)</f>
        <v>0</v>
      </c>
      <c r="E335" s="529">
        <f t="shared" si="135"/>
        <v>0</v>
      </c>
      <c r="F335" s="529">
        <f t="shared" si="135"/>
        <v>0</v>
      </c>
      <c r="G335" s="407">
        <f t="shared" si="135"/>
        <v>0</v>
      </c>
      <c r="H335" s="409">
        <f>SUM(H333:H334)</f>
        <v>390000</v>
      </c>
      <c r="I335" s="410">
        <f>SUM(I333:I334)</f>
        <v>390000</v>
      </c>
      <c r="J335" s="411"/>
      <c r="K335" s="7"/>
    </row>
    <row r="336" spans="1:11" ht="12" customHeight="1" x14ac:dyDescent="0.2">
      <c r="A336" s="1035"/>
      <c r="B336" s="555"/>
      <c r="C336" s="426"/>
      <c r="D336" s="426"/>
      <c r="E336" s="358"/>
      <c r="F336" s="358"/>
      <c r="G336" s="148"/>
      <c r="H336" s="470"/>
      <c r="I336" s="471"/>
      <c r="J336" s="394"/>
      <c r="K336" s="7"/>
    </row>
    <row r="337" spans="1:11" ht="2.1" customHeight="1" x14ac:dyDescent="0.2">
      <c r="A337" s="1036"/>
      <c r="B337" s="1016"/>
      <c r="C337" s="427"/>
      <c r="D337" s="427"/>
      <c r="E337" s="156"/>
      <c r="F337" s="156"/>
      <c r="G337" s="66"/>
      <c r="H337" s="428"/>
      <c r="I337" s="428"/>
      <c r="J337" s="429"/>
      <c r="K337" s="7"/>
    </row>
    <row r="338" spans="1:11" ht="12" customHeight="1" x14ac:dyDescent="0.2">
      <c r="A338" s="1035"/>
      <c r="B338" s="555"/>
      <c r="C338" s="426"/>
      <c r="D338" s="426"/>
      <c r="E338" s="358"/>
      <c r="F338" s="358"/>
      <c r="G338" s="148"/>
      <c r="H338" s="470"/>
      <c r="I338" s="398"/>
      <c r="J338" s="394"/>
      <c r="K338" s="7"/>
    </row>
    <row r="339" spans="1:11" ht="12" customHeight="1" x14ac:dyDescent="0.2">
      <c r="A339" s="10" t="s">
        <v>256</v>
      </c>
      <c r="C339" s="931"/>
      <c r="D339" s="931"/>
      <c r="E339" s="1011"/>
      <c r="F339" s="1011"/>
      <c r="G339" s="931"/>
      <c r="I339" s="398"/>
      <c r="J339" s="430"/>
      <c r="K339" s="7"/>
    </row>
    <row r="340" spans="1:11" ht="12" customHeight="1" x14ac:dyDescent="0.2">
      <c r="A340" s="421">
        <v>1</v>
      </c>
      <c r="B340" s="421" t="s">
        <v>25</v>
      </c>
      <c r="C340" s="404">
        <f>SUMIF('Consolidado Cobros'!$B$10:$B$314,B340,'Consolidado Cobros'!$F$10:$F$314)</f>
        <v>0</v>
      </c>
      <c r="D340" s="404">
        <f>SUMIF('Consolidado Cobros'!$B$10:$B$314,B340,'Consolidado Cobros'!$G$10:$G$314)</f>
        <v>0</v>
      </c>
      <c r="E340" s="487"/>
      <c r="F340" s="487"/>
      <c r="G340" s="226">
        <f>SUMIF('Consolidado Cobros'!$B$10:$B$314,B340,'Consolidado Cobros'!$J$10:$J$314)</f>
        <v>0</v>
      </c>
      <c r="H340" s="405">
        <f>SUMIF('Consolidado Cobros'!$B$10:$B$314,B340,'Consolidado Cobros'!$L$10:$L$314)</f>
        <v>330000</v>
      </c>
      <c r="I340" s="406">
        <f t="shared" ref="I340:I341" si="136">+G340+H340</f>
        <v>330000</v>
      </c>
      <c r="J340" s="414"/>
      <c r="K340" s="7"/>
    </row>
    <row r="341" spans="1:11" ht="12" customHeight="1" x14ac:dyDescent="0.2">
      <c r="A341" s="421">
        <f>A340+1</f>
        <v>2</v>
      </c>
      <c r="B341" s="464" t="s">
        <v>39</v>
      </c>
      <c r="C341" s="404">
        <f>SUMIF('Consolidado Cobros'!$B$10:$B$314,B341,'Consolidado Cobros'!$F$10:$F$314)</f>
        <v>0</v>
      </c>
      <c r="D341" s="404">
        <f>SUMIF('Consolidado Cobros'!$B$10:$B$314,B341,'Consolidado Cobros'!$G$10:$G$314)</f>
        <v>0</v>
      </c>
      <c r="E341" s="487"/>
      <c r="F341" s="487"/>
      <c r="G341" s="226">
        <f>SUMIF('Consolidado Cobros'!$B$10:$B$314,B341,'Consolidado Cobros'!$J$10:$J$314)</f>
        <v>0</v>
      </c>
      <c r="H341" s="405">
        <f>SUMIF('Consolidado Cobros'!$B$10:$B$314,B341,'Consolidado Cobros'!$L$10:$L$314)</f>
        <v>600000</v>
      </c>
      <c r="I341" s="406">
        <f t="shared" si="136"/>
        <v>600000</v>
      </c>
      <c r="J341" s="414"/>
      <c r="K341" s="7"/>
    </row>
    <row r="342" spans="1:11" ht="12" customHeight="1" x14ac:dyDescent="0.2">
      <c r="A342" s="1041" t="s">
        <v>204</v>
      </c>
      <c r="B342" s="1023"/>
      <c r="C342" s="473">
        <f>SUM(C340:C341)</f>
        <v>0</v>
      </c>
      <c r="D342" s="473">
        <f t="shared" ref="D342:G342" si="137">SUM(D340:D341)</f>
        <v>0</v>
      </c>
      <c r="E342" s="551">
        <f t="shared" si="137"/>
        <v>0</v>
      </c>
      <c r="F342" s="551">
        <f t="shared" si="137"/>
        <v>0</v>
      </c>
      <c r="G342" s="541">
        <f t="shared" si="137"/>
        <v>0</v>
      </c>
      <c r="H342" s="409">
        <f>SUM(H340:H341)</f>
        <v>930000</v>
      </c>
      <c r="I342" s="410">
        <f>SUM(I340:I341)</f>
        <v>930000</v>
      </c>
      <c r="J342" s="411"/>
      <c r="K342" s="7"/>
    </row>
    <row r="343" spans="1:11" ht="12" customHeight="1" x14ac:dyDescent="0.2">
      <c r="A343" s="1042"/>
      <c r="B343" s="1023"/>
      <c r="C343" s="426"/>
      <c r="D343" s="426"/>
      <c r="E343" s="358"/>
      <c r="F343" s="358"/>
      <c r="G343" s="148"/>
      <c r="H343" s="470"/>
      <c r="I343" s="471"/>
      <c r="J343" s="394"/>
      <c r="K343" s="7"/>
    </row>
    <row r="344" spans="1:11" ht="12" customHeight="1" x14ac:dyDescent="0.2">
      <c r="A344" s="421">
        <v>1</v>
      </c>
      <c r="B344" s="421" t="s">
        <v>40</v>
      </c>
      <c r="C344" s="404">
        <f>SUMIF('Consolidado Cobros'!$B$10:$B$314,B344,'Consolidado Cobros'!$F$10:$F$314)</f>
        <v>0</v>
      </c>
      <c r="D344" s="404">
        <f>SUMIF('Consolidado Cobros'!$B$10:$B$314,B344,'Consolidado Cobros'!$G$10:$G$314)</f>
        <v>0</v>
      </c>
      <c r="E344" s="487"/>
      <c r="F344" s="487"/>
      <c r="G344" s="226">
        <f>SUMIF('Consolidado Cobros'!$B$10:$B$314,B344,'Consolidado Cobros'!$J$10:$J$314)</f>
        <v>0</v>
      </c>
      <c r="H344" s="405">
        <f>SUMIF('Consolidado Cobros'!$B$10:$B$314,B344,'Consolidado Cobros'!$L$10:$L$314)</f>
        <v>330000</v>
      </c>
      <c r="I344" s="406">
        <f t="shared" ref="I344:I345" si="138">+G344+H344</f>
        <v>330000</v>
      </c>
      <c r="J344" s="414"/>
      <c r="K344" s="7"/>
    </row>
    <row r="345" spans="1:11" ht="12" customHeight="1" x14ac:dyDescent="0.2">
      <c r="A345" s="421">
        <f>+A344+1</f>
        <v>2</v>
      </c>
      <c r="B345" s="421" t="s">
        <v>273</v>
      </c>
      <c r="C345" s="404">
        <f>SUMIF('Consolidado Cobros'!$B$10:$B$314,B345,'Consolidado Cobros'!$F$10:$F$314)</f>
        <v>0</v>
      </c>
      <c r="D345" s="404">
        <f>SUMIF('Consolidado Cobros'!$B$10:$B$314,B345,'Consolidado Cobros'!$G$10:$G$314)</f>
        <v>0</v>
      </c>
      <c r="E345" s="487"/>
      <c r="F345" s="487"/>
      <c r="G345" s="226">
        <f>SUMIF('Consolidado Cobros'!$B$10:$B$314,B345,'Consolidado Cobros'!$J$10:$J$314)</f>
        <v>0</v>
      </c>
      <c r="H345" s="405">
        <f>SUMIF('Consolidado Cobros'!$B$10:$B$314,B345,'Consolidado Cobros'!$L$10:$L$314)</f>
        <v>330000</v>
      </c>
      <c r="I345" s="406">
        <f t="shared" si="138"/>
        <v>330000</v>
      </c>
      <c r="J345" s="414"/>
      <c r="K345" s="7"/>
    </row>
    <row r="346" spans="1:11" ht="12" customHeight="1" x14ac:dyDescent="0.2">
      <c r="A346" s="11" t="s">
        <v>204</v>
      </c>
      <c r="B346" s="555"/>
      <c r="C346" s="408">
        <f>SUM(C344:C345)</f>
        <v>0</v>
      </c>
      <c r="D346" s="408">
        <f t="shared" ref="D346:G346" si="139">SUM(D344:D345)</f>
        <v>0</v>
      </c>
      <c r="E346" s="529">
        <f t="shared" si="139"/>
        <v>0</v>
      </c>
      <c r="F346" s="529">
        <f t="shared" si="139"/>
        <v>0</v>
      </c>
      <c r="G346" s="407">
        <f t="shared" si="139"/>
        <v>0</v>
      </c>
      <c r="H346" s="409">
        <f>SUM(H344:H345)</f>
        <v>660000</v>
      </c>
      <c r="I346" s="410">
        <f>SUM(I344:I345)</f>
        <v>660000</v>
      </c>
      <c r="J346" s="411"/>
      <c r="K346" s="7"/>
    </row>
    <row r="347" spans="1:11" ht="12" customHeight="1" x14ac:dyDescent="0.2">
      <c r="A347" s="1035"/>
      <c r="B347" s="555"/>
      <c r="C347" s="426"/>
      <c r="D347" s="426"/>
      <c r="E347" s="358"/>
      <c r="F347" s="358"/>
      <c r="G347" s="148"/>
      <c r="H347" s="470"/>
      <c r="I347" s="471"/>
      <c r="J347" s="394"/>
      <c r="K347" s="7"/>
    </row>
    <row r="348" spans="1:11" ht="2.1" customHeight="1" x14ac:dyDescent="0.2">
      <c r="A348" s="1036"/>
      <c r="B348" s="1016"/>
      <c r="C348" s="427"/>
      <c r="D348" s="427"/>
      <c r="E348" s="156"/>
      <c r="F348" s="156"/>
      <c r="G348" s="66"/>
      <c r="H348" s="428"/>
      <c r="I348" s="428"/>
      <c r="J348" s="429"/>
      <c r="K348" s="7"/>
    </row>
    <row r="349" spans="1:11" ht="12" customHeight="1" x14ac:dyDescent="0.2">
      <c r="A349" s="1035"/>
      <c r="B349" s="555"/>
      <c r="C349" s="426"/>
      <c r="D349" s="426"/>
      <c r="E349" s="358"/>
      <c r="F349" s="358"/>
      <c r="G349" s="148"/>
      <c r="H349" s="470"/>
      <c r="I349" s="398"/>
      <c r="J349" s="394"/>
      <c r="K349" s="7"/>
    </row>
    <row r="350" spans="1:11" ht="12" customHeight="1" x14ac:dyDescent="0.2">
      <c r="A350" s="1038" t="s">
        <v>272</v>
      </c>
      <c r="C350" s="931"/>
      <c r="D350" s="931"/>
      <c r="E350" s="1011"/>
      <c r="F350" s="1011"/>
      <c r="G350" s="931"/>
      <c r="I350" s="398"/>
      <c r="J350" s="430"/>
      <c r="K350" s="7"/>
    </row>
    <row r="351" spans="1:11" ht="12" customHeight="1" x14ac:dyDescent="0.2">
      <c r="A351" s="421">
        <v>1</v>
      </c>
      <c r="B351" s="421" t="s">
        <v>42</v>
      </c>
      <c r="C351" s="404">
        <f>SUMIF('Consolidado Cobros'!$B$10:$B$314,B351,'Consolidado Cobros'!$F$10:$F$314)</f>
        <v>0</v>
      </c>
      <c r="D351" s="404">
        <f>SUMIF('Consolidado Cobros'!$B$10:$B$314,B351,'Consolidado Cobros'!$G$10:$G$314)</f>
        <v>0</v>
      </c>
      <c r="E351" s="487"/>
      <c r="F351" s="487"/>
      <c r="G351" s="226">
        <f>SUMIF('Consolidado Cobros'!$B$10:$B$314,B351,'Consolidado Cobros'!$J$10:$J$314)</f>
        <v>0</v>
      </c>
      <c r="H351" s="405">
        <f>SUMIF('Consolidado Cobros'!$B$10:$B$314,B351,'Consolidado Cobros'!$L$10:$L$314)</f>
        <v>360000</v>
      </c>
      <c r="I351" s="406">
        <f t="shared" ref="I351:I352" si="140">+G351+H351</f>
        <v>360000</v>
      </c>
      <c r="J351" s="414"/>
      <c r="K351" s="7"/>
    </row>
    <row r="352" spans="1:11" ht="12" customHeight="1" x14ac:dyDescent="0.2">
      <c r="A352" s="421">
        <f>A351+1</f>
        <v>2</v>
      </c>
      <c r="B352" s="421" t="s">
        <v>52</v>
      </c>
      <c r="C352" s="404">
        <f>SUMIF('Consolidado Cobros'!$B$10:$B$314,B352,'Consolidado Cobros'!$F$10:$F$314)</f>
        <v>0</v>
      </c>
      <c r="D352" s="404">
        <f>SUMIF('Consolidado Cobros'!$B$10:$B$314,B352,'Consolidado Cobros'!$G$10:$G$314)</f>
        <v>0</v>
      </c>
      <c r="E352" s="487"/>
      <c r="F352" s="487"/>
      <c r="G352" s="226">
        <f>SUMIF('Consolidado Cobros'!$B$10:$B$314,B352,'Consolidado Cobros'!$J$10:$J$314)</f>
        <v>0</v>
      </c>
      <c r="H352" s="405">
        <f>SUMIF('Consolidado Cobros'!$B$10:$B$314,B352,'Consolidado Cobros'!$L$10:$L$314)</f>
        <v>360000</v>
      </c>
      <c r="I352" s="406">
        <f t="shared" si="140"/>
        <v>360000</v>
      </c>
      <c r="J352" s="414"/>
      <c r="K352" s="7"/>
    </row>
    <row r="353" spans="1:11" ht="12" customHeight="1" x14ac:dyDescent="0.2">
      <c r="A353" s="11" t="s">
        <v>204</v>
      </c>
      <c r="B353" s="555"/>
      <c r="C353" s="408">
        <f>SUM(C350:C352)</f>
        <v>0</v>
      </c>
      <c r="D353" s="408">
        <f t="shared" ref="D353:G353" si="141">SUM(D350:D352)</f>
        <v>0</v>
      </c>
      <c r="E353" s="529">
        <f t="shared" si="141"/>
        <v>0</v>
      </c>
      <c r="F353" s="529">
        <f t="shared" si="141"/>
        <v>0</v>
      </c>
      <c r="G353" s="407">
        <f t="shared" si="141"/>
        <v>0</v>
      </c>
      <c r="H353" s="409">
        <f>SUM(H351:H352)</f>
        <v>720000</v>
      </c>
      <c r="I353" s="410">
        <f>SUM(I351:I352)</f>
        <v>720000</v>
      </c>
      <c r="J353" s="411"/>
      <c r="K353" s="7"/>
    </row>
    <row r="354" spans="1:11" ht="12" customHeight="1" x14ac:dyDescent="0.2">
      <c r="A354" s="1035"/>
      <c r="B354" s="555"/>
      <c r="C354" s="426"/>
      <c r="D354" s="426"/>
      <c r="E354" s="358"/>
      <c r="F354" s="358"/>
      <c r="G354" s="148"/>
      <c r="H354" s="470"/>
      <c r="I354" s="471"/>
      <c r="J354" s="394"/>
      <c r="K354" s="7"/>
    </row>
    <row r="355" spans="1:11" ht="2.1" customHeight="1" x14ac:dyDescent="0.2">
      <c r="A355" s="1036"/>
      <c r="B355" s="1016"/>
      <c r="C355" s="427"/>
      <c r="D355" s="427"/>
      <c r="E355" s="156"/>
      <c r="F355" s="156"/>
      <c r="G355" s="66"/>
      <c r="H355" s="428"/>
      <c r="I355" s="428"/>
      <c r="J355" s="429"/>
      <c r="K355" s="7"/>
    </row>
    <row r="356" spans="1:11" ht="12" customHeight="1" x14ac:dyDescent="0.2">
      <c r="A356" s="1035"/>
      <c r="B356" s="555"/>
      <c r="C356" s="426"/>
      <c r="D356" s="426"/>
      <c r="E356" s="358"/>
      <c r="F356" s="358"/>
      <c r="G356" s="148"/>
      <c r="H356" s="470"/>
      <c r="I356" s="398"/>
      <c r="J356" s="394"/>
      <c r="K356" s="7"/>
    </row>
    <row r="357" spans="1:11" ht="12" customHeight="1" x14ac:dyDescent="0.2">
      <c r="A357" s="10" t="s">
        <v>257</v>
      </c>
      <c r="C357" s="931"/>
      <c r="D357" s="931"/>
      <c r="E357" s="1011"/>
      <c r="F357" s="1011"/>
      <c r="G357" s="931"/>
      <c r="I357" s="398"/>
      <c r="J357" s="430"/>
      <c r="K357" s="7"/>
    </row>
    <row r="358" spans="1:11" ht="12" customHeight="1" x14ac:dyDescent="0.2">
      <c r="A358" s="421">
        <v>1</v>
      </c>
      <c r="B358" s="421" t="s">
        <v>43</v>
      </c>
      <c r="C358" s="404">
        <f>SUMIF('Consolidado Cobros'!$B$10:$B$314,B358,'Consolidado Cobros'!$F$10:$F$314)</f>
        <v>0</v>
      </c>
      <c r="D358" s="404">
        <f>SUMIF('Consolidado Cobros'!$B$10:$B$314,B358,'Consolidado Cobros'!$G$10:$G$314)</f>
        <v>0</v>
      </c>
      <c r="E358" s="487"/>
      <c r="F358" s="487"/>
      <c r="G358" s="226">
        <f>SUMIF('Consolidado Cobros'!$B$10:$B$314,B358,'Consolidado Cobros'!$J$10:$J$314)</f>
        <v>0</v>
      </c>
      <c r="H358" s="405">
        <f>SUMIF('Consolidado Cobros'!$B$10:$B$314,B358,'Consolidado Cobros'!$L$10:$L$314)</f>
        <v>690000</v>
      </c>
      <c r="I358" s="406">
        <f t="shared" ref="I358:I360" si="142">+G358+H358</f>
        <v>690000</v>
      </c>
      <c r="J358" s="414"/>
      <c r="K358" s="7"/>
    </row>
    <row r="359" spans="1:11" ht="12" customHeight="1" x14ac:dyDescent="0.2">
      <c r="A359" s="421">
        <f>+A358+1</f>
        <v>2</v>
      </c>
      <c r="B359" s="421" t="s">
        <v>313</v>
      </c>
      <c r="C359" s="404">
        <f>SUMIF('Consolidado Cobros'!$B$10:$B$314,B359,'Consolidado Cobros'!$F$10:$F$314)</f>
        <v>0</v>
      </c>
      <c r="D359" s="404">
        <f>SUMIF('Consolidado Cobros'!$B$10:$B$314,B359,'Consolidado Cobros'!$G$10:$G$314)</f>
        <v>0</v>
      </c>
      <c r="E359" s="487"/>
      <c r="F359" s="487"/>
      <c r="G359" s="226">
        <f>SUMIF('Consolidado Cobros'!$B$10:$B$314,B359,'Consolidado Cobros'!$J$10:$J$314)</f>
        <v>0</v>
      </c>
      <c r="H359" s="405">
        <f>SUMIF('Consolidado Cobros'!$B$10:$B$314,B359,'Consolidado Cobros'!$L$10:$L$314)</f>
        <v>350000</v>
      </c>
      <c r="I359" s="406">
        <f t="shared" si="142"/>
        <v>350000</v>
      </c>
      <c r="J359" s="414"/>
      <c r="K359" s="7"/>
    </row>
    <row r="360" spans="1:11" ht="12" customHeight="1" x14ac:dyDescent="0.2">
      <c r="A360" s="421">
        <f>+A359+1</f>
        <v>3</v>
      </c>
      <c r="B360" s="421" t="s">
        <v>44</v>
      </c>
      <c r="C360" s="404">
        <f>SUMIF('Consolidado Cobros'!$B$10:$B$314,B360,'Consolidado Cobros'!$F$10:$F$314)</f>
        <v>0</v>
      </c>
      <c r="D360" s="404">
        <f>SUMIF('Consolidado Cobros'!$B$10:$B$314,B360,'Consolidado Cobros'!$G$10:$G$314)</f>
        <v>0</v>
      </c>
      <c r="E360" s="487"/>
      <c r="F360" s="487"/>
      <c r="G360" s="226">
        <f>SUMIF('Consolidado Cobros'!$B$10:$B$314,B360,'Consolidado Cobros'!$J$10:$J$314)</f>
        <v>0</v>
      </c>
      <c r="H360" s="405">
        <f>SUMIF('Consolidado Cobros'!$B$10:$B$314,B360,'Consolidado Cobros'!$L$10:$L$314)</f>
        <v>350000</v>
      </c>
      <c r="I360" s="406">
        <f t="shared" si="142"/>
        <v>350000</v>
      </c>
      <c r="J360" s="414"/>
      <c r="K360" s="7"/>
    </row>
    <row r="361" spans="1:11" ht="12" customHeight="1" x14ac:dyDescent="0.2">
      <c r="A361" s="11" t="s">
        <v>204</v>
      </c>
      <c r="B361" s="555"/>
      <c r="C361" s="408">
        <f>SUM(C357:C360)</f>
        <v>0</v>
      </c>
      <c r="D361" s="408">
        <f t="shared" ref="D361:G361" si="143">SUM(D357:D360)</f>
        <v>0</v>
      </c>
      <c r="E361" s="529">
        <f t="shared" si="143"/>
        <v>0</v>
      </c>
      <c r="F361" s="529">
        <f t="shared" si="143"/>
        <v>0</v>
      </c>
      <c r="G361" s="407">
        <f t="shared" si="143"/>
        <v>0</v>
      </c>
      <c r="H361" s="409">
        <f>SUM(H358:H360)</f>
        <v>1390000</v>
      </c>
      <c r="I361" s="410">
        <f>SUM(I358:I360)</f>
        <v>1390000</v>
      </c>
      <c r="J361" s="411"/>
      <c r="K361" s="7"/>
    </row>
    <row r="362" spans="1:11" ht="12" customHeight="1" x14ac:dyDescent="0.2">
      <c r="A362" s="1035"/>
      <c r="B362" s="555"/>
      <c r="C362" s="426"/>
      <c r="D362" s="426"/>
      <c r="E362" s="358"/>
      <c r="F362" s="358"/>
      <c r="G362" s="148"/>
      <c r="H362" s="470"/>
      <c r="I362" s="471"/>
      <c r="J362" s="394"/>
      <c r="K362" s="7"/>
    </row>
    <row r="363" spans="1:11" ht="2.1" customHeight="1" x14ac:dyDescent="0.2">
      <c r="A363" s="1036"/>
      <c r="B363" s="1016"/>
      <c r="C363" s="427"/>
      <c r="D363" s="427"/>
      <c r="E363" s="156"/>
      <c r="F363" s="156"/>
      <c r="G363" s="66"/>
      <c r="H363" s="428"/>
      <c r="I363" s="428"/>
      <c r="J363" s="429"/>
      <c r="K363" s="7"/>
    </row>
    <row r="364" spans="1:11" ht="12" customHeight="1" x14ac:dyDescent="0.2">
      <c r="A364" s="1035"/>
      <c r="B364" s="555"/>
      <c r="C364" s="426"/>
      <c r="D364" s="426"/>
      <c r="E364" s="358"/>
      <c r="F364" s="358"/>
      <c r="G364" s="148"/>
      <c r="H364" s="470"/>
      <c r="I364" s="398"/>
      <c r="J364" s="394"/>
      <c r="K364" s="7"/>
    </row>
    <row r="365" spans="1:11" ht="12" customHeight="1" x14ac:dyDescent="0.2">
      <c r="A365" s="10" t="s">
        <v>258</v>
      </c>
      <c r="C365" s="931"/>
      <c r="D365" s="931"/>
      <c r="E365" s="1011"/>
      <c r="F365" s="1011"/>
      <c r="G365" s="931"/>
      <c r="I365" s="398"/>
      <c r="J365" s="430"/>
      <c r="K365" s="7"/>
    </row>
    <row r="366" spans="1:11" ht="12" customHeight="1" x14ac:dyDescent="0.2">
      <c r="A366" s="421">
        <v>1</v>
      </c>
      <c r="B366" s="421" t="s">
        <v>65</v>
      </c>
      <c r="C366" s="404">
        <f>SUMIF('Consolidado Cobros'!$B$10:$B$314,B366,'Consolidado Cobros'!$F$10:$F$314)</f>
        <v>0</v>
      </c>
      <c r="D366" s="404">
        <f>SUMIF('Consolidado Cobros'!$B$10:$B$314,B366,'Consolidado Cobros'!$G$10:$G$314)</f>
        <v>0</v>
      </c>
      <c r="E366" s="487"/>
      <c r="F366" s="487"/>
      <c r="G366" s="226">
        <f>SUMIF('Consolidado Cobros'!$B$10:$B$314,B366,'Consolidado Cobros'!$J$10:$J$314)</f>
        <v>0</v>
      </c>
      <c r="H366" s="405">
        <f>SUMIF('Consolidado Cobros'!$B$10:$B$314,B366,'Consolidado Cobros'!$L$10:$L$314)</f>
        <v>360000</v>
      </c>
      <c r="I366" s="406">
        <f t="shared" ref="I366:I368" si="144">+G366+H366</f>
        <v>360000</v>
      </c>
      <c r="J366" s="414"/>
      <c r="K366" s="7"/>
    </row>
    <row r="367" spans="1:11" ht="12" customHeight="1" x14ac:dyDescent="0.2">
      <c r="A367" s="421">
        <f>+A366+1</f>
        <v>2</v>
      </c>
      <c r="B367" s="421" t="s">
        <v>88</v>
      </c>
      <c r="C367" s="404">
        <f>SUMIF('Consolidado Cobros'!$B$10:$B$314,B367,'Consolidado Cobros'!$F$10:$F$314)</f>
        <v>0</v>
      </c>
      <c r="D367" s="404">
        <f>SUMIF('Consolidado Cobros'!$B$10:$B$314,B367,'Consolidado Cobros'!$G$10:$G$314)</f>
        <v>0</v>
      </c>
      <c r="E367" s="487"/>
      <c r="F367" s="487"/>
      <c r="G367" s="226">
        <f>SUMIF('Consolidado Cobros'!$B$10:$B$314,B367,'Consolidado Cobros'!$J$10:$J$314)</f>
        <v>0</v>
      </c>
      <c r="H367" s="405">
        <f>SUMIF('Consolidado Cobros'!$B$10:$B$314,B367,'Consolidado Cobros'!$L$10:$L$314)</f>
        <v>360000</v>
      </c>
      <c r="I367" s="406">
        <f t="shared" ref="I367" si="145">+G367+H367</f>
        <v>360000</v>
      </c>
      <c r="J367" s="414"/>
      <c r="K367" s="7"/>
    </row>
    <row r="368" spans="1:11" ht="12" customHeight="1" x14ac:dyDescent="0.2">
      <c r="A368" s="421">
        <f>+A367+1</f>
        <v>3</v>
      </c>
      <c r="B368" s="421" t="s">
        <v>918</v>
      </c>
      <c r="C368" s="404">
        <f>SUMIF('Consolidado Cobros'!$B$10:$B$314,B368,'Consolidado Cobros'!$F$10:$F$314)</f>
        <v>0</v>
      </c>
      <c r="D368" s="404">
        <f>SUMIF('Consolidado Cobros'!$B$10:$B$314,B368,'Consolidado Cobros'!$G$10:$G$314)</f>
        <v>0</v>
      </c>
      <c r="E368" s="487"/>
      <c r="F368" s="487"/>
      <c r="G368" s="226">
        <f>SUMIF('Consolidado Cobros'!$B$10:$B$314,B368,'Consolidado Cobros'!$J$10:$J$314)</f>
        <v>0</v>
      </c>
      <c r="H368" s="405">
        <v>250000</v>
      </c>
      <c r="I368" s="406">
        <f t="shared" si="144"/>
        <v>250000</v>
      </c>
      <c r="J368" s="414"/>
      <c r="K368" s="7"/>
    </row>
    <row r="369" spans="1:11" ht="12" customHeight="1" x14ac:dyDescent="0.2">
      <c r="A369" s="11" t="s">
        <v>204</v>
      </c>
      <c r="B369" s="555"/>
      <c r="C369" s="408">
        <f>SUM(C365:C368)</f>
        <v>0</v>
      </c>
      <c r="D369" s="408">
        <f t="shared" ref="D369:F369" si="146">SUM(D365:D368)</f>
        <v>0</v>
      </c>
      <c r="E369" s="529">
        <f t="shared" si="146"/>
        <v>0</v>
      </c>
      <c r="F369" s="529">
        <f t="shared" si="146"/>
        <v>0</v>
      </c>
      <c r="G369" s="407">
        <f t="shared" ref="G369" si="147">SUM(G365:G368)</f>
        <v>0</v>
      </c>
      <c r="H369" s="409">
        <f>SUM(H366:H368)</f>
        <v>970000</v>
      </c>
      <c r="I369" s="410">
        <f>SUM(I366:I368)</f>
        <v>970000</v>
      </c>
      <c r="J369" s="411"/>
      <c r="K369" s="7"/>
    </row>
    <row r="370" spans="1:11" ht="12" customHeight="1" x14ac:dyDescent="0.2">
      <c r="A370" s="1035"/>
      <c r="B370" s="555"/>
      <c r="C370" s="426"/>
      <c r="D370" s="426"/>
      <c r="E370" s="358"/>
      <c r="F370" s="358"/>
      <c r="G370" s="148"/>
      <c r="H370" s="470"/>
      <c r="I370" s="471"/>
      <c r="J370" s="394"/>
      <c r="K370" s="7"/>
    </row>
    <row r="371" spans="1:11" ht="2.1" customHeight="1" x14ac:dyDescent="0.2">
      <c r="A371" s="1036"/>
      <c r="B371" s="1016"/>
      <c r="C371" s="427"/>
      <c r="D371" s="427"/>
      <c r="E371" s="156"/>
      <c r="F371" s="156"/>
      <c r="G371" s="66"/>
      <c r="H371" s="428"/>
      <c r="I371" s="428"/>
      <c r="J371" s="429"/>
      <c r="K371" s="7"/>
    </row>
    <row r="372" spans="1:11" ht="12" customHeight="1" x14ac:dyDescent="0.2">
      <c r="A372" s="1035"/>
      <c r="B372" s="555"/>
      <c r="C372" s="426"/>
      <c r="D372" s="426"/>
      <c r="E372" s="358"/>
      <c r="F372" s="358"/>
      <c r="G372" s="148"/>
      <c r="H372" s="470"/>
      <c r="I372" s="398"/>
      <c r="J372" s="394"/>
      <c r="K372" s="7"/>
    </row>
    <row r="373" spans="1:11" ht="12" customHeight="1" x14ac:dyDescent="0.2">
      <c r="A373" s="10" t="s">
        <v>259</v>
      </c>
      <c r="C373" s="931"/>
      <c r="D373" s="931"/>
      <c r="E373" s="1011"/>
      <c r="F373" s="1011"/>
      <c r="G373" s="931"/>
      <c r="I373" s="398"/>
      <c r="J373" s="430"/>
      <c r="K373" s="7"/>
    </row>
    <row r="374" spans="1:11" ht="12" customHeight="1" x14ac:dyDescent="0.2">
      <c r="A374" s="421">
        <v>1</v>
      </c>
      <c r="B374" s="421" t="s">
        <v>73</v>
      </c>
      <c r="C374" s="404">
        <f>SUMIF('Consolidado Cobros'!$B$10:$B$314,B374,'Consolidado Cobros'!$F$10:$F$314)</f>
        <v>0</v>
      </c>
      <c r="D374" s="404">
        <f>SUMIF('Consolidado Cobros'!$B$10:$B$314,B374,'Consolidado Cobros'!$G$10:$G$314)</f>
        <v>0</v>
      </c>
      <c r="E374" s="487"/>
      <c r="F374" s="487"/>
      <c r="G374" s="226">
        <f>SUMIF('Consolidado Cobros'!$B$10:$B$314,B374,'Consolidado Cobros'!$J$10:$J$314)</f>
        <v>0</v>
      </c>
      <c r="H374" s="405">
        <f>SUMIF('Consolidado Cobros'!$B$10:$B$314,B374,'Consolidado Cobros'!$L$10:$L$314)</f>
        <v>470000</v>
      </c>
      <c r="I374" s="406">
        <f t="shared" ref="I374:I375" si="148">+G374+H374</f>
        <v>470000</v>
      </c>
      <c r="J374" s="414"/>
      <c r="K374" s="7"/>
    </row>
    <row r="375" spans="1:11" ht="12" customHeight="1" x14ac:dyDescent="0.2">
      <c r="A375" s="421">
        <f>A374+1</f>
        <v>2</v>
      </c>
      <c r="B375" s="421" t="s">
        <v>155</v>
      </c>
      <c r="C375" s="404">
        <f>SUMIF('Consolidado Cobros'!$B$10:$B$314,B375,'Consolidado Cobros'!$F$10:$F$314)</f>
        <v>0</v>
      </c>
      <c r="D375" s="404">
        <f>SUMIF('Consolidado Cobros'!$B$10:$B$314,B375,'Consolidado Cobros'!$G$10:$G$314)</f>
        <v>0</v>
      </c>
      <c r="E375" s="487"/>
      <c r="F375" s="487"/>
      <c r="G375" s="226">
        <f>SUMIF('Consolidado Cobros'!$B$10:$B$314,B375,'Consolidado Cobros'!$J$10:$J$314)</f>
        <v>0</v>
      </c>
      <c r="H375" s="405">
        <f>SUMIF('Consolidado Cobros'!$B$10:$B$314,B375,'Consolidado Cobros'!$L$10:$L$314)</f>
        <v>470000</v>
      </c>
      <c r="I375" s="406">
        <f t="shared" si="148"/>
        <v>470000</v>
      </c>
      <c r="J375" s="414"/>
      <c r="K375" s="7"/>
    </row>
    <row r="376" spans="1:11" ht="12" customHeight="1" x14ac:dyDescent="0.2">
      <c r="A376" s="11" t="s">
        <v>204</v>
      </c>
      <c r="B376" s="555"/>
      <c r="C376" s="408">
        <f>SUM(C373:C375)</f>
        <v>0</v>
      </c>
      <c r="D376" s="408">
        <f t="shared" ref="D376:F376" si="149">SUM(D373:D375)</f>
        <v>0</v>
      </c>
      <c r="E376" s="529">
        <f t="shared" si="149"/>
        <v>0</v>
      </c>
      <c r="F376" s="529">
        <f t="shared" si="149"/>
        <v>0</v>
      </c>
      <c r="G376" s="407">
        <f t="shared" ref="G376" si="150">SUM(G373:G375)</f>
        <v>0</v>
      </c>
      <c r="H376" s="409">
        <f>SUM(H374:H375)</f>
        <v>940000</v>
      </c>
      <c r="I376" s="410">
        <f>SUM(I374:I375)</f>
        <v>940000</v>
      </c>
      <c r="J376" s="411"/>
      <c r="K376" s="7"/>
    </row>
    <row r="377" spans="1:11" ht="12" customHeight="1" x14ac:dyDescent="0.2">
      <c r="A377" s="1035"/>
      <c r="B377" s="555"/>
      <c r="C377" s="426"/>
      <c r="D377" s="426"/>
      <c r="E377" s="358"/>
      <c r="F377" s="358"/>
      <c r="G377" s="148"/>
      <c r="H377" s="470"/>
      <c r="I377" s="471"/>
      <c r="J377" s="394"/>
      <c r="K377" s="7"/>
    </row>
    <row r="378" spans="1:11" ht="2.1" customHeight="1" x14ac:dyDescent="0.2">
      <c r="A378" s="1036"/>
      <c r="B378" s="1016"/>
      <c r="C378" s="427"/>
      <c r="D378" s="427"/>
      <c r="E378" s="156"/>
      <c r="F378" s="156"/>
      <c r="G378" s="66"/>
      <c r="H378" s="428"/>
      <c r="I378" s="428"/>
      <c r="J378" s="429"/>
      <c r="K378" s="7"/>
    </row>
    <row r="379" spans="1:11" ht="12" customHeight="1" x14ac:dyDescent="0.2">
      <c r="A379" s="1035"/>
      <c r="B379" s="555"/>
      <c r="C379" s="426"/>
      <c r="D379" s="426"/>
      <c r="E379" s="358"/>
      <c r="F379" s="358"/>
      <c r="G379" s="148"/>
      <c r="H379" s="470"/>
      <c r="I379" s="398"/>
      <c r="J379" s="394"/>
      <c r="K379" s="7"/>
    </row>
    <row r="380" spans="1:11" ht="12" customHeight="1" x14ac:dyDescent="0.2">
      <c r="A380" s="1038" t="s">
        <v>260</v>
      </c>
      <c r="C380" s="931"/>
      <c r="D380" s="931"/>
      <c r="E380" s="1011"/>
      <c r="F380" s="1011"/>
      <c r="G380" s="931"/>
      <c r="I380" s="398"/>
      <c r="J380" s="430"/>
      <c r="K380" s="7"/>
    </row>
    <row r="381" spans="1:11" ht="12" customHeight="1" x14ac:dyDescent="0.2">
      <c r="A381" s="421">
        <v>1</v>
      </c>
      <c r="B381" s="421" t="s">
        <v>354</v>
      </c>
      <c r="C381" s="404">
        <f>SUMIF('Consolidado Cobros'!$B$10:$B$314,B381,'Consolidado Cobros'!$F$10:$F$314)</f>
        <v>0</v>
      </c>
      <c r="D381" s="404">
        <f>SUMIF('Consolidado Cobros'!$B$10:$B$314,B381,'Consolidado Cobros'!$G$10:$G$314)</f>
        <v>0</v>
      </c>
      <c r="E381" s="487"/>
      <c r="F381" s="487"/>
      <c r="G381" s="226">
        <f>SUMIF('Consolidado Cobros'!$B$10:$B$314,B381,'Consolidado Cobros'!$J$10:$J$314)</f>
        <v>0</v>
      </c>
      <c r="H381" s="405">
        <f>SUMIF('Consolidado Cobros'!$B$10:$B$314,B381,'Consolidado Cobros'!$L$10:$L$314)</f>
        <v>6000000</v>
      </c>
      <c r="I381" s="406">
        <f t="shared" ref="I381:I382" si="151">+G381+H381</f>
        <v>6000000</v>
      </c>
      <c r="J381" s="413"/>
      <c r="K381" s="7"/>
    </row>
    <row r="382" spans="1:11" ht="12" customHeight="1" x14ac:dyDescent="0.2">
      <c r="A382" s="421">
        <f>A381+1</f>
        <v>2</v>
      </c>
      <c r="B382" s="421" t="s">
        <v>90</v>
      </c>
      <c r="C382" s="404">
        <f>SUMIF('Consolidado Cobros'!$B$10:$B$314,B382,'Consolidado Cobros'!$F$10:$F$314)</f>
        <v>0</v>
      </c>
      <c r="D382" s="404">
        <f>SUMIF('Consolidado Cobros'!$B$10:$B$314,B382,'Consolidado Cobros'!$G$10:$G$314)</f>
        <v>0</v>
      </c>
      <c r="E382" s="487"/>
      <c r="F382" s="487"/>
      <c r="G382" s="226">
        <f>SUMIF('Consolidado Cobros'!$B$10:$B$314,B382,'Consolidado Cobros'!$J$10:$J$314)</f>
        <v>0</v>
      </c>
      <c r="H382" s="405">
        <f>SUMIF('Consolidado Cobros'!$B$10:$B$314,B382,'Consolidado Cobros'!$L$10:$L$314)</f>
        <v>990000</v>
      </c>
      <c r="I382" s="406">
        <f t="shared" si="151"/>
        <v>990000</v>
      </c>
      <c r="J382" s="413"/>
      <c r="K382" s="7"/>
    </row>
    <row r="383" spans="1:11" ht="12" customHeight="1" x14ac:dyDescent="0.2">
      <c r="A383" s="11" t="s">
        <v>204</v>
      </c>
      <c r="B383" s="555"/>
      <c r="C383" s="408">
        <f>SUM(C380:C382)</f>
        <v>0</v>
      </c>
      <c r="D383" s="408">
        <f t="shared" ref="D383:G383" si="152">SUM(D380:D382)</f>
        <v>0</v>
      </c>
      <c r="E383" s="529">
        <f t="shared" si="152"/>
        <v>0</v>
      </c>
      <c r="F383" s="529">
        <f t="shared" si="152"/>
        <v>0</v>
      </c>
      <c r="G383" s="407">
        <f t="shared" si="152"/>
        <v>0</v>
      </c>
      <c r="H383" s="409">
        <f>SUM(H381:H382)</f>
        <v>6990000</v>
      </c>
      <c r="I383" s="410">
        <f>SUM(I381:I382)</f>
        <v>6990000</v>
      </c>
      <c r="J383" s="411"/>
      <c r="K383" s="7"/>
    </row>
    <row r="384" spans="1:11" ht="12" customHeight="1" x14ac:dyDescent="0.2">
      <c r="A384" s="1035"/>
      <c r="B384" s="555"/>
      <c r="C384" s="426"/>
      <c r="D384" s="426"/>
      <c r="E384" s="358"/>
      <c r="F384" s="358"/>
      <c r="G384" s="148"/>
      <c r="H384" s="470"/>
      <c r="I384" s="471"/>
      <c r="J384" s="394"/>
      <c r="K384" s="7"/>
    </row>
    <row r="385" spans="1:11" ht="2.1" customHeight="1" x14ac:dyDescent="0.2">
      <c r="A385" s="1036"/>
      <c r="B385" s="1016"/>
      <c r="C385" s="427"/>
      <c r="D385" s="427"/>
      <c r="E385" s="156"/>
      <c r="F385" s="156"/>
      <c r="G385" s="66"/>
      <c r="H385" s="428"/>
      <c r="I385" s="428"/>
      <c r="J385" s="429"/>
      <c r="K385" s="7"/>
    </row>
    <row r="386" spans="1:11" ht="12" customHeight="1" x14ac:dyDescent="0.2">
      <c r="A386" s="1035"/>
      <c r="B386" s="555"/>
      <c r="C386" s="426"/>
      <c r="D386" s="426"/>
      <c r="E386" s="358"/>
      <c r="F386" s="358"/>
      <c r="G386" s="148"/>
      <c r="H386" s="470"/>
      <c r="I386" s="398"/>
      <c r="J386" s="394"/>
      <c r="K386" s="7"/>
    </row>
    <row r="387" spans="1:11" ht="12" customHeight="1" x14ac:dyDescent="0.2">
      <c r="A387" s="10" t="s">
        <v>261</v>
      </c>
      <c r="C387" s="931"/>
      <c r="D387" s="931"/>
      <c r="E387" s="1011"/>
      <c r="F387" s="1011"/>
      <c r="G387" s="931"/>
      <c r="I387" s="398"/>
      <c r="J387" s="430"/>
      <c r="K387" s="7"/>
    </row>
    <row r="388" spans="1:11" ht="12" customHeight="1" x14ac:dyDescent="0.2">
      <c r="A388" s="421">
        <v>1</v>
      </c>
      <c r="B388" s="421" t="s">
        <v>100</v>
      </c>
      <c r="C388" s="404">
        <f>SUMIF('Consolidado Cobros'!$B$10:$B$314,B388,'Consolidado Cobros'!$F$10:$F$314)</f>
        <v>0</v>
      </c>
      <c r="D388" s="404">
        <f>SUMIF('Consolidado Cobros'!$B$10:$B$314,B388,'Consolidado Cobros'!$G$10:$G$314)</f>
        <v>0</v>
      </c>
      <c r="E388" s="487"/>
      <c r="F388" s="487"/>
      <c r="G388" s="226">
        <f>SUMIF('Consolidado Cobros'!$B$10:$B$314,B388,'Consolidado Cobros'!$J$10:$J$314)</f>
        <v>0</v>
      </c>
      <c r="H388" s="405">
        <f>SUMIF('Consolidado Cobros'!$B$10:$B$314,B388,'Consolidado Cobros'!$L$10:$L$314)</f>
        <v>330000</v>
      </c>
      <c r="I388" s="406">
        <f t="shared" ref="I388:I390" si="153">+G388+H388</f>
        <v>330000</v>
      </c>
      <c r="J388" s="414"/>
      <c r="K388" s="7"/>
    </row>
    <row r="389" spans="1:11" ht="12" customHeight="1" x14ac:dyDescent="0.2">
      <c r="A389" s="421">
        <f>A388+1</f>
        <v>2</v>
      </c>
      <c r="B389" s="421" t="s">
        <v>141</v>
      </c>
      <c r="C389" s="404">
        <f>SUMIF('Consolidado Cobros'!$B$10:$B$314,B389,'Consolidado Cobros'!$F$10:$F$314)</f>
        <v>0</v>
      </c>
      <c r="D389" s="404">
        <f>SUMIF('Consolidado Cobros'!$B$10:$B$314,B389,'Consolidado Cobros'!$G$10:$G$314)</f>
        <v>0</v>
      </c>
      <c r="E389" s="487"/>
      <c r="F389" s="487"/>
      <c r="G389" s="226">
        <f>SUMIF('Consolidado Cobros'!$B$10:$B$314,B389,'Consolidado Cobros'!$J$10:$J$314)</f>
        <v>0</v>
      </c>
      <c r="H389" s="405">
        <f>SUMIF('Consolidado Cobros'!$B$10:$B$314,B389,'Consolidado Cobros'!$L$10:$L$314)</f>
        <v>330000</v>
      </c>
      <c r="I389" s="406">
        <f t="shared" si="153"/>
        <v>330000</v>
      </c>
      <c r="J389" s="414"/>
      <c r="K389" s="7"/>
    </row>
    <row r="390" spans="1:11" ht="12" customHeight="1" x14ac:dyDescent="0.2">
      <c r="A390" s="421">
        <f>A389+1</f>
        <v>3</v>
      </c>
      <c r="B390" s="421" t="s">
        <v>142</v>
      </c>
      <c r="C390" s="404">
        <f>SUMIF('Consolidado Cobros'!$B$10:$B$314,B390,'Consolidado Cobros'!$F$10:$F$314)</f>
        <v>0</v>
      </c>
      <c r="D390" s="404">
        <f>SUMIF('Consolidado Cobros'!$B$10:$B$314,B390,'Consolidado Cobros'!$G$10:$G$314)</f>
        <v>0</v>
      </c>
      <c r="E390" s="487"/>
      <c r="F390" s="487"/>
      <c r="G390" s="226">
        <f>SUMIF('Consolidado Cobros'!$B$10:$B$314,B390,'Consolidado Cobros'!$J$10:$J$314)</f>
        <v>0</v>
      </c>
      <c r="H390" s="405">
        <f>SUMIF('Consolidado Cobros'!$B$10:$B$314,B390,'Consolidado Cobros'!$L$10:$L$314)</f>
        <v>330000</v>
      </c>
      <c r="I390" s="406">
        <f t="shared" si="153"/>
        <v>330000</v>
      </c>
      <c r="J390" s="414"/>
      <c r="K390" s="7"/>
    </row>
    <row r="391" spans="1:11" ht="12" customHeight="1" x14ac:dyDescent="0.2">
      <c r="A391" s="11" t="s">
        <v>204</v>
      </c>
      <c r="B391" s="555"/>
      <c r="C391" s="408">
        <f>SUM(C387:C390)</f>
        <v>0</v>
      </c>
      <c r="D391" s="408">
        <f t="shared" ref="D391:G391" si="154">SUM(D387:D390)</f>
        <v>0</v>
      </c>
      <c r="E391" s="529">
        <f t="shared" si="154"/>
        <v>0</v>
      </c>
      <c r="F391" s="529">
        <f t="shared" si="154"/>
        <v>0</v>
      </c>
      <c r="G391" s="407">
        <f t="shared" si="154"/>
        <v>0</v>
      </c>
      <c r="H391" s="409">
        <f>SUM(H388:H390)</f>
        <v>990000</v>
      </c>
      <c r="I391" s="410">
        <f>SUM(I388:I390)</f>
        <v>990000</v>
      </c>
      <c r="J391" s="411"/>
      <c r="K391" s="7"/>
    </row>
    <row r="392" spans="1:11" ht="12" customHeight="1" x14ac:dyDescent="0.2">
      <c r="A392" s="1035"/>
      <c r="B392" s="555"/>
      <c r="C392" s="426"/>
      <c r="D392" s="426"/>
      <c r="E392" s="358"/>
      <c r="F392" s="358"/>
      <c r="G392" s="148"/>
      <c r="H392" s="470"/>
      <c r="I392" s="471"/>
      <c r="J392" s="394"/>
      <c r="K392" s="7"/>
    </row>
    <row r="393" spans="1:11" ht="2.1" customHeight="1" x14ac:dyDescent="0.2">
      <c r="A393" s="1036"/>
      <c r="B393" s="1016"/>
      <c r="C393" s="427"/>
      <c r="D393" s="427"/>
      <c r="E393" s="156"/>
      <c r="F393" s="156"/>
      <c r="G393" s="66"/>
      <c r="H393" s="428"/>
      <c r="I393" s="428"/>
      <c r="J393" s="429"/>
      <c r="K393" s="7"/>
    </row>
    <row r="394" spans="1:11" ht="12" customHeight="1" x14ac:dyDescent="0.2">
      <c r="A394" s="1035"/>
      <c r="B394" s="555"/>
      <c r="C394" s="426"/>
      <c r="D394" s="426"/>
      <c r="E394" s="358"/>
      <c r="F394" s="358"/>
      <c r="G394" s="148"/>
      <c r="H394" s="470"/>
      <c r="I394" s="398"/>
      <c r="J394" s="394"/>
      <c r="K394" s="7"/>
    </row>
    <row r="395" spans="1:11" ht="12" customHeight="1" x14ac:dyDescent="0.2">
      <c r="A395" s="1038" t="s">
        <v>262</v>
      </c>
      <c r="C395" s="931"/>
      <c r="D395" s="931"/>
      <c r="E395" s="1011"/>
      <c r="F395" s="1011"/>
      <c r="G395" s="931"/>
      <c r="I395" s="398"/>
      <c r="J395" s="430"/>
      <c r="K395" s="7"/>
    </row>
    <row r="396" spans="1:11" ht="12" customHeight="1" x14ac:dyDescent="0.2">
      <c r="A396" s="421">
        <v>1</v>
      </c>
      <c r="B396" s="421" t="s">
        <v>114</v>
      </c>
      <c r="C396" s="404">
        <f>SUMIF('Consolidado Cobros'!$B$10:$B$314,B396,'Consolidado Cobros'!$F$10:$F$314)</f>
        <v>0</v>
      </c>
      <c r="D396" s="404">
        <f>SUMIF('Consolidado Cobros'!$B$10:$B$314,B396,'Consolidado Cobros'!$G$10:$G$314)</f>
        <v>0</v>
      </c>
      <c r="E396" s="487"/>
      <c r="F396" s="487"/>
      <c r="G396" s="226">
        <f>SUMIF('Consolidado Cobros'!$B$10:$B$314,B396,'Consolidado Cobros'!$J$10:$J$314)</f>
        <v>0</v>
      </c>
      <c r="H396" s="405">
        <f>SUMIF('Consolidado Cobros'!$B$10:$B$314,B396,'Consolidado Cobros'!$L$10:$L$314)</f>
        <v>2310000</v>
      </c>
      <c r="I396" s="406">
        <f t="shared" ref="I396:I397" si="155">+G396+H396</f>
        <v>2310000</v>
      </c>
      <c r="J396" s="407"/>
      <c r="K396" s="7"/>
    </row>
    <row r="397" spans="1:11" ht="12" customHeight="1" x14ac:dyDescent="0.2">
      <c r="A397" s="421">
        <f>A396+1</f>
        <v>2</v>
      </c>
      <c r="B397" s="421" t="s">
        <v>110</v>
      </c>
      <c r="C397" s="404">
        <f>SUMIF('Consolidado Cobros'!$B$10:$B$314,B397,'Consolidado Cobros'!$F$10:$F$314)</f>
        <v>0</v>
      </c>
      <c r="D397" s="404">
        <f>SUMIF('Consolidado Cobros'!$B$10:$B$314,B397,'Consolidado Cobros'!$G$10:$G$314)</f>
        <v>0</v>
      </c>
      <c r="E397" s="487"/>
      <c r="F397" s="487"/>
      <c r="G397" s="226">
        <f>SUMIF('Consolidado Cobros'!$B$10:$B$314,B397,'Consolidado Cobros'!$J$10:$J$314)</f>
        <v>0</v>
      </c>
      <c r="H397" s="405">
        <f>SUMIF('Consolidado Cobros'!$B$10:$B$314,B397,'Consolidado Cobros'!$L$10:$L$314)</f>
        <v>860000</v>
      </c>
      <c r="I397" s="406">
        <f t="shared" si="155"/>
        <v>860000</v>
      </c>
      <c r="J397" s="407"/>
      <c r="K397" s="7"/>
    </row>
    <row r="398" spans="1:11" ht="12" customHeight="1" x14ac:dyDescent="0.2">
      <c r="A398" s="11" t="s">
        <v>204</v>
      </c>
      <c r="B398" s="555"/>
      <c r="C398" s="408">
        <f>SUM(C395:C397)</f>
        <v>0</v>
      </c>
      <c r="D398" s="408">
        <f t="shared" ref="D398:G398" si="156">SUM(D395:D397)</f>
        <v>0</v>
      </c>
      <c r="E398" s="529">
        <f t="shared" si="156"/>
        <v>0</v>
      </c>
      <c r="F398" s="529">
        <f t="shared" si="156"/>
        <v>0</v>
      </c>
      <c r="G398" s="407">
        <f t="shared" si="156"/>
        <v>0</v>
      </c>
      <c r="H398" s="409">
        <f>SUM(H396:H397)</f>
        <v>3170000</v>
      </c>
      <c r="I398" s="410">
        <f>SUM(I396:I397)</f>
        <v>3170000</v>
      </c>
      <c r="J398" s="411"/>
      <c r="K398" s="7"/>
    </row>
    <row r="399" spans="1:11" ht="12" customHeight="1" x14ac:dyDescent="0.2">
      <c r="A399" s="1035"/>
      <c r="B399" s="555"/>
      <c r="C399" s="426"/>
      <c r="D399" s="426"/>
      <c r="E399" s="358"/>
      <c r="F399" s="358"/>
      <c r="G399" s="148"/>
      <c r="H399" s="470"/>
      <c r="I399" s="471"/>
      <c r="J399" s="394"/>
      <c r="K399" s="7"/>
    </row>
    <row r="400" spans="1:11" ht="2.1" customHeight="1" x14ac:dyDescent="0.2">
      <c r="A400" s="1036"/>
      <c r="B400" s="1016"/>
      <c r="C400" s="427"/>
      <c r="D400" s="427"/>
      <c r="E400" s="156"/>
      <c r="F400" s="156"/>
      <c r="G400" s="66"/>
      <c r="H400" s="428"/>
      <c r="I400" s="428"/>
      <c r="J400" s="429"/>
      <c r="K400" s="7"/>
    </row>
    <row r="401" spans="1:16" ht="12" customHeight="1" x14ac:dyDescent="0.2">
      <c r="A401" s="1035"/>
      <c r="B401" s="555"/>
      <c r="C401" s="426"/>
      <c r="D401" s="426"/>
      <c r="E401" s="358"/>
      <c r="F401" s="358"/>
      <c r="G401" s="148"/>
      <c r="H401" s="470"/>
      <c r="I401" s="398"/>
      <c r="J401" s="394"/>
      <c r="K401" s="7"/>
    </row>
    <row r="402" spans="1:16" ht="12" customHeight="1" x14ac:dyDescent="0.2">
      <c r="A402" s="10" t="s">
        <v>263</v>
      </c>
      <c r="C402" s="931"/>
      <c r="D402" s="931"/>
      <c r="E402" s="1011"/>
      <c r="F402" s="1011"/>
      <c r="G402" s="931"/>
      <c r="I402" s="398"/>
      <c r="J402" s="430"/>
      <c r="K402" s="7"/>
    </row>
    <row r="403" spans="1:16" ht="12" customHeight="1" x14ac:dyDescent="0.2">
      <c r="A403" s="421">
        <v>1</v>
      </c>
      <c r="B403" s="421" t="s">
        <v>86</v>
      </c>
      <c r="C403" s="404">
        <f>SUMIF('Consolidado Cobros'!$B$10:$B$314,B403,'Consolidado Cobros'!$F$10:$F$314)</f>
        <v>0</v>
      </c>
      <c r="D403" s="404">
        <f>SUMIF('Consolidado Cobros'!$B$10:$B$314,B403,'Consolidado Cobros'!$G$10:$G$314)</f>
        <v>0</v>
      </c>
      <c r="E403" s="487"/>
      <c r="F403" s="487"/>
      <c r="G403" s="226">
        <f>SUMIF('Consolidado Cobros'!$B$10:$B$314,B403,'Consolidado Cobros'!$J$10:$J$314)</f>
        <v>0</v>
      </c>
      <c r="H403" s="405">
        <f>SUMIF('Consolidado Cobros'!$B$10:$B$314,B403,'Consolidado Cobros'!$L$10:$L$314)</f>
        <v>760000</v>
      </c>
      <c r="I403" s="406">
        <f t="shared" ref="I403:I404" si="157">+G403+H403</f>
        <v>760000</v>
      </c>
      <c r="J403" s="407"/>
      <c r="K403" s="7"/>
    </row>
    <row r="404" spans="1:16" ht="12" customHeight="1" x14ac:dyDescent="0.2">
      <c r="A404" s="421">
        <f>A403+1</f>
        <v>2</v>
      </c>
      <c r="B404" s="421"/>
      <c r="C404" s="404">
        <f>SUMIF('Consolidado Cobros'!$B$10:$B$314,B404,'Consolidado Cobros'!$F$10:$F$314)</f>
        <v>0</v>
      </c>
      <c r="D404" s="404">
        <f>SUMIF('Consolidado Cobros'!$B$10:$B$314,B404,'Consolidado Cobros'!$G$10:$G$314)</f>
        <v>0</v>
      </c>
      <c r="E404" s="487"/>
      <c r="F404" s="487"/>
      <c r="G404" s="226">
        <f>SUMIF('Consolidado Cobros'!$B$10:$B$314,B404,'Consolidado Cobros'!$J$10:$J$314)</f>
        <v>0</v>
      </c>
      <c r="H404" s="405">
        <f>SUMIF('Consolidado Cobros'!$B$10:$B$314,B404,'Consolidado Cobros'!$L$10:$L$314)</f>
        <v>0</v>
      </c>
      <c r="I404" s="406">
        <f t="shared" si="157"/>
        <v>0</v>
      </c>
      <c r="J404" s="407"/>
      <c r="K404" s="7"/>
    </row>
    <row r="405" spans="1:16" ht="12" customHeight="1" x14ac:dyDescent="0.2">
      <c r="A405" s="11" t="s">
        <v>204</v>
      </c>
      <c r="B405" s="555"/>
      <c r="C405" s="408">
        <f>SUM(C402:C404)</f>
        <v>0</v>
      </c>
      <c r="D405" s="408">
        <f t="shared" ref="D405:G405" si="158">SUM(D402:D404)</f>
        <v>0</v>
      </c>
      <c r="E405" s="529">
        <f t="shared" si="158"/>
        <v>0</v>
      </c>
      <c r="F405" s="529">
        <f t="shared" si="158"/>
        <v>0</v>
      </c>
      <c r="G405" s="407">
        <f t="shared" si="158"/>
        <v>0</v>
      </c>
      <c r="H405" s="409">
        <f>SUM(H403:H404)</f>
        <v>760000</v>
      </c>
      <c r="I405" s="410">
        <f>SUM(I403:I404)</f>
        <v>760000</v>
      </c>
      <c r="J405" s="407"/>
      <c r="K405" s="7"/>
    </row>
    <row r="406" spans="1:16" ht="12" customHeight="1" x14ac:dyDescent="0.2">
      <c r="A406" s="1035"/>
      <c r="B406" s="555"/>
      <c r="C406" s="426"/>
      <c r="D406" s="426"/>
      <c r="E406" s="358"/>
      <c r="F406" s="358"/>
      <c r="G406" s="148"/>
      <c r="H406" s="470"/>
      <c r="I406" s="471"/>
      <c r="J406" s="394"/>
      <c r="K406" s="7"/>
    </row>
    <row r="407" spans="1:16" ht="2.1" customHeight="1" x14ac:dyDescent="0.2">
      <c r="A407" s="1036"/>
      <c r="B407" s="1016"/>
      <c r="C407" s="427"/>
      <c r="D407" s="427"/>
      <c r="E407" s="156"/>
      <c r="F407" s="156"/>
      <c r="G407" s="66"/>
      <c r="H407" s="428"/>
      <c r="I407" s="428"/>
      <c r="J407" s="429"/>
      <c r="K407" s="7"/>
    </row>
    <row r="408" spans="1:16" ht="12" customHeight="1" x14ac:dyDescent="0.2">
      <c r="A408" s="1035"/>
      <c r="B408" s="555"/>
      <c r="C408" s="426"/>
      <c r="D408" s="426"/>
      <c r="E408" s="358"/>
      <c r="F408" s="358"/>
      <c r="G408" s="148"/>
      <c r="H408" s="470"/>
      <c r="I408" s="398"/>
      <c r="J408" s="394"/>
      <c r="K408" s="7"/>
    </row>
    <row r="409" spans="1:16" ht="12" customHeight="1" thickBot="1" x14ac:dyDescent="0.25">
      <c r="A409" s="10" t="s">
        <v>251</v>
      </c>
      <c r="C409" s="931"/>
      <c r="D409" s="931"/>
      <c r="E409" s="1011"/>
      <c r="F409" s="1011"/>
      <c r="G409" s="931"/>
      <c r="I409" s="398"/>
      <c r="J409" s="430"/>
      <c r="K409" s="7"/>
    </row>
    <row r="410" spans="1:16" ht="12" customHeight="1" thickBot="1" x14ac:dyDescent="0.25">
      <c r="A410" s="421">
        <v>1</v>
      </c>
      <c r="B410" s="421" t="s">
        <v>148</v>
      </c>
      <c r="C410" s="404">
        <f>SUMIF('Consolidado Cobros'!$B$10:$B$314,B410,'Consolidado Cobros'!$F$10:$F$314)</f>
        <v>500000</v>
      </c>
      <c r="D410" s="404">
        <f>SUMIF('Consolidado Cobros'!$B$10:$B$314,B410,'Consolidado Cobros'!$G$10:$G$314)</f>
        <v>95000</v>
      </c>
      <c r="E410" s="487">
        <f>SUMIF('Consolidado Cobros'!$B$10:$B$314,B410,'Consolidado Cobros'!$H$10:$H$314)</f>
        <v>-55000</v>
      </c>
      <c r="F410" s="487">
        <f>SUMIF('Consolidado Cobros'!$B$10:$B$314,B410,'Consolidado Cobros'!$I$10:$I$314)</f>
        <v>595000</v>
      </c>
      <c r="G410" s="226">
        <f>SUMIF('Consolidado Cobros'!$B$10:$B$314,B410,'Consolidado Cobros'!$J$10:$J$314)</f>
        <v>540000</v>
      </c>
      <c r="H410" s="405">
        <f>SUMIF('Consolidado Cobros'!$B$10:$B$314,B410,'Consolidado Cobros'!$L$10:$L$314)</f>
        <v>0</v>
      </c>
      <c r="I410" s="406">
        <f t="shared" ref="I410:I411" si="159">+G410+H410</f>
        <v>540000</v>
      </c>
      <c r="J410" s="1862" t="s">
        <v>1095</v>
      </c>
      <c r="K410" s="7"/>
    </row>
    <row r="411" spans="1:16" ht="12" customHeight="1" x14ac:dyDescent="0.2">
      <c r="A411" s="1039">
        <f>A410+1</f>
        <v>2</v>
      </c>
      <c r="B411" s="461" t="s">
        <v>251</v>
      </c>
      <c r="C411" s="404">
        <f>SUMIF('Consolidado Cobros'!$B$10:$B$314,B411,'Consolidado Cobros'!$F$10:$F$314)</f>
        <v>2241000</v>
      </c>
      <c r="D411" s="404">
        <f>SUMIF('Consolidado Cobros'!$B$10:$B$314,B411,'Consolidado Cobros'!$G$10:$G$314)</f>
        <v>425790</v>
      </c>
      <c r="E411" s="487">
        <f>SUMIF('Consolidado Cobros'!$B$10:$B$314,B411,'Consolidado Cobros'!$H$10:$H$314)</f>
        <v>-246510</v>
      </c>
      <c r="F411" s="487">
        <f>SUMIF('Consolidado Cobros'!$B$10:$B$314,B411,'Consolidado Cobros'!$I$10:$I$314)</f>
        <v>2666790</v>
      </c>
      <c r="G411" s="226">
        <f>SUMIF('Consolidado Cobros'!$B$10:$B$314,B411,'Consolidado Cobros'!$J$10:$J$314)</f>
        <v>2420280</v>
      </c>
      <c r="H411" s="405">
        <f>SUMIF('Consolidado Cobros'!$B$10:$B$314,B411,'Consolidado Cobros'!$L$10:$L$314)</f>
        <v>0</v>
      </c>
      <c r="I411" s="406">
        <f t="shared" si="159"/>
        <v>2420280</v>
      </c>
      <c r="J411" s="1862" t="s">
        <v>1095</v>
      </c>
      <c r="K411" s="7"/>
    </row>
    <row r="412" spans="1:16" ht="12" customHeight="1" x14ac:dyDescent="0.2">
      <c r="A412" s="13" t="s">
        <v>204</v>
      </c>
      <c r="B412" s="1050" t="s">
        <v>509</v>
      </c>
      <c r="C412" s="408">
        <f>SUM(C409:C411)</f>
        <v>2741000</v>
      </c>
      <c r="D412" s="408">
        <f t="shared" ref="D412:G412" si="160">SUM(D409:D411)</f>
        <v>520790</v>
      </c>
      <c r="E412" s="529">
        <f>SUM(E410:E411)</f>
        <v>-301510</v>
      </c>
      <c r="F412" s="529">
        <f t="shared" si="160"/>
        <v>3261790</v>
      </c>
      <c r="G412" s="407">
        <f t="shared" si="160"/>
        <v>2960280</v>
      </c>
      <c r="H412" s="409">
        <f>SUM(H410:H411)</f>
        <v>0</v>
      </c>
      <c r="I412" s="410">
        <f>SUM(I410:I411)</f>
        <v>2960280</v>
      </c>
      <c r="J412" s="1232"/>
      <c r="K412" s="7"/>
      <c r="L412" s="995">
        <f t="shared" ref="L412" si="161">+C412*$L$7</f>
        <v>781185.00000000012</v>
      </c>
      <c r="M412" s="1001">
        <f>+C412-L412*0</f>
        <v>2741000</v>
      </c>
      <c r="N412" s="568" t="s">
        <v>471</v>
      </c>
      <c r="O412" s="529">
        <f>IF(N412="S",M412*$O$5,"NO RETENCIÓN")</f>
        <v>301510</v>
      </c>
      <c r="P412" s="1003">
        <f>+M412/$P$5</f>
        <v>55.041265888873269</v>
      </c>
    </row>
    <row r="413" spans="1:16" ht="12" customHeight="1" x14ac:dyDescent="0.2">
      <c r="A413" s="1035"/>
      <c r="B413" s="555"/>
      <c r="C413" s="426"/>
      <c r="D413" s="426"/>
      <c r="E413" s="358"/>
      <c r="F413" s="358"/>
      <c r="G413" s="148"/>
      <c r="H413" s="470"/>
      <c r="I413" s="471"/>
      <c r="J413" s="394"/>
      <c r="K413" s="7"/>
    </row>
    <row r="414" spans="1:16" ht="0.95" customHeight="1" x14ac:dyDescent="0.2">
      <c r="A414" s="1036"/>
      <c r="B414" s="1016"/>
      <c r="C414" s="427"/>
      <c r="D414" s="427"/>
      <c r="E414" s="156"/>
      <c r="F414" s="156"/>
      <c r="G414" s="66"/>
      <c r="H414" s="428"/>
      <c r="I414" s="428"/>
      <c r="J414" s="429"/>
      <c r="K414" s="7"/>
    </row>
    <row r="415" spans="1:16" ht="12" customHeight="1" x14ac:dyDescent="0.2">
      <c r="A415" s="1035"/>
      <c r="B415" s="555"/>
      <c r="C415" s="426"/>
      <c r="D415" s="426"/>
      <c r="E415" s="358"/>
      <c r="F415" s="358"/>
      <c r="G415" s="148"/>
      <c r="H415" s="470"/>
      <c r="I415" s="398"/>
      <c r="J415" s="394"/>
      <c r="K415" s="7"/>
    </row>
    <row r="416" spans="1:16" ht="12" customHeight="1" x14ac:dyDescent="0.2">
      <c r="A416" s="10" t="s">
        <v>264</v>
      </c>
      <c r="C416" s="931"/>
      <c r="D416" s="931"/>
      <c r="E416" s="1011"/>
      <c r="F416" s="1011"/>
      <c r="G416" s="931"/>
      <c r="I416" s="398"/>
      <c r="J416" s="430"/>
      <c r="K416" s="7"/>
    </row>
    <row r="417" spans="1:21" ht="12" customHeight="1" x14ac:dyDescent="0.2">
      <c r="A417" s="421">
        <v>1</v>
      </c>
      <c r="B417" s="421" t="s">
        <v>403</v>
      </c>
      <c r="C417" s="404">
        <f>SUMIF('Consolidado Cobros'!$B$10:$B$314,B417,'Consolidado Cobros'!$F$10:$F$314)</f>
        <v>0</v>
      </c>
      <c r="D417" s="404">
        <f>SUMIF('Consolidado Cobros'!$B$10:$B$314,B417,'Consolidado Cobros'!$G$10:$G$314)</f>
        <v>0</v>
      </c>
      <c r="E417" s="487"/>
      <c r="F417" s="487"/>
      <c r="G417" s="226">
        <f>SUMIF('Consolidado Cobros'!$B$10:$B$314,B417,'Consolidado Cobros'!$J$10:$J$314)</f>
        <v>0</v>
      </c>
      <c r="H417" s="405">
        <f>SUMIF('Consolidado Cobros'!$B$10:$B$314,B417,'Consolidado Cobros'!$L$10:$L$314)</f>
        <v>360000</v>
      </c>
      <c r="I417" s="406">
        <f t="shared" ref="I417" si="162">+G417+H417</f>
        <v>360000</v>
      </c>
      <c r="J417" s="411"/>
      <c r="K417" s="7"/>
    </row>
    <row r="418" spans="1:21" ht="12" customHeight="1" x14ac:dyDescent="0.2">
      <c r="A418" s="421">
        <f>+A417+1</f>
        <v>2</v>
      </c>
      <c r="B418" s="421" t="s">
        <v>158</v>
      </c>
      <c r="C418" s="404">
        <f>SUMIF('Consolidado Cobros'!$B$10:$B$314,B418,'Consolidado Cobros'!$F$10:$F$314)</f>
        <v>0</v>
      </c>
      <c r="D418" s="404">
        <f>SUMIF('Consolidado Cobros'!$B$10:$B$314,B418,'Consolidado Cobros'!$G$10:$G$314)</f>
        <v>0</v>
      </c>
      <c r="E418" s="487"/>
      <c r="F418" s="487"/>
      <c r="G418" s="226">
        <f>SUMIF('Consolidado Cobros'!$B$10:$B$314,B418,'Consolidado Cobros'!$J$10:$J$314)</f>
        <v>0</v>
      </c>
      <c r="H418" s="405">
        <f>SUMIF('Consolidado Cobros'!$B$10:$B$314,B418,'Consolidado Cobros'!$L$10:$L$314)</f>
        <v>360000</v>
      </c>
      <c r="I418" s="406">
        <f t="shared" ref="I418" si="163">+G418+H418</f>
        <v>360000</v>
      </c>
      <c r="J418" s="411"/>
      <c r="K418" s="7"/>
    </row>
    <row r="419" spans="1:21" ht="12" customHeight="1" x14ac:dyDescent="0.2">
      <c r="A419" s="421">
        <f t="shared" ref="A419" si="164">+A418+1</f>
        <v>3</v>
      </c>
      <c r="B419" s="421" t="s">
        <v>159</v>
      </c>
      <c r="C419" s="404">
        <f>SUMIF('Consolidado Cobros'!$B$10:$B$314,B419,'Consolidado Cobros'!$F$10:$F$314)</f>
        <v>0</v>
      </c>
      <c r="D419" s="404">
        <f>SUMIF('Consolidado Cobros'!$B$10:$B$314,B419,'Consolidado Cobros'!$G$10:$G$314)</f>
        <v>0</v>
      </c>
      <c r="E419" s="487"/>
      <c r="F419" s="487"/>
      <c r="G419" s="226">
        <f>SUMIF('Consolidado Cobros'!$B$10:$B$314,B419,'Consolidado Cobros'!$J$10:$J$314)</f>
        <v>0</v>
      </c>
      <c r="H419" s="405">
        <f>SUMIF('Consolidado Cobros'!$B$10:$B$314,B419,'Consolidado Cobros'!$L$10:$L$314)</f>
        <v>360000</v>
      </c>
      <c r="I419" s="406">
        <f t="shared" ref="I419" si="165">+G419+H419</f>
        <v>360000</v>
      </c>
      <c r="J419" s="411"/>
      <c r="K419" s="7"/>
    </row>
    <row r="420" spans="1:21" ht="12" customHeight="1" x14ac:dyDescent="0.2">
      <c r="A420" s="11" t="s">
        <v>204</v>
      </c>
      <c r="B420" s="555"/>
      <c r="C420" s="408">
        <f>SUM(C416:C419)</f>
        <v>0</v>
      </c>
      <c r="D420" s="408">
        <f>SUM(D416:D419)</f>
        <v>0</v>
      </c>
      <c r="E420" s="529">
        <f>SUM(E416:E419)</f>
        <v>0</v>
      </c>
      <c r="F420" s="529">
        <f>SUM(F416:F419)</f>
        <v>0</v>
      </c>
      <c r="G420" s="407">
        <f>SUM(G416:G419)</f>
        <v>0</v>
      </c>
      <c r="H420" s="409">
        <f>SUM(H417:H419)</f>
        <v>1080000</v>
      </c>
      <c r="I420" s="410">
        <f>SUM(I417:I419)</f>
        <v>1080000</v>
      </c>
      <c r="J420" s="411"/>
      <c r="K420" s="7"/>
    </row>
    <row r="421" spans="1:21" ht="12" customHeight="1" x14ac:dyDescent="0.2">
      <c r="A421" s="1035"/>
      <c r="B421" s="555"/>
      <c r="C421" s="426"/>
      <c r="D421" s="426"/>
      <c r="E421" s="358"/>
      <c r="F421" s="358"/>
      <c r="G421" s="148"/>
      <c r="H421" s="470"/>
      <c r="I421" s="471"/>
      <c r="J421" s="394"/>
      <c r="K421" s="7"/>
    </row>
    <row r="422" spans="1:21" ht="2.1" customHeight="1" x14ac:dyDescent="0.2">
      <c r="A422" s="1036"/>
      <c r="B422" s="1016"/>
      <c r="C422" s="427"/>
      <c r="D422" s="427"/>
      <c r="E422" s="156"/>
      <c r="F422" s="156"/>
      <c r="G422" s="66"/>
      <c r="H422" s="428"/>
      <c r="I422" s="428"/>
      <c r="J422" s="429"/>
      <c r="K422" s="7"/>
    </row>
    <row r="423" spans="1:21" ht="12" customHeight="1" x14ac:dyDescent="0.2">
      <c r="A423" s="1035"/>
      <c r="B423" s="555"/>
      <c r="C423" s="426"/>
      <c r="D423" s="426"/>
      <c r="E423" s="358"/>
      <c r="F423" s="358"/>
      <c r="G423" s="148"/>
      <c r="H423" s="470"/>
      <c r="I423" s="398"/>
      <c r="J423" s="394"/>
      <c r="K423" s="7"/>
    </row>
    <row r="424" spans="1:21" ht="12" customHeight="1" x14ac:dyDescent="0.2">
      <c r="A424" s="10" t="s">
        <v>265</v>
      </c>
      <c r="C424" s="931"/>
      <c r="D424" s="931"/>
      <c r="E424" s="1011"/>
      <c r="F424" s="1011"/>
      <c r="G424" s="931"/>
      <c r="I424" s="398"/>
      <c r="J424" s="430"/>
      <c r="K424" s="7"/>
    </row>
    <row r="425" spans="1:21" ht="12" customHeight="1" x14ac:dyDescent="0.2">
      <c r="A425" s="421">
        <v>1</v>
      </c>
      <c r="B425" s="421" t="s">
        <v>99</v>
      </c>
      <c r="C425" s="404">
        <f>SUMIF('Consolidado Cobros'!$B$10:$B$314,B425,'Consolidado Cobros'!$F$10:$F$314)</f>
        <v>0</v>
      </c>
      <c r="D425" s="404">
        <f>SUMIF('Consolidado Cobros'!$B$10:$B$314,B425,'Consolidado Cobros'!$G$10:$G$314)</f>
        <v>0</v>
      </c>
      <c r="E425" s="487"/>
      <c r="F425" s="487"/>
      <c r="G425" s="226">
        <f>SUMIF('Consolidado Cobros'!$B$10:$B$314,B425,'Consolidado Cobros'!$J$10:$J$314)</f>
        <v>0</v>
      </c>
      <c r="H425" s="405">
        <f>SUMIF('Consolidado Cobros'!$B$10:$B$314,B425,'Consolidado Cobros'!$L$10:$L$314)</f>
        <v>520000</v>
      </c>
      <c r="I425" s="406">
        <f t="shared" ref="I425:I426" si="166">+G425+H425</f>
        <v>520000</v>
      </c>
      <c r="J425" s="411"/>
      <c r="K425" s="7"/>
    </row>
    <row r="426" spans="1:21" ht="12" customHeight="1" x14ac:dyDescent="0.2">
      <c r="A426" s="421">
        <f>A425+1</f>
        <v>2</v>
      </c>
      <c r="B426" s="421" t="s">
        <v>162</v>
      </c>
      <c r="C426" s="404">
        <f>SUMIF('Consolidado Cobros'!$B$10:$B$314,B426,'Consolidado Cobros'!$F$10:$F$314)</f>
        <v>0</v>
      </c>
      <c r="D426" s="404">
        <f>SUMIF('Consolidado Cobros'!$B$10:$B$314,B426,'Consolidado Cobros'!$G$10:$G$314)</f>
        <v>0</v>
      </c>
      <c r="E426" s="487"/>
      <c r="F426" s="487"/>
      <c r="G426" s="226">
        <f>SUMIF('Consolidado Cobros'!$B$10:$B$314,B426,'Consolidado Cobros'!$J$10:$J$314)</f>
        <v>0</v>
      </c>
      <c r="H426" s="405">
        <f>SUMIF('Consolidado Cobros'!$B$10:$B$314,B426,'Consolidado Cobros'!$L$10:$L$314)</f>
        <v>520000</v>
      </c>
      <c r="I426" s="406">
        <f t="shared" si="166"/>
        <v>520000</v>
      </c>
      <c r="J426" s="411"/>
      <c r="K426" s="7"/>
    </row>
    <row r="427" spans="1:21" ht="12" customHeight="1" x14ac:dyDescent="0.2">
      <c r="A427" s="11" t="s">
        <v>204</v>
      </c>
      <c r="B427" s="555"/>
      <c r="C427" s="408">
        <f>SUM(C424:C426)</f>
        <v>0</v>
      </c>
      <c r="D427" s="408">
        <f t="shared" ref="D427:G427" si="167">SUM(D424:D426)</f>
        <v>0</v>
      </c>
      <c r="E427" s="529">
        <f t="shared" si="167"/>
        <v>0</v>
      </c>
      <c r="F427" s="529">
        <f t="shared" si="167"/>
        <v>0</v>
      </c>
      <c r="G427" s="407">
        <f t="shared" si="167"/>
        <v>0</v>
      </c>
      <c r="H427" s="409">
        <f>SUM(H425:H426)</f>
        <v>1040000</v>
      </c>
      <c r="I427" s="410">
        <f>SUM(I425:I426)</f>
        <v>1040000</v>
      </c>
      <c r="J427" s="411"/>
      <c r="K427" s="7"/>
    </row>
    <row r="428" spans="1:21" ht="12" customHeight="1" x14ac:dyDescent="0.2">
      <c r="A428" s="1035"/>
      <c r="B428" s="555"/>
      <c r="C428" s="426"/>
      <c r="D428" s="426"/>
      <c r="E428" s="358"/>
      <c r="F428" s="358"/>
      <c r="G428" s="148"/>
      <c r="H428" s="470"/>
      <c r="I428" s="471"/>
      <c r="J428" s="394"/>
      <c r="K428" s="7"/>
    </row>
    <row r="429" spans="1:21" ht="1.5" customHeight="1" x14ac:dyDescent="0.2">
      <c r="A429" s="1036"/>
      <c r="B429" s="1016"/>
      <c r="C429" s="427"/>
      <c r="D429" s="427"/>
      <c r="E429" s="156"/>
      <c r="F429" s="156"/>
      <c r="G429" s="66"/>
      <c r="H429" s="428"/>
      <c r="I429" s="428"/>
      <c r="J429" s="429"/>
      <c r="K429" s="7"/>
    </row>
    <row r="430" spans="1:21" ht="12" customHeight="1" x14ac:dyDescent="0.2">
      <c r="A430" s="1035"/>
      <c r="B430" s="555"/>
      <c r="C430" s="426"/>
      <c r="D430" s="426"/>
      <c r="E430" s="358"/>
      <c r="F430" s="358"/>
      <c r="G430" s="148"/>
      <c r="H430" s="470"/>
      <c r="I430" s="398"/>
      <c r="J430" s="394"/>
      <c r="K430" s="7"/>
    </row>
    <row r="431" spans="1:21" ht="12" customHeight="1" thickBot="1" x14ac:dyDescent="0.25">
      <c r="A431" s="10" t="s">
        <v>267</v>
      </c>
      <c r="C431" s="931"/>
      <c r="D431" s="931"/>
      <c r="E431" s="1011"/>
      <c r="F431" s="1011"/>
      <c r="G431" s="931"/>
      <c r="I431" s="398"/>
      <c r="J431" s="430"/>
      <c r="K431" s="7"/>
    </row>
    <row r="432" spans="1:21" ht="12" customHeight="1" x14ac:dyDescent="0.2">
      <c r="A432" s="421">
        <v>1</v>
      </c>
      <c r="B432" s="421" t="s">
        <v>13</v>
      </c>
      <c r="C432" s="404">
        <f>SUMIF('Consolidado Cobros'!$B$10:$B$314,B432,'Consolidado Cobros'!$F$10:$F$314)</f>
        <v>510000</v>
      </c>
      <c r="D432" s="404">
        <f>SUMIF('Consolidado Cobros'!$B$10:$B$314,B432,'Consolidado Cobros'!$G$10:$G$314)</f>
        <v>96900</v>
      </c>
      <c r="E432" s="487">
        <f>SUMIF('Consolidado Cobros'!$B$10:$B$314,B432,'Consolidado Cobros'!$H$10:$H$314)</f>
        <v>-56100</v>
      </c>
      <c r="F432" s="487">
        <f>SUMIF('Consolidado Cobros'!$B$10:$B$314,B432,'Consolidado Cobros'!$I$10:$I$314)</f>
        <v>606900</v>
      </c>
      <c r="G432" s="226">
        <f>SUMIF('Consolidado Cobros'!$B$10:$B$314,B432,'Consolidado Cobros'!$J$10:$J$314)</f>
        <v>550800</v>
      </c>
      <c r="H432" s="405">
        <f>SUMIF('Consolidado Cobros'!$B$10:$B$314,B432,'Consolidado Cobros'!$L$10:$L$314)</f>
        <v>0</v>
      </c>
      <c r="I432" s="406">
        <f t="shared" ref="I432:I434" si="168">+G432+H432</f>
        <v>550800</v>
      </c>
      <c r="J432" s="1862" t="s">
        <v>1123</v>
      </c>
      <c r="K432" s="7"/>
      <c r="L432" s="995">
        <f t="shared" ref="L432:L437" si="169">+C432*$L$7</f>
        <v>145350.00000000003</v>
      </c>
      <c r="M432" s="1001">
        <f t="shared" ref="M432:M437" si="170">+C432-L432*0</f>
        <v>510000</v>
      </c>
      <c r="N432" s="568" t="s">
        <v>471</v>
      </c>
      <c r="O432" s="529">
        <f t="shared" ref="O432:O437" si="171">IF(N432="S",M432*$O$5,"NO RETENCIÓN")</f>
        <v>56100</v>
      </c>
      <c r="P432" s="1003">
        <f t="shared" ref="P432:P437" si="172">+M432/$P$5</f>
        <v>10.241169501395611</v>
      </c>
      <c r="R432" s="16" t="s">
        <v>13</v>
      </c>
      <c r="S432" s="16">
        <v>490000</v>
      </c>
      <c r="T432" s="16">
        <f>+SUMIF($B$432:$B$436,R432,$C$432:$C$436)</f>
        <v>510000</v>
      </c>
      <c r="U432" s="16" t="s">
        <v>1091</v>
      </c>
    </row>
    <row r="433" spans="1:21" ht="12" customHeight="1" x14ac:dyDescent="0.2">
      <c r="A433" s="421">
        <f>A432+1</f>
        <v>2</v>
      </c>
      <c r="B433" s="695" t="s">
        <v>267</v>
      </c>
      <c r="C433" s="404">
        <f>SUMIF('Consolidado Cobros'!$B$10:$B$314,B433,'Consolidado Cobros'!$F$10:$F$314)</f>
        <v>2280000</v>
      </c>
      <c r="D433" s="404">
        <f>SUMIF('Consolidado Cobros'!$B$10:$B$314,B433,'Consolidado Cobros'!$G$10:$G$314)</f>
        <v>433200</v>
      </c>
      <c r="E433" s="487">
        <f>SUMIF('Consolidado Cobros'!$B$10:$B$314,B433,'Consolidado Cobros'!$H$10:$H$314)</f>
        <v>-250800</v>
      </c>
      <c r="F433" s="487">
        <f>SUMIF('Consolidado Cobros'!$B$10:$B$314,B433,'Consolidado Cobros'!$I$10:$I$314)</f>
        <v>2713200</v>
      </c>
      <c r="G433" s="226">
        <f>SUMIF('Consolidado Cobros'!$B$10:$B$314,B433,'Consolidado Cobros'!$J$10:$J$314)</f>
        <v>2462400</v>
      </c>
      <c r="H433" s="405">
        <f>SUMIF('Consolidado Cobros'!$B$10:$B$314,B433,'Consolidado Cobros'!$L$10:$L$314)</f>
        <v>0</v>
      </c>
      <c r="I433" s="406">
        <f t="shared" si="168"/>
        <v>2462400</v>
      </c>
      <c r="J433" s="1860" t="s">
        <v>1123</v>
      </c>
      <c r="K433" s="7"/>
      <c r="L433" s="995">
        <f t="shared" si="169"/>
        <v>649800.00000000012</v>
      </c>
      <c r="M433" s="1001">
        <f t="shared" si="170"/>
        <v>2280000</v>
      </c>
      <c r="N433" s="568" t="s">
        <v>471</v>
      </c>
      <c r="O433" s="529">
        <f t="shared" si="171"/>
        <v>250800</v>
      </c>
      <c r="P433" s="1003">
        <f t="shared" si="172"/>
        <v>45.784051888592138</v>
      </c>
      <c r="R433" s="16" t="s">
        <v>397</v>
      </c>
      <c r="S433" s="16">
        <v>210000</v>
      </c>
      <c r="T433" s="16">
        <f t="shared" ref="T433:T436" si="173">+SUMIF($B$432:$B$436,R433,$C$432:$C$436)</f>
        <v>220000</v>
      </c>
      <c r="U433" s="16">
        <f t="shared" ref="U433:U436" si="174">+S433-T433</f>
        <v>-10000</v>
      </c>
    </row>
    <row r="434" spans="1:21" ht="12" customHeight="1" x14ac:dyDescent="0.2">
      <c r="A434" s="421">
        <f t="shared" ref="A434:A435" si="175">A433+1</f>
        <v>3</v>
      </c>
      <c r="B434" s="421" t="s">
        <v>648</v>
      </c>
      <c r="C434" s="404">
        <f>SUMIF('Consolidado Cobros'!$B$10:$B$314,B434,'Consolidado Cobros'!$F$10:$F$314)</f>
        <v>220000</v>
      </c>
      <c r="D434" s="404">
        <f>SUMIF('Consolidado Cobros'!$B$10:$B$314,B434,'Consolidado Cobros'!$G$10:$G$314)</f>
        <v>41800</v>
      </c>
      <c r="E434" s="487">
        <f>SUMIF('Consolidado Cobros'!$B$10:$B$314,B434,'Consolidado Cobros'!$H$10:$H$314)</f>
        <v>-24200</v>
      </c>
      <c r="F434" s="487">
        <f>SUMIF('Consolidado Cobros'!$B$10:$B$314,B434,'Consolidado Cobros'!$I$10:$I$314)</f>
        <v>261800</v>
      </c>
      <c r="G434" s="226">
        <f>SUMIF('Consolidado Cobros'!$B$10:$B$314,B434,'Consolidado Cobros'!$J$10:$J$314)</f>
        <v>237600</v>
      </c>
      <c r="H434" s="405">
        <f>SUMIF('Consolidado Cobros'!$B$10:$B$314,B434,'Consolidado Cobros'!$L$10:$L$314)</f>
        <v>0</v>
      </c>
      <c r="I434" s="406">
        <f t="shared" si="168"/>
        <v>237600</v>
      </c>
      <c r="J434" s="1860" t="s">
        <v>1123</v>
      </c>
      <c r="K434" s="7"/>
      <c r="L434" s="995">
        <f t="shared" si="169"/>
        <v>62700.000000000007</v>
      </c>
      <c r="M434" s="1001">
        <f t="shared" si="170"/>
        <v>220000</v>
      </c>
      <c r="N434" s="568" t="s">
        <v>471</v>
      </c>
      <c r="O434" s="529">
        <f t="shared" si="171"/>
        <v>24200</v>
      </c>
      <c r="P434" s="1003">
        <f t="shared" si="172"/>
        <v>4.4177593927588905</v>
      </c>
      <c r="R434" s="16" t="s">
        <v>401</v>
      </c>
      <c r="S434" s="16">
        <v>210000</v>
      </c>
      <c r="T434" s="16">
        <f t="shared" si="173"/>
        <v>220000</v>
      </c>
      <c r="U434" s="16">
        <f t="shared" si="174"/>
        <v>-10000</v>
      </c>
    </row>
    <row r="435" spans="1:21" ht="12" customHeight="1" x14ac:dyDescent="0.2">
      <c r="A435" s="421">
        <f t="shared" si="175"/>
        <v>4</v>
      </c>
      <c r="B435" s="554" t="s">
        <v>401</v>
      </c>
      <c r="C435" s="404">
        <f>SUMIF('Consolidado Cobros'!$B$10:$B$314,B435,'Consolidado Cobros'!$F$10:$F$314)</f>
        <v>220000</v>
      </c>
      <c r="D435" s="404">
        <f>SUMIF('Consolidado Cobros'!$B$10:$B$314,B435,'Consolidado Cobros'!$G$10:$G$314)</f>
        <v>41800</v>
      </c>
      <c r="E435" s="487">
        <f>SUMIF('Consolidado Cobros'!$B$10:$B$314,B435,'Consolidado Cobros'!$H$10:$H$314)</f>
        <v>-24200</v>
      </c>
      <c r="F435" s="487">
        <f>SUMIF('Consolidado Cobros'!$B$10:$B$314,B435,'Consolidado Cobros'!$I$10:$I$314)</f>
        <v>261800</v>
      </c>
      <c r="G435" s="226">
        <f>SUMIF('Consolidado Cobros'!$B$10:$B$314,B435,'Consolidado Cobros'!$J$10:$J$314)</f>
        <v>237600</v>
      </c>
      <c r="H435" s="405">
        <f>SUMIF('Consolidado Cobros'!$B$10:$B$314,B435,'Consolidado Cobros'!$L$10:$L$314)</f>
        <v>0</v>
      </c>
      <c r="I435" s="406">
        <f t="shared" ref="I435:I436" si="176">+G435+H435</f>
        <v>237600</v>
      </c>
      <c r="J435" s="1860" t="s">
        <v>1123</v>
      </c>
      <c r="K435" s="7"/>
      <c r="L435" s="995">
        <f t="shared" si="169"/>
        <v>62700.000000000007</v>
      </c>
      <c r="M435" s="1001">
        <f t="shared" si="170"/>
        <v>220000</v>
      </c>
      <c r="N435" s="568" t="s">
        <v>471</v>
      </c>
      <c r="O435" s="529">
        <f t="shared" si="171"/>
        <v>24200</v>
      </c>
      <c r="P435" s="1003">
        <f t="shared" si="172"/>
        <v>4.4177593927588905</v>
      </c>
      <c r="R435" s="16" t="s">
        <v>648</v>
      </c>
      <c r="S435" s="16">
        <v>210000</v>
      </c>
      <c r="T435" s="16">
        <f t="shared" si="173"/>
        <v>220000</v>
      </c>
      <c r="U435" s="16">
        <f t="shared" si="174"/>
        <v>-10000</v>
      </c>
    </row>
    <row r="436" spans="1:21" ht="12" customHeight="1" x14ac:dyDescent="0.2">
      <c r="A436" s="421">
        <f t="shared" ref="A436" si="177">A435+1</f>
        <v>5</v>
      </c>
      <c r="B436" s="554" t="s">
        <v>397</v>
      </c>
      <c r="C436" s="404">
        <f>SUMIF('Consolidado Cobros'!$B$10:$B$314,B436,'Consolidado Cobros'!$F$10:$F$314)</f>
        <v>220000</v>
      </c>
      <c r="D436" s="404">
        <f>SUMIF('Consolidado Cobros'!$B$10:$B$314,B436,'Consolidado Cobros'!$G$10:$G$314)</f>
        <v>41800</v>
      </c>
      <c r="E436" s="487">
        <f>SUMIF('Consolidado Cobros'!$B$10:$B$314,B436,'Consolidado Cobros'!$H$10:$H$314)</f>
        <v>-24200</v>
      </c>
      <c r="F436" s="487">
        <f>SUMIF('Consolidado Cobros'!$B$10:$B$314,B436,'Consolidado Cobros'!$I$10:$I$314)</f>
        <v>261800</v>
      </c>
      <c r="G436" s="226">
        <f>SUMIF('Consolidado Cobros'!$B$10:$B$314,B436,'Consolidado Cobros'!$J$10:$J$314)</f>
        <v>237600</v>
      </c>
      <c r="H436" s="405">
        <f>SUMIF('Consolidado Cobros'!$B$10:$B$314,B436,'Consolidado Cobros'!$L$10:$L$314)</f>
        <v>0</v>
      </c>
      <c r="I436" s="406">
        <f t="shared" si="176"/>
        <v>237600</v>
      </c>
      <c r="J436" s="1860" t="s">
        <v>1123</v>
      </c>
      <c r="K436" s="7"/>
      <c r="L436" s="995">
        <f t="shared" si="169"/>
        <v>62700.000000000007</v>
      </c>
      <c r="M436" s="1001">
        <f t="shared" si="170"/>
        <v>220000</v>
      </c>
      <c r="N436" s="568" t="s">
        <v>471</v>
      </c>
      <c r="O436" s="529">
        <f t="shared" si="171"/>
        <v>24200</v>
      </c>
      <c r="P436" s="1003">
        <f t="shared" si="172"/>
        <v>4.4177593927588905</v>
      </c>
      <c r="R436" s="16" t="s">
        <v>267</v>
      </c>
      <c r="S436" s="16">
        <v>2170000</v>
      </c>
      <c r="T436" s="16">
        <f t="shared" si="173"/>
        <v>2280000</v>
      </c>
      <c r="U436" s="16">
        <f t="shared" si="174"/>
        <v>-110000</v>
      </c>
    </row>
    <row r="437" spans="1:21" ht="12" customHeight="1" x14ac:dyDescent="0.2">
      <c r="A437" s="1043"/>
      <c r="B437" s="554"/>
      <c r="C437" s="531"/>
      <c r="D437" s="531"/>
      <c r="E437" s="487"/>
      <c r="F437" s="487"/>
      <c r="G437" s="381"/>
      <c r="H437" s="552"/>
      <c r="I437" s="553"/>
      <c r="J437" s="414"/>
      <c r="K437" s="7"/>
      <c r="L437" s="995">
        <f t="shared" si="169"/>
        <v>0</v>
      </c>
      <c r="M437" s="1001">
        <f t="shared" si="170"/>
        <v>0</v>
      </c>
      <c r="N437" s="568" t="s">
        <v>471</v>
      </c>
      <c r="O437" s="529">
        <f t="shared" si="171"/>
        <v>0</v>
      </c>
      <c r="P437" s="1003">
        <f t="shared" si="172"/>
        <v>0</v>
      </c>
    </row>
    <row r="438" spans="1:21" ht="12" customHeight="1" x14ac:dyDescent="0.2">
      <c r="A438" s="1044" t="s">
        <v>204</v>
      </c>
      <c r="B438" s="1073" t="s">
        <v>267</v>
      </c>
      <c r="C438" s="408">
        <f>SUM(C431:C437)</f>
        <v>3450000</v>
      </c>
      <c r="D438" s="408">
        <f t="shared" ref="D438:I438" si="178">SUM(D431:D437)</f>
        <v>655500</v>
      </c>
      <c r="E438" s="529">
        <f>SUM(E432:E436)</f>
        <v>-379500</v>
      </c>
      <c r="F438" s="529">
        <f t="shared" si="178"/>
        <v>4105500</v>
      </c>
      <c r="G438" s="407">
        <f t="shared" si="178"/>
        <v>3726000</v>
      </c>
      <c r="H438" s="409">
        <f t="shared" si="178"/>
        <v>0</v>
      </c>
      <c r="I438" s="410">
        <f t="shared" si="178"/>
        <v>3726000</v>
      </c>
      <c r="J438" s="411"/>
      <c r="K438" s="7"/>
      <c r="L438" s="995">
        <f t="shared" ref="L438" si="179">+C438*$L$7</f>
        <v>983250.00000000012</v>
      </c>
      <c r="M438" s="1001">
        <f>+C438-L438*0</f>
        <v>3450000</v>
      </c>
      <c r="N438" s="568" t="s">
        <v>471</v>
      </c>
      <c r="O438" s="529">
        <f>IF(N438="S",M438*$O$5,"NO RETENCIÓN")</f>
        <v>379500</v>
      </c>
      <c r="P438" s="1003">
        <f>+M438/$P$5</f>
        <v>69.278499568264422</v>
      </c>
    </row>
    <row r="439" spans="1:21" ht="12" customHeight="1" x14ac:dyDescent="0.2">
      <c r="A439" s="669"/>
      <c r="B439" s="555"/>
      <c r="C439" s="426"/>
      <c r="D439" s="426"/>
      <c r="E439" s="358"/>
      <c r="F439" s="358"/>
      <c r="G439" s="148"/>
      <c r="H439" s="470"/>
      <c r="I439" s="261"/>
      <c r="K439" s="7"/>
    </row>
    <row r="440" spans="1:21" ht="1.5" customHeight="1" x14ac:dyDescent="0.2">
      <c r="A440" s="1036"/>
      <c r="B440" s="1016"/>
      <c r="C440" s="427"/>
      <c r="D440" s="427"/>
      <c r="E440" s="156"/>
      <c r="F440" s="156"/>
      <c r="G440" s="66"/>
      <c r="H440" s="428"/>
      <c r="I440" s="428"/>
      <c r="J440" s="429"/>
      <c r="K440" s="7"/>
    </row>
    <row r="441" spans="1:21" ht="12" customHeight="1" x14ac:dyDescent="0.2">
      <c r="A441" s="1035"/>
      <c r="B441" s="555"/>
      <c r="C441" s="426"/>
      <c r="D441" s="426"/>
      <c r="E441" s="358"/>
      <c r="F441" s="358"/>
      <c r="G441" s="148"/>
      <c r="H441" s="470"/>
      <c r="I441" s="398"/>
      <c r="J441" s="394"/>
      <c r="K441" s="7"/>
    </row>
    <row r="442" spans="1:21" ht="12" customHeight="1" x14ac:dyDescent="0.2">
      <c r="A442" s="10" t="s">
        <v>24</v>
      </c>
      <c r="C442" s="931"/>
      <c r="D442" s="931"/>
      <c r="E442" s="1011"/>
      <c r="F442" s="1011"/>
      <c r="G442" s="931"/>
      <c r="I442" s="398"/>
      <c r="J442" s="430"/>
      <c r="K442" s="7"/>
    </row>
    <row r="443" spans="1:21" ht="12" customHeight="1" x14ac:dyDescent="0.2">
      <c r="A443" s="421">
        <v>1</v>
      </c>
      <c r="B443" s="423" t="s">
        <v>24</v>
      </c>
      <c r="C443" s="404">
        <f>SUMIF('Consolidado Cobros'!$B$10:$B$314,B443,'Consolidado Cobros'!$F$10:$F$314)</f>
        <v>0</v>
      </c>
      <c r="D443" s="404">
        <f>SUMIF('Consolidado Cobros'!$B$10:$B$314,B443,'Consolidado Cobros'!$G$10:$G$314)</f>
        <v>0</v>
      </c>
      <c r="E443" s="487"/>
      <c r="F443" s="487">
        <f>SUMIF('Consolidado Cobros'!$B$10:$B$314,B443,'Consolidado Cobros'!$I$10:$I$314)</f>
        <v>0</v>
      </c>
      <c r="G443" s="226">
        <f>SUMIF('Consolidado Cobros'!$B$10:$B$314,B443,'Consolidado Cobros'!$J$10:$J$314)</f>
        <v>0</v>
      </c>
      <c r="H443" s="405">
        <f>SUMIF('Consolidado Cobros'!$B$10:$B$314,B443,'Consolidado Cobros'!$L$10:$L$314)</f>
        <v>360000</v>
      </c>
      <c r="I443" s="406">
        <f t="shared" ref="I443:I444" si="180">+G443+H443</f>
        <v>360000</v>
      </c>
      <c r="J443" s="414"/>
      <c r="K443" s="7"/>
    </row>
    <row r="444" spans="1:21" ht="12" customHeight="1" x14ac:dyDescent="0.2">
      <c r="A444" s="1039">
        <f>A443+1</f>
        <v>2</v>
      </c>
      <c r="B444" s="356" t="s">
        <v>193</v>
      </c>
      <c r="C444" s="404">
        <f>SUMIF('Consolidado Cobros'!$B$10:$B$314,B444,'Consolidado Cobros'!$F$10:$F$314)</f>
        <v>0</v>
      </c>
      <c r="D444" s="404">
        <f>SUMIF('Consolidado Cobros'!$B$10:$B$314,B444,'Consolidado Cobros'!$G$10:$G$314)</f>
        <v>0</v>
      </c>
      <c r="E444" s="487"/>
      <c r="F444" s="487">
        <f>SUMIF('Consolidado Cobros'!$B$10:$B$314,B444,'Consolidado Cobros'!$I$10:$I$314)</f>
        <v>0</v>
      </c>
      <c r="G444" s="226">
        <f>SUMIF('Consolidado Cobros'!$B$10:$B$314,B444,'Consolidado Cobros'!$J$10:$J$314)</f>
        <v>0</v>
      </c>
      <c r="H444" s="405">
        <f>SUMIF('Consolidado Cobros'!$B$10:$B$314,B444,'Consolidado Cobros'!$L$10:$L$314)</f>
        <v>1930000</v>
      </c>
      <c r="I444" s="406">
        <f t="shared" si="180"/>
        <v>1930000</v>
      </c>
      <c r="J444" s="414"/>
      <c r="K444" s="7"/>
    </row>
    <row r="445" spans="1:21" ht="12" customHeight="1" x14ac:dyDescent="0.2">
      <c r="A445" s="57" t="s">
        <v>204</v>
      </c>
      <c r="B445" s="1025"/>
      <c r="C445" s="408">
        <f>SUM(C442:C444)</f>
        <v>0</v>
      </c>
      <c r="D445" s="408">
        <f t="shared" ref="D445:G445" si="181">SUM(D442:D444)</f>
        <v>0</v>
      </c>
      <c r="E445" s="529">
        <f t="shared" si="181"/>
        <v>0</v>
      </c>
      <c r="F445" s="529">
        <f t="shared" si="181"/>
        <v>0</v>
      </c>
      <c r="G445" s="407">
        <f t="shared" si="181"/>
        <v>0</v>
      </c>
      <c r="H445" s="409">
        <f>SUM(H443:H444)</f>
        <v>2290000</v>
      </c>
      <c r="I445" s="410">
        <f>SUM(I443:I444)</f>
        <v>2290000</v>
      </c>
      <c r="J445" s="411"/>
      <c r="K445" s="7"/>
    </row>
    <row r="446" spans="1:21" ht="12" customHeight="1" x14ac:dyDescent="0.2">
      <c r="A446" s="669"/>
      <c r="B446" s="555"/>
      <c r="C446" s="426"/>
      <c r="D446" s="426"/>
      <c r="E446" s="358"/>
      <c r="F446" s="358"/>
      <c r="G446" s="148"/>
      <c r="H446" s="470"/>
      <c r="I446" s="261"/>
      <c r="K446" s="7"/>
    </row>
    <row r="447" spans="1:21" ht="1.5" customHeight="1" x14ac:dyDescent="0.2">
      <c r="A447" s="1036"/>
      <c r="B447" s="1016"/>
      <c r="C447" s="427"/>
      <c r="D447" s="427"/>
      <c r="E447" s="156"/>
      <c r="F447" s="156"/>
      <c r="G447" s="66"/>
      <c r="H447" s="428"/>
      <c r="I447" s="428"/>
      <c r="J447" s="429"/>
      <c r="K447" s="7"/>
    </row>
    <row r="448" spans="1:21" ht="12" customHeight="1" x14ac:dyDescent="0.2">
      <c r="A448" s="1035"/>
      <c r="B448" s="555"/>
      <c r="C448" s="426"/>
      <c r="D448" s="426"/>
      <c r="E448" s="358"/>
      <c r="F448" s="358"/>
      <c r="G448" s="148"/>
      <c r="H448" s="470"/>
      <c r="I448" s="398"/>
      <c r="J448" s="394"/>
      <c r="K448" s="7"/>
    </row>
    <row r="449" spans="1:11" ht="12" customHeight="1" x14ac:dyDescent="0.2">
      <c r="A449" s="10" t="s">
        <v>310</v>
      </c>
      <c r="C449" s="931"/>
      <c r="D449" s="931"/>
      <c r="E449" s="1011"/>
      <c r="F449" s="1011"/>
      <c r="G449" s="931"/>
      <c r="I449" s="398"/>
      <c r="J449" s="430"/>
      <c r="K449" s="7"/>
    </row>
    <row r="450" spans="1:11" ht="12" customHeight="1" x14ac:dyDescent="0.2">
      <c r="A450" s="421">
        <v>1</v>
      </c>
      <c r="B450" s="421" t="s">
        <v>310</v>
      </c>
      <c r="C450" s="404">
        <f>SUMIF('Consolidado Cobros'!$B$10:$B$314,B450,'Consolidado Cobros'!$F$10:$F$314)</f>
        <v>0</v>
      </c>
      <c r="D450" s="404">
        <f>SUMIF('Consolidado Cobros'!$B$10:$B$314,B450,'Consolidado Cobros'!$G$10:$G$314)</f>
        <v>0</v>
      </c>
      <c r="E450" s="487"/>
      <c r="F450" s="487"/>
      <c r="G450" s="226">
        <f>SUMIF('Consolidado Cobros'!$B$10:$B$314,B450,'Consolidado Cobros'!$J$10:$J$314)</f>
        <v>0</v>
      </c>
      <c r="H450" s="405">
        <f>SUMIF('Consolidado Cobros'!$B$10:$B$314,B450,'Consolidado Cobros'!$L$10:$L$314)</f>
        <v>120000</v>
      </c>
      <c r="I450" s="406">
        <f t="shared" ref="I450:I451" si="182">+G450+H450</f>
        <v>120000</v>
      </c>
      <c r="J450" s="414"/>
      <c r="K450" s="7"/>
    </row>
    <row r="451" spans="1:11" ht="12" customHeight="1" x14ac:dyDescent="0.2">
      <c r="A451" s="421">
        <f>A450+1</f>
        <v>2</v>
      </c>
      <c r="B451" s="421" t="s">
        <v>312</v>
      </c>
      <c r="C451" s="404">
        <f>SUMIF('Consolidado Cobros'!$B$10:$B$314,B451,'Consolidado Cobros'!$F$10:$F$314)</f>
        <v>0</v>
      </c>
      <c r="D451" s="404">
        <f>SUMIF('Consolidado Cobros'!$B$10:$B$314,B451,'Consolidado Cobros'!$G$10:$G$314)</f>
        <v>0</v>
      </c>
      <c r="E451" s="487"/>
      <c r="F451" s="487"/>
      <c r="G451" s="226">
        <f>SUMIF('Consolidado Cobros'!$B$10:$B$314,B451,'Consolidado Cobros'!$J$10:$J$314)</f>
        <v>0</v>
      </c>
      <c r="H451" s="405">
        <f>SUMIF('Consolidado Cobros'!$B$10:$B$314,B451,'Consolidado Cobros'!$L$10:$L$314)</f>
        <v>120000</v>
      </c>
      <c r="I451" s="406">
        <f t="shared" si="182"/>
        <v>120000</v>
      </c>
      <c r="J451" s="414"/>
      <c r="K451" s="7"/>
    </row>
    <row r="452" spans="1:11" ht="12" customHeight="1" x14ac:dyDescent="0.2">
      <c r="A452" s="1044" t="s">
        <v>204</v>
      </c>
      <c r="B452" s="1024"/>
      <c r="C452" s="408">
        <f>SUM(C449:C451)</f>
        <v>0</v>
      </c>
      <c r="D452" s="408">
        <f t="shared" ref="D452:G452" si="183">SUM(D449:D451)</f>
        <v>0</v>
      </c>
      <c r="E452" s="529">
        <f t="shared" si="183"/>
        <v>0</v>
      </c>
      <c r="F452" s="529">
        <f t="shared" si="183"/>
        <v>0</v>
      </c>
      <c r="G452" s="407">
        <f t="shared" si="183"/>
        <v>0</v>
      </c>
      <c r="H452" s="409">
        <f>SUM(H450:H451)</f>
        <v>240000</v>
      </c>
      <c r="I452" s="410">
        <f>SUM(I450:I451)</f>
        <v>240000</v>
      </c>
      <c r="J452" s="411"/>
      <c r="K452" s="7"/>
    </row>
    <row r="453" spans="1:11" ht="12" customHeight="1" x14ac:dyDescent="0.2">
      <c r="A453" s="12"/>
      <c r="B453" s="555"/>
      <c r="C453" s="100"/>
      <c r="D453" s="100"/>
      <c r="E453" s="358"/>
      <c r="F453" s="358"/>
      <c r="G453" s="148"/>
      <c r="H453" s="412"/>
      <c r="I453" s="449"/>
      <c r="J453" s="90"/>
      <c r="K453" s="7"/>
    </row>
    <row r="454" spans="1:11" ht="0.95" customHeight="1" x14ac:dyDescent="0.2">
      <c r="A454" s="1036"/>
      <c r="B454" s="1016"/>
      <c r="C454" s="427"/>
      <c r="D454" s="427"/>
      <c r="E454" s="156"/>
      <c r="F454" s="156"/>
      <c r="G454" s="66"/>
      <c r="H454" s="428"/>
      <c r="I454" s="428"/>
      <c r="J454" s="429"/>
      <c r="K454" s="7"/>
    </row>
    <row r="455" spans="1:11" ht="12" customHeight="1" x14ac:dyDescent="0.2">
      <c r="A455" s="1035"/>
      <c r="B455" s="555"/>
      <c r="C455" s="426"/>
      <c r="D455" s="426"/>
      <c r="E455" s="358"/>
      <c r="F455" s="358"/>
      <c r="G455" s="148"/>
      <c r="H455" s="470"/>
      <c r="I455" s="398"/>
      <c r="J455" s="394"/>
      <c r="K455" s="7"/>
    </row>
    <row r="456" spans="1:11" ht="12" customHeight="1" x14ac:dyDescent="0.2">
      <c r="A456" s="10" t="s">
        <v>315</v>
      </c>
      <c r="C456" s="931"/>
      <c r="D456" s="931"/>
      <c r="E456" s="1011"/>
      <c r="F456" s="1011"/>
      <c r="G456" s="931"/>
      <c r="I456" s="398"/>
      <c r="J456" s="430"/>
      <c r="K456" s="7"/>
    </row>
    <row r="457" spans="1:11" ht="12" customHeight="1" x14ac:dyDescent="0.2">
      <c r="A457" s="421">
        <v>1</v>
      </c>
      <c r="B457" s="421" t="s">
        <v>308</v>
      </c>
      <c r="C457" s="404">
        <f>SUMIF('Consolidado Cobros'!$B$10:$B$314,B457,'Consolidado Cobros'!$F$10:$F$314)</f>
        <v>0</v>
      </c>
      <c r="D457" s="404">
        <f>SUMIF('Consolidado Cobros'!$B$10:$B$314,B457,'Consolidado Cobros'!$G$10:$G$314)</f>
        <v>0</v>
      </c>
      <c r="E457" s="487"/>
      <c r="F457" s="487"/>
      <c r="G457" s="226">
        <f>SUMIF('Consolidado Cobros'!$B$10:$B$314,B457,'Consolidado Cobros'!$J$10:$J$314)</f>
        <v>0</v>
      </c>
      <c r="H457" s="405">
        <f>SUMIF('Consolidado Cobros'!$B$10:$B$314,B457,'Consolidado Cobros'!$L$10:$L$314)</f>
        <v>170000</v>
      </c>
      <c r="I457" s="406">
        <f t="shared" ref="I457:I458" si="184">+G457+H457</f>
        <v>170000</v>
      </c>
      <c r="J457" s="414"/>
      <c r="K457" s="7"/>
    </row>
    <row r="458" spans="1:11" ht="12" customHeight="1" x14ac:dyDescent="0.2">
      <c r="A458" s="421">
        <f>+A457+1</f>
        <v>2</v>
      </c>
      <c r="B458" s="421" t="s">
        <v>311</v>
      </c>
      <c r="C458" s="404">
        <f>SUMIF('Consolidado Cobros'!$B$10:$B$314,B458,'Consolidado Cobros'!$F$10:$F$314)</f>
        <v>0</v>
      </c>
      <c r="D458" s="404">
        <f>SUMIF('Consolidado Cobros'!$B$10:$B$314,B458,'Consolidado Cobros'!$G$10:$G$314)</f>
        <v>0</v>
      </c>
      <c r="E458" s="487"/>
      <c r="F458" s="487"/>
      <c r="G458" s="226">
        <f>SUMIF('Consolidado Cobros'!$B$10:$B$314,B458,'Consolidado Cobros'!$J$10:$J$314)</f>
        <v>0</v>
      </c>
      <c r="H458" s="405">
        <f>SUMIF('Consolidado Cobros'!$B$10:$B$314,B458,'Consolidado Cobros'!$L$10:$L$314)</f>
        <v>0</v>
      </c>
      <c r="I458" s="406">
        <f t="shared" si="184"/>
        <v>0</v>
      </c>
      <c r="J458" s="414"/>
      <c r="K458" s="7"/>
    </row>
    <row r="459" spans="1:11" ht="12" customHeight="1" x14ac:dyDescent="0.2">
      <c r="A459" s="1044" t="s">
        <v>204</v>
      </c>
      <c r="B459" s="1024"/>
      <c r="C459" s="408">
        <f>SUM(C456:C458)</f>
        <v>0</v>
      </c>
      <c r="D459" s="408">
        <f>SUM(D456:D458)</f>
        <v>0</v>
      </c>
      <c r="E459" s="529">
        <f t="shared" ref="E459:F459" si="185">SUM(E456:E458)</f>
        <v>0</v>
      </c>
      <c r="F459" s="529">
        <f t="shared" si="185"/>
        <v>0</v>
      </c>
      <c r="G459" s="407">
        <f>SUM(G456:G458)</f>
        <v>0</v>
      </c>
      <c r="H459" s="409">
        <f>SUM(H457:H458)</f>
        <v>170000</v>
      </c>
      <c r="I459" s="410">
        <f>SUM(I457:I458)</f>
        <v>170000</v>
      </c>
      <c r="J459" s="411"/>
      <c r="K459" s="7"/>
    </row>
    <row r="460" spans="1:11" ht="12" customHeight="1" x14ac:dyDescent="0.2">
      <c r="A460" s="12"/>
      <c r="B460" s="555"/>
      <c r="C460" s="100"/>
      <c r="D460" s="100"/>
      <c r="E460" s="358"/>
      <c r="F460" s="358"/>
      <c r="G460" s="148"/>
      <c r="H460" s="412"/>
      <c r="I460" s="449"/>
      <c r="J460" s="90"/>
      <c r="K460" s="7"/>
    </row>
    <row r="461" spans="1:11" ht="0.95" customHeight="1" x14ac:dyDescent="0.2">
      <c r="A461" s="1036"/>
      <c r="B461" s="1016"/>
      <c r="C461" s="427"/>
      <c r="D461" s="427"/>
      <c r="E461" s="156"/>
      <c r="F461" s="156"/>
      <c r="G461" s="66"/>
      <c r="H461" s="428"/>
      <c r="I461" s="428"/>
      <c r="J461" s="429"/>
      <c r="K461" s="7"/>
    </row>
    <row r="462" spans="1:11" ht="12" customHeight="1" x14ac:dyDescent="0.2">
      <c r="A462" s="1035"/>
      <c r="B462" s="555"/>
      <c r="C462" s="426"/>
      <c r="D462" s="426"/>
      <c r="E462" s="358"/>
      <c r="F462" s="358"/>
      <c r="G462" s="148"/>
      <c r="H462" s="470"/>
      <c r="I462" s="398"/>
      <c r="J462" s="394"/>
      <c r="K462" s="7"/>
    </row>
    <row r="463" spans="1:11" ht="12" customHeight="1" x14ac:dyDescent="0.2">
      <c r="A463" s="10" t="s">
        <v>50</v>
      </c>
      <c r="C463" s="931"/>
      <c r="D463" s="931"/>
      <c r="E463" s="1011"/>
      <c r="F463" s="1011"/>
      <c r="G463" s="931"/>
      <c r="I463" s="398"/>
      <c r="J463" s="430"/>
      <c r="K463" s="7"/>
    </row>
    <row r="464" spans="1:11" ht="12" customHeight="1" x14ac:dyDescent="0.2">
      <c r="A464" s="432">
        <v>1</v>
      </c>
      <c r="B464" s="384" t="s">
        <v>50</v>
      </c>
      <c r="C464" s="404">
        <f>SUMIF('Consolidado Cobros'!$B$10:$B$314,B464,'Consolidado Cobros'!$F$10:$F$314)</f>
        <v>0</v>
      </c>
      <c r="D464" s="404">
        <f>SUMIF('Consolidado Cobros'!$B$10:$B$314,B464,'Consolidado Cobros'!$G$10:$G$314)</f>
        <v>0</v>
      </c>
      <c r="E464" s="487"/>
      <c r="F464" s="487"/>
      <c r="G464" s="226">
        <f>SUMIF('Consolidado Cobros'!$B$10:$B$314,B464,'Consolidado Cobros'!$J$10:$J$314)</f>
        <v>0</v>
      </c>
      <c r="H464" s="405">
        <f>SUMIF('Consolidado Cobros'!$B$10:$B$314,B464,'Consolidado Cobros'!$L$10:$L$314)</f>
        <v>0</v>
      </c>
      <c r="I464" s="406">
        <f t="shared" ref="I464:I465" si="186">+G464+H464</f>
        <v>0</v>
      </c>
      <c r="J464" s="414"/>
      <c r="K464" s="7"/>
    </row>
    <row r="465" spans="1:11" ht="12" customHeight="1" x14ac:dyDescent="0.2">
      <c r="A465" s="432">
        <f>+A464+1</f>
        <v>2</v>
      </c>
      <c r="B465" s="384" t="s">
        <v>53</v>
      </c>
      <c r="C465" s="404">
        <f>SUMIF('Consolidado Cobros'!$B$10:$B$314,B465,'Consolidado Cobros'!$F$10:$F$314)</f>
        <v>0</v>
      </c>
      <c r="D465" s="404">
        <f>SUMIF('Consolidado Cobros'!$B$10:$B$314,B465,'Consolidado Cobros'!$G$10:$G$314)</f>
        <v>0</v>
      </c>
      <c r="E465" s="487"/>
      <c r="F465" s="487"/>
      <c r="G465" s="226">
        <f>SUMIF('Consolidado Cobros'!$B$10:$B$314,B465,'Consolidado Cobros'!$J$10:$J$314)</f>
        <v>0</v>
      </c>
      <c r="H465" s="405">
        <f>SUMIF('Consolidado Cobros'!$B$10:$B$314,B465,'Consolidado Cobros'!$L$10:$L$314)</f>
        <v>5130000</v>
      </c>
      <c r="I465" s="406">
        <f t="shared" si="186"/>
        <v>5130000</v>
      </c>
      <c r="J465" s="414"/>
      <c r="K465" s="7"/>
    </row>
    <row r="466" spans="1:11" ht="12" customHeight="1" x14ac:dyDescent="0.2">
      <c r="A466" s="57" t="s">
        <v>204</v>
      </c>
      <c r="B466" s="1025"/>
      <c r="C466" s="408">
        <f>SUM(C463:C465)</f>
        <v>0</v>
      </c>
      <c r="D466" s="408">
        <f t="shared" ref="D466:G466" si="187">SUM(D463:D465)</f>
        <v>0</v>
      </c>
      <c r="E466" s="529">
        <f t="shared" si="187"/>
        <v>0</v>
      </c>
      <c r="F466" s="529">
        <f t="shared" si="187"/>
        <v>0</v>
      </c>
      <c r="G466" s="407">
        <f t="shared" si="187"/>
        <v>0</v>
      </c>
      <c r="H466" s="409">
        <f>SUM(H464:H465)</f>
        <v>5130000</v>
      </c>
      <c r="I466" s="410">
        <f>SUM(I464:I465)</f>
        <v>5130000</v>
      </c>
      <c r="J466" s="411"/>
      <c r="K466" s="7"/>
    </row>
    <row r="467" spans="1:11" ht="12" customHeight="1" x14ac:dyDescent="0.2">
      <c r="A467" s="1035"/>
      <c r="B467" s="555"/>
      <c r="C467" s="426"/>
      <c r="D467" s="426"/>
      <c r="E467" s="358"/>
      <c r="F467" s="358"/>
      <c r="G467" s="148"/>
      <c r="H467" s="470"/>
      <c r="I467" s="470"/>
      <c r="J467" s="394"/>
      <c r="K467" s="7"/>
    </row>
    <row r="468" spans="1:11" ht="0.95" customHeight="1" x14ac:dyDescent="0.2">
      <c r="A468" s="1036"/>
      <c r="B468" s="1016"/>
      <c r="C468" s="427"/>
      <c r="D468" s="427"/>
      <c r="E468" s="156"/>
      <c r="F468" s="156"/>
      <c r="G468" s="66"/>
      <c r="H468" s="428"/>
      <c r="I468" s="428"/>
      <c r="J468" s="429"/>
      <c r="K468" s="7"/>
    </row>
    <row r="469" spans="1:11" ht="12" customHeight="1" x14ac:dyDescent="0.2">
      <c r="A469" s="1035"/>
      <c r="B469" s="555"/>
      <c r="C469" s="426"/>
      <c r="D469" s="426"/>
      <c r="E469" s="358"/>
      <c r="F469" s="358"/>
      <c r="G469" s="148"/>
      <c r="H469" s="470"/>
      <c r="I469" s="398"/>
      <c r="J469" s="394"/>
      <c r="K469" s="7"/>
    </row>
    <row r="470" spans="1:11" ht="12" customHeight="1" x14ac:dyDescent="0.2">
      <c r="A470" s="10" t="s">
        <v>330</v>
      </c>
      <c r="C470" s="931"/>
      <c r="D470" s="931"/>
      <c r="E470" s="1011"/>
      <c r="F470" s="1011"/>
      <c r="G470" s="931"/>
      <c r="I470" s="398"/>
      <c r="J470" s="430"/>
      <c r="K470" s="7"/>
    </row>
    <row r="471" spans="1:11" ht="12" customHeight="1" x14ac:dyDescent="0.2">
      <c r="A471" s="421">
        <v>1</v>
      </c>
      <c r="B471" s="421" t="s">
        <v>329</v>
      </c>
      <c r="C471" s="404">
        <f>SUMIF('Consolidado Cobros'!$B$10:$B$314,B471,'Consolidado Cobros'!$F$10:$F$314)</f>
        <v>0</v>
      </c>
      <c r="D471" s="404">
        <f>SUMIF('Consolidado Cobros'!$B$10:$B$314,B471,'Consolidado Cobros'!$G$10:$G$314)</f>
        <v>0</v>
      </c>
      <c r="E471" s="487"/>
      <c r="F471" s="487"/>
      <c r="G471" s="226">
        <f>SUMIF('Consolidado Cobros'!$B$10:$B$314,B471,'Consolidado Cobros'!$J$10:$J$314)</f>
        <v>0</v>
      </c>
      <c r="H471" s="405">
        <f>SUMIF('Consolidado Cobros'!$B$10:$B$314,B471,'Consolidado Cobros'!$L$10:$L$314)</f>
        <v>0</v>
      </c>
      <c r="I471" s="406">
        <f t="shared" ref="I471" si="188">+G471+H471</f>
        <v>0</v>
      </c>
      <c r="J471" s="414"/>
      <c r="K471" s="7"/>
    </row>
    <row r="472" spans="1:11" ht="12" customHeight="1" x14ac:dyDescent="0.2">
      <c r="A472" s="385">
        <f>+A471+1</f>
        <v>2</v>
      </c>
      <c r="B472" s="385" t="s">
        <v>337</v>
      </c>
      <c r="C472" s="404">
        <f>SUMIF('Consolidado Cobros'!$B$10:$B$314,B472,'Consolidado Cobros'!$F$10:$F$314)</f>
        <v>0</v>
      </c>
      <c r="D472" s="404">
        <f>SUMIF('Consolidado Cobros'!$B$10:$B$314,B472,'Consolidado Cobros'!$G$10:$G$314)</f>
        <v>0</v>
      </c>
      <c r="E472" s="487"/>
      <c r="F472" s="487"/>
      <c r="G472" s="226">
        <f>SUMIF('Consolidado Cobros'!$B$10:$B$314,B472,'Consolidado Cobros'!$J$10:$J$314)</f>
        <v>0</v>
      </c>
      <c r="H472" s="405">
        <f>SUMIF('Consolidado Cobros'!$B$10:$B$314,B472,'Consolidado Cobros'!$L$10:$L$314)</f>
        <v>0</v>
      </c>
      <c r="I472" s="406">
        <f t="shared" ref="I472:I483" si="189">+G472+H472</f>
        <v>0</v>
      </c>
      <c r="J472" s="474"/>
      <c r="K472" s="7"/>
    </row>
    <row r="473" spans="1:11" ht="12" customHeight="1" x14ac:dyDescent="0.2">
      <c r="A473" s="385">
        <f>+A472+1</f>
        <v>3</v>
      </c>
      <c r="B473" s="421" t="s">
        <v>327</v>
      </c>
      <c r="C473" s="404">
        <f>SUMIF('Consolidado Cobros'!$B$10:$B$314,B473,'Consolidado Cobros'!$F$10:$F$314)</f>
        <v>0</v>
      </c>
      <c r="D473" s="404">
        <f>SUMIF('Consolidado Cobros'!$B$10:$B$314,B473,'Consolidado Cobros'!$G$10:$G$314)</f>
        <v>0</v>
      </c>
      <c r="E473" s="487"/>
      <c r="F473" s="487"/>
      <c r="G473" s="226">
        <f>SUMIF('Consolidado Cobros'!$B$10:$B$314,B473,'Consolidado Cobros'!$J$10:$J$314)</f>
        <v>0</v>
      </c>
      <c r="H473" s="405">
        <f>SUMIF('Consolidado Cobros'!$B$10:$B$314,B473,'Consolidado Cobros'!$L$10:$L$314)</f>
        <v>2090000</v>
      </c>
      <c r="I473" s="406">
        <f t="shared" si="189"/>
        <v>2090000</v>
      </c>
      <c r="J473" s="414"/>
      <c r="K473" s="7"/>
    </row>
    <row r="474" spans="1:11" ht="12" customHeight="1" x14ac:dyDescent="0.2">
      <c r="A474" s="421">
        <f>A473+1</f>
        <v>4</v>
      </c>
      <c r="B474" s="421" t="s">
        <v>325</v>
      </c>
      <c r="C474" s="404">
        <f>SUMIF('Consolidado Cobros'!$B$10:$B$314,B474,'Consolidado Cobros'!$F$10:$F$314)</f>
        <v>0</v>
      </c>
      <c r="D474" s="404">
        <f>SUMIF('Consolidado Cobros'!$B$10:$B$314,B474,'Consolidado Cobros'!$G$10:$G$314)</f>
        <v>0</v>
      </c>
      <c r="E474" s="487"/>
      <c r="F474" s="487"/>
      <c r="G474" s="226">
        <f>SUMIF('Consolidado Cobros'!$B$10:$B$314,B474,'Consolidado Cobros'!$J$10:$J$314)</f>
        <v>0</v>
      </c>
      <c r="H474" s="405">
        <f>SUMIF('Consolidado Cobros'!$B$10:$B$314,B474,'Consolidado Cobros'!$L$10:$L$314)</f>
        <v>930000</v>
      </c>
      <c r="I474" s="406">
        <f t="shared" si="189"/>
        <v>930000</v>
      </c>
      <c r="J474" s="414"/>
      <c r="K474" s="7"/>
    </row>
    <row r="475" spans="1:11" ht="12" customHeight="1" x14ac:dyDescent="0.2">
      <c r="A475" s="421">
        <f t="shared" ref="A475:A483" si="190">A474+1</f>
        <v>5</v>
      </c>
      <c r="B475" s="353" t="s">
        <v>400</v>
      </c>
      <c r="C475" s="404">
        <f>SUMIF('Consolidado Cobros'!$B$10:$B$314,B475,'Consolidado Cobros'!$F$10:$F$314)</f>
        <v>0</v>
      </c>
      <c r="D475" s="404">
        <f>SUMIF('Consolidado Cobros'!$B$10:$B$314,B475,'Consolidado Cobros'!$G$10:$G$314)</f>
        <v>0</v>
      </c>
      <c r="E475" s="487"/>
      <c r="F475" s="487"/>
      <c r="G475" s="226">
        <f>SUMIF('Consolidado Cobros'!$B$10:$B$314,B475,'Consolidado Cobros'!$J$10:$J$314)</f>
        <v>0</v>
      </c>
      <c r="H475" s="405">
        <f>SUMIF('Consolidado Cobros'!$B$10:$B$314,B475,'Consolidado Cobros'!$L$10:$L$314)</f>
        <v>0</v>
      </c>
      <c r="I475" s="406">
        <f t="shared" si="189"/>
        <v>0</v>
      </c>
      <c r="J475" s="414"/>
      <c r="K475" s="7"/>
    </row>
    <row r="476" spans="1:11" ht="12" customHeight="1" x14ac:dyDescent="0.2">
      <c r="A476" s="421">
        <f t="shared" si="190"/>
        <v>6</v>
      </c>
      <c r="B476" s="353" t="s">
        <v>410</v>
      </c>
      <c r="C476" s="404">
        <f>SUMIF('Consolidado Cobros'!$B$10:$B$314,B476,'Consolidado Cobros'!$F$10:$F$314)</f>
        <v>0</v>
      </c>
      <c r="D476" s="404">
        <f>SUMIF('Consolidado Cobros'!$B$10:$B$314,B476,'Consolidado Cobros'!$G$10:$G$314)</f>
        <v>0</v>
      </c>
      <c r="E476" s="487"/>
      <c r="F476" s="487"/>
      <c r="G476" s="226">
        <f>SUMIF('Consolidado Cobros'!$B$10:$B$314,B476,'Consolidado Cobros'!$J$10:$J$314)</f>
        <v>0</v>
      </c>
      <c r="H476" s="405">
        <f>SUMIF('Consolidado Cobros'!$B$10:$B$314,B476,'Consolidado Cobros'!$L$10:$L$314)</f>
        <v>0</v>
      </c>
      <c r="I476" s="406">
        <f t="shared" si="189"/>
        <v>0</v>
      </c>
      <c r="J476" s="414"/>
      <c r="K476" s="7"/>
    </row>
    <row r="477" spans="1:11" ht="12" customHeight="1" x14ac:dyDescent="0.2">
      <c r="A477" s="421">
        <f t="shared" si="190"/>
        <v>7</v>
      </c>
      <c r="B477" s="421" t="s">
        <v>486</v>
      </c>
      <c r="C477" s="404">
        <f>SUMIF('Consolidado Cobros'!$B$10:$B$314,B477,'Consolidado Cobros'!$F$10:$F$314)</f>
        <v>0</v>
      </c>
      <c r="D477" s="404">
        <f>SUMIF('Consolidado Cobros'!$B$10:$B$314,B477,'Consolidado Cobros'!$G$10:$G$314)</f>
        <v>0</v>
      </c>
      <c r="E477" s="487"/>
      <c r="F477" s="487"/>
      <c r="G477" s="226">
        <f>SUMIF('Consolidado Cobros'!$B$10:$B$314,B477,'Consolidado Cobros'!$J$10:$J$314)</f>
        <v>0</v>
      </c>
      <c r="H477" s="405">
        <f>SUMIF('Consolidado Cobros'!$B$10:$B$314,B477,'Consolidado Cobros'!$L$10:$L$314)</f>
        <v>240000</v>
      </c>
      <c r="I477" s="406">
        <f t="shared" si="189"/>
        <v>240000</v>
      </c>
      <c r="J477" s="414"/>
      <c r="K477" s="7"/>
    </row>
    <row r="478" spans="1:11" ht="12" customHeight="1" x14ac:dyDescent="0.2">
      <c r="A478" s="421">
        <f t="shared" si="190"/>
        <v>8</v>
      </c>
      <c r="B478" s="421" t="s">
        <v>660</v>
      </c>
      <c r="C478" s="404">
        <f>SUMIF('Consolidado Cobros'!$B$10:$B$314,B478,'Consolidado Cobros'!$F$10:$F$314)</f>
        <v>0</v>
      </c>
      <c r="D478" s="404">
        <f>SUMIF('Consolidado Cobros'!$B$10:$B$314,B478,'Consolidado Cobros'!$G$10:$G$314)</f>
        <v>0</v>
      </c>
      <c r="E478" s="487"/>
      <c r="F478" s="487"/>
      <c r="G478" s="226">
        <f>SUMIF('Consolidado Cobros'!$B$10:$B$314,B478,'Consolidado Cobros'!$J$10:$J$314)</f>
        <v>0</v>
      </c>
      <c r="H478" s="405">
        <f>SUMIF('Consolidado Cobros'!$B$10:$B$314,B478,'Consolidado Cobros'!$L$10:$L$314)</f>
        <v>0</v>
      </c>
      <c r="I478" s="406">
        <f t="shared" si="189"/>
        <v>0</v>
      </c>
      <c r="J478" s="414"/>
      <c r="K478" s="7"/>
    </row>
    <row r="479" spans="1:11" ht="12" customHeight="1" x14ac:dyDescent="0.2">
      <c r="A479" s="421">
        <f t="shared" si="190"/>
        <v>9</v>
      </c>
      <c r="B479" s="421"/>
      <c r="C479" s="404">
        <f>SUMIF('Consolidado Cobros'!$B$10:$B$314,B479,'Consolidado Cobros'!$F$10:$F$314)</f>
        <v>0</v>
      </c>
      <c r="D479" s="404">
        <f>SUMIF('Consolidado Cobros'!$B$10:$B$314,B479,'Consolidado Cobros'!$G$10:$G$314)</f>
        <v>0</v>
      </c>
      <c r="E479" s="487"/>
      <c r="F479" s="487"/>
      <c r="G479" s="226">
        <f>SUMIF('Consolidado Cobros'!$B$10:$B$314,B479,'Consolidado Cobros'!$J$10:$J$314)</f>
        <v>0</v>
      </c>
      <c r="H479" s="405">
        <f>SUMIF('Consolidado Cobros'!$B$10:$B$314,B479,'Consolidado Cobros'!$L$10:$L$314)</f>
        <v>0</v>
      </c>
      <c r="I479" s="406">
        <f t="shared" si="189"/>
        <v>0</v>
      </c>
      <c r="J479" s="414"/>
      <c r="K479" s="7"/>
    </row>
    <row r="480" spans="1:11" ht="12" customHeight="1" x14ac:dyDescent="0.2">
      <c r="A480" s="421">
        <f t="shared" si="190"/>
        <v>10</v>
      </c>
      <c r="B480" s="421"/>
      <c r="C480" s="404">
        <f>SUMIF('Consolidado Cobros'!$B$10:$B$314,B480,'Consolidado Cobros'!$F$10:$F$314)</f>
        <v>0</v>
      </c>
      <c r="D480" s="404">
        <f>SUMIF('Consolidado Cobros'!$B$10:$B$314,B480,'Consolidado Cobros'!$G$10:$G$314)</f>
        <v>0</v>
      </c>
      <c r="E480" s="487"/>
      <c r="F480" s="487"/>
      <c r="G480" s="226">
        <f>SUMIF('Consolidado Cobros'!$B$10:$B$314,B480,'Consolidado Cobros'!$J$10:$J$314)</f>
        <v>0</v>
      </c>
      <c r="H480" s="405">
        <f>SUMIF('Consolidado Cobros'!$B$10:$B$314,B480,'Consolidado Cobros'!$L$10:$L$314)</f>
        <v>0</v>
      </c>
      <c r="I480" s="406">
        <f t="shared" si="189"/>
        <v>0</v>
      </c>
      <c r="J480" s="414"/>
      <c r="K480" s="7"/>
    </row>
    <row r="481" spans="1:11" ht="12" customHeight="1" x14ac:dyDescent="0.2">
      <c r="A481" s="421">
        <f t="shared" si="190"/>
        <v>11</v>
      </c>
      <c r="B481" s="421"/>
      <c r="C481" s="404">
        <f>SUMIF('Consolidado Cobros'!$B$10:$B$314,B481,'Consolidado Cobros'!$F$10:$F$314)</f>
        <v>0</v>
      </c>
      <c r="D481" s="404">
        <f>SUMIF('Consolidado Cobros'!$B$10:$B$314,B481,'Consolidado Cobros'!$G$10:$G$314)</f>
        <v>0</v>
      </c>
      <c r="E481" s="487"/>
      <c r="F481" s="487"/>
      <c r="G481" s="226">
        <f>SUMIF('Consolidado Cobros'!$B$10:$B$314,B481,'Consolidado Cobros'!$J$10:$J$314)</f>
        <v>0</v>
      </c>
      <c r="H481" s="405">
        <f>SUMIF('Consolidado Cobros'!$B$10:$B$314,B481,'Consolidado Cobros'!$L$10:$L$314)</f>
        <v>0</v>
      </c>
      <c r="I481" s="406">
        <f t="shared" si="189"/>
        <v>0</v>
      </c>
      <c r="J481" s="414"/>
      <c r="K481" s="7"/>
    </row>
    <row r="482" spans="1:11" ht="12" customHeight="1" x14ac:dyDescent="0.2">
      <c r="A482" s="421">
        <f t="shared" si="190"/>
        <v>12</v>
      </c>
      <c r="B482" s="421"/>
      <c r="C482" s="404">
        <f>SUMIF('Consolidado Cobros'!$B$10:$B$314,B482,'Consolidado Cobros'!$F$10:$F$314)</f>
        <v>0</v>
      </c>
      <c r="D482" s="404">
        <f>SUMIF('Consolidado Cobros'!$B$10:$B$314,B482,'Consolidado Cobros'!$G$10:$G$314)</f>
        <v>0</v>
      </c>
      <c r="E482" s="487"/>
      <c r="F482" s="487"/>
      <c r="G482" s="226">
        <f>SUMIF('Consolidado Cobros'!$B$10:$B$314,B482,'Consolidado Cobros'!$J$10:$J$314)</f>
        <v>0</v>
      </c>
      <c r="H482" s="405">
        <f>SUMIF('Consolidado Cobros'!$B$10:$B$314,B482,'Consolidado Cobros'!$L$10:$L$314)</f>
        <v>0</v>
      </c>
      <c r="I482" s="406">
        <f t="shared" si="189"/>
        <v>0</v>
      </c>
      <c r="J482" s="414"/>
      <c r="K482" s="7"/>
    </row>
    <row r="483" spans="1:11" ht="12" customHeight="1" x14ac:dyDescent="0.2">
      <c r="A483" s="421">
        <f t="shared" si="190"/>
        <v>13</v>
      </c>
      <c r="B483" s="421"/>
      <c r="C483" s="404">
        <f>SUMIF('Consolidado Cobros'!$B$10:$B$314,B483,'Consolidado Cobros'!$F$10:$F$314)</f>
        <v>0</v>
      </c>
      <c r="D483" s="404">
        <f>SUMIF('Consolidado Cobros'!$B$10:$B$314,B483,'Consolidado Cobros'!$G$10:$G$314)</f>
        <v>0</v>
      </c>
      <c r="E483" s="487"/>
      <c r="F483" s="487"/>
      <c r="G483" s="226">
        <f>SUMIF('Consolidado Cobros'!$B$10:$B$314,B483,'Consolidado Cobros'!$J$10:$J$314)</f>
        <v>0</v>
      </c>
      <c r="H483" s="405">
        <f>SUMIF('Consolidado Cobros'!$B$10:$B$314,B483,'Consolidado Cobros'!$L$10:$L$314)</f>
        <v>0</v>
      </c>
      <c r="I483" s="406">
        <f t="shared" si="189"/>
        <v>0</v>
      </c>
      <c r="J483" s="414"/>
      <c r="K483" s="7"/>
    </row>
    <row r="484" spans="1:11" ht="12" customHeight="1" x14ac:dyDescent="0.2">
      <c r="A484" s="11" t="s">
        <v>204</v>
      </c>
      <c r="B484" s="555"/>
      <c r="C484" s="415">
        <f>SUM(C470:C474)</f>
        <v>0</v>
      </c>
      <c r="D484" s="415">
        <f t="shared" ref="D484:G484" si="191">SUM(D470:D474)</f>
        <v>0</v>
      </c>
      <c r="E484" s="544">
        <f t="shared" si="191"/>
        <v>0</v>
      </c>
      <c r="F484" s="544">
        <f t="shared" si="191"/>
        <v>0</v>
      </c>
      <c r="G484" s="532">
        <f t="shared" si="191"/>
        <v>0</v>
      </c>
      <c r="H484" s="416">
        <f>SUM(H471:H474)</f>
        <v>3020000</v>
      </c>
      <c r="I484" s="417">
        <f>SUM(I471:I474)</f>
        <v>3020000</v>
      </c>
      <c r="J484" s="414"/>
      <c r="K484" s="7"/>
    </row>
    <row r="485" spans="1:11" ht="12" customHeight="1" x14ac:dyDescent="0.2">
      <c r="A485" s="1035"/>
      <c r="B485" s="555"/>
      <c r="C485" s="434"/>
      <c r="D485" s="434"/>
      <c r="E485" s="545"/>
      <c r="F485" s="545"/>
      <c r="G485" s="454"/>
      <c r="H485" s="471"/>
      <c r="I485" s="471"/>
      <c r="J485" s="455"/>
      <c r="K485" s="7"/>
    </row>
    <row r="486" spans="1:11" ht="0.95" customHeight="1" x14ac:dyDescent="0.2">
      <c r="A486" s="1036"/>
      <c r="B486" s="1016"/>
      <c r="C486" s="427"/>
      <c r="D486" s="427"/>
      <c r="E486" s="156"/>
      <c r="F486" s="156"/>
      <c r="G486" s="66"/>
      <c r="H486" s="428"/>
      <c r="I486" s="428"/>
      <c r="J486" s="429"/>
      <c r="K486" s="7"/>
    </row>
    <row r="487" spans="1:11" ht="12" customHeight="1" x14ac:dyDescent="0.2">
      <c r="A487" s="1035"/>
      <c r="B487" s="555"/>
      <c r="C487" s="426"/>
      <c r="D487" s="426"/>
      <c r="E487" s="358"/>
      <c r="F487" s="358"/>
      <c r="G487" s="148"/>
      <c r="H487" s="470"/>
      <c r="I487" s="398"/>
      <c r="J487" s="394"/>
      <c r="K487" s="7"/>
    </row>
    <row r="488" spans="1:11" ht="12" customHeight="1" x14ac:dyDescent="0.2">
      <c r="A488" s="1038" t="s">
        <v>323</v>
      </c>
      <c r="C488" s="931"/>
      <c r="D488" s="931"/>
      <c r="E488" s="1011"/>
      <c r="F488" s="1011"/>
      <c r="G488" s="931"/>
      <c r="I488" s="398"/>
      <c r="J488" s="430"/>
      <c r="K488" s="7"/>
    </row>
    <row r="489" spans="1:11" ht="12" customHeight="1" x14ac:dyDescent="0.2">
      <c r="A489" s="421">
        <v>1</v>
      </c>
      <c r="B489" s="421" t="s">
        <v>323</v>
      </c>
      <c r="C489" s="404">
        <f>SUMIF('Consolidado Cobros'!$B$10:$B$314,B489,'Consolidado Cobros'!$F$10:$F$314)</f>
        <v>0</v>
      </c>
      <c r="D489" s="404">
        <f>SUMIF('Consolidado Cobros'!$B$10:$B$314,B489,'Consolidado Cobros'!$G$10:$G$314)</f>
        <v>0</v>
      </c>
      <c r="E489" s="487"/>
      <c r="F489" s="487"/>
      <c r="G489" s="226">
        <f>SUMIF('Consolidado Cobros'!$B$10:$B$314,B489,'Consolidado Cobros'!$J$10:$J$314)</f>
        <v>0</v>
      </c>
      <c r="H489" s="405">
        <f>SUMIF('Consolidado Cobros'!$B$10:$B$314,B489,'Consolidado Cobros'!$L$10:$L$314)</f>
        <v>240000</v>
      </c>
      <c r="I489" s="406">
        <f t="shared" ref="I489:I490" si="192">+G489+H489</f>
        <v>240000</v>
      </c>
      <c r="J489" s="414"/>
      <c r="K489" s="7"/>
    </row>
    <row r="490" spans="1:11" ht="12" customHeight="1" x14ac:dyDescent="0.2">
      <c r="A490" s="421">
        <f>A489+1</f>
        <v>2</v>
      </c>
      <c r="B490" s="421" t="s">
        <v>328</v>
      </c>
      <c r="C490" s="404">
        <f>SUMIF('Consolidado Cobros'!$B$10:$B$314,B490,'Consolidado Cobros'!$F$10:$F$314)</f>
        <v>0</v>
      </c>
      <c r="D490" s="404">
        <f>SUMIF('Consolidado Cobros'!$B$10:$B$314,B490,'Consolidado Cobros'!$G$10:$G$314)</f>
        <v>0</v>
      </c>
      <c r="E490" s="487"/>
      <c r="F490" s="487"/>
      <c r="G490" s="226">
        <f>SUMIF('Consolidado Cobros'!$B$10:$B$314,B490,'Consolidado Cobros'!$J$10:$J$314)</f>
        <v>0</v>
      </c>
      <c r="H490" s="405">
        <f>SUMIF('Consolidado Cobros'!$B$10:$B$314,B490,'Consolidado Cobros'!$L$10:$L$314)</f>
        <v>240000</v>
      </c>
      <c r="I490" s="406">
        <f t="shared" si="192"/>
        <v>240000</v>
      </c>
      <c r="J490" s="414"/>
      <c r="K490" s="7"/>
    </row>
    <row r="491" spans="1:11" ht="12" customHeight="1" x14ac:dyDescent="0.2">
      <c r="A491" s="11" t="s">
        <v>204</v>
      </c>
      <c r="B491" s="555"/>
      <c r="C491" s="408">
        <f>SUM(C488:C490)</f>
        <v>0</v>
      </c>
      <c r="D491" s="408">
        <f t="shared" ref="D491:G491" si="193">SUM(D488:D490)</f>
        <v>0</v>
      </c>
      <c r="E491" s="529">
        <f t="shared" si="193"/>
        <v>0</v>
      </c>
      <c r="F491" s="529">
        <f t="shared" si="193"/>
        <v>0</v>
      </c>
      <c r="G491" s="407">
        <f t="shared" si="193"/>
        <v>0</v>
      </c>
      <c r="H491" s="409">
        <f>SUM(H489:H490)</f>
        <v>480000</v>
      </c>
      <c r="I491" s="410">
        <f>SUM(I489:I490)</f>
        <v>480000</v>
      </c>
      <c r="J491" s="411"/>
      <c r="K491" s="7"/>
    </row>
    <row r="492" spans="1:11" ht="12" customHeight="1" x14ac:dyDescent="0.2">
      <c r="A492" s="1035"/>
      <c r="B492" s="555"/>
      <c r="C492" s="434"/>
      <c r="D492" s="434"/>
      <c r="E492" s="545"/>
      <c r="F492" s="545"/>
      <c r="G492" s="454"/>
      <c r="H492" s="471"/>
      <c r="I492" s="471"/>
      <c r="J492" s="455"/>
      <c r="K492" s="7"/>
    </row>
    <row r="493" spans="1:11" ht="0.95" customHeight="1" x14ac:dyDescent="0.2">
      <c r="A493" s="1036"/>
      <c r="B493" s="1016"/>
      <c r="C493" s="427"/>
      <c r="D493" s="427"/>
      <c r="E493" s="156"/>
      <c r="F493" s="156"/>
      <c r="G493" s="66"/>
      <c r="H493" s="428"/>
      <c r="I493" s="428"/>
      <c r="J493" s="429"/>
      <c r="K493" s="7"/>
    </row>
    <row r="494" spans="1:11" ht="12" customHeight="1" x14ac:dyDescent="0.2">
      <c r="A494" s="1035"/>
      <c r="B494" s="555"/>
      <c r="C494" s="426"/>
      <c r="D494" s="426"/>
      <c r="E494" s="358"/>
      <c r="F494" s="358"/>
      <c r="G494" s="148"/>
      <c r="H494" s="470"/>
      <c r="I494" s="398"/>
      <c r="J494" s="394"/>
      <c r="K494" s="7"/>
    </row>
    <row r="495" spans="1:11" ht="12" customHeight="1" x14ac:dyDescent="0.2">
      <c r="A495" s="10" t="s">
        <v>321</v>
      </c>
      <c r="C495" s="931"/>
      <c r="D495" s="931"/>
      <c r="E495" s="1011"/>
      <c r="F495" s="1011"/>
      <c r="G495" s="931"/>
      <c r="I495" s="398"/>
      <c r="J495" s="430"/>
      <c r="K495" s="7"/>
    </row>
    <row r="496" spans="1:11" ht="12" customHeight="1" x14ac:dyDescent="0.2">
      <c r="A496" s="421">
        <v>1</v>
      </c>
      <c r="B496" s="375" t="s">
        <v>428</v>
      </c>
      <c r="C496" s="404">
        <f>SUMIF('Consolidado Cobros'!$B$10:$B$314,B496,'Consolidado Cobros'!$F$10:$F$314)</f>
        <v>0</v>
      </c>
      <c r="D496" s="404">
        <f>SUMIF('Consolidado Cobros'!$B$10:$B$314,B496,'Consolidado Cobros'!$G$10:$G$314)</f>
        <v>0</v>
      </c>
      <c r="E496" s="487"/>
      <c r="F496" s="487"/>
      <c r="G496" s="226">
        <f>SUMIF('Consolidado Cobros'!$B$10:$B$314,B496,'Consolidado Cobros'!$J$10:$J$314)</f>
        <v>0</v>
      </c>
      <c r="H496" s="405">
        <f>SUMIF('Consolidado Cobros'!$B$10:$B$314,B496,'Consolidado Cobros'!$L$10:$L$314)</f>
        <v>200000</v>
      </c>
      <c r="I496" s="406">
        <f t="shared" ref="I496:I497" si="194">+G496+H496</f>
        <v>200000</v>
      </c>
      <c r="J496" s="414"/>
      <c r="K496" s="7"/>
    </row>
    <row r="497" spans="1:11" ht="12" customHeight="1" x14ac:dyDescent="0.2">
      <c r="A497" s="421">
        <f>+A496+1</f>
        <v>2</v>
      </c>
      <c r="B497" s="375" t="s">
        <v>429</v>
      </c>
      <c r="C497" s="404">
        <f>SUMIF('Consolidado Cobros'!$B$10:$B$314,B497,'Consolidado Cobros'!$F$10:$F$314)</f>
        <v>0</v>
      </c>
      <c r="D497" s="404">
        <f>SUMIF('Consolidado Cobros'!$B$10:$B$314,B497,'Consolidado Cobros'!$G$10:$G$314)</f>
        <v>0</v>
      </c>
      <c r="E497" s="487"/>
      <c r="F497" s="487"/>
      <c r="G497" s="226">
        <f>SUMIF('Consolidado Cobros'!$B$10:$B$314,B497,'Consolidado Cobros'!$J$10:$J$314)</f>
        <v>0</v>
      </c>
      <c r="H497" s="405">
        <f>SUMIF('Consolidado Cobros'!$B$10:$B$314,B497,'Consolidado Cobros'!$L$10:$L$314)</f>
        <v>930000</v>
      </c>
      <c r="I497" s="406">
        <f t="shared" si="194"/>
        <v>930000</v>
      </c>
      <c r="J497" s="414"/>
      <c r="K497" s="7"/>
    </row>
    <row r="498" spans="1:11" ht="12" customHeight="1" x14ac:dyDescent="0.2">
      <c r="A498" s="1045" t="s">
        <v>204</v>
      </c>
      <c r="B498" s="1026"/>
      <c r="C498" s="408">
        <f>SUM(C495:C497)</f>
        <v>0</v>
      </c>
      <c r="D498" s="408">
        <f>SUM(D495:D497)</f>
        <v>0</v>
      </c>
      <c r="E498" s="529">
        <f t="shared" ref="E498:F498" si="195">SUM(E495:E497)</f>
        <v>0</v>
      </c>
      <c r="F498" s="529">
        <f t="shared" si="195"/>
        <v>0</v>
      </c>
      <c r="G498" s="407">
        <f>SUM(G495:G497)</f>
        <v>0</v>
      </c>
      <c r="H498" s="409">
        <f>SUM(H496:H497)</f>
        <v>1130000</v>
      </c>
      <c r="I498" s="410">
        <f>SUM(I496:I497)</f>
        <v>1130000</v>
      </c>
      <c r="J498" s="411"/>
      <c r="K498" s="7"/>
    </row>
    <row r="499" spans="1:11" ht="12" customHeight="1" x14ac:dyDescent="0.2">
      <c r="A499" s="1035"/>
      <c r="B499" s="555"/>
      <c r="C499" s="434"/>
      <c r="D499" s="434"/>
      <c r="E499" s="545"/>
      <c r="F499" s="545"/>
      <c r="G499" s="454"/>
      <c r="H499" s="471"/>
      <c r="I499" s="471"/>
      <c r="J499" s="455"/>
      <c r="K499" s="7"/>
    </row>
    <row r="500" spans="1:11" ht="0.95" customHeight="1" x14ac:dyDescent="0.2">
      <c r="A500" s="1036"/>
      <c r="B500" s="1016"/>
      <c r="C500" s="427"/>
      <c r="D500" s="427"/>
      <c r="E500" s="156"/>
      <c r="F500" s="156"/>
      <c r="G500" s="66"/>
      <c r="H500" s="428"/>
      <c r="I500" s="428"/>
      <c r="J500" s="429"/>
      <c r="K500" s="7"/>
    </row>
    <row r="501" spans="1:11" ht="12" customHeight="1" x14ac:dyDescent="0.2">
      <c r="A501" s="1035"/>
      <c r="B501" s="555"/>
      <c r="C501" s="426"/>
      <c r="D501" s="426"/>
      <c r="E501" s="358"/>
      <c r="F501" s="358"/>
      <c r="G501" s="148"/>
      <c r="H501" s="470"/>
      <c r="I501" s="398"/>
      <c r="J501" s="394"/>
      <c r="K501" s="7"/>
    </row>
    <row r="502" spans="1:11" ht="12" customHeight="1" x14ac:dyDescent="0.2">
      <c r="A502" s="10" t="s">
        <v>84</v>
      </c>
      <c r="C502" s="931"/>
      <c r="D502" s="931"/>
      <c r="E502" s="1011"/>
      <c r="F502" s="1011"/>
      <c r="G502" s="931"/>
      <c r="I502" s="398"/>
      <c r="J502" s="430"/>
      <c r="K502" s="7"/>
    </row>
    <row r="503" spans="1:11" ht="12" customHeight="1" x14ac:dyDescent="0.2">
      <c r="A503" s="421">
        <v>1</v>
      </c>
      <c r="B503" s="421" t="s">
        <v>84</v>
      </c>
      <c r="C503" s="404">
        <f>SUMIF('Consolidado Cobros'!$B$10:$B$314,B503,'Consolidado Cobros'!$F$10:$F$314)</f>
        <v>0</v>
      </c>
      <c r="D503" s="404">
        <f>SUMIF('Consolidado Cobros'!$B$10:$B$314,B503,'Consolidado Cobros'!$G$10:$G$314)</f>
        <v>0</v>
      </c>
      <c r="E503" s="487"/>
      <c r="F503" s="487"/>
      <c r="G503" s="226">
        <f>SUMIF('Consolidado Cobros'!$B$10:$B$314,B503,'Consolidado Cobros'!$J$10:$J$314)</f>
        <v>0</v>
      </c>
      <c r="H503" s="405">
        <f>SUMIF('Consolidado Cobros'!$B$10:$B$314,B503,'Consolidado Cobros'!$L$10:$L$314)</f>
        <v>360000</v>
      </c>
      <c r="I503" s="406">
        <f t="shared" ref="I503:I504" si="196">+G503+H503</f>
        <v>360000</v>
      </c>
      <c r="J503" s="414"/>
      <c r="K503" s="7"/>
    </row>
    <row r="504" spans="1:11" ht="12" customHeight="1" x14ac:dyDescent="0.2">
      <c r="A504" s="421">
        <f>A503+1</f>
        <v>2</v>
      </c>
      <c r="B504" s="421" t="s">
        <v>326</v>
      </c>
      <c r="C504" s="404">
        <f>SUMIF('Consolidado Cobros'!$B$10:$B$314,B504,'Consolidado Cobros'!$F$10:$F$314)</f>
        <v>0</v>
      </c>
      <c r="D504" s="404">
        <f>SUMIF('Consolidado Cobros'!$B$10:$B$314,B504,'Consolidado Cobros'!$G$10:$G$314)</f>
        <v>0</v>
      </c>
      <c r="E504" s="487"/>
      <c r="F504" s="487"/>
      <c r="G504" s="226">
        <f>SUMIF('Consolidado Cobros'!$B$10:$B$314,B504,'Consolidado Cobros'!$J$10:$J$314)</f>
        <v>0</v>
      </c>
      <c r="H504" s="405">
        <f>SUMIF('Consolidado Cobros'!$B$10:$B$314,B504,'Consolidado Cobros'!$L$10:$L$314)</f>
        <v>270000</v>
      </c>
      <c r="I504" s="406">
        <f t="shared" si="196"/>
        <v>270000</v>
      </c>
      <c r="J504" s="414"/>
      <c r="K504" s="7"/>
    </row>
    <row r="505" spans="1:11" ht="12" customHeight="1" x14ac:dyDescent="0.2">
      <c r="A505" s="421">
        <f t="shared" ref="A505:A506" si="197">A504+1</f>
        <v>3</v>
      </c>
      <c r="B505" s="356" t="s">
        <v>664</v>
      </c>
      <c r="C505" s="404">
        <f>SUMIF('Consolidado Cobros'!$B$10:$B$314,B505,'Consolidado Cobros'!$F$10:$F$314)</f>
        <v>0</v>
      </c>
      <c r="D505" s="404">
        <f>SUMIF('Consolidado Cobros'!$B$10:$B$314,B505,'Consolidado Cobros'!$G$10:$G$314)</f>
        <v>0</v>
      </c>
      <c r="E505" s="487"/>
      <c r="F505" s="487"/>
      <c r="G505" s="226">
        <f>SUMIF('Consolidado Cobros'!$B$10:$B$314,B505,'Consolidado Cobros'!$J$10:$J$314)</f>
        <v>0</v>
      </c>
      <c r="H505" s="405">
        <f>SUMIF('Consolidado Cobros'!$B$10:$B$314,B505,'Consolidado Cobros'!$L$10:$L$314)</f>
        <v>270000</v>
      </c>
      <c r="I505" s="406">
        <f t="shared" ref="I505:I506" si="198">+G505+H505</f>
        <v>270000</v>
      </c>
      <c r="J505" s="414"/>
      <c r="K505" s="7"/>
    </row>
    <row r="506" spans="1:11" ht="12" customHeight="1" x14ac:dyDescent="0.2">
      <c r="A506" s="421">
        <f t="shared" si="197"/>
        <v>4</v>
      </c>
      <c r="B506" s="421"/>
      <c r="C506" s="404">
        <f>SUMIF('Consolidado Cobros'!$B$10:$B$314,B506,'Consolidado Cobros'!$F$10:$F$314)</f>
        <v>0</v>
      </c>
      <c r="D506" s="404">
        <f>SUMIF('Consolidado Cobros'!$B$10:$B$314,B506,'Consolidado Cobros'!$G$10:$G$314)</f>
        <v>0</v>
      </c>
      <c r="E506" s="487"/>
      <c r="F506" s="487"/>
      <c r="G506" s="226">
        <f>SUMIF('Consolidado Cobros'!$B$10:$B$314,B506,'Consolidado Cobros'!$J$10:$J$314)</f>
        <v>0</v>
      </c>
      <c r="H506" s="405">
        <f>SUMIF('Consolidado Cobros'!$B$10:$B$314,B506,'Consolidado Cobros'!$L$10:$L$314)</f>
        <v>0</v>
      </c>
      <c r="I506" s="406">
        <f t="shared" si="198"/>
        <v>0</v>
      </c>
      <c r="J506" s="414"/>
      <c r="K506" s="7"/>
    </row>
    <row r="507" spans="1:11" ht="12" customHeight="1" x14ac:dyDescent="0.2">
      <c r="A507" s="11" t="s">
        <v>204</v>
      </c>
      <c r="B507" s="555"/>
      <c r="C507" s="415">
        <f>SUM(C502:C506)</f>
        <v>0</v>
      </c>
      <c r="D507" s="415">
        <f>SUM(D502:D506)</f>
        <v>0</v>
      </c>
      <c r="E507" s="544">
        <f t="shared" ref="E507:F507" si="199">SUM(E502:E506)</f>
        <v>0</v>
      </c>
      <c r="F507" s="544">
        <f t="shared" si="199"/>
        <v>0</v>
      </c>
      <c r="G507" s="532">
        <f t="shared" ref="G507:I507" si="200">SUM(G502:G506)</f>
        <v>0</v>
      </c>
      <c r="H507" s="416">
        <f t="shared" si="200"/>
        <v>900000</v>
      </c>
      <c r="I507" s="417">
        <f t="shared" si="200"/>
        <v>900000</v>
      </c>
      <c r="J507" s="414"/>
      <c r="K507" s="7"/>
    </row>
    <row r="508" spans="1:11" ht="12" customHeight="1" x14ac:dyDescent="0.2">
      <c r="A508" s="1035"/>
      <c r="B508" s="555"/>
      <c r="C508" s="434"/>
      <c r="D508" s="434"/>
      <c r="E508" s="545"/>
      <c r="F508" s="545"/>
      <c r="G508" s="454"/>
      <c r="H508" s="471"/>
      <c r="I508" s="471"/>
      <c r="J508" s="455"/>
      <c r="K508" s="7"/>
    </row>
    <row r="509" spans="1:11" ht="0.95" customHeight="1" x14ac:dyDescent="0.2">
      <c r="A509" s="1036"/>
      <c r="B509" s="1016"/>
      <c r="C509" s="427"/>
      <c r="D509" s="427"/>
      <c r="E509" s="156"/>
      <c r="F509" s="156"/>
      <c r="G509" s="66"/>
      <c r="H509" s="428"/>
      <c r="I509" s="428"/>
      <c r="J509" s="429"/>
      <c r="K509" s="7"/>
    </row>
    <row r="510" spans="1:11" ht="12" customHeight="1" x14ac:dyDescent="0.2">
      <c r="A510" s="5"/>
      <c r="C510" s="148"/>
      <c r="D510" s="148"/>
      <c r="E510" s="148"/>
      <c r="F510" s="148"/>
      <c r="G510" s="148"/>
      <c r="H510" s="148"/>
      <c r="I510" s="65"/>
      <c r="K510" s="7"/>
    </row>
    <row r="511" spans="1:11" ht="12" customHeight="1" x14ac:dyDescent="0.2">
      <c r="A511" s="5"/>
      <c r="C511" s="148"/>
      <c r="D511" s="148"/>
      <c r="E511" s="148"/>
      <c r="F511" s="148"/>
      <c r="G511" s="148"/>
      <c r="H511" s="148"/>
      <c r="I511" s="65"/>
      <c r="K511" s="7"/>
    </row>
    <row r="512" spans="1:11" ht="12" customHeight="1" x14ac:dyDescent="0.2">
      <c r="A512" s="5"/>
      <c r="C512" s="148"/>
      <c r="D512" s="148"/>
      <c r="E512" s="148"/>
      <c r="F512" s="148"/>
      <c r="G512" s="148"/>
      <c r="H512" s="148"/>
      <c r="I512" s="65"/>
      <c r="K512" s="7"/>
    </row>
    <row r="513" spans="1:11" ht="12" customHeight="1" x14ac:dyDescent="0.2">
      <c r="A513" s="5"/>
      <c r="C513" s="148"/>
      <c r="D513" s="148"/>
      <c r="E513" s="148"/>
      <c r="F513" s="148"/>
      <c r="G513" s="148"/>
      <c r="H513" s="148"/>
      <c r="I513" s="65"/>
      <c r="K513" s="7"/>
    </row>
    <row r="514" spans="1:11" ht="12" customHeight="1" x14ac:dyDescent="0.2">
      <c r="A514" s="5"/>
      <c r="C514" s="148"/>
      <c r="D514" s="148"/>
      <c r="E514" s="148"/>
      <c r="F514" s="148"/>
      <c r="G514" s="148"/>
      <c r="H514" s="148"/>
      <c r="I514" s="65"/>
      <c r="K514" s="7"/>
    </row>
    <row r="515" spans="1:11" ht="12" customHeight="1" x14ac:dyDescent="0.2">
      <c r="A515" s="5"/>
      <c r="C515" s="148"/>
      <c r="D515" s="148"/>
      <c r="E515" s="148"/>
      <c r="F515" s="148"/>
      <c r="G515" s="148"/>
      <c r="H515" s="148"/>
      <c r="I515" s="65"/>
      <c r="K515" s="7"/>
    </row>
    <row r="516" spans="1:11" ht="12" customHeight="1" x14ac:dyDescent="0.2">
      <c r="A516" s="5"/>
      <c r="C516" s="148"/>
      <c r="D516" s="148"/>
      <c r="E516" s="148"/>
      <c r="F516" s="148"/>
      <c r="G516" s="148"/>
      <c r="H516" s="148"/>
      <c r="I516" s="65"/>
      <c r="K516" s="7"/>
    </row>
    <row r="517" spans="1:11" ht="12" customHeight="1" x14ac:dyDescent="0.2">
      <c r="A517" s="5"/>
      <c r="C517" s="148"/>
      <c r="D517" s="148"/>
      <c r="E517" s="148"/>
      <c r="F517" s="148"/>
      <c r="G517" s="148"/>
      <c r="H517" s="148"/>
      <c r="I517" s="65"/>
      <c r="K517" s="7"/>
    </row>
    <row r="518" spans="1:11" ht="12" customHeight="1" x14ac:dyDescent="0.2">
      <c r="A518" s="5"/>
      <c r="C518" s="148"/>
      <c r="D518" s="148"/>
      <c r="E518" s="148"/>
      <c r="F518" s="148"/>
      <c r="G518" s="148"/>
      <c r="H518" s="148"/>
      <c r="I518" s="65"/>
      <c r="K518" s="7"/>
    </row>
    <row r="519" spans="1:11" ht="12" customHeight="1" x14ac:dyDescent="0.2">
      <c r="A519" s="5"/>
      <c r="C519" s="148"/>
      <c r="D519" s="148"/>
      <c r="E519" s="148"/>
      <c r="F519" s="148"/>
      <c r="G519" s="148"/>
      <c r="H519" s="148"/>
      <c r="I519" s="65"/>
      <c r="K519" s="7"/>
    </row>
    <row r="520" spans="1:11" ht="12" customHeight="1" x14ac:dyDescent="0.2">
      <c r="A520" s="5"/>
      <c r="C520" s="148"/>
      <c r="D520" s="148"/>
      <c r="E520" s="148"/>
      <c r="F520" s="148"/>
      <c r="G520" s="148"/>
      <c r="H520" s="148"/>
      <c r="I520" s="65"/>
      <c r="K520" s="7"/>
    </row>
    <row r="521" spans="1:11" ht="12" customHeight="1" x14ac:dyDescent="0.2">
      <c r="A521" s="5"/>
      <c r="C521" s="148"/>
      <c r="D521" s="148"/>
      <c r="E521" s="148"/>
      <c r="F521" s="148"/>
      <c r="G521" s="148"/>
      <c r="H521" s="148"/>
      <c r="I521" s="65"/>
      <c r="K521" s="7"/>
    </row>
    <row r="522" spans="1:11" ht="12" customHeight="1" x14ac:dyDescent="0.2">
      <c r="A522" s="5"/>
      <c r="C522" s="148"/>
      <c r="D522" s="148"/>
      <c r="E522" s="148"/>
      <c r="F522" s="148"/>
      <c r="G522" s="148"/>
      <c r="H522" s="148"/>
      <c r="I522" s="65"/>
      <c r="K522" s="7"/>
    </row>
    <row r="523" spans="1:11" ht="12" customHeight="1" x14ac:dyDescent="0.2">
      <c r="A523" s="5"/>
      <c r="C523" s="148"/>
      <c r="D523" s="148"/>
      <c r="E523" s="148"/>
      <c r="F523" s="148"/>
      <c r="G523" s="148"/>
      <c r="H523" s="148"/>
      <c r="I523" s="65"/>
      <c r="K523" s="7"/>
    </row>
    <row r="524" spans="1:11" ht="12" customHeight="1" x14ac:dyDescent="0.2">
      <c r="A524" s="5"/>
      <c r="C524" s="148"/>
      <c r="D524" s="148"/>
      <c r="E524" s="148"/>
      <c r="F524" s="148"/>
      <c r="G524" s="148"/>
      <c r="H524" s="148"/>
      <c r="I524" s="65"/>
      <c r="K524" s="7"/>
    </row>
    <row r="525" spans="1:11" ht="12" customHeight="1" x14ac:dyDescent="0.2">
      <c r="A525" s="5"/>
      <c r="C525" s="148"/>
      <c r="D525" s="148"/>
      <c r="E525" s="148"/>
      <c r="F525" s="148"/>
      <c r="G525" s="148"/>
      <c r="H525" s="148"/>
      <c r="I525" s="65"/>
      <c r="K525" s="7"/>
    </row>
    <row r="526" spans="1:11" ht="12" customHeight="1" x14ac:dyDescent="0.2">
      <c r="A526" s="5"/>
      <c r="C526" s="148"/>
      <c r="D526" s="148"/>
      <c r="E526" s="148"/>
      <c r="F526" s="148"/>
      <c r="G526" s="148"/>
      <c r="H526" s="148"/>
      <c r="I526" s="65"/>
      <c r="K526" s="7"/>
    </row>
    <row r="527" spans="1:11" ht="12" customHeight="1" x14ac:dyDescent="0.2">
      <c r="A527" s="5"/>
      <c r="C527" s="148"/>
      <c r="D527" s="148"/>
      <c r="E527" s="148"/>
      <c r="F527" s="148"/>
      <c r="G527" s="148"/>
      <c r="H527" s="148"/>
      <c r="I527" s="65"/>
      <c r="K527" s="7"/>
    </row>
    <row r="528" spans="1:11" ht="12" customHeight="1" x14ac:dyDescent="0.2">
      <c r="A528" s="5"/>
      <c r="C528" s="148"/>
      <c r="D528" s="148"/>
      <c r="E528" s="148"/>
      <c r="F528" s="148"/>
      <c r="G528" s="148"/>
      <c r="H528" s="148"/>
      <c r="I528" s="65"/>
      <c r="K528" s="7"/>
    </row>
    <row r="529" spans="1:11" ht="12" customHeight="1" x14ac:dyDescent="0.2">
      <c r="A529" s="5"/>
      <c r="C529" s="148"/>
      <c r="D529" s="148"/>
      <c r="E529" s="148"/>
      <c r="F529" s="148"/>
      <c r="G529" s="148"/>
      <c r="H529" s="148"/>
      <c r="I529" s="65"/>
      <c r="K529" s="7"/>
    </row>
    <row r="530" spans="1:11" ht="12" customHeight="1" x14ac:dyDescent="0.2">
      <c r="A530" s="5"/>
      <c r="C530" s="148"/>
      <c r="D530" s="148"/>
      <c r="E530" s="148"/>
      <c r="F530" s="148"/>
      <c r="G530" s="148"/>
      <c r="H530" s="148"/>
      <c r="I530" s="65"/>
      <c r="K530" s="7"/>
    </row>
    <row r="531" spans="1:11" ht="12" customHeight="1" x14ac:dyDescent="0.2">
      <c r="A531" s="5"/>
      <c r="C531" s="148"/>
      <c r="D531" s="148"/>
      <c r="E531" s="148"/>
      <c r="F531" s="148"/>
      <c r="G531" s="148"/>
      <c r="H531" s="148"/>
      <c r="I531" s="65"/>
      <c r="K531" s="7"/>
    </row>
    <row r="532" spans="1:11" ht="12" customHeight="1" x14ac:dyDescent="0.2">
      <c r="A532" s="5"/>
      <c r="C532" s="148"/>
      <c r="D532" s="148"/>
      <c r="E532" s="148"/>
      <c r="F532" s="148"/>
      <c r="G532" s="148"/>
      <c r="H532" s="148"/>
      <c r="I532" s="65"/>
      <c r="K532" s="7"/>
    </row>
    <row r="533" spans="1:11" ht="12" customHeight="1" x14ac:dyDescent="0.2">
      <c r="A533" s="5"/>
      <c r="C533" s="148"/>
      <c r="D533" s="148"/>
      <c r="E533" s="148"/>
      <c r="F533" s="148"/>
      <c r="G533" s="148"/>
      <c r="H533" s="148"/>
      <c r="I533" s="65"/>
      <c r="K533" s="7"/>
    </row>
    <row r="534" spans="1:11" ht="12" customHeight="1" x14ac:dyDescent="0.2">
      <c r="A534" s="5"/>
      <c r="C534" s="148"/>
      <c r="D534" s="148"/>
      <c r="E534" s="148"/>
      <c r="F534" s="148"/>
      <c r="G534" s="148"/>
      <c r="H534" s="148"/>
      <c r="I534" s="65"/>
      <c r="K534" s="7"/>
    </row>
    <row r="535" spans="1:11" ht="12" customHeight="1" x14ac:dyDescent="0.2">
      <c r="A535" s="5"/>
      <c r="C535" s="148"/>
      <c r="D535" s="148"/>
      <c r="E535" s="148"/>
      <c r="F535" s="148"/>
      <c r="G535" s="148"/>
      <c r="H535" s="148"/>
      <c r="I535" s="65"/>
      <c r="K535" s="7"/>
    </row>
    <row r="536" spans="1:11" ht="12" customHeight="1" x14ac:dyDescent="0.2">
      <c r="A536" s="5"/>
      <c r="C536" s="148"/>
      <c r="D536" s="148"/>
      <c r="E536" s="148"/>
      <c r="F536" s="148"/>
      <c r="G536" s="148"/>
      <c r="H536" s="148"/>
      <c r="I536" s="65"/>
      <c r="K536" s="7"/>
    </row>
    <row r="537" spans="1:11" ht="12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7"/>
    </row>
    <row r="538" spans="1:11" ht="12" customHeight="1" x14ac:dyDescent="0.2">
      <c r="A538" s="5"/>
      <c r="C538" s="148"/>
      <c r="D538" s="148"/>
      <c r="E538" s="148"/>
      <c r="F538" s="148"/>
      <c r="G538" s="148"/>
      <c r="H538" s="148"/>
      <c r="I538" s="148"/>
      <c r="K538" s="7"/>
    </row>
    <row r="539" spans="1:11" ht="12" customHeight="1" x14ac:dyDescent="0.2">
      <c r="A539" s="5"/>
      <c r="C539" s="148"/>
      <c r="D539" s="148"/>
      <c r="E539" s="148"/>
      <c r="F539" s="148"/>
      <c r="G539" s="148"/>
      <c r="H539" s="148"/>
      <c r="I539" s="148"/>
      <c r="K539" s="7"/>
    </row>
    <row r="540" spans="1:11" ht="0.95" customHeight="1" x14ac:dyDescent="0.2">
      <c r="A540" s="1036"/>
      <c r="B540" s="1016"/>
      <c r="C540" s="427"/>
      <c r="D540" s="427"/>
      <c r="E540" s="156"/>
      <c r="F540" s="156"/>
      <c r="G540" s="66"/>
      <c r="H540" s="428"/>
      <c r="I540" s="428"/>
      <c r="J540" s="429"/>
      <c r="K540" s="7"/>
    </row>
    <row r="541" spans="1:11" ht="12" customHeight="1" x14ac:dyDescent="0.2">
      <c r="A541" s="1035"/>
      <c r="B541" s="555"/>
      <c r="C541" s="426"/>
      <c r="D541" s="426"/>
      <c r="E541" s="358"/>
      <c r="F541" s="358"/>
      <c r="G541" s="148"/>
      <c r="H541" s="470"/>
      <c r="I541" s="398"/>
      <c r="J541" s="394"/>
      <c r="K541" s="7"/>
    </row>
    <row r="542" spans="1:11" ht="12" customHeight="1" x14ac:dyDescent="0.2">
      <c r="A542" s="1006" t="s">
        <v>704</v>
      </c>
      <c r="B542" s="1006"/>
      <c r="C542" s="1006"/>
      <c r="D542" s="1006"/>
      <c r="E542" s="1006"/>
      <c r="F542" s="1006"/>
      <c r="G542" s="1006"/>
      <c r="H542" s="1006"/>
      <c r="I542" s="1006"/>
      <c r="J542" s="1006"/>
      <c r="K542" s="7"/>
    </row>
    <row r="543" spans="1:11" ht="12" customHeight="1" x14ac:dyDescent="0.2">
      <c r="A543" s="669"/>
      <c r="B543" s="555"/>
      <c r="C543" s="426"/>
      <c r="D543" s="426"/>
      <c r="E543" s="358"/>
      <c r="F543" s="358"/>
      <c r="G543" s="148"/>
      <c r="H543" s="470"/>
      <c r="I543" s="470"/>
      <c r="K543" s="7"/>
    </row>
    <row r="544" spans="1:11" ht="12" customHeight="1" x14ac:dyDescent="0.2">
      <c r="A544" s="10"/>
      <c r="C544" s="931"/>
      <c r="D544" s="931"/>
      <c r="E544" s="1011"/>
      <c r="F544" s="1011"/>
      <c r="G544" s="931"/>
      <c r="I544" s="398"/>
      <c r="J544" s="430"/>
      <c r="K544" s="7"/>
    </row>
    <row r="545" spans="1:16" ht="12" customHeight="1" x14ac:dyDescent="0.2">
      <c r="A545" s="421">
        <v>1</v>
      </c>
      <c r="B545" s="382" t="s">
        <v>673</v>
      </c>
      <c r="C545" s="404">
        <f>SUMIF('Consolidado Cobros'!$B$10:$B$314,B545,'Consolidado Cobros'!$F$10:$F$314)</f>
        <v>1707000</v>
      </c>
      <c r="D545" s="404">
        <f>SUMIF('Consolidado Cobros'!$B$10:$B$314,B545,'Consolidado Cobros'!$G$10:$G$314)</f>
        <v>324330</v>
      </c>
      <c r="E545" s="487">
        <f>SUMIF('Consolidado Cobros'!$B$10:$B$314,B545,'Consolidado Cobros'!$H$10:$H$314)</f>
        <v>-187770</v>
      </c>
      <c r="F545" s="487">
        <f>SUMIF('Consolidado Cobros'!$B$10:$B$314,B545,'Consolidado Cobros'!$I$10:$I$314)</f>
        <v>2031330</v>
      </c>
      <c r="G545" s="226">
        <f>SUMIF('Consolidado Cobros'!$B$10:$B$314,B545,'Consolidado Cobros'!$J$10:$J$314)</f>
        <v>1843560</v>
      </c>
      <c r="H545" s="405">
        <f>SUMIF('Consolidado Cobros'!$B$10:$B$314,B545,'Consolidado Cobros'!$L$10:$L$314)</f>
        <v>0</v>
      </c>
      <c r="I545" s="406">
        <f>+G545+H545</f>
        <v>1843560</v>
      </c>
      <c r="J545" s="1232"/>
      <c r="K545" s="7"/>
      <c r="L545" s="995">
        <f t="shared" ref="L545" si="201">+C545*$L$7</f>
        <v>486495.00000000006</v>
      </c>
      <c r="M545" s="1001">
        <f>+C545-L545*0</f>
        <v>1707000</v>
      </c>
      <c r="N545" s="568" t="s">
        <v>471</v>
      </c>
      <c r="O545" s="529">
        <f>IF(N545="S",M545*$O$5,"NO RETENCIÓN")</f>
        <v>187770</v>
      </c>
      <c r="P545" s="1003">
        <f>+M545/$P$5</f>
        <v>34.277796742906482</v>
      </c>
    </row>
    <row r="546" spans="1:16" ht="12" customHeight="1" x14ac:dyDescent="0.2">
      <c r="A546" s="421">
        <f>+A545+1</f>
        <v>2</v>
      </c>
      <c r="B546" s="382" t="s">
        <v>4</v>
      </c>
      <c r="C546" s="404">
        <f>SUMIF('Consolidado Cobros'!$B$10:$B$314,B546,'Consolidado Cobros'!$F$10:$F$314)</f>
        <v>0</v>
      </c>
      <c r="D546" s="404">
        <f>SUMIF('Consolidado Cobros'!$B$10:$B$314,B546,'Consolidado Cobros'!$G$10:$G$314)</f>
        <v>0</v>
      </c>
      <c r="E546" s="487">
        <f>SUMIF('Consolidado Cobros'!$B$10:$B$314,B546,'Consolidado Cobros'!$H$10:$H$314)</f>
        <v>0</v>
      </c>
      <c r="F546" s="487">
        <f>SUMIF('Consolidado Cobros'!$B$10:$B$314,B546,'Consolidado Cobros'!$I$10:$I$314)</f>
        <v>0</v>
      </c>
      <c r="G546" s="226">
        <f>SUMIF('Consolidado Cobros'!$B$10:$B$314,B546,'Consolidado Cobros'!$J$10:$J$314)</f>
        <v>0</v>
      </c>
      <c r="H546" s="405">
        <f>SUMIF('Consolidado Cobros'!$B$10:$B$314,B546,'Consolidado Cobros'!$L$10:$L$314)</f>
        <v>380000</v>
      </c>
      <c r="I546" s="406">
        <f>+G546+H546</f>
        <v>380000</v>
      </c>
      <c r="J546" s="459"/>
      <c r="K546" s="7"/>
    </row>
    <row r="547" spans="1:16" ht="12" customHeight="1" x14ac:dyDescent="0.2">
      <c r="A547" s="421"/>
      <c r="B547" s="382"/>
      <c r="C547" s="404"/>
      <c r="D547" s="404"/>
      <c r="E547" s="487"/>
      <c r="F547" s="487"/>
      <c r="G547" s="226"/>
      <c r="H547" s="405"/>
      <c r="I547" s="406"/>
      <c r="J547" s="459"/>
      <c r="K547" s="7"/>
    </row>
    <row r="548" spans="1:16" ht="12" customHeight="1" x14ac:dyDescent="0.2">
      <c r="A548" s="421"/>
      <c r="B548" s="382"/>
      <c r="C548" s="404"/>
      <c r="D548" s="404"/>
      <c r="E548" s="487"/>
      <c r="F548" s="487"/>
      <c r="G548" s="226"/>
      <c r="H548" s="405"/>
      <c r="I548" s="406"/>
      <c r="J548" s="459"/>
      <c r="K548" s="7"/>
    </row>
    <row r="549" spans="1:16" ht="12" customHeight="1" x14ac:dyDescent="0.2">
      <c r="A549" s="421"/>
      <c r="B549" s="382"/>
      <c r="C549" s="404"/>
      <c r="D549" s="404"/>
      <c r="E549" s="487"/>
      <c r="F549" s="487"/>
      <c r="G549" s="226"/>
      <c r="H549" s="405"/>
      <c r="I549" s="406"/>
      <c r="J549" s="459"/>
      <c r="K549" s="7"/>
    </row>
    <row r="550" spans="1:16" ht="12" customHeight="1" x14ac:dyDescent="0.2">
      <c r="A550" s="421"/>
      <c r="B550" s="382"/>
      <c r="C550" s="404"/>
      <c r="D550" s="404"/>
      <c r="E550" s="487"/>
      <c r="F550" s="487"/>
      <c r="G550" s="226"/>
      <c r="H550" s="405"/>
      <c r="I550" s="406"/>
      <c r="J550" s="459"/>
      <c r="K550" s="7"/>
    </row>
    <row r="551" spans="1:16" ht="12" customHeight="1" x14ac:dyDescent="0.2">
      <c r="A551" s="421"/>
      <c r="B551" s="382"/>
      <c r="C551" s="404"/>
      <c r="D551" s="404"/>
      <c r="E551" s="487"/>
      <c r="F551" s="487"/>
      <c r="G551" s="226"/>
      <c r="H551" s="405"/>
      <c r="I551" s="406"/>
      <c r="J551" s="459"/>
      <c r="K551" s="7"/>
    </row>
    <row r="552" spans="1:16" ht="12" customHeight="1" x14ac:dyDescent="0.2">
      <c r="A552" s="421"/>
      <c r="B552" s="382"/>
      <c r="C552" s="404"/>
      <c r="D552" s="404"/>
      <c r="E552" s="487"/>
      <c r="F552" s="487"/>
      <c r="G552" s="226"/>
      <c r="H552" s="405"/>
      <c r="I552" s="406"/>
      <c r="J552" s="459"/>
      <c r="K552" s="7"/>
    </row>
    <row r="553" spans="1:16" ht="12" customHeight="1" x14ac:dyDescent="0.2">
      <c r="A553" s="421"/>
      <c r="B553" s="382"/>
      <c r="C553" s="404"/>
      <c r="D553" s="404"/>
      <c r="E553" s="487"/>
      <c r="F553" s="487"/>
      <c r="G553" s="226"/>
      <c r="H553" s="405"/>
      <c r="I553" s="406"/>
      <c r="J553" s="459"/>
      <c r="K553" s="7"/>
    </row>
    <row r="554" spans="1:16" ht="12" customHeight="1" x14ac:dyDescent="0.2">
      <c r="A554" s="421"/>
      <c r="B554" s="382"/>
      <c r="C554" s="404"/>
      <c r="D554" s="404"/>
      <c r="E554" s="487"/>
      <c r="F554" s="487"/>
      <c r="G554" s="226"/>
      <c r="H554" s="405"/>
      <c r="I554" s="406"/>
      <c r="J554" s="459"/>
      <c r="K554" s="7"/>
    </row>
    <row r="555" spans="1:16" ht="12" customHeight="1" x14ac:dyDescent="0.2">
      <c r="A555" s="421"/>
      <c r="B555" s="382"/>
      <c r="C555" s="404"/>
      <c r="D555" s="404"/>
      <c r="E555" s="487"/>
      <c r="F555" s="487"/>
      <c r="G555" s="226"/>
      <c r="H555" s="405"/>
      <c r="I555" s="406"/>
      <c r="J555" s="459"/>
      <c r="K555" s="7"/>
    </row>
    <row r="556" spans="1:16" ht="12" customHeight="1" x14ac:dyDescent="0.2">
      <c r="A556" s="421"/>
      <c r="B556" s="382"/>
      <c r="C556" s="404"/>
      <c r="D556" s="404"/>
      <c r="E556" s="487"/>
      <c r="F556" s="487"/>
      <c r="G556" s="226"/>
      <c r="H556" s="405"/>
      <c r="I556" s="406"/>
      <c r="J556" s="459"/>
      <c r="K556" s="7"/>
    </row>
    <row r="557" spans="1:16" ht="12" customHeight="1" x14ac:dyDescent="0.2">
      <c r="A557" s="421"/>
      <c r="B557" s="382"/>
      <c r="C557" s="404"/>
      <c r="D557" s="404"/>
      <c r="E557" s="487"/>
      <c r="F557" s="487"/>
      <c r="G557" s="226"/>
      <c r="H557" s="405"/>
      <c r="I557" s="406"/>
      <c r="J557" s="459"/>
      <c r="K557" s="7"/>
    </row>
    <row r="558" spans="1:16" ht="12" customHeight="1" x14ac:dyDescent="0.2">
      <c r="A558" s="421"/>
      <c r="B558" s="382"/>
      <c r="C558" s="404"/>
      <c r="D558" s="404"/>
      <c r="E558" s="487"/>
      <c r="F558" s="487"/>
      <c r="G558" s="226"/>
      <c r="H558" s="405"/>
      <c r="I558" s="406"/>
      <c r="J558" s="459"/>
      <c r="K558" s="7"/>
    </row>
    <row r="559" spans="1:16" ht="12" customHeight="1" x14ac:dyDescent="0.2">
      <c r="A559" s="421"/>
      <c r="B559" s="382"/>
      <c r="C559" s="404"/>
      <c r="D559" s="404"/>
      <c r="E559" s="487"/>
      <c r="F559" s="487"/>
      <c r="G559" s="226"/>
      <c r="H559" s="405"/>
      <c r="I559" s="406"/>
      <c r="J559" s="459"/>
      <c r="K559" s="7"/>
    </row>
    <row r="560" spans="1:16" ht="12" customHeight="1" x14ac:dyDescent="0.2">
      <c r="A560" s="421"/>
      <c r="B560" s="382"/>
      <c r="C560" s="404"/>
      <c r="D560" s="404"/>
      <c r="E560" s="487"/>
      <c r="F560" s="487"/>
      <c r="G560" s="226"/>
      <c r="H560" s="405"/>
      <c r="I560" s="406"/>
      <c r="J560" s="459"/>
      <c r="K560" s="7"/>
    </row>
    <row r="561" spans="1:11" ht="12" customHeight="1" x14ac:dyDescent="0.2">
      <c r="A561" s="421"/>
      <c r="B561" s="382"/>
      <c r="C561" s="404"/>
      <c r="D561" s="404"/>
      <c r="E561" s="487"/>
      <c r="F561" s="487"/>
      <c r="G561" s="226"/>
      <c r="H561" s="405"/>
      <c r="I561" s="406"/>
      <c r="J561" s="459"/>
      <c r="K561" s="7"/>
    </row>
    <row r="562" spans="1:11" ht="12" customHeight="1" x14ac:dyDescent="0.2">
      <c r="A562" s="421"/>
      <c r="B562" s="382"/>
      <c r="C562" s="404"/>
      <c r="D562" s="404"/>
      <c r="E562" s="487"/>
      <c r="F562" s="487"/>
      <c r="G562" s="226"/>
      <c r="H562" s="405"/>
      <c r="I562" s="406"/>
      <c r="J562" s="459"/>
      <c r="K562" s="7"/>
    </row>
    <row r="563" spans="1:11" ht="12" customHeight="1" x14ac:dyDescent="0.2">
      <c r="A563" s="421"/>
      <c r="B563" s="382"/>
      <c r="C563" s="404"/>
      <c r="D563" s="404"/>
      <c r="E563" s="487"/>
      <c r="F563" s="487"/>
      <c r="G563" s="226"/>
      <c r="H563" s="405"/>
      <c r="I563" s="406"/>
      <c r="J563" s="459"/>
      <c r="K563" s="7"/>
    </row>
    <row r="564" spans="1:11" ht="12" customHeight="1" x14ac:dyDescent="0.2">
      <c r="A564" s="421"/>
      <c r="B564" s="382"/>
      <c r="C564" s="404"/>
      <c r="D564" s="404"/>
      <c r="E564" s="487"/>
      <c r="F564" s="487"/>
      <c r="G564" s="226"/>
      <c r="H564" s="405"/>
      <c r="I564" s="406"/>
      <c r="J564" s="459"/>
      <c r="K564" s="7"/>
    </row>
    <row r="565" spans="1:11" ht="12" customHeight="1" x14ac:dyDescent="0.2">
      <c r="A565" s="421"/>
      <c r="B565" s="382"/>
      <c r="C565" s="404"/>
      <c r="D565" s="404"/>
      <c r="E565" s="487"/>
      <c r="F565" s="487"/>
      <c r="G565" s="226"/>
      <c r="H565" s="405"/>
      <c r="I565" s="406"/>
      <c r="J565" s="459"/>
      <c r="K565" s="7"/>
    </row>
    <row r="566" spans="1:11" ht="12" customHeight="1" x14ac:dyDescent="0.2">
      <c r="A566" s="421"/>
      <c r="B566" s="382"/>
      <c r="C566" s="404"/>
      <c r="D566" s="404"/>
      <c r="E566" s="487"/>
      <c r="F566" s="487"/>
      <c r="G566" s="226"/>
      <c r="H566" s="405"/>
      <c r="I566" s="406"/>
      <c r="J566" s="459"/>
      <c r="K566" s="7"/>
    </row>
    <row r="567" spans="1:11" ht="12" customHeight="1" x14ac:dyDescent="0.2">
      <c r="A567" s="421"/>
      <c r="B567" s="382"/>
      <c r="C567" s="404"/>
      <c r="D567" s="404"/>
      <c r="E567" s="487"/>
      <c r="F567" s="487"/>
      <c r="G567" s="226"/>
      <c r="H567" s="405"/>
      <c r="I567" s="406"/>
      <c r="J567" s="459"/>
      <c r="K567" s="7"/>
    </row>
    <row r="568" spans="1:11" ht="12" customHeight="1" x14ac:dyDescent="0.2">
      <c r="A568" s="421"/>
      <c r="B568" s="382"/>
      <c r="C568" s="404"/>
      <c r="D568" s="404"/>
      <c r="E568" s="487"/>
      <c r="F568" s="487"/>
      <c r="G568" s="226"/>
      <c r="H568" s="405"/>
      <c r="I568" s="406"/>
      <c r="J568" s="459"/>
      <c r="K568" s="7"/>
    </row>
    <row r="569" spans="1:11" ht="12" customHeight="1" x14ac:dyDescent="0.2">
      <c r="A569" s="421"/>
      <c r="B569" s="382"/>
      <c r="C569" s="404"/>
      <c r="D569" s="404"/>
      <c r="E569" s="487"/>
      <c r="F569" s="487"/>
      <c r="G569" s="226"/>
      <c r="H569" s="405"/>
      <c r="I569" s="406"/>
      <c r="J569" s="459"/>
      <c r="K569" s="7"/>
    </row>
    <row r="570" spans="1:11" ht="12" customHeight="1" x14ac:dyDescent="0.2">
      <c r="A570" s="421"/>
      <c r="B570" s="382"/>
      <c r="C570" s="404"/>
      <c r="D570" s="404"/>
      <c r="E570" s="487"/>
      <c r="F570" s="487"/>
      <c r="G570" s="226"/>
      <c r="H570" s="405"/>
      <c r="I570" s="406"/>
      <c r="J570" s="459"/>
      <c r="K570" s="7"/>
    </row>
    <row r="571" spans="1:11" ht="12" customHeight="1" x14ac:dyDescent="0.2">
      <c r="A571" s="421"/>
      <c r="B571" s="382"/>
      <c r="C571" s="404"/>
      <c r="D571" s="404"/>
      <c r="E571" s="487"/>
      <c r="F571" s="487"/>
      <c r="G571" s="226"/>
      <c r="H571" s="405"/>
      <c r="I571" s="406"/>
      <c r="J571" s="459"/>
      <c r="K571" s="7"/>
    </row>
    <row r="572" spans="1:11" ht="12" customHeight="1" x14ac:dyDescent="0.2">
      <c r="A572" s="421"/>
      <c r="B572" s="382"/>
      <c r="C572" s="404"/>
      <c r="D572" s="404"/>
      <c r="E572" s="487"/>
      <c r="F572" s="487"/>
      <c r="G572" s="226"/>
      <c r="H572" s="405"/>
      <c r="I572" s="406"/>
      <c r="J572" s="459"/>
      <c r="K572" s="7"/>
    </row>
    <row r="573" spans="1:11" ht="12" customHeight="1" x14ac:dyDescent="0.2">
      <c r="A573" s="421"/>
      <c r="B573" s="382"/>
      <c r="C573" s="404"/>
      <c r="D573" s="404"/>
      <c r="E573" s="487"/>
      <c r="F573" s="487"/>
      <c r="G573" s="226"/>
      <c r="H573" s="405"/>
      <c r="I573" s="406"/>
      <c r="J573" s="459"/>
      <c r="K573" s="7"/>
    </row>
    <row r="574" spans="1:11" ht="12" customHeight="1" x14ac:dyDescent="0.2">
      <c r="A574" s="421"/>
      <c r="B574" s="382"/>
      <c r="C574" s="404"/>
      <c r="D574" s="404"/>
      <c r="E574" s="487"/>
      <c r="F574" s="487"/>
      <c r="G574" s="226"/>
      <c r="H574" s="405"/>
      <c r="I574" s="406"/>
      <c r="J574" s="459"/>
      <c r="K574" s="7"/>
    </row>
    <row r="575" spans="1:11" ht="12" customHeight="1" x14ac:dyDescent="0.2">
      <c r="A575" s="421"/>
      <c r="B575" s="382"/>
      <c r="C575" s="404"/>
      <c r="D575" s="404"/>
      <c r="E575" s="487"/>
      <c r="F575" s="487"/>
      <c r="G575" s="226"/>
      <c r="H575" s="405"/>
      <c r="I575" s="406"/>
      <c r="J575" s="459"/>
      <c r="K575" s="7"/>
    </row>
    <row r="576" spans="1:11" ht="12" customHeight="1" x14ac:dyDescent="0.2">
      <c r="A576" s="421"/>
      <c r="B576" s="382"/>
      <c r="C576" s="404"/>
      <c r="D576" s="404"/>
      <c r="E576" s="487"/>
      <c r="F576" s="487"/>
      <c r="G576" s="226"/>
      <c r="H576" s="405"/>
      <c r="I576" s="406"/>
      <c r="J576" s="459"/>
      <c r="K576" s="7"/>
    </row>
    <row r="577" spans="1:17" ht="12" customHeight="1" x14ac:dyDescent="0.2">
      <c r="A577" s="669"/>
      <c r="B577" s="1015"/>
      <c r="C577" s="426"/>
      <c r="D577" s="426"/>
      <c r="E577" s="358"/>
      <c r="F577" s="358"/>
      <c r="G577" s="148"/>
      <c r="H577" s="470"/>
      <c r="I577" s="470"/>
      <c r="K577" s="7"/>
    </row>
    <row r="578" spans="1:17" ht="12" customHeight="1" x14ac:dyDescent="0.2">
      <c r="A578" s="669"/>
      <c r="B578" s="1015"/>
      <c r="C578" s="426"/>
      <c r="D578" s="426"/>
      <c r="E578" s="358"/>
      <c r="F578" s="358"/>
      <c r="G578" s="148"/>
      <c r="H578" s="470"/>
      <c r="I578" s="470"/>
      <c r="K578" s="7"/>
      <c r="P578" s="5"/>
      <c r="Q578" s="5"/>
    </row>
    <row r="579" spans="1:17" ht="12" customHeight="1" x14ac:dyDescent="0.2">
      <c r="A579" s="12" t="s">
        <v>705</v>
      </c>
      <c r="B579" s="12"/>
      <c r="C579" s="408">
        <f t="shared" ref="C579:I579" si="202">SUM(C545:C577)</f>
        <v>1707000</v>
      </c>
      <c r="D579" s="408">
        <f t="shared" si="202"/>
        <v>324330</v>
      </c>
      <c r="E579" s="1002">
        <f t="shared" si="202"/>
        <v>-187770</v>
      </c>
      <c r="F579" s="1002">
        <f t="shared" si="202"/>
        <v>2031330</v>
      </c>
      <c r="G579" s="407">
        <f t="shared" si="202"/>
        <v>1843560</v>
      </c>
      <c r="H579" s="409">
        <f t="shared" si="202"/>
        <v>380000</v>
      </c>
      <c r="I579" s="410">
        <f t="shared" si="202"/>
        <v>2223560</v>
      </c>
      <c r="J579" s="411"/>
      <c r="K579" s="7"/>
      <c r="P579" s="5"/>
      <c r="Q579" s="5"/>
    </row>
    <row r="580" spans="1:17" x14ac:dyDescent="0.2">
      <c r="A580" s="669"/>
      <c r="B580" s="555"/>
      <c r="C580" s="426"/>
      <c r="D580" s="426"/>
      <c r="E580" s="358"/>
      <c r="F580" s="358"/>
      <c r="G580" s="148"/>
      <c r="H580" s="470"/>
      <c r="I580" s="261"/>
      <c r="K580" s="7"/>
      <c r="P580" s="5"/>
      <c r="Q580" s="5"/>
    </row>
    <row r="581" spans="1:17" ht="5.0999999999999996" customHeight="1" x14ac:dyDescent="0.2">
      <c r="A581" s="4"/>
      <c r="B581" s="4"/>
      <c r="C581" s="80"/>
      <c r="D581" s="80"/>
      <c r="E581" s="1027"/>
      <c r="F581" s="1027"/>
      <c r="G581" s="80"/>
      <c r="H581" s="475"/>
      <c r="I581" s="476"/>
      <c r="J581" s="477"/>
      <c r="K581" s="7"/>
      <c r="P581" s="5"/>
      <c r="Q581" s="5"/>
    </row>
    <row r="582" spans="1:17" x14ac:dyDescent="0.2">
      <c r="A582" s="12"/>
      <c r="B582" s="555"/>
      <c r="C582" s="100"/>
      <c r="D582" s="100"/>
      <c r="E582" s="358"/>
      <c r="F582" s="358"/>
      <c r="G582" s="148"/>
      <c r="H582" s="439"/>
      <c r="I582" s="72"/>
      <c r="J582" s="90"/>
      <c r="K582" s="7"/>
      <c r="P582" s="5"/>
      <c r="Q582" s="5"/>
    </row>
    <row r="583" spans="1:17" x14ac:dyDescent="0.2">
      <c r="A583" s="669" t="s">
        <v>228</v>
      </c>
      <c r="B583" s="555"/>
      <c r="C583" s="426">
        <f>+C91+C105+C120+C136+C145+C160+C169+C182+C191+C200+C210+C217+C227+C236+C246+C257+C277+C283+C291+C304+C313+C321+C328+C335+C342+C346+C353+C361+C369+C376+C383+C391+C398+C405+C412+C420+C427+C438+C445+C452+C459+C466+C484+C491+C498+C507+C579</f>
        <v>121229000</v>
      </c>
      <c r="D583" s="426">
        <f t="shared" ref="D583:I583" si="203">+D91+D105+D120+D136+D145+D160+D169+D182+D191+D200+D210+D217+D227+D236+D246+D257+D277+D283+D291+D304+D313+D321+D328+D335+D342+D346+D353+D361+D369+D376+D383+D391+D398+D405+D412+D420+D427+D438+D445+D452+D459+D466+D484+D491+D498+D507+D579</f>
        <v>23033510</v>
      </c>
      <c r="E583" s="426">
        <f t="shared" si="203"/>
        <v>-12447490</v>
      </c>
      <c r="F583" s="426">
        <f t="shared" si="203"/>
        <v>144262510</v>
      </c>
      <c r="G583" s="426">
        <f t="shared" si="203"/>
        <v>131815020</v>
      </c>
      <c r="H583" s="426">
        <f t="shared" si="203"/>
        <v>96430000</v>
      </c>
      <c r="I583" s="426">
        <f t="shared" si="203"/>
        <v>228245020</v>
      </c>
      <c r="K583" s="7"/>
      <c r="L583" s="426"/>
      <c r="P583" s="5"/>
      <c r="Q583" s="5"/>
    </row>
    <row r="584" spans="1:17" x14ac:dyDescent="0.2">
      <c r="K584" s="7"/>
    </row>
    <row r="585" spans="1:17" ht="5.0999999999999996" customHeight="1" x14ac:dyDescent="0.2">
      <c r="A585" s="4"/>
      <c r="B585" s="4"/>
      <c r="C585" s="7"/>
      <c r="D585" s="7"/>
      <c r="E585" s="231"/>
      <c r="F585" s="231"/>
      <c r="G585" s="7"/>
      <c r="H585" s="7"/>
      <c r="I585" s="68"/>
      <c r="J585" s="66"/>
      <c r="K585" s="7"/>
    </row>
    <row r="586" spans="1:17" x14ac:dyDescent="0.2">
      <c r="C586" s="158" t="s">
        <v>828</v>
      </c>
      <c r="D586" s="158"/>
      <c r="E586" s="232"/>
      <c r="F586" s="232"/>
      <c r="G586" s="158"/>
      <c r="H586" s="478"/>
    </row>
    <row r="587" spans="1:17" x14ac:dyDescent="0.2">
      <c r="B587" s="65" t="s">
        <v>304</v>
      </c>
      <c r="C587" s="65">
        <f>+Facturas!K82</f>
        <v>131815020</v>
      </c>
      <c r="H587" s="65"/>
      <c r="I587" s="65">
        <f>+'Consolidado Cobros'!J316+'Consolidado Cobros'!L316</f>
        <v>249965020</v>
      </c>
      <c r="J587" s="65" t="s">
        <v>829</v>
      </c>
    </row>
    <row r="588" spans="1:17" x14ac:dyDescent="0.2">
      <c r="B588" s="65" t="s">
        <v>306</v>
      </c>
      <c r="C588" s="65">
        <f>+'Consolidado Cobros'!J316</f>
        <v>131815020</v>
      </c>
      <c r="H588" s="65"/>
      <c r="I588" s="65">
        <f>+I583</f>
        <v>228245020</v>
      </c>
      <c r="J588" s="65" t="s">
        <v>830</v>
      </c>
    </row>
    <row r="589" spans="1:17" x14ac:dyDescent="0.2">
      <c r="B589" s="1381" t="s">
        <v>344</v>
      </c>
      <c r="C589" s="1381">
        <f>+C587-C588</f>
        <v>0</v>
      </c>
      <c r="H589" s="65"/>
      <c r="I589" s="222">
        <f>+I587-I588</f>
        <v>21720000</v>
      </c>
      <c r="J589" s="1381" t="s">
        <v>831</v>
      </c>
    </row>
    <row r="590" spans="1:17" x14ac:dyDescent="0.2">
      <c r="B590" s="65"/>
      <c r="H590" s="65"/>
      <c r="I590" s="65"/>
      <c r="J590" s="65"/>
    </row>
    <row r="591" spans="1:17" x14ac:dyDescent="0.2">
      <c r="B591" s="65" t="s">
        <v>305</v>
      </c>
      <c r="C591" s="65">
        <f>+'Cuentas de Cobro'!F217</f>
        <v>118620000</v>
      </c>
      <c r="H591" s="65"/>
      <c r="I591" s="65"/>
      <c r="J591" s="65"/>
    </row>
    <row r="592" spans="1:17" x14ac:dyDescent="0.2">
      <c r="B592" s="65" t="s">
        <v>306</v>
      </c>
      <c r="C592" s="65">
        <f>+'Consolidado Cobros'!L316</f>
        <v>118150000</v>
      </c>
      <c r="H592" s="65"/>
      <c r="I592" s="65"/>
      <c r="J592" s="65"/>
    </row>
    <row r="593" spans="2:10" x14ac:dyDescent="0.2">
      <c r="B593" s="1381" t="s">
        <v>344</v>
      </c>
      <c r="C593" s="1381">
        <f>+C591-C592</f>
        <v>470000</v>
      </c>
      <c r="H593" s="65"/>
      <c r="I593" s="65"/>
      <c r="J593" s="65"/>
    </row>
  </sheetData>
  <phoneticPr fontId="87" type="noConversion"/>
  <printOptions horizontalCentered="1"/>
  <pageMargins left="0.19685039370078741" right="0.19685039370078741" top="0.39370078740157483" bottom="0.19685039370078741" header="0" footer="0"/>
  <pageSetup scale="80" orientation="portrait" r:id="rId1"/>
  <headerFooter alignWithMargins="0"/>
  <rowBreaks count="5" manualBreakCount="5">
    <brk id="93" max="6" man="1"/>
    <brk id="229" max="6" man="1"/>
    <brk id="323" max="6" man="1"/>
    <brk id="400" max="6" man="1"/>
    <brk id="46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92D050"/>
    <pageSetUpPr fitToPage="1"/>
  </sheetPr>
  <dimension ref="A1:IU88"/>
  <sheetViews>
    <sheetView showGridLines="0" topLeftCell="A2" zoomScale="80" zoomScaleNormal="80" workbookViewId="0">
      <pane xSplit="4" ySplit="5" topLeftCell="E7" activePane="bottomRight" state="frozen"/>
      <selection activeCell="A2" sqref="A2"/>
      <selection pane="topRight" activeCell="E2" sqref="E2"/>
      <selection pane="bottomLeft" activeCell="A7" sqref="A7"/>
      <selection pane="bottomRight" activeCell="K61" sqref="K61"/>
    </sheetView>
  </sheetViews>
  <sheetFormatPr baseColWidth="10" defaultColWidth="9.6640625" defaultRowHeight="12.75" x14ac:dyDescent="0.2"/>
  <cols>
    <col min="1" max="1" width="4.6640625" style="172" customWidth="1"/>
    <col min="2" max="2" width="41.5546875" style="22" customWidth="1"/>
    <col min="3" max="3" width="7.6640625" style="492" bestFit="1" customWidth="1"/>
    <col min="4" max="4" width="13.77734375" style="215" customWidth="1"/>
    <col min="5" max="5" width="2.77734375" style="28" customWidth="1"/>
    <col min="6" max="7" width="12.77734375" style="22" customWidth="1"/>
    <col min="8" max="8" width="12.77734375" style="1534" customWidth="1"/>
    <col min="9" max="9" width="13.88671875" style="499" customWidth="1"/>
    <col min="10" max="10" width="12.77734375" style="486" customWidth="1"/>
    <col min="11" max="11" width="12.77734375" style="22" customWidth="1"/>
    <col min="12" max="12" width="15.88671875" style="1058" customWidth="1"/>
    <col min="13" max="13" width="10.44140625" style="1063" customWidth="1"/>
    <col min="14" max="14" width="20.33203125" style="1063" customWidth="1"/>
    <col min="15" max="15" width="16.33203125" style="1063" customWidth="1"/>
    <col min="16" max="16" width="12.5546875" style="1063" customWidth="1"/>
    <col min="17" max="17" width="18.77734375" style="1063" customWidth="1"/>
    <col min="18" max="18" width="13.44140625" style="110" bestFit="1" customWidth="1"/>
    <col min="19" max="19" width="7.77734375" style="110" customWidth="1"/>
    <col min="20" max="20" width="35.77734375" style="329" bestFit="1" customWidth="1"/>
    <col min="21" max="21" width="4.77734375" style="22" customWidth="1"/>
    <col min="22" max="22" width="4.77734375" style="52" customWidth="1"/>
    <col min="23" max="23" width="13.77734375" style="51" customWidth="1"/>
    <col min="24" max="24" width="4.77734375" style="52" customWidth="1"/>
    <col min="25" max="25" width="13.77734375" style="51" customWidth="1"/>
    <col min="26" max="26" width="4.77734375" style="52" customWidth="1"/>
    <col min="27" max="27" width="13.77734375" style="51" customWidth="1"/>
    <col min="28" max="28" width="4.77734375" style="901" customWidth="1"/>
    <col min="29" max="29" width="13.77734375" style="341" customWidth="1"/>
    <col min="30" max="30" width="4.77734375" style="901" customWidth="1"/>
    <col min="31" max="31" width="13.77734375" style="341" customWidth="1"/>
    <col min="32" max="32" width="4.77734375" style="53" customWidth="1"/>
    <col min="33" max="33" width="13.77734375" style="51" customWidth="1"/>
    <col min="34" max="34" width="4.77734375" style="53" customWidth="1"/>
    <col min="35" max="35" width="13.77734375" style="51" customWidth="1"/>
    <col min="36" max="36" width="4.77734375" style="54" customWidth="1"/>
    <col min="37" max="37" width="13.77734375" style="51" customWidth="1"/>
    <col min="38" max="38" width="14.109375" style="499" customWidth="1"/>
    <col min="39" max="39" width="13.77734375" style="51" customWidth="1"/>
    <col min="40" max="40" width="14.88671875" style="55" customWidth="1"/>
    <col min="41" max="41" width="1.6640625" style="22" customWidth="1"/>
    <col min="42" max="42" width="15" style="352" customWidth="1"/>
    <col min="43" max="43" width="11.6640625" style="352" bestFit="1" customWidth="1"/>
    <col min="44" max="44" width="12.77734375" style="352" customWidth="1"/>
    <col min="45" max="65" width="9.6640625" style="352"/>
    <col min="66" max="95" width="9.6640625" style="341"/>
    <col min="96" max="255" width="9.6640625" style="22"/>
    <col min="256" max="16384" width="9.6640625" style="949"/>
  </cols>
  <sheetData>
    <row r="1" spans="1:255" ht="20.100000000000001" customHeight="1" x14ac:dyDescent="0.2">
      <c r="A1" s="165" t="str">
        <f>+'Grupos Familiares'!$A$1</f>
        <v>GERMÁN TULIO FERNÁNDEZ FERNÁNDEZ</v>
      </c>
      <c r="U1" s="19"/>
    </row>
    <row r="2" spans="1:255" ht="25.5" x14ac:dyDescent="0.2">
      <c r="A2" s="165" t="str">
        <f>+'Grupos Familiares'!$A$3</f>
        <v>PRESUPUESTO DE COBROS</v>
      </c>
      <c r="B2" s="18"/>
      <c r="C2" s="489"/>
      <c r="D2" s="945"/>
      <c r="E2" s="18"/>
      <c r="F2" s="18"/>
      <c r="G2" s="18"/>
      <c r="H2" s="1535"/>
      <c r="I2" s="173"/>
      <c r="J2" s="480"/>
      <c r="K2" s="18"/>
      <c r="L2" s="1057"/>
      <c r="M2" s="896"/>
      <c r="N2" s="896"/>
      <c r="O2" s="896"/>
      <c r="P2" s="896"/>
      <c r="Q2" s="896"/>
      <c r="R2" s="195" t="s">
        <v>637</v>
      </c>
      <c r="T2" s="566" t="s">
        <v>638</v>
      </c>
      <c r="U2" s="19"/>
      <c r="V2" s="18" t="s">
        <v>347</v>
      </c>
      <c r="W2" s="18"/>
      <c r="X2" s="18"/>
      <c r="Y2" s="18"/>
      <c r="Z2" s="18"/>
      <c r="AA2" s="18"/>
      <c r="AB2" s="900"/>
      <c r="AC2" s="896"/>
      <c r="AD2" s="900"/>
      <c r="AE2" s="896"/>
      <c r="AF2" s="18"/>
      <c r="AG2" s="18"/>
      <c r="AH2" s="18"/>
      <c r="AI2" s="18"/>
      <c r="AJ2" s="18"/>
      <c r="AK2" s="18"/>
      <c r="AL2" s="173"/>
      <c r="AM2" s="18"/>
      <c r="AN2" s="18"/>
      <c r="AO2" s="537"/>
      <c r="AP2" s="560" t="s">
        <v>892</v>
      </c>
      <c r="AQ2" s="842" t="s">
        <v>640</v>
      </c>
      <c r="AR2" s="843" t="s">
        <v>639</v>
      </c>
    </row>
    <row r="3" spans="1:255" ht="15" x14ac:dyDescent="0.2">
      <c r="A3" s="165" t="s">
        <v>464</v>
      </c>
      <c r="B3" s="20"/>
      <c r="C3" s="481"/>
      <c r="D3" s="946"/>
      <c r="E3" s="21"/>
      <c r="R3" s="936">
        <f>ROUND(AQ3*(100%+$AP$3),-4)</f>
        <v>230000</v>
      </c>
      <c r="S3" s="937"/>
      <c r="T3" s="936">
        <f>ROUND(AR3*(100%+$AP$3),-4)</f>
        <v>370000</v>
      </c>
      <c r="U3" s="19"/>
      <c r="W3" s="558"/>
      <c r="Y3" s="558"/>
      <c r="AA3" s="558"/>
      <c r="AF3" s="559"/>
      <c r="AG3" s="558"/>
      <c r="AH3" s="559"/>
      <c r="AI3" s="558"/>
      <c r="AK3" s="558"/>
      <c r="AM3" s="558"/>
      <c r="AO3" s="537"/>
      <c r="AP3" s="561">
        <v>5.1999999999999998E-2</v>
      </c>
      <c r="AQ3" s="567">
        <v>220000</v>
      </c>
      <c r="AR3" s="567">
        <v>350000</v>
      </c>
      <c r="AT3" s="561"/>
    </row>
    <row r="4" spans="1:255" ht="15" x14ac:dyDescent="0.2">
      <c r="A4" s="265" t="str">
        <f>+'Grupos Familiares'!$A$4</f>
        <v>AÑO  GRAVABLE 2024</v>
      </c>
      <c r="B4" s="26"/>
      <c r="C4" s="482"/>
      <c r="D4" s="212"/>
      <c r="E4" s="27"/>
      <c r="F4" s="1876" t="s">
        <v>751</v>
      </c>
      <c r="G4" s="1874"/>
      <c r="H4" s="1877"/>
      <c r="I4" s="1874"/>
      <c r="J4" s="1874"/>
      <c r="K4" s="1874"/>
      <c r="L4" s="1874"/>
      <c r="M4" s="1874"/>
      <c r="N4" s="1877"/>
      <c r="O4" s="1877"/>
      <c r="P4" s="1877"/>
      <c r="Q4" s="1877"/>
      <c r="R4" s="1874"/>
      <c r="S4" s="1875"/>
      <c r="T4" s="196"/>
      <c r="U4" s="19"/>
      <c r="V4" s="887" t="s">
        <v>894</v>
      </c>
      <c r="W4" s="888"/>
      <c r="X4" s="888"/>
      <c r="Y4" s="888"/>
      <c r="Z4" s="1643" t="str">
        <f>+$A$3</f>
        <v>FACTURACIÓN ELECTRÓNICA</v>
      </c>
      <c r="AA4" s="888"/>
      <c r="AB4" s="902"/>
      <c r="AC4" s="897"/>
      <c r="AD4" s="902"/>
      <c r="AE4" s="897"/>
      <c r="AF4" s="888"/>
      <c r="AG4" s="888"/>
      <c r="AH4" s="888"/>
      <c r="AI4" s="888"/>
      <c r="AJ4" s="888"/>
      <c r="AK4" s="888"/>
      <c r="AL4" s="888"/>
      <c r="AM4" s="888"/>
      <c r="AN4" s="889"/>
      <c r="AO4" s="537"/>
      <c r="AP4" s="908" t="s">
        <v>641</v>
      </c>
      <c r="AQ4" s="844">
        <f>(AQ3*(100%+$AP$3))</f>
        <v>231440</v>
      </c>
      <c r="AR4" s="844">
        <f>(AR3*(100%+$AP$3))</f>
        <v>368200</v>
      </c>
    </row>
    <row r="5" spans="1:255" ht="13.5" thickBot="1" x14ac:dyDescent="0.25">
      <c r="A5" s="358" t="s">
        <v>350</v>
      </c>
      <c r="B5" s="26"/>
      <c r="C5" s="482"/>
      <c r="D5" s="212"/>
      <c r="E5" s="27"/>
      <c r="F5" s="306"/>
      <c r="G5" s="307">
        <v>0.19</v>
      </c>
      <c r="H5" s="1536"/>
      <c r="I5" s="1536">
        <v>0.11</v>
      </c>
      <c r="J5" s="522"/>
      <c r="K5" s="307"/>
      <c r="L5" s="1059"/>
      <c r="M5" s="1064"/>
      <c r="N5" s="1064"/>
      <c r="O5" s="1064"/>
      <c r="P5" s="1064"/>
      <c r="Q5" s="1064"/>
      <c r="R5" s="308"/>
      <c r="S5" s="309"/>
      <c r="T5" s="196"/>
      <c r="U5" s="19"/>
      <c r="V5" s="1221" t="s">
        <v>721</v>
      </c>
      <c r="W5" s="1222">
        <v>5.0999999999999997E-2</v>
      </c>
      <c r="X5" s="281"/>
      <c r="Y5" s="282">
        <v>0.5</v>
      </c>
      <c r="Z5" s="281"/>
      <c r="AA5" s="281">
        <f>75%+80%*0</f>
        <v>0.75</v>
      </c>
      <c r="AB5" s="871"/>
      <c r="AC5" s="871">
        <v>0.15</v>
      </c>
      <c r="AD5" s="871"/>
      <c r="AE5" s="871">
        <v>0.2</v>
      </c>
      <c r="AF5" s="282"/>
      <c r="AG5" s="283">
        <v>0.1</v>
      </c>
      <c r="AH5" s="283"/>
      <c r="AI5" s="283">
        <v>0.2</v>
      </c>
      <c r="AJ5" s="284"/>
      <c r="AK5" s="284">
        <v>0.3</v>
      </c>
      <c r="AL5" s="285"/>
      <c r="AM5" s="284"/>
      <c r="AN5" s="286"/>
      <c r="AO5" s="19"/>
    </row>
    <row r="6" spans="1:255" s="950" customFormat="1" ht="42.75" thickBot="1" x14ac:dyDescent="0.25">
      <c r="A6" s="167" t="s">
        <v>2</v>
      </c>
      <c r="B6" s="127" t="s">
        <v>279</v>
      </c>
      <c r="C6" s="483" t="s">
        <v>419</v>
      </c>
      <c r="D6" s="213" t="s">
        <v>280</v>
      </c>
      <c r="E6" s="310" t="s">
        <v>333</v>
      </c>
      <c r="F6" s="138" t="s">
        <v>753</v>
      </c>
      <c r="G6" s="139" t="s">
        <v>276</v>
      </c>
      <c r="H6" s="997" t="s">
        <v>469</v>
      </c>
      <c r="I6" s="1545" t="s">
        <v>459</v>
      </c>
      <c r="J6" s="523" t="s">
        <v>461</v>
      </c>
      <c r="K6" s="139" t="s">
        <v>752</v>
      </c>
      <c r="L6" s="1080" t="s">
        <v>714</v>
      </c>
      <c r="M6" s="311" t="s">
        <v>278</v>
      </c>
      <c r="N6" s="311" t="s">
        <v>836</v>
      </c>
      <c r="O6" s="311" t="s">
        <v>288</v>
      </c>
      <c r="P6" s="311" t="s">
        <v>837</v>
      </c>
      <c r="Q6" s="1830" t="s">
        <v>201</v>
      </c>
      <c r="R6" s="890" t="s">
        <v>381</v>
      </c>
      <c r="S6" s="893" t="s">
        <v>292</v>
      </c>
      <c r="T6" s="125" t="s">
        <v>201</v>
      </c>
      <c r="U6" s="121"/>
      <c r="V6" s="300" t="s">
        <v>285</v>
      </c>
      <c r="W6" s="132" t="s">
        <v>281</v>
      </c>
      <c r="X6" s="133" t="s">
        <v>285</v>
      </c>
      <c r="Y6" s="133" t="s">
        <v>511</v>
      </c>
      <c r="Z6" s="134" t="s">
        <v>285</v>
      </c>
      <c r="AA6" s="134" t="s">
        <v>282</v>
      </c>
      <c r="AB6" s="635" t="s">
        <v>285</v>
      </c>
      <c r="AC6" s="635" t="s">
        <v>643</v>
      </c>
      <c r="AD6" s="635" t="s">
        <v>285</v>
      </c>
      <c r="AE6" s="635" t="s">
        <v>644</v>
      </c>
      <c r="AF6" s="135" t="s">
        <v>285</v>
      </c>
      <c r="AG6" s="135" t="s">
        <v>465</v>
      </c>
      <c r="AH6" s="135" t="s">
        <v>285</v>
      </c>
      <c r="AI6" s="135" t="s">
        <v>376</v>
      </c>
      <c r="AJ6" s="136" t="s">
        <v>285</v>
      </c>
      <c r="AK6" s="136" t="s">
        <v>283</v>
      </c>
      <c r="AL6" s="203" t="s">
        <v>284</v>
      </c>
      <c r="AM6" s="203" t="s">
        <v>380</v>
      </c>
      <c r="AN6" s="299" t="s">
        <v>286</v>
      </c>
      <c r="AO6" s="121"/>
      <c r="AP6" s="630" t="s">
        <v>506</v>
      </c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37"/>
      <c r="BN6" s="342"/>
      <c r="BO6" s="342"/>
      <c r="BP6" s="342"/>
      <c r="BQ6" s="342"/>
      <c r="BR6" s="342"/>
      <c r="BS6" s="342"/>
      <c r="BT6" s="342"/>
      <c r="BU6" s="342"/>
      <c r="BV6" s="342"/>
      <c r="BW6" s="342"/>
      <c r="BX6" s="342"/>
      <c r="BY6" s="342"/>
      <c r="BZ6" s="342"/>
      <c r="CA6" s="342"/>
      <c r="CB6" s="342"/>
      <c r="CC6" s="342"/>
      <c r="CD6" s="342"/>
      <c r="CE6" s="342"/>
      <c r="CF6" s="342"/>
      <c r="CG6" s="342"/>
      <c r="CH6" s="342"/>
      <c r="CI6" s="342"/>
      <c r="CJ6" s="342"/>
      <c r="CK6" s="342"/>
      <c r="CL6" s="342"/>
      <c r="CM6" s="342"/>
      <c r="CN6" s="342"/>
      <c r="CO6" s="342"/>
      <c r="CP6" s="342"/>
      <c r="CQ6" s="34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</row>
    <row r="7" spans="1:255" x14ac:dyDescent="0.2">
      <c r="A7" s="168"/>
      <c r="B7" s="25"/>
      <c r="C7" s="482"/>
      <c r="D7" s="168"/>
      <c r="E7" s="58"/>
      <c r="F7" s="312"/>
      <c r="G7" s="58"/>
      <c r="H7" s="174"/>
      <c r="I7" s="174"/>
      <c r="J7" s="496"/>
      <c r="K7" s="58"/>
      <c r="L7" s="1060"/>
      <c r="M7" s="1065"/>
      <c r="N7" s="1070"/>
      <c r="O7" s="1070"/>
      <c r="P7" s="1070"/>
      <c r="Q7" s="1070"/>
      <c r="R7" s="891"/>
      <c r="S7" s="894"/>
      <c r="T7" s="197"/>
      <c r="U7" s="19"/>
      <c r="V7" s="58"/>
      <c r="W7" s="58"/>
      <c r="X7" s="58"/>
      <c r="Y7" s="58"/>
      <c r="Z7" s="58"/>
      <c r="AA7" s="58"/>
      <c r="AB7" s="763"/>
      <c r="AC7" s="771"/>
      <c r="AD7" s="763"/>
      <c r="AE7" s="771"/>
      <c r="AF7" s="58"/>
      <c r="AG7" s="58"/>
      <c r="AH7" s="58"/>
      <c r="AI7" s="58"/>
      <c r="AJ7" s="58"/>
      <c r="AK7" s="58"/>
      <c r="AL7" s="174"/>
      <c r="AM7" s="58"/>
      <c r="AN7" s="118"/>
      <c r="AO7" s="19"/>
    </row>
    <row r="8" spans="1:255" ht="15.75" thickBot="1" x14ac:dyDescent="0.25">
      <c r="A8" s="112" t="s">
        <v>1</v>
      </c>
      <c r="B8" s="26"/>
      <c r="C8" s="482"/>
      <c r="D8" s="212"/>
      <c r="E8" s="27"/>
      <c r="F8" s="313"/>
      <c r="G8" s="27"/>
      <c r="H8" s="174"/>
      <c r="I8" s="175"/>
      <c r="J8" s="524"/>
      <c r="K8" s="27"/>
      <c r="L8" s="1060"/>
      <c r="M8" s="1066"/>
      <c r="N8" s="1591"/>
      <c r="O8" s="1591"/>
      <c r="P8" s="1591"/>
      <c r="Q8" s="1591"/>
      <c r="R8" s="892"/>
      <c r="S8" s="895"/>
      <c r="T8" s="197"/>
      <c r="U8" s="19"/>
      <c r="V8" s="1635"/>
      <c r="W8" s="1636"/>
      <c r="X8" s="1635"/>
      <c r="Y8" s="1635"/>
      <c r="Z8" s="1635"/>
      <c r="AA8" s="1635"/>
      <c r="AB8" s="1637"/>
      <c r="AC8" s="1638"/>
      <c r="AD8" s="1637"/>
      <c r="AE8" s="1638"/>
      <c r="AF8" s="1635"/>
      <c r="AG8" s="1635"/>
      <c r="AH8" s="1635"/>
      <c r="AI8" s="1635"/>
      <c r="AJ8" s="1635"/>
      <c r="AK8" s="1635"/>
      <c r="AL8" s="1639"/>
      <c r="AM8" s="1635"/>
      <c r="AN8" s="1640"/>
      <c r="AO8" s="19"/>
    </row>
    <row r="9" spans="1:255" hidden="1" x14ac:dyDescent="0.2">
      <c r="A9" s="613">
        <v>1</v>
      </c>
      <c r="B9" s="1725" t="s">
        <v>13</v>
      </c>
      <c r="C9" s="1726">
        <f>_xlfn.XLOOKUP(B9,Códigos!$B$8:$B$406,Códigos!$A$8:$A$406,"Verificar",0)</f>
        <v>52</v>
      </c>
      <c r="D9" s="1702">
        <f>_xlfn.XLOOKUP(B9,'Consolidado Cobros'!$B$10:$B$312,'Consolidado Cobros'!$C$10:$C$312,"Verificar",0)</f>
        <v>43431768</v>
      </c>
      <c r="E9" s="1726">
        <f t="shared" ref="E9:E37" si="0">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0,0,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1,1,11-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))</f>
        <v>3</v>
      </c>
      <c r="F9" s="615">
        <f t="shared" ref="F9:F37" si="1">+AN9</f>
        <v>510000</v>
      </c>
      <c r="G9" s="1727">
        <f t="shared" ref="G9:G37" si="2">+F9*$G$5</f>
        <v>96900</v>
      </c>
      <c r="H9" s="1533" t="s">
        <v>471</v>
      </c>
      <c r="I9" s="1728">
        <f>IF(H9="S",-F9*$I$5,"NO RETENCIÓN")</f>
        <v>-56100</v>
      </c>
      <c r="J9" s="1729">
        <f t="shared" ref="J9:J37" si="3">+F9+G9</f>
        <v>606900</v>
      </c>
      <c r="K9" s="519">
        <f t="shared" ref="K9:K37" si="4">SUM(F9:I9)</f>
        <v>550800</v>
      </c>
      <c r="L9" s="1730"/>
      <c r="M9" s="1631" t="s">
        <v>1123</v>
      </c>
      <c r="N9" s="1593" t="s">
        <v>761</v>
      </c>
      <c r="O9" s="1597">
        <v>45987</v>
      </c>
      <c r="P9" s="1593"/>
      <c r="Q9" s="1831"/>
      <c r="R9" s="1459">
        <f t="shared" ref="R9:R37" si="5">+AM9</f>
        <v>0</v>
      </c>
      <c r="S9" s="1460"/>
      <c r="T9" s="1461" t="s">
        <v>628</v>
      </c>
      <c r="U9" s="19"/>
      <c r="V9" s="1641" t="s">
        <v>318</v>
      </c>
      <c r="W9" s="182">
        <f>ROUND(IF(V9="SI",SUMIF('Facturas año anterior'!$B$8:$B$81,B9,'Facturas año anterior'!$V$8:$V$81)*(100%+$W$5),0),-3)+ROUND(IF(V9="SI",SUMIF('C de C año anterior'!$B$8:$B$210,B9,'C de C año anterior'!$Q$8:$Q$210)*(100%+$W$5),0),-3)</f>
        <v>513000</v>
      </c>
      <c r="X9" s="235"/>
      <c r="Y9" s="183">
        <f t="shared" ref="Y9" si="6">ROUND(IF(X9="SI",W9*$Y$5,0),-3)</f>
        <v>0</v>
      </c>
      <c r="Z9" s="236"/>
      <c r="AA9" s="184">
        <f t="shared" ref="AA9" si="7">ROUND(IF(Z9="SI",W9*$AA$5,0),-3)</f>
        <v>0</v>
      </c>
      <c r="AB9" s="883"/>
      <c r="AC9" s="873">
        <f t="shared" ref="AC9" si="8">ROUND(IF(AB9="SI",W9*$AC$5,0),-3)</f>
        <v>0</v>
      </c>
      <c r="AD9" s="883"/>
      <c r="AE9" s="873">
        <f t="shared" ref="AE9" si="9">ROUND(IF(AD9="SI",W9*$AE$5,0),-3)</f>
        <v>0</v>
      </c>
      <c r="AF9" s="237"/>
      <c r="AG9" s="185">
        <f t="shared" ref="AG9" si="10">ROUND(IF(AF9="SI",W9*$AG$5,0),-3)</f>
        <v>0</v>
      </c>
      <c r="AH9" s="235"/>
      <c r="AI9" s="185">
        <f t="shared" ref="AI9" si="11">ROUND(IF(AH9="SI",W9*$AI$5,0),-3)</f>
        <v>0</v>
      </c>
      <c r="AJ9" s="238"/>
      <c r="AK9" s="264">
        <f t="shared" ref="AK9" si="12">IF(AJ9="SI",W9*$AK$5,0)</f>
        <v>0</v>
      </c>
      <c r="AL9" s="205">
        <f>SUMIF('Otras Asesorías y Préstamos'!$B$7:$B$242,B9,'Otras Asesorías y Préstamos'!$F$7:$F$242)</f>
        <v>0</v>
      </c>
      <c r="AM9" s="205">
        <f>SUMIF('Otras Asesorías y Préstamos'!$B$7:$B$242,B9,'Otras Asesorías y Préstamos'!$V$7:$V$242)</f>
        <v>0</v>
      </c>
      <c r="AN9" s="1642">
        <f t="shared" ref="AN9" si="13">ROUND(SUM(W9:AL9),-4)</f>
        <v>510000</v>
      </c>
      <c r="AO9" s="19"/>
    </row>
    <row r="10" spans="1:255" hidden="1" x14ac:dyDescent="0.2">
      <c r="A10" s="1462">
        <f t="shared" ref="A10:A37" si="14">+A9+1</f>
        <v>2</v>
      </c>
      <c r="B10" s="1393" t="s">
        <v>15</v>
      </c>
      <c r="C10" s="1202">
        <f>_xlfn.XLOOKUP(B10,Códigos!$B$8:$B$406,Códigos!$A$8:$A$406,"Verificar",0)</f>
        <v>56</v>
      </c>
      <c r="D10" s="1114">
        <f>_xlfn.XLOOKUP(B10,'Consolidado Cobros'!$B$10:$B$312,'Consolidado Cobros'!$C$10:$C$312,"Verificar",0)</f>
        <v>87082052990</v>
      </c>
      <c r="E10" s="1202">
        <f t="shared" si="0"/>
        <v>2</v>
      </c>
      <c r="F10" s="1463">
        <f t="shared" si="1"/>
        <v>1950000</v>
      </c>
      <c r="G10" s="1464">
        <f t="shared" si="2"/>
        <v>370500</v>
      </c>
      <c r="H10" s="1162" t="s">
        <v>266</v>
      </c>
      <c r="I10" s="1553" t="str">
        <f t="shared" ref="I10:I37" si="15">IF(H10="S",-F10*$I$5,"NO RETENCIÓN")</f>
        <v>NO RETENCIÓN</v>
      </c>
      <c r="J10" s="1465">
        <f t="shared" si="3"/>
        <v>2320500</v>
      </c>
      <c r="K10" s="1466">
        <f t="shared" si="4"/>
        <v>2320500</v>
      </c>
      <c r="L10" s="1188"/>
      <c r="M10" s="1467" t="s">
        <v>1103</v>
      </c>
      <c r="N10" s="1594" t="s">
        <v>761</v>
      </c>
      <c r="O10" s="1598">
        <v>45987</v>
      </c>
      <c r="P10" s="1594"/>
      <c r="Q10" s="1832"/>
      <c r="R10" s="1468">
        <f t="shared" si="5"/>
        <v>0</v>
      </c>
      <c r="S10" s="1469"/>
      <c r="T10" s="327" t="s">
        <v>15</v>
      </c>
      <c r="U10" s="19"/>
      <c r="V10" s="1230" t="s">
        <v>318</v>
      </c>
      <c r="W10" s="119">
        <f>ROUND(IF(V10="SI",SUMIF('Facturas año anterior'!$B$8:$B$81,B10,'Facturas año anterior'!$V$8:$V$81)*(100%+$W$5),0),-3)+ROUND(IF(V10="SI",SUMIF('C de C año anterior'!$B$8:$B$210,B10,'C de C año anterior'!$Q$8:$Q$210)*(100%+$W$5),0),-3)</f>
        <v>612000</v>
      </c>
      <c r="X10" s="239"/>
      <c r="Y10" s="114">
        <f t="shared" ref="Y10:Y46" si="16">ROUND(IF(X10="SI",W10*$Y$5,0),-3)</f>
        <v>0</v>
      </c>
      <c r="Z10" s="240" t="s">
        <v>927</v>
      </c>
      <c r="AA10" s="115">
        <f t="shared" ref="AA10:AA46" si="17">ROUND(IF(Z10="SI",W10*$AA$5,0),-3)</f>
        <v>459000</v>
      </c>
      <c r="AB10" s="884"/>
      <c r="AC10" s="874">
        <f t="shared" ref="AC10:AC46" si="18">ROUND(IF(AB10="SI",W10*$AC$5,0),-3)</f>
        <v>0</v>
      </c>
      <c r="AD10" s="884"/>
      <c r="AE10" s="874">
        <f t="shared" ref="AE10:AE46" si="19">ROUND(IF(AD10="SI",W10*$AE$5,0),-3)</f>
        <v>0</v>
      </c>
      <c r="AF10" s="241"/>
      <c r="AG10" s="116">
        <f t="shared" ref="AG10:AG46" si="20">ROUND(IF(AF10="SI",W10*$AG$5,0),-3)</f>
        <v>0</v>
      </c>
      <c r="AH10" s="239"/>
      <c r="AI10" s="116">
        <f t="shared" ref="AI10:AI46" si="21">ROUND(IF(AH10="SI",W10*$AI$5,0),-3)</f>
        <v>0</v>
      </c>
      <c r="AJ10" s="242" t="s">
        <v>318</v>
      </c>
      <c r="AK10" s="117">
        <f t="shared" ref="AK10:AK46" si="22">IF(AJ10="SI",W10*$AK$5,0)</f>
        <v>183600</v>
      </c>
      <c r="AL10" s="1228">
        <f>SUMIF('Otras Asesorías y Préstamos'!$B$7:$B$242,B10,'Otras Asesorías y Préstamos'!$F$7:$F$242)</f>
        <v>690501.152</v>
      </c>
      <c r="AM10" s="1228">
        <f>SUMIF('Otras Asesorías y Préstamos'!$B$7:$B$242,B10,'Otras Asesorías y Préstamos'!$V$7:$V$242)</f>
        <v>0</v>
      </c>
      <c r="AN10" s="1231">
        <f t="shared" ref="AN10:AN46" si="23">ROUND(SUM(W10:AL10),-4)</f>
        <v>1950000</v>
      </c>
      <c r="AO10" s="19"/>
    </row>
    <row r="11" spans="1:255" hidden="1" x14ac:dyDescent="0.2">
      <c r="A11" s="1462">
        <f t="shared" si="14"/>
        <v>3</v>
      </c>
      <c r="B11" s="1393" t="s">
        <v>17</v>
      </c>
      <c r="C11" s="1202">
        <f>_xlfn.XLOOKUP(B11,Códigos!$B$8:$B$406,Códigos!$A$8:$A$406,"Verificar",0)</f>
        <v>59</v>
      </c>
      <c r="D11" s="1114">
        <f>_xlfn.XLOOKUP(B11,'Consolidado Cobros'!$B$10:$B$312,'Consolidado Cobros'!$C$10:$C$312,"Verificar",0)</f>
        <v>43255512</v>
      </c>
      <c r="E11" s="1202">
        <f t="shared" si="0"/>
        <v>0</v>
      </c>
      <c r="F11" s="1463">
        <f t="shared" si="1"/>
        <v>610000</v>
      </c>
      <c r="G11" s="1464">
        <f t="shared" si="2"/>
        <v>115900</v>
      </c>
      <c r="H11" s="1537" t="s">
        <v>471</v>
      </c>
      <c r="I11" s="1547">
        <f t="shared" si="15"/>
        <v>-67100</v>
      </c>
      <c r="J11" s="1465">
        <f t="shared" si="3"/>
        <v>725900</v>
      </c>
      <c r="K11" s="1466">
        <f t="shared" si="4"/>
        <v>658800</v>
      </c>
      <c r="L11" s="1188"/>
      <c r="M11" s="1467" t="s">
        <v>1110</v>
      </c>
      <c r="N11" s="1594" t="s">
        <v>761</v>
      </c>
      <c r="O11" s="1598">
        <v>45987</v>
      </c>
      <c r="P11" s="1594"/>
      <c r="Q11" s="1832"/>
      <c r="R11" s="1468">
        <f t="shared" si="5"/>
        <v>0</v>
      </c>
      <c r="S11" s="1469"/>
      <c r="T11" s="297" t="s">
        <v>633</v>
      </c>
      <c r="U11" s="19"/>
      <c r="V11" s="1230" t="s">
        <v>318</v>
      </c>
      <c r="W11" s="119">
        <f>ROUND(IF(V11="SI",SUMIF('Facturas año anterior'!$B$8:$B$81,B11,'Facturas año anterior'!$V$8:$V$81)*(100%+$W$5),0),-3)+ROUND(IF(V11="SI",SUMIF('C de C año anterior'!$B$8:$B$210,B11,'C de C año anterior'!$Q$8:$Q$210)*(100%+$W$5),0),-3)</f>
        <v>612000</v>
      </c>
      <c r="X11" s="239"/>
      <c r="Y11" s="114">
        <f t="shared" si="16"/>
        <v>0</v>
      </c>
      <c r="Z11" s="240"/>
      <c r="AA11" s="115">
        <f t="shared" si="17"/>
        <v>0</v>
      </c>
      <c r="AB11" s="884"/>
      <c r="AC11" s="874">
        <f t="shared" si="18"/>
        <v>0</v>
      </c>
      <c r="AD11" s="884"/>
      <c r="AE11" s="874">
        <f t="shared" si="19"/>
        <v>0</v>
      </c>
      <c r="AF11" s="241"/>
      <c r="AG11" s="116">
        <f t="shared" si="20"/>
        <v>0</v>
      </c>
      <c r="AH11" s="239"/>
      <c r="AI11" s="116">
        <f t="shared" si="21"/>
        <v>0</v>
      </c>
      <c r="AJ11" s="242"/>
      <c r="AK11" s="117">
        <f t="shared" si="22"/>
        <v>0</v>
      </c>
      <c r="AL11" s="1228">
        <f>SUMIF('Otras Asesorías y Préstamos'!$B$7:$B$242,B11,'Otras Asesorías y Préstamos'!$F$7:$F$242)</f>
        <v>0</v>
      </c>
      <c r="AM11" s="1228">
        <f>SUMIF('Otras Asesorías y Préstamos'!$B$7:$B$242,B11,'Otras Asesorías y Préstamos'!$V$7:$V$242)</f>
        <v>0</v>
      </c>
      <c r="AN11" s="1231">
        <f t="shared" si="23"/>
        <v>610000</v>
      </c>
      <c r="AO11" s="19"/>
    </row>
    <row r="12" spans="1:255" hidden="1" x14ac:dyDescent="0.2">
      <c r="A12" s="1848">
        <f t="shared" si="14"/>
        <v>4</v>
      </c>
      <c r="B12" s="1849" t="s">
        <v>33</v>
      </c>
      <c r="C12" s="1205">
        <f>_xlfn.XLOOKUP(B12,Códigos!$B$8:$B$406,Códigos!$A$8:$A$406,"Verificar",0)</f>
        <v>75</v>
      </c>
      <c r="D12" s="1264">
        <f>_xlfn.XLOOKUP(B12,'Consolidado Cobros'!$B$10:$B$312,'Consolidado Cobros'!$C$10:$C$312,"Verificar",0)</f>
        <v>21829209</v>
      </c>
      <c r="E12" s="1205">
        <f t="shared" si="0"/>
        <v>8</v>
      </c>
      <c r="F12" s="1736">
        <f t="shared" si="1"/>
        <v>2240000</v>
      </c>
      <c r="G12" s="1737">
        <f t="shared" si="2"/>
        <v>425600</v>
      </c>
      <c r="H12" s="1633" t="s">
        <v>471</v>
      </c>
      <c r="I12" s="1738">
        <f t="shared" si="15"/>
        <v>-246400</v>
      </c>
      <c r="J12" s="1203">
        <f t="shared" si="3"/>
        <v>2665600</v>
      </c>
      <c r="K12" s="1739">
        <f t="shared" si="4"/>
        <v>2419200</v>
      </c>
      <c r="L12" s="1471"/>
      <c r="M12" s="1615"/>
      <c r="N12" s="1634" t="s">
        <v>1124</v>
      </c>
      <c r="O12" s="1598"/>
      <c r="P12" s="1594"/>
      <c r="Q12" s="1832"/>
      <c r="R12" s="1468">
        <f t="shared" si="5"/>
        <v>0</v>
      </c>
      <c r="S12" s="1469"/>
      <c r="T12" s="297" t="s">
        <v>1098</v>
      </c>
      <c r="U12" s="19"/>
      <c r="V12" s="1230" t="s">
        <v>318</v>
      </c>
      <c r="W12" s="119">
        <f>ROUND(IF(V12="SI",SUMIF('Facturas año anterior'!$B$8:$B$81,B12,'Facturas año anterior'!$V$8:$V$81)*(100%+$W$5),0),-3)+ROUND(IF(V12="SI",SUMIF('C de C año anterior'!$B$8:$B$210,B12,'C de C año anterior'!$Q$8:$Q$210)*(100%+$W$5),0),-3)</f>
        <v>994000</v>
      </c>
      <c r="X12" s="239" t="s">
        <v>318</v>
      </c>
      <c r="Y12" s="114">
        <f t="shared" si="16"/>
        <v>497000</v>
      </c>
      <c r="Z12" s="240" t="s">
        <v>318</v>
      </c>
      <c r="AA12" s="115">
        <f t="shared" si="17"/>
        <v>746000</v>
      </c>
      <c r="AB12" s="884"/>
      <c r="AC12" s="874">
        <f t="shared" si="18"/>
        <v>0</v>
      </c>
      <c r="AD12" s="884"/>
      <c r="AE12" s="874">
        <f t="shared" si="19"/>
        <v>0</v>
      </c>
      <c r="AF12" s="241"/>
      <c r="AG12" s="116">
        <f t="shared" si="20"/>
        <v>0</v>
      </c>
      <c r="AH12" s="239"/>
      <c r="AI12" s="116">
        <f t="shared" si="21"/>
        <v>0</v>
      </c>
      <c r="AJ12" s="242"/>
      <c r="AK12" s="117">
        <f t="shared" si="22"/>
        <v>0</v>
      </c>
      <c r="AL12" s="1228">
        <f>SUMIF('Otras Asesorías y Préstamos'!$B$7:$B$242,B12,'Otras Asesorías y Préstamos'!$F$7:$F$242)</f>
        <v>0</v>
      </c>
      <c r="AM12" s="1228">
        <f>SUMIF('Otras Asesorías y Préstamos'!$B$7:$B$242,B12,'Otras Asesorías y Préstamos'!$V$7:$V$242)</f>
        <v>0</v>
      </c>
      <c r="AN12" s="1231">
        <f t="shared" si="23"/>
        <v>2240000</v>
      </c>
      <c r="AO12" s="19"/>
    </row>
    <row r="13" spans="1:255" hidden="1" x14ac:dyDescent="0.2">
      <c r="A13" s="1462">
        <f t="shared" si="14"/>
        <v>5</v>
      </c>
      <c r="B13" s="1393" t="s">
        <v>41</v>
      </c>
      <c r="C13" s="1202">
        <f>_xlfn.XLOOKUP(B13,Códigos!$B$8:$B$406,Códigos!$A$8:$A$406,"Verificar",0)</f>
        <v>81</v>
      </c>
      <c r="D13" s="1114">
        <f>_xlfn.XLOOKUP(B13,'Consolidado Cobros'!$B$10:$B$312,'Consolidado Cobros'!$C$10:$C$312,"Verificar",0)</f>
        <v>21378780</v>
      </c>
      <c r="E13" s="1202">
        <f t="shared" si="0"/>
        <v>6</v>
      </c>
      <c r="F13" s="1463">
        <f t="shared" si="1"/>
        <v>1900000</v>
      </c>
      <c r="G13" s="1464">
        <f t="shared" si="2"/>
        <v>361000</v>
      </c>
      <c r="H13" s="1537" t="s">
        <v>471</v>
      </c>
      <c r="I13" s="1547">
        <f t="shared" si="15"/>
        <v>-209000</v>
      </c>
      <c r="J13" s="1465">
        <f t="shared" si="3"/>
        <v>2261000</v>
      </c>
      <c r="K13" s="1466">
        <f t="shared" si="4"/>
        <v>2052000</v>
      </c>
      <c r="L13" s="1188"/>
      <c r="M13" s="1467" t="s">
        <v>1120</v>
      </c>
      <c r="N13" s="1594" t="s">
        <v>761</v>
      </c>
      <c r="O13" s="1598">
        <v>45987</v>
      </c>
      <c r="P13" s="1594"/>
      <c r="Q13" s="1832"/>
      <c r="R13" s="1468">
        <f t="shared" si="5"/>
        <v>0</v>
      </c>
      <c r="S13" s="1469"/>
      <c r="T13" s="297" t="s">
        <v>631</v>
      </c>
      <c r="U13" s="19"/>
      <c r="V13" s="1230" t="s">
        <v>318</v>
      </c>
      <c r="W13" s="119">
        <f>ROUND(IF(V13="SI",SUMIF('Facturas año anterior'!$B$8:$B$81,B13,'Facturas año anterior'!$V$8:$V$81)*(100%+$W$5),0),-3)+ROUND(IF(V13="SI",SUMIF('C de C año anterior'!$B$8:$B$210,B13,'C de C año anterior'!$Q$8:$Q$210)*(100%+$W$5),0),-3)</f>
        <v>1904000</v>
      </c>
      <c r="X13" s="239"/>
      <c r="Y13" s="114">
        <f t="shared" si="16"/>
        <v>0</v>
      </c>
      <c r="Z13" s="240"/>
      <c r="AA13" s="115">
        <f t="shared" si="17"/>
        <v>0</v>
      </c>
      <c r="AB13" s="884"/>
      <c r="AC13" s="874">
        <f t="shared" si="18"/>
        <v>0</v>
      </c>
      <c r="AD13" s="884"/>
      <c r="AE13" s="874">
        <f t="shared" si="19"/>
        <v>0</v>
      </c>
      <c r="AF13" s="241"/>
      <c r="AG13" s="116">
        <f t="shared" si="20"/>
        <v>0</v>
      </c>
      <c r="AH13" s="239"/>
      <c r="AI13" s="116">
        <f t="shared" si="21"/>
        <v>0</v>
      </c>
      <c r="AJ13" s="242"/>
      <c r="AK13" s="117">
        <f t="shared" si="22"/>
        <v>0</v>
      </c>
      <c r="AL13" s="1228">
        <f>SUMIF('Otras Asesorías y Préstamos'!$B$7:$B$242,B13,'Otras Asesorías y Préstamos'!$F$7:$F$242)</f>
        <v>0</v>
      </c>
      <c r="AM13" s="1228">
        <f>SUMIF('Otras Asesorías y Préstamos'!$B$7:$B$242,B13,'Otras Asesorías y Préstamos'!$V$7:$V$242)</f>
        <v>0</v>
      </c>
      <c r="AN13" s="1231">
        <f t="shared" si="23"/>
        <v>1900000</v>
      </c>
      <c r="AO13" s="19"/>
    </row>
    <row r="14" spans="1:255" hidden="1" x14ac:dyDescent="0.2">
      <c r="A14" s="1462">
        <f t="shared" si="14"/>
        <v>6</v>
      </c>
      <c r="B14" s="1393" t="s">
        <v>390</v>
      </c>
      <c r="C14" s="1202">
        <f>_xlfn.XLOOKUP(B14,Códigos!$B$8:$B$406,Códigos!$A$8:$A$406,"Verificar",0)</f>
        <v>54</v>
      </c>
      <c r="D14" s="1114">
        <f>_xlfn.XLOOKUP(B14,'Consolidado Cobros'!$B$10:$B$312,'Consolidado Cobros'!$C$10:$C$312,"Verificar",0)</f>
        <v>43422834</v>
      </c>
      <c r="E14" s="1202">
        <f t="shared" si="0"/>
        <v>3</v>
      </c>
      <c r="F14" s="1463">
        <f t="shared" si="1"/>
        <v>610000</v>
      </c>
      <c r="G14" s="1464">
        <f t="shared" si="2"/>
        <v>115900</v>
      </c>
      <c r="H14" s="1537" t="s">
        <v>471</v>
      </c>
      <c r="I14" s="1547">
        <f t="shared" si="15"/>
        <v>-67100</v>
      </c>
      <c r="J14" s="1465">
        <f t="shared" si="3"/>
        <v>725900</v>
      </c>
      <c r="K14" s="1466">
        <f t="shared" si="4"/>
        <v>658800</v>
      </c>
      <c r="L14" s="1188"/>
      <c r="M14" s="1467" t="s">
        <v>1110</v>
      </c>
      <c r="N14" s="1594" t="s">
        <v>761</v>
      </c>
      <c r="O14" s="1598">
        <v>45987</v>
      </c>
      <c r="P14" s="1594"/>
      <c r="Q14" s="1832"/>
      <c r="R14" s="1468">
        <f t="shared" si="5"/>
        <v>0</v>
      </c>
      <c r="S14" s="1469"/>
      <c r="T14" s="297" t="s">
        <v>633</v>
      </c>
      <c r="U14" s="19"/>
      <c r="V14" s="1230" t="s">
        <v>318</v>
      </c>
      <c r="W14" s="119">
        <f>ROUND(IF(V14="SI",SUMIF('Facturas año anterior'!$B$8:$B$81,B14,'Facturas año anterior'!$V$8:$V$81)*(100%+$W$5),0),-3)+ROUND(IF(V14="SI",SUMIF('C de C año anterior'!$B$8:$B$210,B14,'C de C año anterior'!$Q$8:$Q$210)*(100%+$W$5),0),-3)</f>
        <v>612000</v>
      </c>
      <c r="X14" s="239"/>
      <c r="Y14" s="114">
        <f t="shared" si="16"/>
        <v>0</v>
      </c>
      <c r="Z14" s="240"/>
      <c r="AA14" s="115">
        <f t="shared" si="17"/>
        <v>0</v>
      </c>
      <c r="AB14" s="884"/>
      <c r="AC14" s="874">
        <f t="shared" si="18"/>
        <v>0</v>
      </c>
      <c r="AD14" s="884"/>
      <c r="AE14" s="874">
        <f t="shared" si="19"/>
        <v>0</v>
      </c>
      <c r="AF14" s="241"/>
      <c r="AG14" s="116">
        <f t="shared" si="20"/>
        <v>0</v>
      </c>
      <c r="AH14" s="239"/>
      <c r="AI14" s="116">
        <f t="shared" si="21"/>
        <v>0</v>
      </c>
      <c r="AJ14" s="242"/>
      <c r="AK14" s="117">
        <f t="shared" si="22"/>
        <v>0</v>
      </c>
      <c r="AL14" s="1228">
        <f>SUMIF('Otras Asesorías y Préstamos'!$B$7:$B$242,B14,'Otras Asesorías y Préstamos'!$F$7:$F$242)</f>
        <v>0</v>
      </c>
      <c r="AM14" s="1228">
        <f>SUMIF('Otras Asesorías y Préstamos'!$B$7:$B$242,B14,'Otras Asesorías y Préstamos'!$V$7:$V$242)</f>
        <v>0</v>
      </c>
      <c r="AN14" s="1231">
        <f t="shared" si="23"/>
        <v>610000</v>
      </c>
      <c r="AO14" s="19"/>
    </row>
    <row r="15" spans="1:255" hidden="1" x14ac:dyDescent="0.2">
      <c r="A15" s="1462">
        <f t="shared" si="14"/>
        <v>7</v>
      </c>
      <c r="B15" s="1393" t="s">
        <v>59</v>
      </c>
      <c r="C15" s="1202">
        <f>_xlfn.XLOOKUP(B15,Códigos!$B$8:$B$406,Códigos!$A$8:$A$406,"Verificar",0)</f>
        <v>99</v>
      </c>
      <c r="D15" s="1114">
        <f>_xlfn.XLOOKUP(B15,'Consolidado Cobros'!$B$10:$B$312,'Consolidado Cobros'!$C$10:$C$312,"Verificar",0)</f>
        <v>43422711</v>
      </c>
      <c r="E15" s="1202">
        <f t="shared" si="0"/>
        <v>6</v>
      </c>
      <c r="F15" s="1463">
        <f t="shared" si="1"/>
        <v>1410000</v>
      </c>
      <c r="G15" s="1464">
        <f t="shared" si="2"/>
        <v>267900</v>
      </c>
      <c r="H15" s="1537" t="s">
        <v>471</v>
      </c>
      <c r="I15" s="1547">
        <f t="shared" si="15"/>
        <v>-155100</v>
      </c>
      <c r="J15" s="1465">
        <f t="shared" si="3"/>
        <v>1677900</v>
      </c>
      <c r="K15" s="1466">
        <f t="shared" si="4"/>
        <v>1522800</v>
      </c>
      <c r="L15" s="1188"/>
      <c r="M15" s="1467" t="s">
        <v>1110</v>
      </c>
      <c r="N15" s="1594" t="s">
        <v>761</v>
      </c>
      <c r="O15" s="1598">
        <v>45987</v>
      </c>
      <c r="P15" s="1594"/>
      <c r="Q15" s="1832"/>
      <c r="R15" s="1468">
        <f t="shared" si="5"/>
        <v>0</v>
      </c>
      <c r="S15" s="1469"/>
      <c r="T15" s="297" t="s">
        <v>633</v>
      </c>
      <c r="U15" s="19"/>
      <c r="V15" s="1230" t="s">
        <v>318</v>
      </c>
      <c r="W15" s="119">
        <f>ROUND(IF(V15="SI",SUMIF('Facturas año anterior'!$B$8:$B$81,B15,'Facturas año anterior'!$V$8:$V$81)*(100%+$W$5),0),-3)+ROUND(IF(V15="SI",SUMIF('C de C año anterior'!$B$8:$B$210,B15,'C de C año anterior'!$Q$8:$Q$210)*(100%+$W$5),0),-3)</f>
        <v>1410000</v>
      </c>
      <c r="X15" s="239"/>
      <c r="Y15" s="114">
        <f t="shared" si="16"/>
        <v>0</v>
      </c>
      <c r="Z15" s="240"/>
      <c r="AA15" s="115">
        <f t="shared" si="17"/>
        <v>0</v>
      </c>
      <c r="AB15" s="884"/>
      <c r="AC15" s="874">
        <f t="shared" si="18"/>
        <v>0</v>
      </c>
      <c r="AD15" s="884"/>
      <c r="AE15" s="874">
        <f t="shared" si="19"/>
        <v>0</v>
      </c>
      <c r="AF15" s="241"/>
      <c r="AG15" s="116">
        <f t="shared" si="20"/>
        <v>0</v>
      </c>
      <c r="AH15" s="239"/>
      <c r="AI15" s="116">
        <f t="shared" si="21"/>
        <v>0</v>
      </c>
      <c r="AJ15" s="242"/>
      <c r="AK15" s="117">
        <f t="shared" si="22"/>
        <v>0</v>
      </c>
      <c r="AL15" s="1228">
        <f>SUMIF('Otras Asesorías y Préstamos'!$B$7:$B$242,B15,'Otras Asesorías y Préstamos'!$F$7:$F$242)</f>
        <v>0</v>
      </c>
      <c r="AM15" s="1228">
        <f>SUMIF('Otras Asesorías y Préstamos'!$B$7:$B$242,B15,'Otras Asesorías y Préstamos'!$V$7:$V$242)</f>
        <v>0</v>
      </c>
      <c r="AN15" s="1231">
        <f t="shared" si="23"/>
        <v>1410000</v>
      </c>
      <c r="AO15" s="19"/>
    </row>
    <row r="16" spans="1:255" hidden="1" x14ac:dyDescent="0.2">
      <c r="A16" s="1462">
        <f t="shared" si="14"/>
        <v>8</v>
      </c>
      <c r="B16" s="1393" t="s">
        <v>397</v>
      </c>
      <c r="C16" s="1202">
        <f>_xlfn.XLOOKUP(B16,Códigos!$B$8:$B$406,Códigos!$A$8:$A$406,"Verificar",0)</f>
        <v>80</v>
      </c>
      <c r="D16" s="1114">
        <f>_xlfn.XLOOKUP(B16,'Consolidado Cobros'!$B$10:$B$312,'Consolidado Cobros'!$C$10:$C$312,"Verificar",0)</f>
        <v>1037630601</v>
      </c>
      <c r="E16" s="1202">
        <f t="shared" si="0"/>
        <v>5</v>
      </c>
      <c r="F16" s="1463">
        <f t="shared" si="1"/>
        <v>220000</v>
      </c>
      <c r="G16" s="1464">
        <f t="shared" si="2"/>
        <v>41800</v>
      </c>
      <c r="H16" s="1537" t="s">
        <v>471</v>
      </c>
      <c r="I16" s="1547">
        <f t="shared" si="15"/>
        <v>-24200</v>
      </c>
      <c r="J16" s="1465">
        <f t="shared" si="3"/>
        <v>261800</v>
      </c>
      <c r="K16" s="1466">
        <f t="shared" si="4"/>
        <v>237600</v>
      </c>
      <c r="L16" s="1188"/>
      <c r="M16" s="1731" t="s">
        <v>1123</v>
      </c>
      <c r="N16" s="1594" t="s">
        <v>761</v>
      </c>
      <c r="O16" s="1598">
        <v>45987</v>
      </c>
      <c r="P16" s="1594"/>
      <c r="Q16" s="1832"/>
      <c r="R16" s="1468">
        <f t="shared" si="5"/>
        <v>0</v>
      </c>
      <c r="S16" s="1469"/>
      <c r="T16" s="297" t="s">
        <v>628</v>
      </c>
      <c r="U16" s="19"/>
      <c r="V16" s="1230" t="s">
        <v>318</v>
      </c>
      <c r="W16" s="119">
        <f>ROUND(IF(V16="SI",SUMIF('Facturas año anterior'!$B$8:$B$81,B16,'Facturas año anterior'!$V$8:$V$81)*(100%+$W$5),0),-3)+ROUND(IF(V16="SI",SUMIF('C de C año anterior'!$B$8:$B$210,B16,'C de C año anterior'!$Q$8:$Q$210)*(100%+$W$5),0),-3)</f>
        <v>221000</v>
      </c>
      <c r="X16" s="239"/>
      <c r="Y16" s="114">
        <f t="shared" si="16"/>
        <v>0</v>
      </c>
      <c r="Z16" s="240"/>
      <c r="AA16" s="115">
        <f t="shared" si="17"/>
        <v>0</v>
      </c>
      <c r="AB16" s="884"/>
      <c r="AC16" s="874">
        <f t="shared" si="18"/>
        <v>0</v>
      </c>
      <c r="AD16" s="884"/>
      <c r="AE16" s="874">
        <f t="shared" si="19"/>
        <v>0</v>
      </c>
      <c r="AF16" s="241"/>
      <c r="AG16" s="116">
        <f t="shared" si="20"/>
        <v>0</v>
      </c>
      <c r="AH16" s="239"/>
      <c r="AI16" s="116">
        <f t="shared" si="21"/>
        <v>0</v>
      </c>
      <c r="AJ16" s="242"/>
      <c r="AK16" s="117">
        <f t="shared" si="22"/>
        <v>0</v>
      </c>
      <c r="AL16" s="1228">
        <f>SUMIF('Otras Asesorías y Préstamos'!$B$7:$B$242,B16,'Otras Asesorías y Préstamos'!$F$7:$F$242)</f>
        <v>0</v>
      </c>
      <c r="AM16" s="1228">
        <f>SUMIF('Otras Asesorías y Préstamos'!$B$7:$B$242,B16,'Otras Asesorías y Préstamos'!$V$7:$V$242)</f>
        <v>0</v>
      </c>
      <c r="AN16" s="1231">
        <f t="shared" si="23"/>
        <v>220000</v>
      </c>
      <c r="AO16" s="19"/>
    </row>
    <row r="17" spans="1:41" hidden="1" x14ac:dyDescent="0.2">
      <c r="A17" s="1462">
        <f t="shared" si="14"/>
        <v>9</v>
      </c>
      <c r="B17" s="1393" t="s">
        <v>89</v>
      </c>
      <c r="C17" s="1202">
        <f>_xlfn.XLOOKUP(B17,Códigos!$B$8:$B$406,Códigos!$A$8:$A$406,"Verificar",0)</f>
        <v>216</v>
      </c>
      <c r="D17" s="1114">
        <f>_xlfn.XLOOKUP(B17,'Consolidado Cobros'!$B$10:$B$312,'Consolidado Cobros'!$C$10:$C$312,"Verificar",0)</f>
        <v>32523581</v>
      </c>
      <c r="E17" s="1202">
        <f t="shared" si="0"/>
        <v>9</v>
      </c>
      <c r="F17" s="1463">
        <f t="shared" si="1"/>
        <v>1480000</v>
      </c>
      <c r="G17" s="1464">
        <f t="shared" si="2"/>
        <v>281200</v>
      </c>
      <c r="H17" s="1537" t="s">
        <v>471</v>
      </c>
      <c r="I17" s="1547">
        <f t="shared" si="15"/>
        <v>-162800</v>
      </c>
      <c r="J17" s="1465">
        <f t="shared" si="3"/>
        <v>1761200</v>
      </c>
      <c r="K17" s="1466">
        <f t="shared" si="4"/>
        <v>1598400</v>
      </c>
      <c r="L17" s="1188"/>
      <c r="M17" s="1467" t="s">
        <v>1117</v>
      </c>
      <c r="N17" s="1594" t="s">
        <v>761</v>
      </c>
      <c r="O17" s="1598">
        <v>45987</v>
      </c>
      <c r="P17" s="1594"/>
      <c r="Q17" s="1832"/>
      <c r="R17" s="1468">
        <f t="shared" si="5"/>
        <v>0</v>
      </c>
      <c r="S17" s="1469"/>
      <c r="T17" s="1487" t="s">
        <v>820</v>
      </c>
      <c r="U17" s="19"/>
      <c r="V17" s="1230" t="s">
        <v>318</v>
      </c>
      <c r="W17" s="119">
        <f>ROUND(IF(V17="SI",SUMIF('Facturas año anterior'!$B$8:$B$81,B17,'Facturas año anterior'!$V$8:$V$81)*(100%+$W$5),0),-3)+ROUND(IF(V17="SI",SUMIF('C de C año anterior'!$B$8:$B$210,B17,'C de C año anterior'!$Q$8:$Q$210)*(100%+$W$5),0),-3)</f>
        <v>1483000</v>
      </c>
      <c r="X17" s="239"/>
      <c r="Y17" s="114">
        <f t="shared" si="16"/>
        <v>0</v>
      </c>
      <c r="Z17" s="240"/>
      <c r="AA17" s="115">
        <f t="shared" si="17"/>
        <v>0</v>
      </c>
      <c r="AB17" s="884"/>
      <c r="AC17" s="874">
        <f t="shared" si="18"/>
        <v>0</v>
      </c>
      <c r="AD17" s="884"/>
      <c r="AE17" s="874">
        <f t="shared" si="19"/>
        <v>0</v>
      </c>
      <c r="AF17" s="241"/>
      <c r="AG17" s="116">
        <f t="shared" si="20"/>
        <v>0</v>
      </c>
      <c r="AH17" s="239"/>
      <c r="AI17" s="116">
        <f t="shared" si="21"/>
        <v>0</v>
      </c>
      <c r="AJ17" s="242"/>
      <c r="AK17" s="117">
        <f t="shared" si="22"/>
        <v>0</v>
      </c>
      <c r="AL17" s="1228">
        <f>SUMIF('Otras Asesorías y Préstamos'!$B$7:$B$242,B17,'Otras Asesorías y Préstamos'!$F$7:$F$242)</f>
        <v>0</v>
      </c>
      <c r="AM17" s="1228">
        <f>SUMIF('Otras Asesorías y Préstamos'!$B$7:$B$242,B17,'Otras Asesorías y Préstamos'!$V$7:$V$242)</f>
        <v>0</v>
      </c>
      <c r="AN17" s="1231">
        <f t="shared" si="23"/>
        <v>1480000</v>
      </c>
      <c r="AO17" s="19"/>
    </row>
    <row r="18" spans="1:41" hidden="1" x14ac:dyDescent="0.2">
      <c r="A18" s="1462">
        <f t="shared" si="14"/>
        <v>10</v>
      </c>
      <c r="B18" s="1393" t="s">
        <v>117</v>
      </c>
      <c r="C18" s="1202">
        <f>_xlfn.XLOOKUP(B18,Códigos!$B$8:$B$406,Códigos!$A$8:$A$406,"Verificar",0)</f>
        <v>155</v>
      </c>
      <c r="D18" s="1114">
        <f>_xlfn.XLOOKUP(B18,'Consolidado Cobros'!$B$10:$B$312,'Consolidado Cobros'!$C$10:$C$312,"Verificar",0)</f>
        <v>92102300043</v>
      </c>
      <c r="E18" s="1202">
        <f t="shared" si="0"/>
        <v>1</v>
      </c>
      <c r="F18" s="1463">
        <f t="shared" si="1"/>
        <v>800000</v>
      </c>
      <c r="G18" s="1464">
        <f t="shared" si="2"/>
        <v>152000</v>
      </c>
      <c r="H18" s="1537" t="s">
        <v>471</v>
      </c>
      <c r="I18" s="1547">
        <f t="shared" si="15"/>
        <v>-88000</v>
      </c>
      <c r="J18" s="1465">
        <f t="shared" si="3"/>
        <v>952000</v>
      </c>
      <c r="K18" s="1466">
        <f t="shared" si="4"/>
        <v>864000</v>
      </c>
      <c r="L18" s="1188"/>
      <c r="M18" s="1467" t="s">
        <v>1107</v>
      </c>
      <c r="N18" s="1594" t="s">
        <v>761</v>
      </c>
      <c r="O18" s="1598">
        <v>45987</v>
      </c>
      <c r="P18" s="1594"/>
      <c r="Q18" s="1832"/>
      <c r="R18" s="1468">
        <f t="shared" si="5"/>
        <v>0</v>
      </c>
      <c r="S18" s="1469"/>
      <c r="T18" s="297" t="s">
        <v>634</v>
      </c>
      <c r="U18" s="19"/>
      <c r="V18" s="1230" t="s">
        <v>318</v>
      </c>
      <c r="W18" s="119">
        <f>ROUND(IF(V18="SI",SUMIF('Facturas año anterior'!$B$8:$B$81,B18,'Facturas año anterior'!$V$8:$V$81)*(100%+$W$5),0),-3)+ROUND(IF(V18="SI",SUMIF('C de C año anterior'!$B$8:$B$210,B18,'C de C año anterior'!$Q$8:$Q$210)*(100%+$W$5),0),-3)</f>
        <v>612000</v>
      </c>
      <c r="X18" s="239"/>
      <c r="Y18" s="114">
        <f t="shared" si="16"/>
        <v>0</v>
      </c>
      <c r="Z18" s="240"/>
      <c r="AA18" s="115">
        <f t="shared" si="17"/>
        <v>0</v>
      </c>
      <c r="AB18" s="884"/>
      <c r="AC18" s="874">
        <f t="shared" si="18"/>
        <v>0</v>
      </c>
      <c r="AD18" s="884"/>
      <c r="AE18" s="874">
        <f t="shared" si="19"/>
        <v>0</v>
      </c>
      <c r="AF18" s="241"/>
      <c r="AG18" s="116">
        <f t="shared" si="20"/>
        <v>0</v>
      </c>
      <c r="AH18" s="239"/>
      <c r="AI18" s="116">
        <f t="shared" si="21"/>
        <v>0</v>
      </c>
      <c r="AJ18" s="242" t="s">
        <v>318</v>
      </c>
      <c r="AK18" s="117">
        <f t="shared" si="22"/>
        <v>183600</v>
      </c>
      <c r="AL18" s="1228">
        <f>SUMIF('Otras Asesorías y Préstamos'!$B$7:$B$242,B18,'Otras Asesorías y Préstamos'!$F$7:$F$242)</f>
        <v>0</v>
      </c>
      <c r="AM18" s="1228">
        <f>SUMIF('Otras Asesorías y Préstamos'!$B$7:$B$242,B18,'Otras Asesorías y Préstamos'!$V$7:$V$242)</f>
        <v>0</v>
      </c>
      <c r="AN18" s="1231">
        <f t="shared" si="23"/>
        <v>800000</v>
      </c>
      <c r="AO18" s="19"/>
    </row>
    <row r="19" spans="1:41" hidden="1" x14ac:dyDescent="0.2">
      <c r="A19" s="1462">
        <f t="shared" si="14"/>
        <v>11</v>
      </c>
      <c r="B19" s="1393" t="s">
        <v>120</v>
      </c>
      <c r="C19" s="1202">
        <f>_xlfn.XLOOKUP(B19,Códigos!$B$8:$B$406,Códigos!$A$8:$A$406,"Verificar",0)</f>
        <v>158</v>
      </c>
      <c r="D19" s="1114">
        <f>_xlfn.XLOOKUP(B19,'Consolidado Cobros'!$B$10:$B$312,'Consolidado Cobros'!$C$10:$C$312,"Verificar",0)</f>
        <v>21356663</v>
      </c>
      <c r="E19" s="1202">
        <f t="shared" si="0"/>
        <v>8</v>
      </c>
      <c r="F19" s="1463">
        <f t="shared" si="1"/>
        <v>1790000</v>
      </c>
      <c r="G19" s="1464">
        <f t="shared" si="2"/>
        <v>340100</v>
      </c>
      <c r="H19" s="1162" t="s">
        <v>266</v>
      </c>
      <c r="I19" s="1553" t="str">
        <f t="shared" si="15"/>
        <v>NO RETENCIÓN</v>
      </c>
      <c r="J19" s="1465">
        <f t="shared" si="3"/>
        <v>2130100</v>
      </c>
      <c r="K19" s="1466">
        <f t="shared" si="4"/>
        <v>2130100</v>
      </c>
      <c r="L19" s="1188"/>
      <c r="M19" s="1467" t="s">
        <v>1105</v>
      </c>
      <c r="N19" s="1594" t="s">
        <v>761</v>
      </c>
      <c r="O19" s="1598">
        <v>45987</v>
      </c>
      <c r="P19" s="1594"/>
      <c r="Q19" s="1832"/>
      <c r="R19" s="1468">
        <f t="shared" si="5"/>
        <v>0</v>
      </c>
      <c r="S19" s="1469"/>
      <c r="T19" s="297" t="s">
        <v>630</v>
      </c>
      <c r="U19" s="19"/>
      <c r="V19" s="1230" t="s">
        <v>318</v>
      </c>
      <c r="W19" s="119">
        <f>ROUND(IF(V19="SI",SUMIF('Facturas año anterior'!$B$8:$B$81,B19,'Facturas año anterior'!$V$8:$V$81)*(100%+$W$5),0),-3)+ROUND(IF(V19="SI",SUMIF('C de C año anterior'!$B$8:$B$210,B19,'C de C año anterior'!$Q$8:$Q$210)*(100%+$W$5),0),-3)</f>
        <v>1410000</v>
      </c>
      <c r="X19" s="239"/>
      <c r="Y19" s="114">
        <f t="shared" si="16"/>
        <v>0</v>
      </c>
      <c r="Z19" s="240"/>
      <c r="AA19" s="115">
        <f t="shared" si="17"/>
        <v>0</v>
      </c>
      <c r="AB19" s="884"/>
      <c r="AC19" s="874">
        <f t="shared" si="18"/>
        <v>0</v>
      </c>
      <c r="AD19" s="884"/>
      <c r="AE19" s="874">
        <f t="shared" si="19"/>
        <v>0</v>
      </c>
      <c r="AF19" s="241"/>
      <c r="AG19" s="116">
        <f t="shared" si="20"/>
        <v>0</v>
      </c>
      <c r="AH19" s="239"/>
      <c r="AI19" s="116">
        <f t="shared" si="21"/>
        <v>0</v>
      </c>
      <c r="AJ19" s="242"/>
      <c r="AK19" s="117">
        <f t="shared" si="22"/>
        <v>0</v>
      </c>
      <c r="AL19" s="1228">
        <f>SUMIF('Otras Asesorías y Préstamos'!$B$7:$B$242,B19,'Otras Asesorías y Préstamos'!$F$7:$F$242)</f>
        <v>384582.99712041917</v>
      </c>
      <c r="AM19" s="1228">
        <f>SUMIF('Otras Asesorías y Préstamos'!$B$7:$B$242,B19,'Otras Asesorías y Préstamos'!$V$7:$V$242)</f>
        <v>0</v>
      </c>
      <c r="AN19" s="1231">
        <f t="shared" si="23"/>
        <v>1790000</v>
      </c>
      <c r="AO19" s="19"/>
    </row>
    <row r="20" spans="1:41" hidden="1" x14ac:dyDescent="0.2">
      <c r="A20" s="1462">
        <f t="shared" si="14"/>
        <v>12</v>
      </c>
      <c r="B20" s="1393" t="s">
        <v>121</v>
      </c>
      <c r="C20" s="1202">
        <f>_xlfn.XLOOKUP(B20,Códigos!$B$8:$B$406,Códigos!$A$8:$A$406,"Verificar",0)</f>
        <v>159</v>
      </c>
      <c r="D20" s="1114">
        <f>_xlfn.XLOOKUP(B20,'Consolidado Cobros'!$B$10:$B$312,'Consolidado Cobros'!$C$10:$C$312,"Verificar",0)</f>
        <v>87101474230</v>
      </c>
      <c r="E20" s="1202">
        <f t="shared" si="0"/>
        <v>2</v>
      </c>
      <c r="F20" s="1463">
        <f t="shared" si="1"/>
        <v>610000</v>
      </c>
      <c r="G20" s="1464">
        <f t="shared" si="2"/>
        <v>115900</v>
      </c>
      <c r="H20" s="1537" t="s">
        <v>471</v>
      </c>
      <c r="I20" s="1547">
        <f t="shared" si="15"/>
        <v>-67100</v>
      </c>
      <c r="J20" s="1465">
        <f t="shared" si="3"/>
        <v>725900</v>
      </c>
      <c r="K20" s="1466">
        <f t="shared" si="4"/>
        <v>658800</v>
      </c>
      <c r="L20" s="1188"/>
      <c r="M20" s="1467" t="s">
        <v>1094</v>
      </c>
      <c r="N20" s="1594" t="s">
        <v>1096</v>
      </c>
      <c r="O20" s="1598">
        <v>45974</v>
      </c>
      <c r="P20" s="1594"/>
      <c r="Q20" s="1832"/>
      <c r="R20" s="1468">
        <f t="shared" si="5"/>
        <v>0</v>
      </c>
      <c r="S20" s="1469"/>
      <c r="T20" s="297" t="s">
        <v>635</v>
      </c>
      <c r="U20" s="19"/>
      <c r="V20" s="1230" t="s">
        <v>318</v>
      </c>
      <c r="W20" s="119">
        <f>ROUND(IF(V20="SI",SUMIF('Facturas año anterior'!$B$8:$B$81,B20,'Facturas año anterior'!$V$8:$V$81)*(100%+$W$5),0),-3)+ROUND(IF(V20="SI",SUMIF('C de C año anterior'!$B$8:$B$210,B20,'C de C año anterior'!$Q$8:$Q$210)*(100%+$W$5),0),-3)</f>
        <v>612000</v>
      </c>
      <c r="X20" s="239"/>
      <c r="Y20" s="114">
        <f t="shared" si="16"/>
        <v>0</v>
      </c>
      <c r="Z20" s="240"/>
      <c r="AA20" s="115">
        <f t="shared" si="17"/>
        <v>0</v>
      </c>
      <c r="AB20" s="884"/>
      <c r="AC20" s="874">
        <f t="shared" si="18"/>
        <v>0</v>
      </c>
      <c r="AD20" s="884"/>
      <c r="AE20" s="874">
        <f t="shared" si="19"/>
        <v>0</v>
      </c>
      <c r="AF20" s="241"/>
      <c r="AG20" s="116">
        <f t="shared" si="20"/>
        <v>0</v>
      </c>
      <c r="AH20" s="239"/>
      <c r="AI20" s="116">
        <f t="shared" si="21"/>
        <v>0</v>
      </c>
      <c r="AJ20" s="242"/>
      <c r="AK20" s="117">
        <f t="shared" si="22"/>
        <v>0</v>
      </c>
      <c r="AL20" s="1228">
        <f>SUMIF('Otras Asesorías y Préstamos'!$B$7:$B$242,B20,'Otras Asesorías y Préstamos'!$F$7:$F$242)</f>
        <v>0</v>
      </c>
      <c r="AM20" s="1228">
        <f>SUMIF('Otras Asesorías y Préstamos'!$B$7:$B$242,B20,'Otras Asesorías y Préstamos'!$V$7:$V$242)</f>
        <v>0</v>
      </c>
      <c r="AN20" s="1231">
        <f t="shared" si="23"/>
        <v>610000</v>
      </c>
      <c r="AO20" s="19"/>
    </row>
    <row r="21" spans="1:41" hidden="1" x14ac:dyDescent="0.2">
      <c r="A21" s="1462">
        <f t="shared" si="14"/>
        <v>13</v>
      </c>
      <c r="B21" s="1393" t="s">
        <v>122</v>
      </c>
      <c r="C21" s="1202">
        <f>_xlfn.XLOOKUP(B21,Códigos!$B$8:$B$406,Códigos!$A$8:$A$406,"Verificar",0)</f>
        <v>160</v>
      </c>
      <c r="D21" s="1114">
        <f>_xlfn.XLOOKUP(B21,'Consolidado Cobros'!$B$10:$B$312,'Consolidado Cobros'!$C$10:$C$312,"Verificar",0)</f>
        <v>71368472</v>
      </c>
      <c r="E21" s="1202">
        <f t="shared" si="0"/>
        <v>1</v>
      </c>
      <c r="F21" s="1463">
        <f t="shared" si="1"/>
        <v>1280000</v>
      </c>
      <c r="G21" s="1464">
        <f t="shared" si="2"/>
        <v>243200</v>
      </c>
      <c r="H21" s="1537" t="s">
        <v>471</v>
      </c>
      <c r="I21" s="1547">
        <f t="shared" si="15"/>
        <v>-140800</v>
      </c>
      <c r="J21" s="1465">
        <f t="shared" si="3"/>
        <v>1523200</v>
      </c>
      <c r="K21" s="1466">
        <f t="shared" si="4"/>
        <v>1382400</v>
      </c>
      <c r="L21" s="1188"/>
      <c r="M21" s="1467" t="s">
        <v>1094</v>
      </c>
      <c r="N21" s="1594" t="s">
        <v>1096</v>
      </c>
      <c r="O21" s="1598">
        <v>45974</v>
      </c>
      <c r="P21" s="1594"/>
      <c r="Q21" s="1832"/>
      <c r="R21" s="1468">
        <f t="shared" si="5"/>
        <v>0</v>
      </c>
      <c r="S21" s="1469"/>
      <c r="T21" s="297" t="s">
        <v>635</v>
      </c>
      <c r="U21" s="19"/>
      <c r="V21" s="1230" t="s">
        <v>318</v>
      </c>
      <c r="W21" s="119">
        <f>ROUND(IF(V21="SI",SUMIF('Facturas año anterior'!$B$8:$B$81,B21,'Facturas año anterior'!$V$8:$V$81)*(100%+$W$5),0),-3)+ROUND(IF(V21="SI",SUMIF('C de C año anterior'!$B$8:$B$210,B21,'C de C año anterior'!$Q$8:$Q$210)*(100%+$W$5),0),-3)</f>
        <v>987000</v>
      </c>
      <c r="X21" s="239"/>
      <c r="Y21" s="114">
        <f t="shared" si="16"/>
        <v>0</v>
      </c>
      <c r="Z21" s="240"/>
      <c r="AA21" s="115">
        <f t="shared" si="17"/>
        <v>0</v>
      </c>
      <c r="AB21" s="884"/>
      <c r="AC21" s="874">
        <f t="shared" si="18"/>
        <v>0</v>
      </c>
      <c r="AD21" s="884"/>
      <c r="AE21" s="874">
        <f t="shared" si="19"/>
        <v>0</v>
      </c>
      <c r="AF21" s="241"/>
      <c r="AG21" s="116">
        <f t="shared" si="20"/>
        <v>0</v>
      </c>
      <c r="AH21" s="239"/>
      <c r="AI21" s="116">
        <f t="shared" si="21"/>
        <v>0</v>
      </c>
      <c r="AJ21" s="242" t="s">
        <v>318</v>
      </c>
      <c r="AK21" s="117">
        <f t="shared" si="22"/>
        <v>296100</v>
      </c>
      <c r="AL21" s="1228">
        <f>SUMIF('Otras Asesorías y Préstamos'!$B$7:$B$242,B21,'Otras Asesorías y Préstamos'!$F$7:$F$242)</f>
        <v>0</v>
      </c>
      <c r="AM21" s="1228">
        <f>SUMIF('Otras Asesorías y Préstamos'!$B$7:$B$242,B21,'Otras Asesorías y Préstamos'!$V$7:$V$242)</f>
        <v>0</v>
      </c>
      <c r="AN21" s="1231">
        <f t="shared" si="23"/>
        <v>1280000</v>
      </c>
      <c r="AO21" s="19"/>
    </row>
    <row r="22" spans="1:41" hidden="1" x14ac:dyDescent="0.2">
      <c r="A22" s="1462">
        <f t="shared" si="14"/>
        <v>14</v>
      </c>
      <c r="B22" s="1393" t="s">
        <v>125</v>
      </c>
      <c r="C22" s="1202">
        <f>_xlfn.XLOOKUP(B22,Códigos!$B$8:$B$406,Códigos!$A$8:$A$406,"Verificar",0)</f>
        <v>165</v>
      </c>
      <c r="D22" s="1114">
        <f>_xlfn.XLOOKUP(B22,'Consolidado Cobros'!$B$10:$B$312,'Consolidado Cobros'!$C$10:$C$312,"Verificar",0)</f>
        <v>32404117</v>
      </c>
      <c r="E22" s="1202">
        <f t="shared" si="0"/>
        <v>4</v>
      </c>
      <c r="F22" s="1463">
        <f t="shared" si="1"/>
        <v>1830000</v>
      </c>
      <c r="G22" s="1464">
        <f t="shared" si="2"/>
        <v>347700</v>
      </c>
      <c r="H22" s="1537" t="s">
        <v>471</v>
      </c>
      <c r="I22" s="1547">
        <f t="shared" si="15"/>
        <v>-201300</v>
      </c>
      <c r="J22" s="1465">
        <f t="shared" si="3"/>
        <v>2177700</v>
      </c>
      <c r="K22" s="1466">
        <f t="shared" si="4"/>
        <v>1976400</v>
      </c>
      <c r="L22" s="1188"/>
      <c r="M22" s="1467" t="s">
        <v>1109</v>
      </c>
      <c r="N22" s="1594" t="s">
        <v>761</v>
      </c>
      <c r="O22" s="1598">
        <v>45987</v>
      </c>
      <c r="P22" s="1594"/>
      <c r="Q22" s="1832"/>
      <c r="R22" s="1468">
        <f t="shared" si="5"/>
        <v>0</v>
      </c>
      <c r="S22" s="1469"/>
      <c r="T22" s="327" t="s">
        <v>636</v>
      </c>
      <c r="U22" s="19"/>
      <c r="V22" s="1230" t="s">
        <v>318</v>
      </c>
      <c r="W22" s="119">
        <f>ROUND(IF(V22="SI",SUMIF('Facturas año anterior'!$B$8:$B$81,B22,'Facturas año anterior'!$V$8:$V$81)*(100%+$W$5),0),-3)+ROUND(IF(V22="SI",SUMIF('C de C año anterior'!$B$8:$B$210,B22,'C de C año anterior'!$Q$8:$Q$210)*(100%+$W$5),0),-3)</f>
        <v>1410000</v>
      </c>
      <c r="X22" s="239"/>
      <c r="Y22" s="114">
        <f t="shared" si="16"/>
        <v>0</v>
      </c>
      <c r="Z22" s="240"/>
      <c r="AA22" s="115">
        <f t="shared" si="17"/>
        <v>0</v>
      </c>
      <c r="AB22" s="884"/>
      <c r="AC22" s="874">
        <f t="shared" si="18"/>
        <v>0</v>
      </c>
      <c r="AD22" s="884"/>
      <c r="AE22" s="874">
        <f t="shared" si="19"/>
        <v>0</v>
      </c>
      <c r="AF22" s="241"/>
      <c r="AG22" s="116">
        <f t="shared" si="20"/>
        <v>0</v>
      </c>
      <c r="AH22" s="239"/>
      <c r="AI22" s="116">
        <f t="shared" si="21"/>
        <v>0</v>
      </c>
      <c r="AJ22" s="242" t="s">
        <v>318</v>
      </c>
      <c r="AK22" s="117">
        <f t="shared" si="22"/>
        <v>423000</v>
      </c>
      <c r="AL22" s="1228">
        <f>SUMIF('Otras Asesorías y Préstamos'!$B$7:$B$242,B22,'Otras Asesorías y Préstamos'!$F$7:$F$242)</f>
        <v>0</v>
      </c>
      <c r="AM22" s="1228">
        <f>SUMIF('Otras Asesorías y Préstamos'!$B$7:$B$242,B22,'Otras Asesorías y Préstamos'!$V$7:$V$242)</f>
        <v>0</v>
      </c>
      <c r="AN22" s="1231">
        <f t="shared" si="23"/>
        <v>1830000</v>
      </c>
      <c r="AO22" s="19"/>
    </row>
    <row r="23" spans="1:41" hidden="1" x14ac:dyDescent="0.2">
      <c r="A23" s="1462">
        <f t="shared" si="14"/>
        <v>15</v>
      </c>
      <c r="B23" s="1393" t="s">
        <v>126</v>
      </c>
      <c r="C23" s="1202">
        <f>_xlfn.XLOOKUP(B23,Códigos!$B$8:$B$406,Códigos!$A$8:$A$406,"Verificar",0)</f>
        <v>166</v>
      </c>
      <c r="D23" s="1114">
        <f>_xlfn.XLOOKUP(B23,'Consolidado Cobros'!$B$10:$B$312,'Consolidado Cobros'!$C$10:$C$312,"Verificar",0)</f>
        <v>8248980</v>
      </c>
      <c r="E23" s="1202">
        <f t="shared" si="0"/>
        <v>8</v>
      </c>
      <c r="F23" s="1463">
        <f t="shared" si="1"/>
        <v>2430000</v>
      </c>
      <c r="G23" s="1464">
        <f t="shared" si="2"/>
        <v>461700</v>
      </c>
      <c r="H23" s="1537" t="s">
        <v>471</v>
      </c>
      <c r="I23" s="1547">
        <f t="shared" si="15"/>
        <v>-267300</v>
      </c>
      <c r="J23" s="1465">
        <f t="shared" si="3"/>
        <v>2891700</v>
      </c>
      <c r="K23" s="1466">
        <f t="shared" si="4"/>
        <v>2624400</v>
      </c>
      <c r="L23" s="1188"/>
      <c r="M23" s="1467" t="s">
        <v>1110</v>
      </c>
      <c r="N23" s="1594" t="s">
        <v>761</v>
      </c>
      <c r="O23" s="1598">
        <v>45987</v>
      </c>
      <c r="P23" s="1594"/>
      <c r="Q23" s="1832"/>
      <c r="R23" s="1468">
        <f t="shared" si="5"/>
        <v>0</v>
      </c>
      <c r="S23" s="1469"/>
      <c r="T23" s="297" t="s">
        <v>633</v>
      </c>
      <c r="U23" s="19"/>
      <c r="V23" s="1230" t="s">
        <v>318</v>
      </c>
      <c r="W23" s="119">
        <f>ROUND(IF(V23="SI",SUMIF('Facturas año anterior'!$B$8:$B$81,B23,'Facturas año anterior'!$V$8:$V$81)*(100%+$W$5),0),-3)+ROUND(IF(V23="SI",SUMIF('C de C año anterior'!$B$8:$B$210,B23,'C de C año anterior'!$Q$8:$Q$210)*(100%+$W$5),0),-3)</f>
        <v>1410000</v>
      </c>
      <c r="X23" s="239"/>
      <c r="Y23" s="114">
        <f t="shared" si="16"/>
        <v>0</v>
      </c>
      <c r="Z23" s="240"/>
      <c r="AA23" s="115">
        <f t="shared" si="17"/>
        <v>0</v>
      </c>
      <c r="AB23" s="884"/>
      <c r="AC23" s="874">
        <f t="shared" si="18"/>
        <v>0</v>
      </c>
      <c r="AD23" s="884"/>
      <c r="AE23" s="874">
        <f t="shared" si="19"/>
        <v>0</v>
      </c>
      <c r="AF23" s="241"/>
      <c r="AG23" s="116">
        <f t="shared" si="20"/>
        <v>0</v>
      </c>
      <c r="AH23" s="239"/>
      <c r="AI23" s="116">
        <f t="shared" si="21"/>
        <v>0</v>
      </c>
      <c r="AJ23" s="242" t="s">
        <v>318</v>
      </c>
      <c r="AK23" s="117">
        <f t="shared" si="22"/>
        <v>423000</v>
      </c>
      <c r="AL23" s="1228">
        <f>SUMIF('Otras Asesorías y Préstamos'!$B$7:$B$242,B23,'Otras Asesorías y Préstamos'!$F$7:$F$242)</f>
        <v>600000</v>
      </c>
      <c r="AM23" s="1228">
        <f>SUMIF('Otras Asesorías y Préstamos'!$B$7:$B$242,B23,'Otras Asesorías y Préstamos'!$V$7:$V$242)</f>
        <v>0</v>
      </c>
      <c r="AN23" s="1231">
        <f t="shared" si="23"/>
        <v>2430000</v>
      </c>
      <c r="AO23" s="19"/>
    </row>
    <row r="24" spans="1:41" hidden="1" x14ac:dyDescent="0.2">
      <c r="A24" s="1462">
        <f t="shared" si="14"/>
        <v>16</v>
      </c>
      <c r="B24" s="1393" t="s">
        <v>127</v>
      </c>
      <c r="C24" s="1202">
        <f>_xlfn.XLOOKUP(B24,Códigos!$B$8:$B$406,Códigos!$A$8:$A$406,"Verificar",0)</f>
        <v>167</v>
      </c>
      <c r="D24" s="1114">
        <f>_xlfn.XLOOKUP(B24,'Consolidado Cobros'!$B$10:$B$312,'Consolidado Cobros'!$C$10:$C$312,"Verificar",0)</f>
        <v>8290656</v>
      </c>
      <c r="E24" s="1202">
        <f t="shared" si="0"/>
        <v>3</v>
      </c>
      <c r="F24" s="1463">
        <f t="shared" si="1"/>
        <v>1410000</v>
      </c>
      <c r="G24" s="1464">
        <f t="shared" si="2"/>
        <v>267900</v>
      </c>
      <c r="H24" s="1537" t="s">
        <v>471</v>
      </c>
      <c r="I24" s="1547">
        <f t="shared" si="15"/>
        <v>-155100</v>
      </c>
      <c r="J24" s="1465">
        <f t="shared" si="3"/>
        <v>1677900</v>
      </c>
      <c r="K24" s="1466">
        <f t="shared" si="4"/>
        <v>1522800</v>
      </c>
      <c r="L24" s="1188"/>
      <c r="M24" s="1467" t="s">
        <v>1094</v>
      </c>
      <c r="N24" s="1594" t="s">
        <v>1096</v>
      </c>
      <c r="O24" s="1598">
        <v>45974</v>
      </c>
      <c r="P24" s="1594"/>
      <c r="Q24" s="1832"/>
      <c r="R24" s="1468">
        <f t="shared" si="5"/>
        <v>0</v>
      </c>
      <c r="S24" s="1469"/>
      <c r="T24" s="297" t="s">
        <v>635</v>
      </c>
      <c r="U24" s="19"/>
      <c r="V24" s="1230" t="s">
        <v>318</v>
      </c>
      <c r="W24" s="119">
        <f>ROUND(IF(V24="SI",SUMIF('Facturas año anterior'!$B$8:$B$81,B24,'Facturas año anterior'!$V$8:$V$81)*(100%+$W$5),0),-3)+ROUND(IF(V24="SI",SUMIF('C de C año anterior'!$B$8:$B$210,B24,'C de C año anterior'!$Q$8:$Q$210)*(100%+$W$5),0),-3)</f>
        <v>1410000</v>
      </c>
      <c r="X24" s="239"/>
      <c r="Y24" s="114">
        <f t="shared" si="16"/>
        <v>0</v>
      </c>
      <c r="Z24" s="240"/>
      <c r="AA24" s="115">
        <f t="shared" si="17"/>
        <v>0</v>
      </c>
      <c r="AB24" s="884"/>
      <c r="AC24" s="874">
        <f t="shared" si="18"/>
        <v>0</v>
      </c>
      <c r="AD24" s="884"/>
      <c r="AE24" s="874">
        <f t="shared" si="19"/>
        <v>0</v>
      </c>
      <c r="AF24" s="241"/>
      <c r="AG24" s="116">
        <f t="shared" si="20"/>
        <v>0</v>
      </c>
      <c r="AH24" s="239"/>
      <c r="AI24" s="116">
        <f t="shared" si="21"/>
        <v>0</v>
      </c>
      <c r="AJ24" s="242"/>
      <c r="AK24" s="117">
        <f t="shared" si="22"/>
        <v>0</v>
      </c>
      <c r="AL24" s="1228">
        <f>SUMIF('Otras Asesorías y Préstamos'!$B$7:$B$242,B24,'Otras Asesorías y Préstamos'!$F$7:$F$242)</f>
        <v>0</v>
      </c>
      <c r="AM24" s="1228">
        <f>SUMIF('Otras Asesorías y Préstamos'!$B$7:$B$242,B24,'Otras Asesorías y Préstamos'!$V$7:$V$242)</f>
        <v>0</v>
      </c>
      <c r="AN24" s="1231">
        <f t="shared" si="23"/>
        <v>1410000</v>
      </c>
      <c r="AO24" s="19"/>
    </row>
    <row r="25" spans="1:41" hidden="1" x14ac:dyDescent="0.2">
      <c r="A25" s="1462">
        <f t="shared" si="14"/>
        <v>17</v>
      </c>
      <c r="B25" s="1393" t="s">
        <v>128</v>
      </c>
      <c r="C25" s="1202">
        <f>_xlfn.XLOOKUP(B25,Códigos!$B$8:$B$406,Códigos!$A$8:$A$406,"Verificar",0)</f>
        <v>168</v>
      </c>
      <c r="D25" s="1114">
        <f>_xlfn.XLOOKUP(B25,'Consolidado Cobros'!$B$10:$B$312,'Consolidado Cobros'!$C$10:$C$312,"Verificar",0)</f>
        <v>32524963</v>
      </c>
      <c r="E25" s="1202">
        <f t="shared" si="0"/>
        <v>3</v>
      </c>
      <c r="F25" s="1463">
        <f t="shared" si="1"/>
        <v>2530000</v>
      </c>
      <c r="G25" s="1464">
        <f t="shared" si="2"/>
        <v>480700</v>
      </c>
      <c r="H25" s="1162" t="s">
        <v>266</v>
      </c>
      <c r="I25" s="1553" t="str">
        <f t="shared" si="15"/>
        <v>NO RETENCIÓN</v>
      </c>
      <c r="J25" s="1465">
        <f t="shared" si="3"/>
        <v>3010700</v>
      </c>
      <c r="K25" s="1466">
        <f t="shared" si="4"/>
        <v>3010700</v>
      </c>
      <c r="L25" s="1188"/>
      <c r="M25" s="1467" t="s">
        <v>1106</v>
      </c>
      <c r="N25" s="1594" t="s">
        <v>761</v>
      </c>
      <c r="O25" s="1598">
        <v>45987</v>
      </c>
      <c r="P25" s="1594"/>
      <c r="Q25" s="1832"/>
      <c r="R25" s="1468">
        <f t="shared" si="5"/>
        <v>0</v>
      </c>
      <c r="S25" s="1469"/>
      <c r="T25" s="327" t="s">
        <v>128</v>
      </c>
      <c r="U25" s="19"/>
      <c r="V25" s="1230" t="s">
        <v>318</v>
      </c>
      <c r="W25" s="119">
        <f>ROUND(IF(V25="SI",SUMIF('Facturas año anterior'!$B$8:$B$81,B25,'Facturas año anterior'!$V$8:$V$81)*(100%+$W$5),0),-3)+ROUND(IF(V25="SI",SUMIF('C de C año anterior'!$B$8:$B$210,B25,'C de C año anterior'!$Q$8:$Q$210)*(100%+$W$5),0),-3)</f>
        <v>1410000</v>
      </c>
      <c r="X25" s="239"/>
      <c r="Y25" s="114">
        <f t="shared" si="16"/>
        <v>0</v>
      </c>
      <c r="Z25" s="240"/>
      <c r="AA25" s="115">
        <f t="shared" si="17"/>
        <v>0</v>
      </c>
      <c r="AB25" s="884"/>
      <c r="AC25" s="874">
        <f t="shared" si="18"/>
        <v>0</v>
      </c>
      <c r="AD25" s="884"/>
      <c r="AE25" s="874">
        <f t="shared" si="19"/>
        <v>0</v>
      </c>
      <c r="AF25" s="241"/>
      <c r="AG25" s="116">
        <f t="shared" si="20"/>
        <v>0</v>
      </c>
      <c r="AH25" s="239"/>
      <c r="AI25" s="116">
        <f t="shared" si="21"/>
        <v>0</v>
      </c>
      <c r="AJ25" s="242" t="s">
        <v>318</v>
      </c>
      <c r="AK25" s="117">
        <f t="shared" si="22"/>
        <v>423000</v>
      </c>
      <c r="AL25" s="1228">
        <f>SUMIF('Otras Asesorías y Préstamos'!$B$7:$B$242,B25,'Otras Asesorías y Préstamos'!$F$7:$F$242)</f>
        <v>696501.152</v>
      </c>
      <c r="AM25" s="1228">
        <f>SUMIF('Otras Asesorías y Préstamos'!$B$7:$B$242,B25,'Otras Asesorías y Préstamos'!$V$7:$V$242)</f>
        <v>0</v>
      </c>
      <c r="AN25" s="1231">
        <f t="shared" si="23"/>
        <v>2530000</v>
      </c>
      <c r="AO25" s="19"/>
    </row>
    <row r="26" spans="1:41" hidden="1" x14ac:dyDescent="0.2">
      <c r="A26" s="1848">
        <f t="shared" si="14"/>
        <v>18</v>
      </c>
      <c r="B26" s="1849" t="s">
        <v>131</v>
      </c>
      <c r="C26" s="1205">
        <f>_xlfn.XLOOKUP(B26,Códigos!$B$8:$B$406,Códigos!$A$8:$A$406,"Verificar",0)</f>
        <v>169</v>
      </c>
      <c r="D26" s="1264">
        <f>_xlfn.XLOOKUP(B26,'Consolidado Cobros'!$B$10:$B$312,'Consolidado Cobros'!$C$10:$C$312,"Verificar",0)</f>
        <v>675024</v>
      </c>
      <c r="E26" s="1205">
        <f t="shared" si="0"/>
        <v>3</v>
      </c>
      <c r="F26" s="1736">
        <f t="shared" si="1"/>
        <v>990000</v>
      </c>
      <c r="G26" s="1737">
        <f t="shared" si="2"/>
        <v>188100</v>
      </c>
      <c r="H26" s="1633" t="s">
        <v>471</v>
      </c>
      <c r="I26" s="1738">
        <f t="shared" si="15"/>
        <v>-108900</v>
      </c>
      <c r="J26" s="1203">
        <f t="shared" si="3"/>
        <v>1178100</v>
      </c>
      <c r="K26" s="1739">
        <f t="shared" si="4"/>
        <v>1069200</v>
      </c>
      <c r="L26" s="1471"/>
      <c r="M26" s="1615"/>
      <c r="N26" s="1634" t="s">
        <v>1124</v>
      </c>
      <c r="O26" s="1598"/>
      <c r="P26" s="1594"/>
      <c r="Q26" s="1832"/>
      <c r="R26" s="1468">
        <f t="shared" si="5"/>
        <v>0</v>
      </c>
      <c r="S26" s="1469"/>
      <c r="T26" s="297" t="s">
        <v>1098</v>
      </c>
      <c r="U26" s="19"/>
      <c r="V26" s="1230" t="s">
        <v>318</v>
      </c>
      <c r="W26" s="119">
        <f>ROUND(IF(V26="SI",SUMIF('Facturas año anterior'!$B$8:$B$81,B26,'Facturas año anterior'!$V$8:$V$81)*(100%+$W$5),0),-3)+ROUND(IF(V26="SI",SUMIF('C de C año anterior'!$B$8:$B$210,B26,'C de C año anterior'!$Q$8:$Q$210)*(100%+$W$5),0),-3)</f>
        <v>994000</v>
      </c>
      <c r="X26" s="239"/>
      <c r="Y26" s="114">
        <f t="shared" si="16"/>
        <v>0</v>
      </c>
      <c r="Z26" s="240"/>
      <c r="AA26" s="115">
        <f t="shared" si="17"/>
        <v>0</v>
      </c>
      <c r="AB26" s="884"/>
      <c r="AC26" s="874">
        <f t="shared" si="18"/>
        <v>0</v>
      </c>
      <c r="AD26" s="884"/>
      <c r="AE26" s="874">
        <f t="shared" si="19"/>
        <v>0</v>
      </c>
      <c r="AF26" s="241"/>
      <c r="AG26" s="116">
        <f t="shared" si="20"/>
        <v>0</v>
      </c>
      <c r="AH26" s="239"/>
      <c r="AI26" s="116">
        <f t="shared" si="21"/>
        <v>0</v>
      </c>
      <c r="AJ26" s="242"/>
      <c r="AK26" s="117">
        <f t="shared" si="22"/>
        <v>0</v>
      </c>
      <c r="AL26" s="1228">
        <f>SUMIF('Otras Asesorías y Préstamos'!$B$7:$B$242,B26,'Otras Asesorías y Préstamos'!$F$7:$F$242)</f>
        <v>0</v>
      </c>
      <c r="AM26" s="1228">
        <f>SUMIF('Otras Asesorías y Préstamos'!$B$7:$B$242,B26,'Otras Asesorías y Préstamos'!$V$7:$V$242)</f>
        <v>0</v>
      </c>
      <c r="AN26" s="1231">
        <f t="shared" si="23"/>
        <v>990000</v>
      </c>
      <c r="AO26" s="19"/>
    </row>
    <row r="27" spans="1:41" hidden="1" x14ac:dyDescent="0.2">
      <c r="A27" s="1462">
        <f t="shared" si="14"/>
        <v>19</v>
      </c>
      <c r="B27" s="1393" t="s">
        <v>401</v>
      </c>
      <c r="C27" s="1202">
        <f>_xlfn.XLOOKUP(B27,Códigos!$B$8:$B$406,Códigos!$A$8:$A$406,"Verificar",0)</f>
        <v>107</v>
      </c>
      <c r="D27" s="1114">
        <f>_xlfn.XLOOKUP(B27,'Consolidado Cobros'!$B$10:$B$312,'Consolidado Cobros'!$C$10:$C$312,"Verificar",0)</f>
        <v>1152437125</v>
      </c>
      <c r="E27" s="1202">
        <f t="shared" si="0"/>
        <v>1</v>
      </c>
      <c r="F27" s="1463">
        <f t="shared" si="1"/>
        <v>220000</v>
      </c>
      <c r="G27" s="1464">
        <f t="shared" si="2"/>
        <v>41800</v>
      </c>
      <c r="H27" s="1537" t="s">
        <v>471</v>
      </c>
      <c r="I27" s="1547">
        <f t="shared" si="15"/>
        <v>-24200</v>
      </c>
      <c r="J27" s="1465">
        <f t="shared" si="3"/>
        <v>261800</v>
      </c>
      <c r="K27" s="1466">
        <f t="shared" si="4"/>
        <v>237600</v>
      </c>
      <c r="L27" s="1188"/>
      <c r="M27" s="1731" t="s">
        <v>1123</v>
      </c>
      <c r="N27" s="1594" t="s">
        <v>761</v>
      </c>
      <c r="O27" s="1598">
        <v>45987</v>
      </c>
      <c r="P27" s="1594"/>
      <c r="Q27" s="1832"/>
      <c r="R27" s="1468">
        <f t="shared" si="5"/>
        <v>0</v>
      </c>
      <c r="S27" s="1469"/>
      <c r="T27" s="297" t="s">
        <v>628</v>
      </c>
      <c r="U27" s="19"/>
      <c r="V27" s="1230" t="s">
        <v>318</v>
      </c>
      <c r="W27" s="119">
        <f>ROUND(IF(V27="SI",SUMIF('Facturas año anterior'!$B$8:$B$81,B27,'Facturas año anterior'!$V$8:$V$81)*(100%+$W$5),0),-3)+ROUND(IF(V27="SI",SUMIF('C de C año anterior'!$B$8:$B$210,B27,'C de C año anterior'!$Q$8:$Q$210)*(100%+$W$5),0),-3)</f>
        <v>221000</v>
      </c>
      <c r="X27" s="239"/>
      <c r="Y27" s="114">
        <f t="shared" si="16"/>
        <v>0</v>
      </c>
      <c r="Z27" s="240"/>
      <c r="AA27" s="115">
        <f t="shared" si="17"/>
        <v>0</v>
      </c>
      <c r="AB27" s="884"/>
      <c r="AC27" s="874">
        <f t="shared" si="18"/>
        <v>0</v>
      </c>
      <c r="AD27" s="884"/>
      <c r="AE27" s="874">
        <f t="shared" si="19"/>
        <v>0</v>
      </c>
      <c r="AF27" s="241"/>
      <c r="AG27" s="116">
        <f t="shared" si="20"/>
        <v>0</v>
      </c>
      <c r="AH27" s="239"/>
      <c r="AI27" s="116">
        <f t="shared" si="21"/>
        <v>0</v>
      </c>
      <c r="AJ27" s="242"/>
      <c r="AK27" s="117">
        <f t="shared" si="22"/>
        <v>0</v>
      </c>
      <c r="AL27" s="1228">
        <f>SUMIF('Otras Asesorías y Préstamos'!$B$7:$B$242,B27,'Otras Asesorías y Préstamos'!$F$7:$F$242)</f>
        <v>0</v>
      </c>
      <c r="AM27" s="1228">
        <f>SUMIF('Otras Asesorías y Préstamos'!$B$7:$B$242,B27,'Otras Asesorías y Préstamos'!$V$7:$V$242)</f>
        <v>0</v>
      </c>
      <c r="AN27" s="1231">
        <f t="shared" si="23"/>
        <v>220000</v>
      </c>
      <c r="AO27" s="19"/>
    </row>
    <row r="28" spans="1:41" hidden="1" x14ac:dyDescent="0.2">
      <c r="A28" s="1462">
        <f t="shared" si="14"/>
        <v>20</v>
      </c>
      <c r="B28" s="1486" t="s">
        <v>648</v>
      </c>
      <c r="C28" s="1202">
        <f>_xlfn.XLOOKUP(B28,Códigos!$B$8:$B$406,Códigos!$A$8:$A$406,"Verificar",0)</f>
        <v>229</v>
      </c>
      <c r="D28" s="1114">
        <f>_xlfn.XLOOKUP(B28,'Consolidado Cobros'!$B$10:$B$312,'Consolidado Cobros'!$C$10:$C$312,"Verificar",0)</f>
        <v>1037624491</v>
      </c>
      <c r="E28" s="1202">
        <f t="shared" si="0"/>
        <v>7</v>
      </c>
      <c r="F28" s="1463">
        <f t="shared" si="1"/>
        <v>220000</v>
      </c>
      <c r="G28" s="1464">
        <f t="shared" si="2"/>
        <v>41800</v>
      </c>
      <c r="H28" s="1537" t="s">
        <v>471</v>
      </c>
      <c r="I28" s="1547">
        <f t="shared" si="15"/>
        <v>-24200</v>
      </c>
      <c r="J28" s="1465">
        <f t="shared" si="3"/>
        <v>261800</v>
      </c>
      <c r="K28" s="1466">
        <f t="shared" si="4"/>
        <v>237600</v>
      </c>
      <c r="L28" s="1188"/>
      <c r="M28" s="1731" t="s">
        <v>1123</v>
      </c>
      <c r="N28" s="1594" t="s">
        <v>761</v>
      </c>
      <c r="O28" s="1598">
        <v>45987</v>
      </c>
      <c r="P28" s="1594"/>
      <c r="Q28" s="1832"/>
      <c r="R28" s="1468">
        <f t="shared" si="5"/>
        <v>0</v>
      </c>
      <c r="S28" s="1469"/>
      <c r="T28" s="297" t="s">
        <v>628</v>
      </c>
      <c r="U28" s="19"/>
      <c r="V28" s="1230" t="s">
        <v>318</v>
      </c>
      <c r="W28" s="119">
        <f>ROUND(IF(V28="SI",SUMIF('Facturas año anterior'!$B$8:$B$81,B28,'Facturas año anterior'!$V$8:$V$81)*(100%+$W$5),0),-3)+ROUND(IF(V28="SI",SUMIF('C de C año anterior'!$B$8:$B$210,B28,'C de C año anterior'!$Q$8:$Q$210)*(100%+$W$5),0),-3)</f>
        <v>221000</v>
      </c>
      <c r="X28" s="239"/>
      <c r="Y28" s="114">
        <f t="shared" si="16"/>
        <v>0</v>
      </c>
      <c r="Z28" s="240"/>
      <c r="AA28" s="115">
        <f t="shared" si="17"/>
        <v>0</v>
      </c>
      <c r="AB28" s="884"/>
      <c r="AC28" s="874">
        <f t="shared" si="18"/>
        <v>0</v>
      </c>
      <c r="AD28" s="884"/>
      <c r="AE28" s="874">
        <f t="shared" si="19"/>
        <v>0</v>
      </c>
      <c r="AF28" s="241"/>
      <c r="AG28" s="116">
        <f t="shared" si="20"/>
        <v>0</v>
      </c>
      <c r="AH28" s="239"/>
      <c r="AI28" s="116">
        <f t="shared" si="21"/>
        <v>0</v>
      </c>
      <c r="AJ28" s="242"/>
      <c r="AK28" s="117">
        <f t="shared" si="22"/>
        <v>0</v>
      </c>
      <c r="AL28" s="1228">
        <f>SUMIF('Otras Asesorías y Préstamos'!$B$7:$B$242,B28,'Otras Asesorías y Préstamos'!$F$7:$F$242)</f>
        <v>0</v>
      </c>
      <c r="AM28" s="1228">
        <f>SUMIF('Otras Asesorías y Préstamos'!$B$7:$B$242,B28,'Otras Asesorías y Préstamos'!$V$7:$V$242)</f>
        <v>0</v>
      </c>
      <c r="AN28" s="1231">
        <f t="shared" si="23"/>
        <v>220000</v>
      </c>
      <c r="AO28" s="19"/>
    </row>
    <row r="29" spans="1:41" hidden="1" x14ac:dyDescent="0.2">
      <c r="A29" s="1462">
        <f t="shared" si="14"/>
        <v>21</v>
      </c>
      <c r="B29" s="1097" t="s">
        <v>267</v>
      </c>
      <c r="C29" s="1202">
        <f>_xlfn.XLOOKUP(B29,Códigos!$B$8:$B$406,Códigos!$A$8:$A$406,"Verificar",0)</f>
        <v>171</v>
      </c>
      <c r="D29" s="1114">
        <f>_xlfn.XLOOKUP(B29,'Consolidado Cobros'!$B$10:$B$312,'Consolidado Cobros'!$C$10:$C$312,"Verificar",0)</f>
        <v>71660993</v>
      </c>
      <c r="E29" s="1202">
        <f t="shared" si="0"/>
        <v>8</v>
      </c>
      <c r="F29" s="1463">
        <f t="shared" si="1"/>
        <v>2280000</v>
      </c>
      <c r="G29" s="1464">
        <f t="shared" si="2"/>
        <v>433200</v>
      </c>
      <c r="H29" s="1537" t="s">
        <v>471</v>
      </c>
      <c r="I29" s="1547">
        <f t="shared" si="15"/>
        <v>-250800</v>
      </c>
      <c r="J29" s="1465">
        <f t="shared" si="3"/>
        <v>2713200</v>
      </c>
      <c r="K29" s="1466">
        <f t="shared" si="4"/>
        <v>2462400</v>
      </c>
      <c r="L29" s="1188"/>
      <c r="M29" s="1731" t="s">
        <v>1123</v>
      </c>
      <c r="N29" s="1594" t="s">
        <v>761</v>
      </c>
      <c r="O29" s="1598">
        <v>45987</v>
      </c>
      <c r="P29" s="1594"/>
      <c r="Q29" s="1832"/>
      <c r="R29" s="1468">
        <f t="shared" si="5"/>
        <v>0</v>
      </c>
      <c r="S29" s="1469"/>
      <c r="T29" s="297" t="s">
        <v>628</v>
      </c>
      <c r="U29" s="19"/>
      <c r="V29" s="1230" t="s">
        <v>318</v>
      </c>
      <c r="W29" s="119">
        <f>ROUND(IF(V29="SI",SUMIF('Facturas año anterior'!$B$8:$B$81,B29,'Facturas año anterior'!$V$8:$V$81)*(100%+$W$5),0),-3)+ROUND(IF(V29="SI",SUMIF('C de C año anterior'!$B$8:$B$210,B29,'C de C año anterior'!$Q$8:$Q$210)*(100%+$W$5),0),-3)</f>
        <v>1168000</v>
      </c>
      <c r="X29" s="239"/>
      <c r="Y29" s="114">
        <f t="shared" si="16"/>
        <v>0</v>
      </c>
      <c r="Z29" s="240" t="s">
        <v>318</v>
      </c>
      <c r="AA29" s="115">
        <f t="shared" si="17"/>
        <v>876000</v>
      </c>
      <c r="AB29" s="884"/>
      <c r="AC29" s="874">
        <f t="shared" si="18"/>
        <v>0</v>
      </c>
      <c r="AD29" s="884"/>
      <c r="AE29" s="874">
        <f t="shared" si="19"/>
        <v>0</v>
      </c>
      <c r="AF29" s="241"/>
      <c r="AG29" s="116">
        <f t="shared" si="20"/>
        <v>0</v>
      </c>
      <c r="AH29" s="239" t="s">
        <v>318</v>
      </c>
      <c r="AI29" s="116">
        <f t="shared" si="21"/>
        <v>234000</v>
      </c>
      <c r="AJ29" s="242"/>
      <c r="AK29" s="117">
        <f t="shared" si="22"/>
        <v>0</v>
      </c>
      <c r="AL29" s="1228">
        <f>SUMIF('Otras Asesorías y Préstamos'!$B$7:$B$242,B29,'Otras Asesorías y Préstamos'!$F$7:$F$242)</f>
        <v>0</v>
      </c>
      <c r="AM29" s="1228">
        <f>SUMIF('Otras Asesorías y Préstamos'!$B$7:$B$242,B29,'Otras Asesorías y Préstamos'!$V$7:$V$242)</f>
        <v>0</v>
      </c>
      <c r="AN29" s="1231">
        <f t="shared" si="23"/>
        <v>2280000</v>
      </c>
      <c r="AO29" s="19"/>
    </row>
    <row r="30" spans="1:41" hidden="1" x14ac:dyDescent="0.2">
      <c r="A30" s="1462">
        <f t="shared" si="14"/>
        <v>22</v>
      </c>
      <c r="B30" s="1393" t="s">
        <v>137</v>
      </c>
      <c r="C30" s="1202">
        <f>_xlfn.XLOOKUP(B30,Códigos!$B$8:$B$406,Códigos!$A$8:$A$406,"Verificar",0)</f>
        <v>175</v>
      </c>
      <c r="D30" s="1114">
        <f>_xlfn.XLOOKUP(B30,'Consolidado Cobros'!$B$10:$B$312,'Consolidado Cobros'!$C$10:$C$312,"Verificar",0)</f>
        <v>71315509</v>
      </c>
      <c r="E30" s="1202">
        <f t="shared" si="0"/>
        <v>8</v>
      </c>
      <c r="F30" s="1463">
        <f t="shared" si="1"/>
        <v>800000</v>
      </c>
      <c r="G30" s="1464">
        <f t="shared" si="2"/>
        <v>152000</v>
      </c>
      <c r="H30" s="1162" t="s">
        <v>266</v>
      </c>
      <c r="I30" s="1553" t="str">
        <f t="shared" si="15"/>
        <v>NO RETENCIÓN</v>
      </c>
      <c r="J30" s="1465">
        <f t="shared" si="3"/>
        <v>952000</v>
      </c>
      <c r="K30" s="1466">
        <f t="shared" si="4"/>
        <v>952000</v>
      </c>
      <c r="L30" s="1188"/>
      <c r="M30" s="1467" t="s">
        <v>1105</v>
      </c>
      <c r="N30" s="1594" t="s">
        <v>761</v>
      </c>
      <c r="O30" s="1598">
        <v>45987</v>
      </c>
      <c r="P30" s="1594"/>
      <c r="Q30" s="1832"/>
      <c r="R30" s="1468">
        <f t="shared" si="5"/>
        <v>0</v>
      </c>
      <c r="S30" s="1469"/>
      <c r="T30" s="297" t="s">
        <v>630</v>
      </c>
      <c r="U30" s="19"/>
      <c r="V30" s="1230" t="s">
        <v>318</v>
      </c>
      <c r="W30" s="119">
        <f>ROUND(IF(V30="SI",SUMIF('Facturas año anterior'!$B$8:$B$81,B30,'Facturas año anterior'!$V$8:$V$81)*(100%+$W$5),0),-3)+ROUND(IF(V30="SI",SUMIF('C de C año anterior'!$B$8:$B$210,B30,'C de C año anterior'!$Q$8:$Q$210)*(100%+$W$5),0),-3)</f>
        <v>612000</v>
      </c>
      <c r="X30" s="239"/>
      <c r="Y30" s="114">
        <f t="shared" si="16"/>
        <v>0</v>
      </c>
      <c r="Z30" s="240"/>
      <c r="AA30" s="115">
        <f t="shared" si="17"/>
        <v>0</v>
      </c>
      <c r="AB30" s="884"/>
      <c r="AC30" s="874">
        <f t="shared" si="18"/>
        <v>0</v>
      </c>
      <c r="AD30" s="884"/>
      <c r="AE30" s="874">
        <f t="shared" si="19"/>
        <v>0</v>
      </c>
      <c r="AF30" s="241"/>
      <c r="AG30" s="116">
        <f t="shared" si="20"/>
        <v>0</v>
      </c>
      <c r="AH30" s="239"/>
      <c r="AI30" s="116">
        <f t="shared" si="21"/>
        <v>0</v>
      </c>
      <c r="AJ30" s="242" t="s">
        <v>318</v>
      </c>
      <c r="AK30" s="117">
        <f t="shared" si="22"/>
        <v>183600</v>
      </c>
      <c r="AL30" s="1228">
        <f>SUMIF('Otras Asesorías y Préstamos'!$B$7:$B$242,B30,'Otras Asesorías y Préstamos'!$F$7:$F$242)</f>
        <v>0</v>
      </c>
      <c r="AM30" s="1228">
        <f>SUMIF('Otras Asesorías y Préstamos'!$B$7:$B$242,B30,'Otras Asesorías y Préstamos'!$V$7:$V$242)</f>
        <v>0</v>
      </c>
      <c r="AN30" s="1231">
        <f t="shared" si="23"/>
        <v>800000</v>
      </c>
      <c r="AO30" s="19"/>
    </row>
    <row r="31" spans="1:41" hidden="1" x14ac:dyDescent="0.2">
      <c r="A31" s="1462">
        <f t="shared" si="14"/>
        <v>23</v>
      </c>
      <c r="B31" s="1393" t="s">
        <v>138</v>
      </c>
      <c r="C31" s="1202">
        <f>_xlfn.XLOOKUP(B31,Códigos!$B$8:$B$406,Códigos!$A$8:$A$406,"Verificar",0)</f>
        <v>296</v>
      </c>
      <c r="D31" s="1114">
        <f>_xlfn.XLOOKUP(B31,'Consolidado Cobros'!$B$10:$B$312,'Consolidado Cobros'!$C$10:$C$312,"Verificar",0)</f>
        <v>43628444</v>
      </c>
      <c r="E31" s="1202">
        <f t="shared" si="0"/>
        <v>1</v>
      </c>
      <c r="F31" s="1463">
        <f t="shared" si="1"/>
        <v>1000000</v>
      </c>
      <c r="G31" s="1464">
        <f t="shared" si="2"/>
        <v>190000</v>
      </c>
      <c r="H31" s="1162" t="s">
        <v>266</v>
      </c>
      <c r="I31" s="1553" t="str">
        <f t="shared" si="15"/>
        <v>NO RETENCIÓN</v>
      </c>
      <c r="J31" s="1465">
        <f t="shared" si="3"/>
        <v>1190000</v>
      </c>
      <c r="K31" s="1466">
        <f t="shared" si="4"/>
        <v>1190000</v>
      </c>
      <c r="L31" s="1188"/>
      <c r="M31" s="1467" t="s">
        <v>1104</v>
      </c>
      <c r="N31" s="1594" t="s">
        <v>761</v>
      </c>
      <c r="O31" s="1598">
        <v>45987</v>
      </c>
      <c r="P31" s="1594"/>
      <c r="Q31" s="1832"/>
      <c r="R31" s="1468">
        <f t="shared" si="5"/>
        <v>0</v>
      </c>
      <c r="S31" s="1469"/>
      <c r="T31" s="297" t="s">
        <v>138</v>
      </c>
      <c r="U31" s="19"/>
      <c r="V31" s="1230" t="s">
        <v>318</v>
      </c>
      <c r="W31" s="119">
        <f>ROUND(IF(V31="SI",SUMIF('Facturas año anterior'!$B$8:$B$81,B31,'Facturas año anterior'!$V$8:$V$81)*(100%+$W$5),0),-3)+ROUND(IF(V31="SI",SUMIF('C de C año anterior'!$B$8:$B$210,B31,'C de C año anterior'!$Q$8:$Q$210)*(100%+$W$5),0),-3)</f>
        <v>612000</v>
      </c>
      <c r="X31" s="239"/>
      <c r="Y31" s="114">
        <f t="shared" si="16"/>
        <v>0</v>
      </c>
      <c r="Z31" s="240"/>
      <c r="AA31" s="115">
        <f t="shared" si="17"/>
        <v>0</v>
      </c>
      <c r="AB31" s="884"/>
      <c r="AC31" s="874">
        <f t="shared" si="18"/>
        <v>0</v>
      </c>
      <c r="AD31" s="884"/>
      <c r="AE31" s="874">
        <f t="shared" si="19"/>
        <v>0</v>
      </c>
      <c r="AF31" s="241"/>
      <c r="AG31" s="116">
        <f t="shared" si="20"/>
        <v>0</v>
      </c>
      <c r="AH31" s="239"/>
      <c r="AI31" s="116">
        <f t="shared" si="21"/>
        <v>0</v>
      </c>
      <c r="AJ31" s="242"/>
      <c r="AK31" s="117">
        <f t="shared" si="22"/>
        <v>0</v>
      </c>
      <c r="AL31" s="1228">
        <f>SUMIF('Otras Asesorías y Préstamos'!$B$7:$B$242,B31,'Otras Asesorías y Préstamos'!$F$7:$F$242)</f>
        <v>384582.99712041917</v>
      </c>
      <c r="AM31" s="1228">
        <f>SUMIF('Otras Asesorías y Préstamos'!$B$7:$B$242,B31,'Otras Asesorías y Préstamos'!$V$7:$V$242)</f>
        <v>0</v>
      </c>
      <c r="AN31" s="1231">
        <f t="shared" si="23"/>
        <v>1000000</v>
      </c>
      <c r="AO31" s="19"/>
    </row>
    <row r="32" spans="1:41" ht="13.5" hidden="1" thickBot="1" x14ac:dyDescent="0.25">
      <c r="A32" s="1462">
        <f t="shared" si="14"/>
        <v>24</v>
      </c>
      <c r="B32" s="1393" t="s">
        <v>139</v>
      </c>
      <c r="C32" s="1202">
        <f>_xlfn.XLOOKUP(B32,Códigos!$B$8:$B$406,Códigos!$A$8:$A$406,"Verificar",0)</f>
        <v>176</v>
      </c>
      <c r="D32" s="1114">
        <f>_xlfn.XLOOKUP(B32,'Consolidado Cobros'!$B$10:$B$312,'Consolidado Cobros'!$C$10:$C$312,"Verificar",0)</f>
        <v>1138258</v>
      </c>
      <c r="E32" s="1202">
        <f t="shared" si="0"/>
        <v>0</v>
      </c>
      <c r="F32" s="1463">
        <f t="shared" si="1"/>
        <v>0</v>
      </c>
      <c r="G32" s="1464">
        <f t="shared" si="2"/>
        <v>0</v>
      </c>
      <c r="H32" s="1162" t="s">
        <v>266</v>
      </c>
      <c r="I32" s="1553" t="str">
        <f t="shared" si="15"/>
        <v>NO RETENCIÓN</v>
      </c>
      <c r="J32" s="1465">
        <f t="shared" si="3"/>
        <v>0</v>
      </c>
      <c r="K32" s="1466">
        <f t="shared" si="4"/>
        <v>0</v>
      </c>
      <c r="L32" s="1188"/>
      <c r="M32" s="1467" t="s">
        <v>1125</v>
      </c>
      <c r="N32" s="1594"/>
      <c r="O32" s="1598"/>
      <c r="P32" s="1594"/>
      <c r="Q32" s="1832"/>
      <c r="R32" s="1468">
        <f t="shared" si="5"/>
        <v>0</v>
      </c>
      <c r="S32" s="1469"/>
      <c r="T32" s="297" t="s">
        <v>630</v>
      </c>
      <c r="U32" s="19"/>
      <c r="V32" s="1230" t="s">
        <v>266</v>
      </c>
      <c r="W32" s="119">
        <f>ROUND(IF(V32="SI",SUMIF('Facturas año anterior'!$B$8:$B$81,B32,'Facturas año anterior'!$V$8:$V$81)*(100%+$W$5),0),-3)+ROUND(IF(V32="SI",SUMIF('C de C año anterior'!$B$8:$B$210,B32,'C de C año anterior'!$Q$8:$Q$210)*(100%+$W$5),0),-3)</f>
        <v>0</v>
      </c>
      <c r="X32" s="239"/>
      <c r="Y32" s="114">
        <f t="shared" si="16"/>
        <v>0</v>
      </c>
      <c r="Z32" s="240"/>
      <c r="AA32" s="115">
        <f t="shared" si="17"/>
        <v>0</v>
      </c>
      <c r="AB32" s="884"/>
      <c r="AC32" s="874">
        <f t="shared" si="18"/>
        <v>0</v>
      </c>
      <c r="AD32" s="884"/>
      <c r="AE32" s="874">
        <f t="shared" si="19"/>
        <v>0</v>
      </c>
      <c r="AF32" s="241"/>
      <c r="AG32" s="116">
        <f t="shared" si="20"/>
        <v>0</v>
      </c>
      <c r="AH32" s="239"/>
      <c r="AI32" s="116">
        <f t="shared" si="21"/>
        <v>0</v>
      </c>
      <c r="AJ32" s="242"/>
      <c r="AK32" s="117">
        <f t="shared" si="22"/>
        <v>0</v>
      </c>
      <c r="AL32" s="1228">
        <f>SUMIF('Otras Asesorías y Préstamos'!$B$7:$B$242,B32,'Otras Asesorías y Préstamos'!$F$7:$F$242)</f>
        <v>0</v>
      </c>
      <c r="AM32" s="1228">
        <f>SUMIF('Otras Asesorías y Préstamos'!$B$7:$B$242,B32,'Otras Asesorías y Préstamos'!$V$7:$V$242)</f>
        <v>0</v>
      </c>
      <c r="AN32" s="1231">
        <f t="shared" si="23"/>
        <v>0</v>
      </c>
      <c r="AO32" s="19"/>
    </row>
    <row r="33" spans="1:41" hidden="1" x14ac:dyDescent="0.2">
      <c r="A33" s="1462">
        <f t="shared" si="14"/>
        <v>25</v>
      </c>
      <c r="B33" s="1470" t="s">
        <v>148</v>
      </c>
      <c r="C33" s="1202">
        <f>_xlfn.XLOOKUP(B33,Códigos!$B$8:$B$406,Códigos!$A$8:$A$406,"Verificar",0)</f>
        <v>187</v>
      </c>
      <c r="D33" s="1114">
        <f>_xlfn.XLOOKUP(B33,'Consolidado Cobros'!$B$10:$B$312,'Consolidado Cobros'!$C$10:$C$312,"Verificar",0)</f>
        <v>71595523</v>
      </c>
      <c r="E33" s="1202">
        <f t="shared" si="0"/>
        <v>1</v>
      </c>
      <c r="F33" s="1463">
        <f t="shared" si="1"/>
        <v>500000</v>
      </c>
      <c r="G33" s="1464">
        <f t="shared" si="2"/>
        <v>95000</v>
      </c>
      <c r="H33" s="1537" t="s">
        <v>471</v>
      </c>
      <c r="I33" s="1547">
        <f t="shared" si="15"/>
        <v>-55000</v>
      </c>
      <c r="J33" s="1465">
        <f t="shared" si="3"/>
        <v>595000</v>
      </c>
      <c r="K33" s="1466">
        <f t="shared" si="4"/>
        <v>540000</v>
      </c>
      <c r="L33" s="1188"/>
      <c r="M33" s="1467" t="s">
        <v>1095</v>
      </c>
      <c r="N33" s="1594" t="s">
        <v>1096</v>
      </c>
      <c r="O33" s="1597">
        <v>45986</v>
      </c>
      <c r="P33" s="1594"/>
      <c r="Q33" s="1832"/>
      <c r="R33" s="1468">
        <f t="shared" si="5"/>
        <v>0</v>
      </c>
      <c r="S33" s="1469"/>
      <c r="T33" s="297" t="s">
        <v>632</v>
      </c>
      <c r="U33" s="19"/>
      <c r="V33" s="1230" t="s">
        <v>318</v>
      </c>
      <c r="W33" s="119">
        <f>ROUND(IF(V33="SI",SUMIF('Facturas año anterior'!$B$8:$B$81,B33,'Facturas año anterior'!$V$8:$V$81)*(100%+$W$5),0),-3)+ROUND(IF(V33="SI",SUMIF('C de C año anterior'!$B$8:$B$210,B33,'C de C año anterior'!$Q$8:$Q$210)*(100%+$W$5),0),-3)</f>
        <v>497000</v>
      </c>
      <c r="X33" s="239"/>
      <c r="Y33" s="114">
        <f t="shared" si="16"/>
        <v>0</v>
      </c>
      <c r="Z33" s="240"/>
      <c r="AA33" s="115">
        <f t="shared" si="17"/>
        <v>0</v>
      </c>
      <c r="AB33" s="884"/>
      <c r="AC33" s="874">
        <f t="shared" si="18"/>
        <v>0</v>
      </c>
      <c r="AD33" s="884"/>
      <c r="AE33" s="874">
        <f t="shared" si="19"/>
        <v>0</v>
      </c>
      <c r="AF33" s="241"/>
      <c r="AG33" s="116">
        <f t="shared" si="20"/>
        <v>0</v>
      </c>
      <c r="AH33" s="239"/>
      <c r="AI33" s="116">
        <f t="shared" si="21"/>
        <v>0</v>
      </c>
      <c r="AJ33" s="242"/>
      <c r="AK33" s="117">
        <f t="shared" si="22"/>
        <v>0</v>
      </c>
      <c r="AL33" s="1228">
        <f>SUMIF('Otras Asesorías y Préstamos'!$B$7:$B$242,B33,'Otras Asesorías y Préstamos'!$F$7:$F$242)</f>
        <v>0</v>
      </c>
      <c r="AM33" s="1228">
        <f>SUMIF('Otras Asesorías y Préstamos'!$B$7:$B$242,B33,'Otras Asesorías y Préstamos'!$V$7:$V$242)</f>
        <v>0</v>
      </c>
      <c r="AN33" s="1231">
        <f t="shared" si="23"/>
        <v>500000</v>
      </c>
      <c r="AO33" s="19"/>
    </row>
    <row r="34" spans="1:41" hidden="1" x14ac:dyDescent="0.2">
      <c r="A34" s="1462">
        <f t="shared" si="14"/>
        <v>26</v>
      </c>
      <c r="B34" s="1137" t="s">
        <v>163</v>
      </c>
      <c r="C34" s="1202">
        <v>206</v>
      </c>
      <c r="D34" s="1187">
        <f>_xlfn.XLOOKUP(B34,'Consolidado Cobros'!$B$10:$B$312,'Consolidado Cobros'!$C$10:$C$312,"Verificar",0)</f>
        <v>32469463</v>
      </c>
      <c r="E34" s="1202">
        <f t="shared" si="0"/>
        <v>7</v>
      </c>
      <c r="F34" s="1463">
        <f t="shared" ref="F34" si="24">+AN34</f>
        <v>2280000</v>
      </c>
      <c r="G34" s="1464">
        <f t="shared" ref="G34" si="25">+F34*$G$5</f>
        <v>433200</v>
      </c>
      <c r="H34" s="1537" t="s">
        <v>471</v>
      </c>
      <c r="I34" s="1547">
        <f t="shared" si="15"/>
        <v>-250800</v>
      </c>
      <c r="J34" s="1465">
        <f t="shared" ref="J34" si="26">+F34+G34</f>
        <v>2713200</v>
      </c>
      <c r="K34" s="1466">
        <f t="shared" ref="K34" si="27">SUM(F34:I34)</f>
        <v>2462400</v>
      </c>
      <c r="L34" s="1188"/>
      <c r="M34" s="1467" t="s">
        <v>1118</v>
      </c>
      <c r="N34" s="1594" t="s">
        <v>761</v>
      </c>
      <c r="O34" s="1598">
        <v>45987</v>
      </c>
      <c r="P34" s="1594"/>
      <c r="Q34" s="1832"/>
      <c r="R34" s="1468"/>
      <c r="S34" s="1469"/>
      <c r="T34" s="1487" t="s">
        <v>815</v>
      </c>
      <c r="U34" s="19"/>
      <c r="V34" s="1230" t="s">
        <v>318</v>
      </c>
      <c r="W34" s="119">
        <f>ROUND(IF(V34="SI",SUMIF('Facturas año anterior'!$B$8:$B$81,B34,'Facturas año anterior'!$V$8:$V$81)*(100%+$W$5),0),-3)+ROUND(IF(V34="SI",SUMIF('C de C año anterior'!$B$8:$B$210,B34,'C de C año anterior'!$Q$8:$Q$210)*(100%+$W$5),0),-3)</f>
        <v>1753000</v>
      </c>
      <c r="X34" s="239"/>
      <c r="Y34" s="114">
        <f t="shared" ref="Y34" si="28">ROUND(IF(X34="SI",W34*$Y$5,0),-3)</f>
        <v>0</v>
      </c>
      <c r="Z34" s="240"/>
      <c r="AA34" s="115">
        <f t="shared" ref="AA34" si="29">ROUND(IF(Z34="SI",W34*$AA$5,0),-3)</f>
        <v>0</v>
      </c>
      <c r="AB34" s="884"/>
      <c r="AC34" s="874">
        <f t="shared" ref="AC34" si="30">ROUND(IF(AB34="SI",W34*$AC$5,0),-3)</f>
        <v>0</v>
      </c>
      <c r="AD34" s="884"/>
      <c r="AE34" s="874">
        <f t="shared" ref="AE34" si="31">ROUND(IF(AD34="SI",W34*$AE$5,0),-3)</f>
        <v>0</v>
      </c>
      <c r="AF34" s="241"/>
      <c r="AG34" s="116">
        <f t="shared" ref="AG34" si="32">ROUND(IF(AF34="SI",W34*$AG$5,0),-3)</f>
        <v>0</v>
      </c>
      <c r="AH34" s="239"/>
      <c r="AI34" s="116">
        <f t="shared" ref="AI34" si="33">ROUND(IF(AH34="SI",W34*$AI$5,0),-3)</f>
        <v>0</v>
      </c>
      <c r="AJ34" s="242" t="s">
        <v>318</v>
      </c>
      <c r="AK34" s="117">
        <f t="shared" ref="AK34" si="34">IF(AJ34="SI",W34*$AK$5,0)</f>
        <v>525900</v>
      </c>
      <c r="AL34" s="1228">
        <f>SUMIF('Otras Asesorías y Préstamos'!$B$7:$B$242,B34,'Otras Asesorías y Préstamos'!$F$7:$F$242)</f>
        <v>0</v>
      </c>
      <c r="AM34" s="1228">
        <f>SUMIF('Otras Asesorías y Préstamos'!$B$7:$B$242,B34,'Otras Asesorías y Préstamos'!$V$7:$V$242)</f>
        <v>0</v>
      </c>
      <c r="AN34" s="1231">
        <f t="shared" ref="AN34" si="35">ROUND(SUM(W34:AL34),-4)</f>
        <v>2280000</v>
      </c>
      <c r="AO34" s="19"/>
    </row>
    <row r="35" spans="1:41" hidden="1" x14ac:dyDescent="0.2">
      <c r="A35" s="1462">
        <f t="shared" si="14"/>
        <v>27</v>
      </c>
      <c r="B35" s="1137" t="s">
        <v>164</v>
      </c>
      <c r="C35" s="1202">
        <f>_xlfn.XLOOKUP(B35,Códigos!$B$8:$B$406,Códigos!$A$8:$A$406,"Verificar",0)</f>
        <v>207</v>
      </c>
      <c r="D35" s="1114">
        <f>_xlfn.XLOOKUP(B35,'Consolidado Cobros'!$B$10:$B$312,'Consolidado Cobros'!$C$10:$C$312,"Verificar",0)</f>
        <v>71720224</v>
      </c>
      <c r="E35" s="1202">
        <f t="shared" si="0"/>
        <v>0</v>
      </c>
      <c r="F35" s="1463">
        <f t="shared" si="1"/>
        <v>1900000</v>
      </c>
      <c r="G35" s="1464">
        <f t="shared" si="2"/>
        <v>361000</v>
      </c>
      <c r="H35" s="1537" t="s">
        <v>471</v>
      </c>
      <c r="I35" s="1547">
        <f t="shared" si="15"/>
        <v>-209000</v>
      </c>
      <c r="J35" s="1465">
        <f t="shared" si="3"/>
        <v>2261000</v>
      </c>
      <c r="K35" s="1466">
        <f t="shared" si="4"/>
        <v>2052000</v>
      </c>
      <c r="L35" s="1188"/>
      <c r="M35" s="1467" t="s">
        <v>1120</v>
      </c>
      <c r="N35" s="1594" t="s">
        <v>761</v>
      </c>
      <c r="O35" s="1598">
        <v>45987</v>
      </c>
      <c r="P35" s="1594"/>
      <c r="Q35" s="1832"/>
      <c r="R35" s="1468">
        <f t="shared" si="5"/>
        <v>0</v>
      </c>
      <c r="S35" s="1469"/>
      <c r="T35" s="297" t="s">
        <v>631</v>
      </c>
      <c r="U35" s="19"/>
      <c r="V35" s="1230" t="s">
        <v>318</v>
      </c>
      <c r="W35" s="119">
        <f>ROUND(IF(V35="SI",SUMIF('Facturas año anterior'!$B$8:$B$81,B35,'Facturas año anterior'!$V$8:$V$81)*(100%+$W$5),0),-3)+ROUND(IF(V35="SI",SUMIF('C de C año anterior'!$B$8:$B$210,B35,'C de C año anterior'!$Q$8:$Q$210)*(100%+$W$5),0),-3)</f>
        <v>1904000</v>
      </c>
      <c r="X35" s="239"/>
      <c r="Y35" s="114">
        <f t="shared" si="16"/>
        <v>0</v>
      </c>
      <c r="Z35" s="240"/>
      <c r="AA35" s="115">
        <f t="shared" si="17"/>
        <v>0</v>
      </c>
      <c r="AB35" s="884"/>
      <c r="AC35" s="874">
        <f t="shared" si="18"/>
        <v>0</v>
      </c>
      <c r="AD35" s="884"/>
      <c r="AE35" s="874">
        <f t="shared" si="19"/>
        <v>0</v>
      </c>
      <c r="AF35" s="241"/>
      <c r="AG35" s="116">
        <f t="shared" si="20"/>
        <v>0</v>
      </c>
      <c r="AH35" s="239"/>
      <c r="AI35" s="116">
        <f t="shared" si="21"/>
        <v>0</v>
      </c>
      <c r="AJ35" s="242"/>
      <c r="AK35" s="117">
        <f t="shared" si="22"/>
        <v>0</v>
      </c>
      <c r="AL35" s="1228">
        <f>SUMIF('Otras Asesorías y Préstamos'!$B$7:$B$242,B35,'Otras Asesorías y Préstamos'!$F$7:$F$242)</f>
        <v>0</v>
      </c>
      <c r="AM35" s="1228">
        <f>SUMIF('Otras Asesorías y Préstamos'!$B$7:$B$242,B35,'Otras Asesorías y Préstamos'!$V$7:$V$242)</f>
        <v>0</v>
      </c>
      <c r="AN35" s="1231">
        <f t="shared" si="23"/>
        <v>1900000</v>
      </c>
      <c r="AO35" s="19"/>
    </row>
    <row r="36" spans="1:41" hidden="1" x14ac:dyDescent="0.2">
      <c r="A36" s="1462">
        <f t="shared" si="14"/>
        <v>28</v>
      </c>
      <c r="B36" s="1393" t="s">
        <v>165</v>
      </c>
      <c r="C36" s="1202">
        <f>_xlfn.XLOOKUP(B36,Códigos!$B$8:$B$406,Códigos!$A$8:$A$406,"Verificar",0)</f>
        <v>208</v>
      </c>
      <c r="D36" s="1114">
        <f>_xlfn.XLOOKUP(B36,'Consolidado Cobros'!$B$10:$B$312,'Consolidado Cobros'!$C$10:$C$312,"Verificar",0)</f>
        <v>70569069</v>
      </c>
      <c r="E36" s="1202">
        <f t="shared" si="0"/>
        <v>5</v>
      </c>
      <c r="F36" s="1463">
        <f t="shared" si="1"/>
        <v>1900000</v>
      </c>
      <c r="G36" s="1464">
        <f t="shared" si="2"/>
        <v>361000</v>
      </c>
      <c r="H36" s="1537" t="s">
        <v>471</v>
      </c>
      <c r="I36" s="1547">
        <f t="shared" si="15"/>
        <v>-209000</v>
      </c>
      <c r="J36" s="1465">
        <f t="shared" si="3"/>
        <v>2261000</v>
      </c>
      <c r="K36" s="1466">
        <f t="shared" si="4"/>
        <v>2052000</v>
      </c>
      <c r="L36" s="1188"/>
      <c r="M36" s="1467" t="s">
        <v>1120</v>
      </c>
      <c r="N36" s="1594" t="s">
        <v>761</v>
      </c>
      <c r="O36" s="1598">
        <v>45987</v>
      </c>
      <c r="P36" s="1594"/>
      <c r="Q36" s="1832"/>
      <c r="R36" s="1468">
        <f t="shared" si="5"/>
        <v>0</v>
      </c>
      <c r="S36" s="1469"/>
      <c r="T36" s="297" t="s">
        <v>631</v>
      </c>
      <c r="U36" s="19"/>
      <c r="V36" s="1230" t="s">
        <v>318</v>
      </c>
      <c r="W36" s="119">
        <f>ROUND(IF(V36="SI",SUMIF('Facturas año anterior'!$B$8:$B$81,B36,'Facturas año anterior'!$V$8:$V$81)*(100%+$W$5),0),-3)+ROUND(IF(V36="SI",SUMIF('C de C año anterior'!$B$8:$B$210,B36,'C de C año anterior'!$Q$8:$Q$210)*(100%+$W$5),0),-3)</f>
        <v>1904000</v>
      </c>
      <c r="X36" s="239"/>
      <c r="Y36" s="114">
        <f t="shared" si="16"/>
        <v>0</v>
      </c>
      <c r="Z36" s="240"/>
      <c r="AA36" s="115">
        <f t="shared" si="17"/>
        <v>0</v>
      </c>
      <c r="AB36" s="884"/>
      <c r="AC36" s="874">
        <f t="shared" si="18"/>
        <v>0</v>
      </c>
      <c r="AD36" s="884"/>
      <c r="AE36" s="874">
        <f t="shared" si="19"/>
        <v>0</v>
      </c>
      <c r="AF36" s="241"/>
      <c r="AG36" s="116">
        <f t="shared" si="20"/>
        <v>0</v>
      </c>
      <c r="AH36" s="239"/>
      <c r="AI36" s="116">
        <f t="shared" si="21"/>
        <v>0</v>
      </c>
      <c r="AJ36" s="242"/>
      <c r="AK36" s="117">
        <f t="shared" si="22"/>
        <v>0</v>
      </c>
      <c r="AL36" s="1228">
        <f>SUMIF('Otras Asesorías y Préstamos'!$B$7:$B$242,B36,'Otras Asesorías y Préstamos'!$F$7:$F$242)</f>
        <v>0</v>
      </c>
      <c r="AM36" s="1228">
        <f>SUMIF('Otras Asesorías y Préstamos'!$B$7:$B$242,B36,'Otras Asesorías y Préstamos'!$V$7:$V$242)</f>
        <v>0</v>
      </c>
      <c r="AN36" s="1231">
        <f t="shared" si="23"/>
        <v>1900000</v>
      </c>
      <c r="AO36" s="19"/>
    </row>
    <row r="37" spans="1:41" hidden="1" x14ac:dyDescent="0.2">
      <c r="A37" s="1462">
        <f t="shared" si="14"/>
        <v>29</v>
      </c>
      <c r="B37" s="1393" t="s">
        <v>168</v>
      </c>
      <c r="C37" s="1202">
        <f>_xlfn.XLOOKUP(B37,Códigos!$B$8:$B$406,Códigos!$A$8:$A$406,"Verificar",0)</f>
        <v>211</v>
      </c>
      <c r="D37" s="1114">
        <f>_xlfn.XLOOKUP(B37,'Consolidado Cobros'!$B$10:$B$312,'Consolidado Cobros'!$C$10:$C$312,"Verificar",0)</f>
        <v>8252575</v>
      </c>
      <c r="E37" s="1202">
        <f t="shared" si="0"/>
        <v>3</v>
      </c>
      <c r="F37" s="1463">
        <f t="shared" si="1"/>
        <v>1900000</v>
      </c>
      <c r="G37" s="1464">
        <f t="shared" si="2"/>
        <v>361000</v>
      </c>
      <c r="H37" s="1537" t="s">
        <v>471</v>
      </c>
      <c r="I37" s="1547">
        <f t="shared" si="15"/>
        <v>-209000</v>
      </c>
      <c r="J37" s="1465">
        <f t="shared" si="3"/>
        <v>2261000</v>
      </c>
      <c r="K37" s="1466">
        <f t="shared" si="4"/>
        <v>2052000</v>
      </c>
      <c r="L37" s="1188"/>
      <c r="M37" s="1467" t="s">
        <v>1120</v>
      </c>
      <c r="N37" s="1594" t="s">
        <v>761</v>
      </c>
      <c r="O37" s="1598">
        <v>45987</v>
      </c>
      <c r="P37" s="1594"/>
      <c r="Q37" s="1832"/>
      <c r="R37" s="1468">
        <f t="shared" si="5"/>
        <v>0</v>
      </c>
      <c r="S37" s="1469"/>
      <c r="T37" s="297" t="s">
        <v>631</v>
      </c>
      <c r="U37" s="19"/>
      <c r="V37" s="1230" t="s">
        <v>318</v>
      </c>
      <c r="W37" s="119">
        <f>ROUND(IF(V37="SI",SUMIF('Facturas año anterior'!$B$8:$B$81,B37,'Facturas año anterior'!$V$8:$V$81)*(100%+$W$5),0),-3)+ROUND(IF(V37="SI",SUMIF('C de C año anterior'!$B$8:$B$210,B37,'C de C año anterior'!$Q$8:$Q$210)*(100%+$W$5),0),-3)</f>
        <v>1904000</v>
      </c>
      <c r="X37" s="239"/>
      <c r="Y37" s="114">
        <f t="shared" si="16"/>
        <v>0</v>
      </c>
      <c r="Z37" s="240"/>
      <c r="AA37" s="115">
        <f t="shared" si="17"/>
        <v>0</v>
      </c>
      <c r="AB37" s="884"/>
      <c r="AC37" s="874">
        <f t="shared" si="18"/>
        <v>0</v>
      </c>
      <c r="AD37" s="884"/>
      <c r="AE37" s="874">
        <f t="shared" si="19"/>
        <v>0</v>
      </c>
      <c r="AF37" s="241"/>
      <c r="AG37" s="116">
        <f t="shared" si="20"/>
        <v>0</v>
      </c>
      <c r="AH37" s="239"/>
      <c r="AI37" s="116">
        <f t="shared" si="21"/>
        <v>0</v>
      </c>
      <c r="AJ37" s="242"/>
      <c r="AK37" s="117">
        <f t="shared" si="22"/>
        <v>0</v>
      </c>
      <c r="AL37" s="1228">
        <f>SUMIF('Otras Asesorías y Préstamos'!$B$7:$B$242,B37,'Otras Asesorías y Préstamos'!$F$7:$F$242)</f>
        <v>0</v>
      </c>
      <c r="AM37" s="1228">
        <f>SUMIF('Otras Asesorías y Préstamos'!$B$7:$B$242,B37,'Otras Asesorías y Préstamos'!$V$7:$V$242)</f>
        <v>0</v>
      </c>
      <c r="AN37" s="1231">
        <f t="shared" si="23"/>
        <v>1900000</v>
      </c>
      <c r="AO37" s="19"/>
    </row>
    <row r="38" spans="1:41" x14ac:dyDescent="0.2">
      <c r="A38" s="1462"/>
      <c r="B38" s="1474"/>
      <c r="C38" s="1202"/>
      <c r="D38" s="1475"/>
      <c r="E38" s="1202"/>
      <c r="F38" s="1463"/>
      <c r="G38" s="1464"/>
      <c r="H38" s="1537"/>
      <c r="I38" s="1547"/>
      <c r="J38" s="1465"/>
      <c r="K38" s="1466"/>
      <c r="L38" s="1188"/>
      <c r="M38" s="1467"/>
      <c r="N38" s="1594"/>
      <c r="O38" s="1598"/>
      <c r="P38" s="1594"/>
      <c r="Q38" s="1832"/>
      <c r="R38" s="1468"/>
      <c r="S38" s="1469"/>
      <c r="T38" s="297"/>
      <c r="U38" s="19"/>
      <c r="V38" s="1230"/>
      <c r="W38" s="119">
        <f>ROUND(IF(V38="SI",SUMIF('Facturas año anterior'!$B$8:$B$81,B38,'Facturas año anterior'!$V$8:$V$81)*(100%+$W$5),0),-3)+ROUND(IF(V38="SI",SUMIF('C de C año anterior'!$B$8:$B$210,B38,'C de C año anterior'!$F$8:$F$210)*(100%+$W$5),0),-3)</f>
        <v>0</v>
      </c>
      <c r="X38" s="239"/>
      <c r="Y38" s="114">
        <f t="shared" si="16"/>
        <v>0</v>
      </c>
      <c r="Z38" s="240"/>
      <c r="AA38" s="115">
        <f t="shared" si="17"/>
        <v>0</v>
      </c>
      <c r="AB38" s="884"/>
      <c r="AC38" s="874">
        <f t="shared" si="18"/>
        <v>0</v>
      </c>
      <c r="AD38" s="884"/>
      <c r="AE38" s="874">
        <f t="shared" si="19"/>
        <v>0</v>
      </c>
      <c r="AF38" s="241"/>
      <c r="AG38" s="116">
        <f t="shared" si="20"/>
        <v>0</v>
      </c>
      <c r="AH38" s="239"/>
      <c r="AI38" s="116">
        <f t="shared" si="21"/>
        <v>0</v>
      </c>
      <c r="AJ38" s="242"/>
      <c r="AK38" s="117">
        <f t="shared" si="22"/>
        <v>0</v>
      </c>
      <c r="AL38" s="1228">
        <f>SUMIF('Otras Asesorías y Préstamos'!$B$7:$B$242,B38,'Otras Asesorías y Préstamos'!$F$7:$F$242)</f>
        <v>0</v>
      </c>
      <c r="AM38" s="1228">
        <f>SUMIF('Otras Asesorías y Préstamos'!$B$7:$B$242,B38,'Otras Asesorías y Préstamos'!$V$7:$V$242)</f>
        <v>0</v>
      </c>
      <c r="AN38" s="1231">
        <f t="shared" si="23"/>
        <v>0</v>
      </c>
      <c r="AO38" s="19"/>
    </row>
    <row r="39" spans="1:41" x14ac:dyDescent="0.2">
      <c r="A39" s="1462"/>
      <c r="B39" s="1474"/>
      <c r="C39" s="1202"/>
      <c r="D39" s="1475"/>
      <c r="E39" s="1202"/>
      <c r="F39" s="1463"/>
      <c r="G39" s="1464"/>
      <c r="H39" s="1537"/>
      <c r="I39" s="1547"/>
      <c r="J39" s="1465"/>
      <c r="K39" s="1466"/>
      <c r="L39" s="1188"/>
      <c r="M39" s="1467"/>
      <c r="N39" s="1594"/>
      <c r="O39" s="1598"/>
      <c r="P39" s="1594"/>
      <c r="Q39" s="1832"/>
      <c r="R39" s="1468"/>
      <c r="S39" s="1469"/>
      <c r="T39" s="297"/>
      <c r="U39" s="19"/>
      <c r="V39" s="1230"/>
      <c r="W39" s="119">
        <f>ROUND(IF(V39="SI",SUMIF('Facturas año anterior'!$B$8:$B$81,B39,'Facturas año anterior'!$V$8:$V$81)*(100%+$W$5),0),-3)+ROUND(IF(V39="SI",SUMIF('C de C año anterior'!$B$8:$B$210,B39,'C de C año anterior'!$F$8:$F$210)*(100%+$W$5),0),-3)</f>
        <v>0</v>
      </c>
      <c r="X39" s="239"/>
      <c r="Y39" s="114">
        <f t="shared" si="16"/>
        <v>0</v>
      </c>
      <c r="Z39" s="240"/>
      <c r="AA39" s="115">
        <f t="shared" si="17"/>
        <v>0</v>
      </c>
      <c r="AB39" s="884"/>
      <c r="AC39" s="874">
        <f t="shared" si="18"/>
        <v>0</v>
      </c>
      <c r="AD39" s="884"/>
      <c r="AE39" s="874">
        <f t="shared" si="19"/>
        <v>0</v>
      </c>
      <c r="AF39" s="241"/>
      <c r="AG39" s="116">
        <f t="shared" si="20"/>
        <v>0</v>
      </c>
      <c r="AH39" s="239"/>
      <c r="AI39" s="116">
        <f t="shared" si="21"/>
        <v>0</v>
      </c>
      <c r="AJ39" s="242"/>
      <c r="AK39" s="117">
        <f t="shared" si="22"/>
        <v>0</v>
      </c>
      <c r="AL39" s="1228">
        <f>SUMIF('Otras Asesorías y Préstamos'!$B$7:$B$242,B39,'Otras Asesorías y Préstamos'!$F$7:$F$242)</f>
        <v>0</v>
      </c>
      <c r="AM39" s="1228">
        <f>SUMIF('Otras Asesorías y Préstamos'!$B$7:$B$242,B39,'Otras Asesorías y Préstamos'!$V$7:$V$242)</f>
        <v>0</v>
      </c>
      <c r="AN39" s="1231">
        <f t="shared" si="23"/>
        <v>0</v>
      </c>
      <c r="AO39" s="19"/>
    </row>
    <row r="40" spans="1:41" x14ac:dyDescent="0.2">
      <c r="A40" s="1462"/>
      <c r="B40" s="1474"/>
      <c r="C40" s="1202"/>
      <c r="D40" s="1475"/>
      <c r="E40" s="1202"/>
      <c r="F40" s="1463"/>
      <c r="G40" s="1464"/>
      <c r="H40" s="1537"/>
      <c r="I40" s="1547"/>
      <c r="J40" s="1465"/>
      <c r="K40" s="1466"/>
      <c r="L40" s="1188"/>
      <c r="M40" s="1467"/>
      <c r="N40" s="1594"/>
      <c r="O40" s="1598"/>
      <c r="P40" s="1594"/>
      <c r="Q40" s="1832"/>
      <c r="R40" s="1468"/>
      <c r="S40" s="1469"/>
      <c r="T40" s="297"/>
      <c r="U40" s="19"/>
      <c r="V40" s="1230"/>
      <c r="W40" s="119">
        <f>ROUND(IF(V40="SI",SUMIF('Facturas año anterior'!$B$8:$B$81,B40,'Facturas año anterior'!$V$8:$V$81)*(100%+$W$5),0),-3)+ROUND(IF(V40="SI",SUMIF('C de C año anterior'!$B$8:$B$210,B40,'C de C año anterior'!$F$8:$F$210)*(100%+$W$5),0),-3)</f>
        <v>0</v>
      </c>
      <c r="X40" s="239"/>
      <c r="Y40" s="114">
        <f t="shared" si="16"/>
        <v>0</v>
      </c>
      <c r="Z40" s="240"/>
      <c r="AA40" s="115">
        <f t="shared" si="17"/>
        <v>0</v>
      </c>
      <c r="AB40" s="884"/>
      <c r="AC40" s="874">
        <f t="shared" si="18"/>
        <v>0</v>
      </c>
      <c r="AD40" s="884"/>
      <c r="AE40" s="874">
        <f t="shared" si="19"/>
        <v>0</v>
      </c>
      <c r="AF40" s="241"/>
      <c r="AG40" s="116">
        <f t="shared" si="20"/>
        <v>0</v>
      </c>
      <c r="AH40" s="239"/>
      <c r="AI40" s="116">
        <f t="shared" si="21"/>
        <v>0</v>
      </c>
      <c r="AJ40" s="242"/>
      <c r="AK40" s="117">
        <f t="shared" si="22"/>
        <v>0</v>
      </c>
      <c r="AL40" s="1228">
        <f>SUMIF('Otras Asesorías y Préstamos'!$B$7:$B$242,B40,'Otras Asesorías y Préstamos'!$F$7:$F$242)</f>
        <v>0</v>
      </c>
      <c r="AM40" s="1228">
        <f>SUMIF('Otras Asesorías y Préstamos'!$B$7:$B$242,B40,'Otras Asesorías y Préstamos'!$V$7:$V$242)</f>
        <v>0</v>
      </c>
      <c r="AN40" s="1231">
        <f t="shared" si="23"/>
        <v>0</v>
      </c>
      <c r="AO40" s="19"/>
    </row>
    <row r="41" spans="1:41" x14ac:dyDescent="0.2">
      <c r="A41" s="1462"/>
      <c r="B41" s="1474"/>
      <c r="C41" s="1202"/>
      <c r="D41" s="1475"/>
      <c r="E41" s="1202"/>
      <c r="F41" s="1463"/>
      <c r="G41" s="1464"/>
      <c r="H41" s="1537"/>
      <c r="I41" s="1547"/>
      <c r="J41" s="1465"/>
      <c r="K41" s="1466"/>
      <c r="L41" s="1188"/>
      <c r="M41" s="1467"/>
      <c r="N41" s="1594"/>
      <c r="O41" s="1598"/>
      <c r="P41" s="1594"/>
      <c r="Q41" s="1832"/>
      <c r="R41" s="1468"/>
      <c r="S41" s="1469"/>
      <c r="T41" s="297"/>
      <c r="U41" s="19"/>
      <c r="V41" s="1230"/>
      <c r="W41" s="119">
        <f>ROUND(IF(V41="SI",SUMIF('Facturas año anterior'!$B$8:$B$81,B41,'Facturas año anterior'!$V$8:$V$81)*(100%+$W$5),0),-3)+ROUND(IF(V41="SI",SUMIF('C de C año anterior'!$B$8:$B$210,B41,'C de C año anterior'!$F$8:$F$210)*(100%+$W$5),0),-3)</f>
        <v>0</v>
      </c>
      <c r="X41" s="239"/>
      <c r="Y41" s="114">
        <f t="shared" si="16"/>
        <v>0</v>
      </c>
      <c r="Z41" s="240"/>
      <c r="AA41" s="115">
        <f t="shared" si="17"/>
        <v>0</v>
      </c>
      <c r="AB41" s="884"/>
      <c r="AC41" s="874">
        <f t="shared" si="18"/>
        <v>0</v>
      </c>
      <c r="AD41" s="884"/>
      <c r="AE41" s="874">
        <f t="shared" si="19"/>
        <v>0</v>
      </c>
      <c r="AF41" s="241"/>
      <c r="AG41" s="116">
        <f t="shared" si="20"/>
        <v>0</v>
      </c>
      <c r="AH41" s="239"/>
      <c r="AI41" s="116">
        <f t="shared" si="21"/>
        <v>0</v>
      </c>
      <c r="AJ41" s="242"/>
      <c r="AK41" s="117">
        <f t="shared" si="22"/>
        <v>0</v>
      </c>
      <c r="AL41" s="1228">
        <f>SUMIF('Otras Asesorías y Préstamos'!$B$7:$B$242,B41,'Otras Asesorías y Préstamos'!$F$7:$F$242)</f>
        <v>0</v>
      </c>
      <c r="AM41" s="1228">
        <f>SUMIF('Otras Asesorías y Préstamos'!$B$7:$B$242,B41,'Otras Asesorías y Préstamos'!$V$7:$V$242)</f>
        <v>0</v>
      </c>
      <c r="AN41" s="1231">
        <f t="shared" si="23"/>
        <v>0</v>
      </c>
      <c r="AO41" s="19"/>
    </row>
    <row r="42" spans="1:41" x14ac:dyDescent="0.2">
      <c r="A42" s="1462"/>
      <c r="B42" s="1474"/>
      <c r="C42" s="1202"/>
      <c r="D42" s="1475"/>
      <c r="E42" s="1202"/>
      <c r="F42" s="1463"/>
      <c r="G42" s="1464"/>
      <c r="H42" s="1537"/>
      <c r="I42" s="1547"/>
      <c r="J42" s="1465"/>
      <c r="K42" s="1466"/>
      <c r="L42" s="1188"/>
      <c r="M42" s="1467"/>
      <c r="N42" s="1594"/>
      <c r="O42" s="1598"/>
      <c r="P42" s="1594"/>
      <c r="Q42" s="1832"/>
      <c r="R42" s="1468"/>
      <c r="S42" s="1469"/>
      <c r="T42" s="297"/>
      <c r="U42" s="19"/>
      <c r="V42" s="1230"/>
      <c r="W42" s="119">
        <f>ROUND(IF(V42="SI",SUMIF('Facturas año anterior'!$B$8:$B$81,B42,'Facturas año anterior'!$V$8:$V$81)*(100%+$W$5),0),-3)+ROUND(IF(V42="SI",SUMIF('C de C año anterior'!$B$8:$B$210,B42,'C de C año anterior'!$F$8:$F$210)*(100%+$W$5),0),-3)</f>
        <v>0</v>
      </c>
      <c r="X42" s="239"/>
      <c r="Y42" s="114">
        <f t="shared" si="16"/>
        <v>0</v>
      </c>
      <c r="Z42" s="240"/>
      <c r="AA42" s="115">
        <f t="shared" si="17"/>
        <v>0</v>
      </c>
      <c r="AB42" s="884"/>
      <c r="AC42" s="874">
        <f t="shared" si="18"/>
        <v>0</v>
      </c>
      <c r="AD42" s="884"/>
      <c r="AE42" s="874">
        <f t="shared" si="19"/>
        <v>0</v>
      </c>
      <c r="AF42" s="241"/>
      <c r="AG42" s="116">
        <f t="shared" si="20"/>
        <v>0</v>
      </c>
      <c r="AH42" s="239"/>
      <c r="AI42" s="116">
        <f t="shared" si="21"/>
        <v>0</v>
      </c>
      <c r="AJ42" s="242"/>
      <c r="AK42" s="117">
        <f t="shared" si="22"/>
        <v>0</v>
      </c>
      <c r="AL42" s="1228">
        <f>SUMIF('Otras Asesorías y Préstamos'!$B$7:$B$242,B42,'Otras Asesorías y Préstamos'!$F$7:$F$242)</f>
        <v>0</v>
      </c>
      <c r="AM42" s="1228">
        <f>SUMIF('Otras Asesorías y Préstamos'!$B$7:$B$242,B42,'Otras Asesorías y Préstamos'!$V$7:$V$242)</f>
        <v>0</v>
      </c>
      <c r="AN42" s="1231">
        <f t="shared" si="23"/>
        <v>0</v>
      </c>
      <c r="AO42" s="19"/>
    </row>
    <row r="43" spans="1:41" x14ac:dyDescent="0.2">
      <c r="A43" s="1462"/>
      <c r="B43" s="1474"/>
      <c r="C43" s="1202"/>
      <c r="D43" s="1475"/>
      <c r="E43" s="1202"/>
      <c r="F43" s="1463"/>
      <c r="G43" s="1464"/>
      <c r="H43" s="1537"/>
      <c r="I43" s="1547"/>
      <c r="J43" s="1465"/>
      <c r="K43" s="1466"/>
      <c r="L43" s="1188"/>
      <c r="M43" s="1467"/>
      <c r="N43" s="1594"/>
      <c r="O43" s="1598"/>
      <c r="P43" s="1594"/>
      <c r="Q43" s="1832"/>
      <c r="R43" s="1468"/>
      <c r="S43" s="1469"/>
      <c r="T43" s="297"/>
      <c r="U43" s="19"/>
      <c r="V43" s="1230"/>
      <c r="W43" s="119">
        <f>ROUND(IF(V43="SI",SUMIF('Facturas año anterior'!$B$8:$B$81,B43,'Facturas año anterior'!$V$8:$V$81)*(100%+$W$5),0),-3)+ROUND(IF(V43="SI",SUMIF('C de C año anterior'!$B$8:$B$210,B43,'C de C año anterior'!$F$8:$F$210)*(100%+$W$5),0),-3)</f>
        <v>0</v>
      </c>
      <c r="X43" s="239"/>
      <c r="Y43" s="114">
        <f t="shared" si="16"/>
        <v>0</v>
      </c>
      <c r="Z43" s="240"/>
      <c r="AA43" s="115">
        <f t="shared" si="17"/>
        <v>0</v>
      </c>
      <c r="AB43" s="884"/>
      <c r="AC43" s="874">
        <f t="shared" si="18"/>
        <v>0</v>
      </c>
      <c r="AD43" s="884"/>
      <c r="AE43" s="874">
        <f t="shared" si="19"/>
        <v>0</v>
      </c>
      <c r="AF43" s="241"/>
      <c r="AG43" s="116">
        <f t="shared" si="20"/>
        <v>0</v>
      </c>
      <c r="AH43" s="239"/>
      <c r="AI43" s="116">
        <f t="shared" si="21"/>
        <v>0</v>
      </c>
      <c r="AJ43" s="242"/>
      <c r="AK43" s="117">
        <f t="shared" si="22"/>
        <v>0</v>
      </c>
      <c r="AL43" s="1228">
        <f>SUMIF('Otras Asesorías y Préstamos'!$B$7:$B$242,B43,'Otras Asesorías y Préstamos'!$F$7:$F$242)</f>
        <v>0</v>
      </c>
      <c r="AM43" s="1228">
        <f>SUMIF('Otras Asesorías y Préstamos'!$B$7:$B$242,B43,'Otras Asesorías y Préstamos'!$V$7:$V$242)</f>
        <v>0</v>
      </c>
      <c r="AN43" s="1231">
        <f t="shared" si="23"/>
        <v>0</v>
      </c>
      <c r="AO43" s="19"/>
    </row>
    <row r="44" spans="1:41" x14ac:dyDescent="0.2">
      <c r="A44" s="1462"/>
      <c r="B44" s="1474"/>
      <c r="C44" s="1202"/>
      <c r="D44" s="1475"/>
      <c r="E44" s="1202"/>
      <c r="F44" s="1463"/>
      <c r="G44" s="1464"/>
      <c r="H44" s="1537"/>
      <c r="I44" s="1547"/>
      <c r="J44" s="1465"/>
      <c r="K44" s="1466"/>
      <c r="L44" s="1188"/>
      <c r="M44" s="1467"/>
      <c r="N44" s="1594"/>
      <c r="O44" s="1598"/>
      <c r="P44" s="1594"/>
      <c r="Q44" s="1832"/>
      <c r="R44" s="1468"/>
      <c r="S44" s="1469"/>
      <c r="T44" s="297"/>
      <c r="U44" s="19"/>
      <c r="V44" s="1230"/>
      <c r="W44" s="119">
        <f>ROUND(IF(V44="SI",SUMIF('Facturas año anterior'!$B$8:$B$81,B44,'Facturas año anterior'!$V$8:$V$81)*(100%+$W$5),0),-3)+ROUND(IF(V44="SI",SUMIF('C de C año anterior'!$B$8:$B$210,B44,'C de C año anterior'!$F$8:$F$210)*(100%+$W$5),0),-3)</f>
        <v>0</v>
      </c>
      <c r="X44" s="239"/>
      <c r="Y44" s="114">
        <f t="shared" si="16"/>
        <v>0</v>
      </c>
      <c r="Z44" s="240"/>
      <c r="AA44" s="115">
        <f t="shared" si="17"/>
        <v>0</v>
      </c>
      <c r="AB44" s="884"/>
      <c r="AC44" s="874">
        <f t="shared" si="18"/>
        <v>0</v>
      </c>
      <c r="AD44" s="884"/>
      <c r="AE44" s="874">
        <f t="shared" si="19"/>
        <v>0</v>
      </c>
      <c r="AF44" s="241"/>
      <c r="AG44" s="116">
        <f t="shared" si="20"/>
        <v>0</v>
      </c>
      <c r="AH44" s="239"/>
      <c r="AI44" s="116">
        <f t="shared" si="21"/>
        <v>0</v>
      </c>
      <c r="AJ44" s="242"/>
      <c r="AK44" s="117">
        <f t="shared" si="22"/>
        <v>0</v>
      </c>
      <c r="AL44" s="1228">
        <f>SUMIF('Otras Asesorías y Préstamos'!$B$7:$B$242,B44,'Otras Asesorías y Préstamos'!$F$7:$F$242)</f>
        <v>0</v>
      </c>
      <c r="AM44" s="1228">
        <f>SUMIF('Otras Asesorías y Préstamos'!$B$7:$B$242,B44,'Otras Asesorías y Préstamos'!$V$7:$V$242)</f>
        <v>0</v>
      </c>
      <c r="AN44" s="1231">
        <f t="shared" si="23"/>
        <v>0</v>
      </c>
      <c r="AO44" s="19"/>
    </row>
    <row r="45" spans="1:41" x14ac:dyDescent="0.2">
      <c r="A45" s="1462"/>
      <c r="B45" s="1474"/>
      <c r="C45" s="1202"/>
      <c r="D45" s="1475"/>
      <c r="E45" s="1202"/>
      <c r="F45" s="1463"/>
      <c r="G45" s="1464"/>
      <c r="H45" s="1537"/>
      <c r="I45" s="1547"/>
      <c r="J45" s="1465"/>
      <c r="K45" s="1466"/>
      <c r="L45" s="1188"/>
      <c r="M45" s="1467"/>
      <c r="N45" s="1594"/>
      <c r="O45" s="1598"/>
      <c r="P45" s="1594"/>
      <c r="Q45" s="1832"/>
      <c r="R45" s="1468"/>
      <c r="S45" s="1469"/>
      <c r="T45" s="297"/>
      <c r="U45" s="19"/>
      <c r="V45" s="1230"/>
      <c r="W45" s="119">
        <f>ROUND(IF(V45="SI",SUMIF('Facturas año anterior'!$B$8:$B$81,B45,'Facturas año anterior'!$V$8:$V$81)*(100%+$W$5),0),-3)+ROUND(IF(V45="SI",SUMIF('C de C año anterior'!$B$8:$B$210,B45,'C de C año anterior'!$F$8:$F$210)*(100%+$W$5),0),-3)</f>
        <v>0</v>
      </c>
      <c r="X45" s="239"/>
      <c r="Y45" s="114">
        <f t="shared" si="16"/>
        <v>0</v>
      </c>
      <c r="Z45" s="240"/>
      <c r="AA45" s="115">
        <f t="shared" si="17"/>
        <v>0</v>
      </c>
      <c r="AB45" s="884"/>
      <c r="AC45" s="874">
        <f t="shared" si="18"/>
        <v>0</v>
      </c>
      <c r="AD45" s="884"/>
      <c r="AE45" s="874">
        <f t="shared" si="19"/>
        <v>0</v>
      </c>
      <c r="AF45" s="241"/>
      <c r="AG45" s="116">
        <f t="shared" si="20"/>
        <v>0</v>
      </c>
      <c r="AH45" s="239"/>
      <c r="AI45" s="116">
        <f t="shared" si="21"/>
        <v>0</v>
      </c>
      <c r="AJ45" s="242"/>
      <c r="AK45" s="117">
        <f t="shared" si="22"/>
        <v>0</v>
      </c>
      <c r="AL45" s="1228">
        <f>SUMIF('Otras Asesorías y Préstamos'!$B$7:$B$242,B45,'Otras Asesorías y Préstamos'!$F$7:$F$242)</f>
        <v>0</v>
      </c>
      <c r="AM45" s="1228">
        <f>SUMIF('Otras Asesorías y Préstamos'!$B$7:$B$242,B45,'Otras Asesorías y Préstamos'!$V$7:$V$242)</f>
        <v>0</v>
      </c>
      <c r="AN45" s="1231">
        <f t="shared" si="23"/>
        <v>0</v>
      </c>
      <c r="AO45" s="19"/>
    </row>
    <row r="46" spans="1:41" x14ac:dyDescent="0.2">
      <c r="A46" s="1462"/>
      <c r="B46" s="1474"/>
      <c r="C46" s="1202"/>
      <c r="D46" s="1475"/>
      <c r="E46" s="1202"/>
      <c r="F46" s="1463"/>
      <c r="G46" s="1464"/>
      <c r="H46" s="1537"/>
      <c r="I46" s="1547"/>
      <c r="J46" s="1465"/>
      <c r="K46" s="1466"/>
      <c r="L46" s="1188"/>
      <c r="M46" s="1467"/>
      <c r="N46" s="1594"/>
      <c r="O46" s="1598"/>
      <c r="P46" s="1594"/>
      <c r="Q46" s="1832"/>
      <c r="R46" s="1468"/>
      <c r="S46" s="1469"/>
      <c r="T46" s="297"/>
      <c r="U46" s="19"/>
      <c r="V46" s="1230"/>
      <c r="W46" s="119">
        <f>ROUND(IF(V46="SI",SUMIF('Facturas año anterior'!$B$8:$B$81,B46,'Facturas año anterior'!$V$8:$V$81)*(100%+$W$5),0),-3)+ROUND(IF(V46="SI",SUMIF('C de C año anterior'!$B$8:$B$210,B46,'C de C año anterior'!$F$8:$F$210)*(100%+$W$5),0),-3)</f>
        <v>0</v>
      </c>
      <c r="X46" s="239"/>
      <c r="Y46" s="114">
        <f t="shared" si="16"/>
        <v>0</v>
      </c>
      <c r="Z46" s="240"/>
      <c r="AA46" s="115">
        <f t="shared" si="17"/>
        <v>0</v>
      </c>
      <c r="AB46" s="884"/>
      <c r="AC46" s="874">
        <f t="shared" si="18"/>
        <v>0</v>
      </c>
      <c r="AD46" s="884"/>
      <c r="AE46" s="874">
        <f t="shared" si="19"/>
        <v>0</v>
      </c>
      <c r="AF46" s="241"/>
      <c r="AG46" s="116">
        <f t="shared" si="20"/>
        <v>0</v>
      </c>
      <c r="AH46" s="239"/>
      <c r="AI46" s="116">
        <f t="shared" si="21"/>
        <v>0</v>
      </c>
      <c r="AJ46" s="242"/>
      <c r="AK46" s="117">
        <f t="shared" si="22"/>
        <v>0</v>
      </c>
      <c r="AL46" s="1228">
        <f>SUMIF('Otras Asesorías y Préstamos'!$B$7:$B$242,B46,'Otras Asesorías y Préstamos'!$F$7:$F$242)</f>
        <v>0</v>
      </c>
      <c r="AM46" s="1228">
        <f>SUMIF('Otras Asesorías y Préstamos'!$B$7:$B$242,B46,'Otras Asesorías y Préstamos'!$V$7:$V$242)</f>
        <v>0</v>
      </c>
      <c r="AN46" s="1231">
        <f t="shared" si="23"/>
        <v>0</v>
      </c>
      <c r="AO46" s="19"/>
    </row>
    <row r="47" spans="1:41" ht="13.5" thickBot="1" x14ac:dyDescent="0.25">
      <c r="A47" s="280"/>
      <c r="B47" s="625"/>
      <c r="C47" s="491"/>
      <c r="D47" s="626"/>
      <c r="E47" s="1476"/>
      <c r="F47" s="314"/>
      <c r="G47" s="627"/>
      <c r="H47" s="1539"/>
      <c r="I47" s="1549"/>
      <c r="J47" s="530"/>
      <c r="K47" s="521"/>
      <c r="L47" s="928"/>
      <c r="M47" s="1068"/>
      <c r="N47" s="1600"/>
      <c r="O47" s="1605"/>
      <c r="P47" s="1600"/>
      <c r="Q47" s="1833"/>
      <c r="R47" s="317"/>
      <c r="S47" s="316"/>
      <c r="T47" s="328"/>
      <c r="U47" s="19"/>
      <c r="V47" s="303"/>
      <c r="W47" s="129"/>
      <c r="X47" s="247"/>
      <c r="Y47" s="248"/>
      <c r="Z47" s="249"/>
      <c r="AA47" s="250"/>
      <c r="AB47" s="886"/>
      <c r="AC47" s="876"/>
      <c r="AD47" s="886"/>
      <c r="AE47" s="876"/>
      <c r="AF47" s="251"/>
      <c r="AG47" s="252"/>
      <c r="AH47" s="251"/>
      <c r="AI47" s="129"/>
      <c r="AJ47" s="253"/>
      <c r="AK47" s="254"/>
      <c r="AL47" s="326"/>
      <c r="AM47" s="209"/>
      <c r="AN47" s="267"/>
      <c r="AO47" s="19"/>
    </row>
    <row r="48" spans="1:41" ht="13.5" thickBot="1" x14ac:dyDescent="0.25">
      <c r="A48" s="169"/>
      <c r="B48" s="28"/>
      <c r="D48" s="169"/>
      <c r="E48" s="29"/>
      <c r="F48" s="257"/>
      <c r="G48" s="257"/>
      <c r="H48" s="91"/>
      <c r="I48" s="206"/>
      <c r="J48" s="498"/>
      <c r="K48" s="257"/>
      <c r="L48" s="47"/>
      <c r="M48" s="216"/>
      <c r="N48" s="216"/>
      <c r="O48" s="216"/>
      <c r="P48" s="216"/>
      <c r="Q48" s="216"/>
      <c r="R48" s="258"/>
      <c r="S48" s="258"/>
      <c r="U48" s="19"/>
      <c r="V48" s="83"/>
      <c r="W48" s="255"/>
      <c r="X48" s="83"/>
      <c r="Y48" s="84"/>
      <c r="Z48" s="47"/>
      <c r="AA48" s="85"/>
      <c r="AB48" s="216"/>
      <c r="AC48" s="90"/>
      <c r="AD48" s="216"/>
      <c r="AE48" s="90"/>
      <c r="AF48" s="86"/>
      <c r="AG48" s="87"/>
      <c r="AH48" s="86"/>
      <c r="AI48" s="256"/>
      <c r="AJ48" s="48"/>
      <c r="AK48" s="256"/>
      <c r="AL48" s="206"/>
      <c r="AM48" s="256"/>
      <c r="AN48" s="89"/>
      <c r="AO48" s="19"/>
    </row>
    <row r="49" spans="1:255" s="951" customFormat="1" ht="13.5" thickBot="1" x14ac:dyDescent="0.25">
      <c r="A49" s="162" t="s">
        <v>289</v>
      </c>
      <c r="B49" s="131"/>
      <c r="C49" s="493"/>
      <c r="D49" s="266"/>
      <c r="E49" s="276"/>
      <c r="F49" s="229">
        <f>SUM(F9:F47)</f>
        <v>37600000</v>
      </c>
      <c r="G49" s="229">
        <f>SUM(G9:G47)</f>
        <v>7144000</v>
      </c>
      <c r="H49" s="1540"/>
      <c r="I49" s="507">
        <f>SUM(I9:I47)</f>
        <v>-3248300</v>
      </c>
      <c r="J49" s="230">
        <f>SUM(J9:J47)</f>
        <v>44744000</v>
      </c>
      <c r="K49" s="229">
        <f>SUM(K9:K47)</f>
        <v>41495700</v>
      </c>
      <c r="L49" s="1061"/>
      <c r="M49" s="90"/>
      <c r="N49" s="90"/>
      <c r="O49" s="90"/>
      <c r="P49" s="90"/>
      <c r="Q49" s="90"/>
      <c r="R49" s="90"/>
      <c r="S49" s="90"/>
      <c r="T49" s="62"/>
      <c r="U49" s="63"/>
      <c r="V49" s="243"/>
      <c r="W49" s="244">
        <f>SUM(W9:W47)</f>
        <v>29412000</v>
      </c>
      <c r="X49" s="243"/>
      <c r="Y49" s="244">
        <f>SUM(Y9:Y47)</f>
        <v>497000</v>
      </c>
      <c r="Z49" s="243"/>
      <c r="AA49" s="244">
        <f>SUM(AA9:AA47)</f>
        <v>2081000</v>
      </c>
      <c r="AB49" s="266"/>
      <c r="AC49" s="244">
        <f>SUM(AC9:AC47)</f>
        <v>0</v>
      </c>
      <c r="AD49" s="266"/>
      <c r="AE49" s="244">
        <f>SUM(AE9:AE47)</f>
        <v>0</v>
      </c>
      <c r="AF49" s="243"/>
      <c r="AG49" s="244">
        <f>SUM(AG9:AG47)</f>
        <v>0</v>
      </c>
      <c r="AH49" s="243"/>
      <c r="AI49" s="244">
        <f>SUM(AI9:AI47)</f>
        <v>234000</v>
      </c>
      <c r="AJ49" s="243"/>
      <c r="AK49" s="244">
        <f>SUM(AK9:AK47)</f>
        <v>2641800</v>
      </c>
      <c r="AL49" s="500">
        <f>SUM(AL9:AL47)</f>
        <v>2756168.2982408381</v>
      </c>
      <c r="AM49" s="244">
        <f>SUM(AM9:AM47)</f>
        <v>0</v>
      </c>
      <c r="AN49" s="229">
        <f>SUM(AN9:AN47)</f>
        <v>37600000</v>
      </c>
      <c r="AO49" s="63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  <c r="IU49" s="62"/>
    </row>
    <row r="50" spans="1:255" s="951" customFormat="1" x14ac:dyDescent="0.2">
      <c r="A50" s="90"/>
      <c r="B50" s="62"/>
      <c r="C50" s="494"/>
      <c r="D50" s="216"/>
      <c r="E50" s="111"/>
      <c r="F50" s="90"/>
      <c r="G50" s="90"/>
      <c r="H50" s="91"/>
      <c r="I50" s="206"/>
      <c r="J50" s="498"/>
      <c r="K50" s="90"/>
      <c r="L50" s="47"/>
      <c r="M50" s="90"/>
      <c r="N50" s="90"/>
      <c r="O50" s="90"/>
      <c r="P50" s="90"/>
      <c r="Q50" s="90"/>
      <c r="R50" s="90"/>
      <c r="S50" s="90"/>
      <c r="T50" s="62"/>
      <c r="U50" s="63"/>
      <c r="V50" s="216"/>
      <c r="W50" s="90"/>
      <c r="X50" s="216"/>
      <c r="Y50" s="90"/>
      <c r="Z50" s="216"/>
      <c r="AA50" s="90"/>
      <c r="AB50" s="216"/>
      <c r="AC50" s="90"/>
      <c r="AD50" s="216"/>
      <c r="AE50" s="90"/>
      <c r="AF50" s="216"/>
      <c r="AG50" s="90"/>
      <c r="AH50" s="216"/>
      <c r="AI50" s="90"/>
      <c r="AJ50" s="216"/>
      <c r="AK50" s="216"/>
      <c r="AL50" s="206"/>
      <c r="AM50" s="216"/>
      <c r="AN50" s="90"/>
      <c r="AO50" s="63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  <c r="IU50" s="62"/>
    </row>
    <row r="51" spans="1:255" x14ac:dyDescent="0.2">
      <c r="A51" s="170"/>
      <c r="B51" s="30"/>
      <c r="C51" s="654">
        <f>+A37</f>
        <v>29</v>
      </c>
      <c r="D51" s="654"/>
      <c r="E51" s="31"/>
      <c r="F51" s="32"/>
      <c r="G51" s="32"/>
      <c r="H51" s="1541"/>
      <c r="I51" s="1550"/>
      <c r="J51" s="528"/>
      <c r="K51" s="32"/>
      <c r="L51" s="1062"/>
      <c r="M51" s="1069"/>
      <c r="N51" s="1069"/>
      <c r="O51" s="1069"/>
      <c r="P51" s="1069"/>
      <c r="Q51" s="1069"/>
      <c r="R51" s="108"/>
      <c r="S51" s="108"/>
      <c r="T51" s="330"/>
      <c r="U51" s="19"/>
      <c r="V51" s="34"/>
      <c r="W51" s="377"/>
      <c r="X51" s="34"/>
      <c r="Y51" s="35"/>
      <c r="Z51" s="34"/>
      <c r="AA51" s="35"/>
      <c r="AB51" s="903"/>
      <c r="AC51" s="898"/>
      <c r="AD51" s="903"/>
      <c r="AE51" s="898"/>
      <c r="AF51" s="33"/>
      <c r="AG51" s="35"/>
      <c r="AH51" s="33"/>
      <c r="AI51" s="35"/>
      <c r="AJ51" s="36"/>
      <c r="AK51" s="35"/>
      <c r="AL51" s="501"/>
      <c r="AM51" s="35"/>
      <c r="AN51" s="35"/>
      <c r="AO51" s="19"/>
    </row>
    <row r="52" spans="1:255" x14ac:dyDescent="0.2">
      <c r="A52" s="171"/>
      <c r="B52" s="38"/>
      <c r="C52" s="482"/>
      <c r="D52" s="166"/>
      <c r="E52" s="25"/>
      <c r="F52" s="39"/>
      <c r="G52" s="39"/>
      <c r="H52" s="1542"/>
      <c r="I52" s="1542"/>
      <c r="J52" s="481"/>
      <c r="K52" s="39"/>
      <c r="L52" s="41"/>
      <c r="M52" s="1070"/>
      <c r="N52" s="1070"/>
      <c r="O52" s="1070"/>
      <c r="P52" s="1070"/>
      <c r="Q52" s="1070"/>
      <c r="R52" s="109"/>
      <c r="S52" s="109"/>
      <c r="T52" s="197"/>
      <c r="U52" s="19"/>
      <c r="V52" s="41"/>
      <c r="W52" s="40"/>
      <c r="X52" s="41"/>
      <c r="Y52" s="42"/>
      <c r="Z52" s="41"/>
      <c r="AA52" s="42"/>
      <c r="AB52" s="904"/>
      <c r="AC52" s="5"/>
      <c r="AD52" s="904"/>
      <c r="AE52" s="5"/>
      <c r="AF52" s="40"/>
      <c r="AG52" s="42"/>
      <c r="AH52" s="40"/>
      <c r="AI52" s="42"/>
      <c r="AJ52" s="43"/>
      <c r="AK52" s="42"/>
      <c r="AL52" s="502"/>
      <c r="AM52" s="42"/>
      <c r="AN52" s="42"/>
      <c r="AO52" s="19"/>
    </row>
    <row r="53" spans="1:255" ht="15.75" thickBot="1" x14ac:dyDescent="0.25">
      <c r="A53" s="113" t="s">
        <v>3</v>
      </c>
      <c r="B53" s="28"/>
      <c r="D53" s="214"/>
      <c r="E53" s="45"/>
      <c r="F53" s="38"/>
      <c r="G53" s="38"/>
      <c r="H53" s="1543"/>
      <c r="I53" s="503"/>
      <c r="J53" s="484"/>
      <c r="K53" s="38"/>
      <c r="L53" s="1219"/>
      <c r="M53" s="1220"/>
      <c r="N53" s="1070"/>
      <c r="O53" s="1070"/>
      <c r="P53" s="1070"/>
      <c r="Q53" s="1070"/>
      <c r="R53" s="109"/>
      <c r="S53" s="109"/>
      <c r="T53" s="197"/>
      <c r="U53" s="19"/>
      <c r="V53" s="41"/>
      <c r="W53" s="41"/>
      <c r="X53" s="41"/>
      <c r="Y53" s="46"/>
      <c r="Z53" s="41"/>
      <c r="AA53" s="46"/>
      <c r="AB53" s="904"/>
      <c r="AC53" s="16"/>
      <c r="AD53" s="904"/>
      <c r="AE53" s="16"/>
      <c r="AF53" s="40"/>
      <c r="AG53" s="46"/>
      <c r="AH53" s="40"/>
      <c r="AI53" s="46"/>
      <c r="AJ53" s="43"/>
      <c r="AK53" s="46"/>
      <c r="AL53" s="503"/>
      <c r="AM53" s="46"/>
      <c r="AN53" s="46"/>
      <c r="AO53" s="19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</row>
    <row r="54" spans="1:255" ht="25.5" hidden="1" x14ac:dyDescent="0.2">
      <c r="A54" s="557">
        <v>1</v>
      </c>
      <c r="B54" s="1681" t="s">
        <v>251</v>
      </c>
      <c r="C54" s="1726">
        <f>_xlfn.XLOOKUP(B54,Códigos!$B$8:$B$406,Códigos!$A$8:$A$406,"Verificar",0)</f>
        <v>1</v>
      </c>
      <c r="D54" s="1675">
        <f>_xlfn.XLOOKUP(B54,'Consolidado Cobros'!$B$10:$B$312,'Consolidado Cobros'!$C$10:$C$312,"Verificar",0)</f>
        <v>811032632</v>
      </c>
      <c r="E54" s="1726">
        <f t="shared" ref="E54:E72" si="36">IF((MOD((VALUE(MID(TEXT(D54,"000000000000000"),15,1))*3+VALUE(MID(TEXT(D54,"000000000000000"),14,1))*7+VALUE(MID(TEXT(D54,"000000000000000"),13,1))*13+VALUE(MID(TEXT(D54,"000000000000000"),12,1))*17+VALUE(MID(TEXT(D54,"000000000000000"),11,1))*19+VALUE(MID(TEXT(D54,"000000000000000"),10,1))*23+VALUE(MID(TEXT(D54,"000000000000000"),9,1))*29+VALUE(MID(TEXT(D54,"000000000000000"),8,1))*37+VALUE(MID(TEXT(D54,"000000000000000"),7,1))*41+VALUE(MID(TEXT(D54,"000000000000000"),6,1))*43+VALUE(MID(TEXT(D54,"000000000000000"),5,1))*47+VALUE(MID(TEXT(D54,"000000000000000"),4,1))*53+VALUE(MID(TEXT(D54,"000000000000000"),3,1))*59+VALUE(MID(TEXT(D54,"000000000000000"),2,1))*67+VALUE(MID(TEXT(D54,"000000000000000"),1,1))*71),11))=0,0,IF((MOD((VALUE(MID(TEXT(D54,"000000000000000"),15,1))*3+VALUE(MID(TEXT(D54,"000000000000000"),14,1))*7+VALUE(MID(TEXT(D54,"000000000000000"),13,1))*13+VALUE(MID(TEXT(D54,"000000000000000"),12,1))*17+VALUE(MID(TEXT(D54,"000000000000000"),11,1))*19+VALUE(MID(TEXT(D54,"000000000000000"),10,1))*23+VALUE(MID(TEXT(D54,"000000000000000"),9,1))*29+VALUE(MID(TEXT(D54,"000000000000000"),8,1))*37+VALUE(MID(TEXT(D54,"000000000000000"),7,1))*41+VALUE(MID(TEXT(D54,"000000000000000"),6,1))*43+VALUE(MID(TEXT(D54,"000000000000000"),5,1))*47+VALUE(MID(TEXT(D54,"000000000000000"),4,1))*53+VALUE(MID(TEXT(D54,"000000000000000"),3,1))*59+VALUE(MID(TEXT(D54,"000000000000000"),2,1))*67+VALUE(MID(TEXT(D54,"000000000000000"),1,1))*71),11))=1,1,11-(MOD((VALUE(MID(TEXT(D54,"000000000000000"),15,1))*3+VALUE(MID(TEXT(D54,"000000000000000"),14,1))*7+VALUE(MID(TEXT(D54,"000000000000000"),13,1))*13+VALUE(MID(TEXT(D54,"000000000000000"),12,1))*17+VALUE(MID(TEXT(D54,"000000000000000"),11,1))*19+VALUE(MID(TEXT(D54,"000000000000000"),10,1))*23+VALUE(MID(TEXT(D54,"000000000000000"),9,1))*29+VALUE(MID(TEXT(D54,"000000000000000"),8,1))*37+VALUE(MID(TEXT(D54,"000000000000000"),7,1))*41+VALUE(MID(TEXT(D54,"000000000000000"),6,1))*43+VALUE(MID(TEXT(D54,"000000000000000"),5,1))*47+VALUE(MID(TEXT(D54,"000000000000000"),4,1))*53+VALUE(MID(TEXT(D54,"000000000000000"),3,1))*59+VALUE(MID(TEXT(D54,"000000000000000"),2,1))*67+VALUE(MID(TEXT(D54,"000000000000000"),1,1))*71),11))))</f>
        <v>4</v>
      </c>
      <c r="F54" s="615">
        <f>+AN54</f>
        <v>2241000</v>
      </c>
      <c r="G54" s="1727">
        <f t="shared" ref="G54" si="37">+F54*$G$5</f>
        <v>425790</v>
      </c>
      <c r="H54" s="1533" t="s">
        <v>471</v>
      </c>
      <c r="I54" s="1728">
        <f t="shared" ref="I54:I72" si="38">IF(H54="S",-F54*$I$5,"NO RETENCIÓN")</f>
        <v>-246510</v>
      </c>
      <c r="J54" s="1729">
        <f t="shared" ref="J54:J72" si="39">+F54+G54</f>
        <v>2666790</v>
      </c>
      <c r="K54" s="519">
        <f>SUM(F54:I54)</f>
        <v>2420280</v>
      </c>
      <c r="L54" s="1730"/>
      <c r="M54" s="1095" t="s">
        <v>1095</v>
      </c>
      <c r="N54" s="1593" t="s">
        <v>1096</v>
      </c>
      <c r="O54" s="1597">
        <v>45986</v>
      </c>
      <c r="P54" s="1593" t="s">
        <v>839</v>
      </c>
      <c r="Q54" s="1831" t="s">
        <v>201</v>
      </c>
      <c r="R54" s="615">
        <f t="shared" ref="R54" si="40">+AM54</f>
        <v>0</v>
      </c>
      <c r="S54" s="1732"/>
      <c r="T54" s="933" t="s">
        <v>677</v>
      </c>
      <c r="U54" s="944"/>
      <c r="V54" s="304" t="s">
        <v>318</v>
      </c>
      <c r="W54" s="182">
        <f>ROUND(IF(V54="SI",SUMIF('Facturas año anterior'!$B$8:$B$81,B54,'Facturas año anterior'!$V$8:$V$81)*(100%+$W$5),0),-3)+ROUND(IF(V54="SI",SUMIF('C de C año anterior'!$B$8:$B$210,B54,'C de C año anterior'!$Q$8:$Q$210)*(100%+$W$5),0),-3)</f>
        <v>1168000</v>
      </c>
      <c r="X54" s="235"/>
      <c r="Y54" s="183">
        <f t="shared" ref="Y54" si="41">ROUND(IF(X54="SI",W54*$Y$5,0),-3)</f>
        <v>0</v>
      </c>
      <c r="Z54" s="236" t="s">
        <v>318</v>
      </c>
      <c r="AA54" s="184">
        <f t="shared" ref="AA54" si="42">ROUND(IF(Z54="SI",W54*$AA$5,0),-3)</f>
        <v>876000</v>
      </c>
      <c r="AB54" s="883"/>
      <c r="AC54" s="873">
        <f t="shared" ref="AC54:AC72" si="43">ROUND(IF(AB54="SI",W54*$AC$5,0),-3)</f>
        <v>0</v>
      </c>
      <c r="AD54" s="883"/>
      <c r="AE54" s="873">
        <f t="shared" ref="AE54:AE72" si="44">ROUND(IF(AD54="SI",W54*$AE$5,0),-3)</f>
        <v>0</v>
      </c>
      <c r="AF54" s="237" t="s">
        <v>318</v>
      </c>
      <c r="AG54" s="185">
        <f t="shared" ref="AG54" si="45">ROUND(IF(AF54="SI",W54*$AG$5,0),-3)</f>
        <v>117000</v>
      </c>
      <c r="AH54" s="235"/>
      <c r="AI54" s="185">
        <f t="shared" ref="AI54" si="46">ROUND(IF(AH54="SI",W54*$AI$5,0),-3)</f>
        <v>0</v>
      </c>
      <c r="AJ54" s="238"/>
      <c r="AK54" s="264">
        <f t="shared" ref="AK54" si="47">IF(AJ54="SI",W54*$AK$5,0)</f>
        <v>0</v>
      </c>
      <c r="AL54" s="504">
        <f>SUMIF('Otras Asesorías y Préstamos'!$B$7:$B$242,B54,'Otras Asesorías y Préstamos'!$F$7:$F$242)</f>
        <v>80000</v>
      </c>
      <c r="AM54" s="205">
        <f>SUMIF('Otras Asesorías y Préstamos'!$B$7:$B$242,B54,'Otras Asesorías y Préstamos'!$V$7:$V$242)</f>
        <v>0</v>
      </c>
      <c r="AN54" s="270">
        <f t="shared" ref="AN54:AN57" si="48">ROUND(SUM(W54:AL54),-3)</f>
        <v>2241000</v>
      </c>
      <c r="AO54" s="24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</row>
    <row r="55" spans="1:255" hidden="1" x14ac:dyDescent="0.2">
      <c r="A55" s="1850">
        <f>+A54+1</f>
        <v>2</v>
      </c>
      <c r="B55" s="1137" t="s">
        <v>173</v>
      </c>
      <c r="C55" s="1202">
        <f>_xlfn.XLOOKUP(B55,Códigos!$B$8:$B$406,Códigos!$A$8:$A$406,"Verificar",0)</f>
        <v>246</v>
      </c>
      <c r="D55" s="1187">
        <f>_xlfn.XLOOKUP(B55,'Consolidado Cobros'!$B$10:$B$312,'Consolidado Cobros'!$C$10:$C$312,"Verificar",0)</f>
        <v>900650238</v>
      </c>
      <c r="E55" s="1202">
        <f t="shared" si="36"/>
        <v>9</v>
      </c>
      <c r="F55" s="1463">
        <f>+AN55</f>
        <v>3004000</v>
      </c>
      <c r="G55" s="1464">
        <f t="shared" ref="G55:G72" si="49">+F55*$G$5</f>
        <v>570760</v>
      </c>
      <c r="H55" s="1537" t="s">
        <v>471</v>
      </c>
      <c r="I55" s="1547">
        <f t="shared" si="38"/>
        <v>-330440</v>
      </c>
      <c r="J55" s="1465">
        <f t="shared" si="39"/>
        <v>3574760</v>
      </c>
      <c r="K55" s="1466">
        <f t="shared" ref="K55:K72" si="50">SUM(F55:I55)</f>
        <v>3244320</v>
      </c>
      <c r="L55" s="1188"/>
      <c r="M55" s="1467" t="s">
        <v>1112</v>
      </c>
      <c r="N55" s="1594" t="s">
        <v>761</v>
      </c>
      <c r="O55" s="1598">
        <v>45987</v>
      </c>
      <c r="P55" s="1594"/>
      <c r="Q55" s="1834"/>
      <c r="R55" s="1463">
        <f t="shared" ref="R55:R72" si="51">+AM55</f>
        <v>0</v>
      </c>
      <c r="S55" s="1734"/>
      <c r="T55" s="298"/>
      <c r="U55" s="24"/>
      <c r="V55" s="301" t="s">
        <v>318</v>
      </c>
      <c r="W55" s="119">
        <f>ROUND(IF(V55="SI",SUMIF('Facturas año anterior'!$B$8:$B$81,B55,'Facturas año anterior'!$V$8:$V$81)*(100%+$W$5),0),-3)+ROUND(IF(V55="SI",SUMIF('C de C año anterior'!$B$8:$B$210,B55,'C de C año anterior'!$Q$8:$Q$210)*(100%+$W$5),0),-3)</f>
        <v>1424000</v>
      </c>
      <c r="X55" s="239"/>
      <c r="Y55" s="114">
        <f t="shared" ref="Y55:Y57" si="52">ROUND(IF(X55="SI",W55*$Y$5,0),-3)</f>
        <v>0</v>
      </c>
      <c r="Z55" s="240" t="s">
        <v>318</v>
      </c>
      <c r="AA55" s="115">
        <f t="shared" ref="AA55:AA58" si="53">ROUND(IF(Z55="SI",W55*$AA$5,0),-3)</f>
        <v>1068000</v>
      </c>
      <c r="AB55" s="884"/>
      <c r="AC55" s="874">
        <f t="shared" ref="AC55:AC57" si="54">ROUND(IF(AB55="SI",W55*$AC$5,0),-3)</f>
        <v>0</v>
      </c>
      <c r="AD55" s="884"/>
      <c r="AE55" s="874">
        <f t="shared" ref="AE55:AE57" si="55">ROUND(IF(AD55="SI",W55*$AE$5,0),-3)</f>
        <v>0</v>
      </c>
      <c r="AF55" s="241" t="s">
        <v>318</v>
      </c>
      <c r="AG55" s="116">
        <f t="shared" ref="AG55:AG57" si="56">ROUND(IF(AF55="SI",W55*$AG$5,0),-3)</f>
        <v>142000</v>
      </c>
      <c r="AH55" s="239"/>
      <c r="AI55" s="116">
        <f t="shared" ref="AI55:AI57" si="57">ROUND(IF(AH55="SI",W55*$AI$5,0),-3)</f>
        <v>0</v>
      </c>
      <c r="AJ55" s="242"/>
      <c r="AK55" s="117">
        <f t="shared" ref="AK55:AK57" si="58">IF(AJ55="SI",W55*$AK$5,0)</f>
        <v>0</v>
      </c>
      <c r="AL55" s="505">
        <f>SUMIF('Otras Asesorías y Préstamos'!$B$7:$B$242,B55,'Otras Asesorías y Préstamos'!$F$7:$F$242)</f>
        <v>370000</v>
      </c>
      <c r="AM55" s="269">
        <f>SUMIF('Otras Asesorías y Préstamos'!$B$7:$B$242,B55,'Otras Asesorías y Préstamos'!$V$7:$V$242)</f>
        <v>0</v>
      </c>
      <c r="AN55" s="271">
        <f t="shared" si="48"/>
        <v>3004000</v>
      </c>
      <c r="AO55" s="24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</row>
    <row r="56" spans="1:255" hidden="1" x14ac:dyDescent="0.2">
      <c r="A56" s="1850">
        <f t="shared" ref="A56:A72" si="59">+A55+1</f>
        <v>3</v>
      </c>
      <c r="B56" s="1137" t="s">
        <v>673</v>
      </c>
      <c r="C56" s="1202">
        <f>_xlfn.XLOOKUP(B56,Códigos!$B$8:$B$406,Códigos!$A$8:$A$406,"Verificar",0)</f>
        <v>8</v>
      </c>
      <c r="D56" s="1187">
        <f>_xlfn.XLOOKUP(B56,'Consolidado Cobros'!$B$10:$B$312,'Consolidado Cobros'!$C$10:$C$312,"Verificar",0)</f>
        <v>811028472</v>
      </c>
      <c r="E56" s="1202">
        <f t="shared" si="36"/>
        <v>7</v>
      </c>
      <c r="F56" s="1463">
        <f>+AN56</f>
        <v>1707000</v>
      </c>
      <c r="G56" s="1464">
        <f t="shared" si="49"/>
        <v>324330</v>
      </c>
      <c r="H56" s="1537" t="s">
        <v>471</v>
      </c>
      <c r="I56" s="1547">
        <f t="shared" si="38"/>
        <v>-187770</v>
      </c>
      <c r="J56" s="1465">
        <f t="shared" si="39"/>
        <v>2031330</v>
      </c>
      <c r="K56" s="1466">
        <f t="shared" si="50"/>
        <v>1843560</v>
      </c>
      <c r="L56" s="1188"/>
      <c r="M56" s="1467" t="s">
        <v>1126</v>
      </c>
      <c r="N56" s="1594" t="s">
        <v>761</v>
      </c>
      <c r="O56" s="1598">
        <v>45987</v>
      </c>
      <c r="P56" s="1594"/>
      <c r="Q56" s="1834"/>
      <c r="R56" s="1463">
        <f t="shared" si="51"/>
        <v>0</v>
      </c>
      <c r="S56" s="1734"/>
      <c r="T56" s="298"/>
      <c r="U56" s="944"/>
      <c r="V56" s="301" t="s">
        <v>318</v>
      </c>
      <c r="W56" s="119">
        <f>ROUND(IF(V56="SI",SUMIF('Facturas año anterior'!$B$8:$B$81,B56,'Facturas año anterior'!$V$8:$V$81)*(100%+$W$5),0),-3)+ROUND(IF(V56="SI",SUMIF('C de C año anterior'!$B$8:$B$210,B56,'C de C año anterior'!$Q$8:$Q$210)*(100%+$W$5),0),-3)</f>
        <v>923000</v>
      </c>
      <c r="X56" s="239"/>
      <c r="Y56" s="114">
        <f t="shared" si="52"/>
        <v>0</v>
      </c>
      <c r="Z56" s="240" t="s">
        <v>318</v>
      </c>
      <c r="AA56" s="115">
        <f t="shared" si="53"/>
        <v>692000</v>
      </c>
      <c r="AB56" s="884"/>
      <c r="AC56" s="874">
        <f t="shared" si="54"/>
        <v>0</v>
      </c>
      <c r="AD56" s="884"/>
      <c r="AE56" s="874">
        <f t="shared" si="55"/>
        <v>0</v>
      </c>
      <c r="AF56" s="241" t="s">
        <v>318</v>
      </c>
      <c r="AG56" s="116">
        <f t="shared" si="56"/>
        <v>92000</v>
      </c>
      <c r="AH56" s="239"/>
      <c r="AI56" s="116">
        <f t="shared" si="57"/>
        <v>0</v>
      </c>
      <c r="AJ56" s="242"/>
      <c r="AK56" s="117">
        <f t="shared" si="58"/>
        <v>0</v>
      </c>
      <c r="AL56" s="505">
        <f>SUMIF('Otras Asesorías y Préstamos'!$B$7:$B$242,B56,'Otras Asesorías y Préstamos'!$F$7:$F$242)</f>
        <v>0</v>
      </c>
      <c r="AM56" s="269">
        <f>SUMIF('Otras Asesorías y Préstamos'!$B$7:$B$242,B56,'Otras Asesorías y Préstamos'!$V$7:$V$242)</f>
        <v>0</v>
      </c>
      <c r="AN56" s="271">
        <f t="shared" si="48"/>
        <v>1707000</v>
      </c>
      <c r="AO56" s="24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</row>
    <row r="57" spans="1:255" ht="25.5" hidden="1" x14ac:dyDescent="0.2">
      <c r="A57" s="1850">
        <f t="shared" si="59"/>
        <v>4</v>
      </c>
      <c r="B57" s="1201" t="s">
        <v>317</v>
      </c>
      <c r="C57" s="1202">
        <f>_xlfn.XLOOKUP(B57,Códigos!$B$8:$B$406,Códigos!$A$8:$A$406,"Verificar",0)</f>
        <v>9</v>
      </c>
      <c r="D57" s="1187">
        <f>_xlfn.XLOOKUP(B57,'Consolidado Cobros'!$B$10:$B$312,'Consolidado Cobros'!$C$10:$C$312,"Verificar",0)</f>
        <v>811017889</v>
      </c>
      <c r="E57" s="1202">
        <f t="shared" si="36"/>
        <v>7</v>
      </c>
      <c r="F57" s="1463">
        <f t="shared" ref="F57:F68" si="60">+AN57</f>
        <v>5146000</v>
      </c>
      <c r="G57" s="1464">
        <f t="shared" si="49"/>
        <v>977740</v>
      </c>
      <c r="H57" s="1537" t="s">
        <v>471</v>
      </c>
      <c r="I57" s="1547">
        <f t="shared" si="38"/>
        <v>-566060</v>
      </c>
      <c r="J57" s="1465">
        <f t="shared" si="39"/>
        <v>6123740</v>
      </c>
      <c r="K57" s="1466">
        <f t="shared" si="50"/>
        <v>5557680</v>
      </c>
      <c r="L57" s="1188"/>
      <c r="M57" s="1467" t="s">
        <v>1094</v>
      </c>
      <c r="N57" s="1594" t="s">
        <v>1096</v>
      </c>
      <c r="O57" s="1598">
        <v>45974</v>
      </c>
      <c r="P57" s="1594" t="s">
        <v>1097</v>
      </c>
      <c r="Q57" s="1834" t="s">
        <v>1127</v>
      </c>
      <c r="R57" s="1463">
        <f t="shared" si="51"/>
        <v>0</v>
      </c>
      <c r="S57" s="1734"/>
      <c r="T57" s="1089" t="s">
        <v>823</v>
      </c>
      <c r="U57" s="24"/>
      <c r="V57" s="301" t="s">
        <v>318</v>
      </c>
      <c r="W57" s="119">
        <f>ROUND(IF(V57="SI",SUMIF('Facturas año anterior'!$B$8:$B$81,B57,'Facturas año anterior'!$V$8:$V$81)*(100%+$W$5),0),-3)+ROUND(IF(V57="SI",SUMIF('C de C año anterior'!$B$8:$B$210,B57,'C de C año anterior'!$Q$8:$Q$210)*(100%+$W$5),0),-3)</f>
        <v>1823000</v>
      </c>
      <c r="X57" s="239"/>
      <c r="Y57" s="114">
        <f t="shared" si="52"/>
        <v>0</v>
      </c>
      <c r="Z57" s="240" t="s">
        <v>318</v>
      </c>
      <c r="AA57" s="115">
        <f t="shared" si="53"/>
        <v>1367000</v>
      </c>
      <c r="AB57" s="884"/>
      <c r="AC57" s="874">
        <f t="shared" si="54"/>
        <v>0</v>
      </c>
      <c r="AD57" s="884"/>
      <c r="AE57" s="874">
        <f t="shared" si="55"/>
        <v>0</v>
      </c>
      <c r="AF57" s="241" t="s">
        <v>318</v>
      </c>
      <c r="AG57" s="116">
        <f t="shared" si="56"/>
        <v>182000</v>
      </c>
      <c r="AH57" s="239"/>
      <c r="AI57" s="116">
        <f t="shared" si="57"/>
        <v>0</v>
      </c>
      <c r="AJ57" s="242"/>
      <c r="AK57" s="117">
        <f t="shared" si="58"/>
        <v>0</v>
      </c>
      <c r="AL57" s="505">
        <f>SUMIF('Otras Asesorías y Préstamos'!$B$7:$B$242,B57,'Otras Asesorías y Préstamos'!$F$7:$F$242)</f>
        <v>1773794.876730659</v>
      </c>
      <c r="AM57" s="269">
        <f>SUMIF('Otras Asesorías y Préstamos'!$B$7:$B$242,B57,'Otras Asesorías y Préstamos'!$V$7:$V$242)</f>
        <v>0</v>
      </c>
      <c r="AN57" s="271">
        <f t="shared" si="48"/>
        <v>5146000</v>
      </c>
      <c r="AO57" s="24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</row>
    <row r="58" spans="1:255" x14ac:dyDescent="0.2">
      <c r="A58" s="1850">
        <f t="shared" si="59"/>
        <v>5</v>
      </c>
      <c r="B58" s="1137" t="s">
        <v>269</v>
      </c>
      <c r="C58" s="1202">
        <f>_xlfn.XLOOKUP(B58,Códigos!$B$8:$B$406,Códigos!$A$8:$A$406,"Verificar",0)</f>
        <v>10</v>
      </c>
      <c r="D58" s="1187">
        <f>_xlfn.XLOOKUP(B58,'Consolidado Cobros'!$B$10:$B$312,'Consolidado Cobros'!$C$10:$C$312,"Verificar",0)</f>
        <v>890911921</v>
      </c>
      <c r="E58" s="1202">
        <f t="shared" si="36"/>
        <v>7</v>
      </c>
      <c r="F58" s="1463">
        <f t="shared" si="60"/>
        <v>7938000</v>
      </c>
      <c r="G58" s="1464">
        <f t="shared" si="49"/>
        <v>1508220</v>
      </c>
      <c r="H58" s="1537" t="s">
        <v>471</v>
      </c>
      <c r="I58" s="1547">
        <f t="shared" si="38"/>
        <v>-873180</v>
      </c>
      <c r="J58" s="1465">
        <f t="shared" si="39"/>
        <v>9446220</v>
      </c>
      <c r="K58" s="1466">
        <f t="shared" si="50"/>
        <v>8573040</v>
      </c>
      <c r="L58" s="1188"/>
      <c r="M58" s="1467"/>
      <c r="N58" s="1594"/>
      <c r="O58" s="1598"/>
      <c r="P58" s="1594"/>
      <c r="Q58" s="1834"/>
      <c r="R58" s="1463">
        <f t="shared" si="51"/>
        <v>0</v>
      </c>
      <c r="S58" s="1734"/>
      <c r="T58" s="1851" t="s">
        <v>922</v>
      </c>
      <c r="U58" s="1852"/>
      <c r="V58" s="1230" t="s">
        <v>318</v>
      </c>
      <c r="W58" s="345">
        <f>7553000*(1+$W$5)</f>
        <v>7938202.9999999991</v>
      </c>
      <c r="X58" s="239"/>
      <c r="Y58" s="114"/>
      <c r="Z58" s="240"/>
      <c r="AA58" s="115">
        <f t="shared" si="53"/>
        <v>0</v>
      </c>
      <c r="AB58" s="884"/>
      <c r="AC58" s="874"/>
      <c r="AD58" s="884"/>
      <c r="AE58" s="874"/>
      <c r="AF58" s="241"/>
      <c r="AG58" s="116"/>
      <c r="AH58" s="239"/>
      <c r="AI58" s="116"/>
      <c r="AJ58" s="242"/>
      <c r="AK58" s="117"/>
      <c r="AL58" s="505"/>
      <c r="AM58" s="269"/>
      <c r="AN58" s="1853">
        <f>ROUND(SUM(W58:AL58),-3)</f>
        <v>7938000</v>
      </c>
      <c r="AO58" s="1852"/>
      <c r="AP58" s="65">
        <f>+'Facturas año anterior'!F58</f>
        <v>7180000</v>
      </c>
      <c r="AQ58" s="65">
        <f>+AP58*5.2%</f>
        <v>373360.00000000006</v>
      </c>
      <c r="AR58" s="65">
        <f>+AP58+AQ58</f>
        <v>7553360</v>
      </c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</row>
    <row r="59" spans="1:255" hidden="1" x14ac:dyDescent="0.2">
      <c r="A59" s="1850">
        <f t="shared" si="59"/>
        <v>6</v>
      </c>
      <c r="B59" s="1137" t="s">
        <v>363</v>
      </c>
      <c r="C59" s="1202">
        <f>_xlfn.XLOOKUP(B59,Códigos!$B$8:$B$406,Códigos!$A$8:$A$406,"Verificar",0)</f>
        <v>245</v>
      </c>
      <c r="D59" s="1187">
        <f>_xlfn.XLOOKUP(B59,'Consolidado Cobros'!$B$10:$B$312,'Consolidado Cobros'!$C$10:$C$312,"Verificar",0)</f>
        <v>900666782</v>
      </c>
      <c r="E59" s="1202">
        <f t="shared" si="36"/>
        <v>4</v>
      </c>
      <c r="F59" s="1463">
        <f>+AN59</f>
        <v>1508000</v>
      </c>
      <c r="G59" s="1464">
        <f t="shared" si="49"/>
        <v>286520</v>
      </c>
      <c r="H59" s="1537" t="s">
        <v>471</v>
      </c>
      <c r="I59" s="1547">
        <f t="shared" si="38"/>
        <v>-165880</v>
      </c>
      <c r="J59" s="1465">
        <f t="shared" si="39"/>
        <v>1794520</v>
      </c>
      <c r="K59" s="1466">
        <f t="shared" si="50"/>
        <v>1628640</v>
      </c>
      <c r="L59" s="1188"/>
      <c r="M59" s="1467"/>
      <c r="N59" s="1594"/>
      <c r="O59" s="1598"/>
      <c r="P59" s="1594"/>
      <c r="Q59" s="1834"/>
      <c r="R59" s="1463">
        <f t="shared" si="51"/>
        <v>0</v>
      </c>
      <c r="S59" s="1734"/>
      <c r="T59" s="838"/>
      <c r="U59" s="1852"/>
      <c r="V59" s="1230" t="s">
        <v>318</v>
      </c>
      <c r="W59" s="119">
        <v>815000</v>
      </c>
      <c r="X59" s="239"/>
      <c r="Y59" s="114">
        <f t="shared" ref="Y59:Y72" si="61">ROUND(IF(X59="SI",W59*$Y$5,0),-3)</f>
        <v>0</v>
      </c>
      <c r="Z59" s="240" t="s">
        <v>318</v>
      </c>
      <c r="AA59" s="115">
        <f t="shared" ref="AA59" si="62">ROUND(IF(Z59="SI",W59*$AA$5,0),-3)</f>
        <v>611000</v>
      </c>
      <c r="AB59" s="884"/>
      <c r="AC59" s="874">
        <f t="shared" ref="AC59:AC60" si="63">ROUND(IF(AB59="SI",W59*$AC$5,0),-3)</f>
        <v>0</v>
      </c>
      <c r="AD59" s="884"/>
      <c r="AE59" s="874">
        <f t="shared" ref="AE59:AE60" si="64">ROUND(IF(AD59="SI",W59*$AE$5,0),-3)</f>
        <v>0</v>
      </c>
      <c r="AF59" s="241" t="s">
        <v>318</v>
      </c>
      <c r="AG59" s="116">
        <f t="shared" ref="AG59:AG60" si="65">ROUND(IF(AF59="SI",W59*$AG$5,0),-3)</f>
        <v>82000</v>
      </c>
      <c r="AH59" s="239"/>
      <c r="AI59" s="116">
        <f t="shared" ref="AI59:AI60" si="66">ROUND(IF(AH59="SI",W59*$AI$5,0),-3)</f>
        <v>0</v>
      </c>
      <c r="AJ59" s="242"/>
      <c r="AK59" s="117">
        <f t="shared" ref="AK59:AK60" si="67">IF(AJ59="SI",W59*$AK$5,0)</f>
        <v>0</v>
      </c>
      <c r="AL59" s="505">
        <f>SUMIF('Otras Asesorías y Préstamos'!$B$7:$B$242,B59,'Otras Asesorías y Préstamos'!$F$7:$F$242)</f>
        <v>0</v>
      </c>
      <c r="AM59" s="269">
        <f>SUMIF('Otras Asesorías y Préstamos'!$B$7:$B$242,B59,'Otras Asesorías y Préstamos'!$V$7:$V$242)</f>
        <v>0</v>
      </c>
      <c r="AN59" s="1853">
        <f t="shared" ref="AN59:AN77" si="68">ROUND(SUM(W59:AL59),-3)</f>
        <v>1508000</v>
      </c>
      <c r="AO59" s="1852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  <c r="IU59" s="38"/>
    </row>
    <row r="60" spans="1:255" hidden="1" x14ac:dyDescent="0.2">
      <c r="A60" s="1850">
        <f t="shared" si="59"/>
        <v>7</v>
      </c>
      <c r="B60" s="1154" t="s">
        <v>672</v>
      </c>
      <c r="C60" s="1202">
        <f>_xlfn.XLOOKUP(B60,Códigos!$B$8:$B$406,Códigos!$A$8:$A$406,"Verificar",0)</f>
        <v>196</v>
      </c>
      <c r="D60" s="1187">
        <f>_xlfn.XLOOKUP(B60,'Consolidado Cobros'!$B$10:$B$312,'Consolidado Cobros'!$C$10:$C$312,"Verificar",0)</f>
        <v>901445237</v>
      </c>
      <c r="E60" s="1202">
        <f t="shared" si="36"/>
        <v>7</v>
      </c>
      <c r="F60" s="1463">
        <f>+AN60-10000</f>
        <v>3700000</v>
      </c>
      <c r="G60" s="1464">
        <f t="shared" si="49"/>
        <v>703000</v>
      </c>
      <c r="H60" s="1537" t="s">
        <v>471</v>
      </c>
      <c r="I60" s="1547">
        <f t="shared" si="38"/>
        <v>-407000</v>
      </c>
      <c r="J60" s="1465">
        <f t="shared" si="39"/>
        <v>4403000</v>
      </c>
      <c r="K60" s="1466">
        <f t="shared" si="50"/>
        <v>3996000</v>
      </c>
      <c r="L60" s="1188"/>
      <c r="M60" s="407"/>
      <c r="N60" s="1594"/>
      <c r="O60" s="1598"/>
      <c r="P60" s="1594"/>
      <c r="Q60" s="1834"/>
      <c r="R60" s="1463">
        <f t="shared" si="51"/>
        <v>0</v>
      </c>
      <c r="S60" s="1734"/>
      <c r="T60" s="935" t="s">
        <v>1093</v>
      </c>
      <c r="U60" s="1852"/>
      <c r="V60" s="1230" t="s">
        <v>318</v>
      </c>
      <c r="W60" s="119">
        <v>1400000</v>
      </c>
      <c r="X60" s="239"/>
      <c r="Y60" s="114">
        <f t="shared" si="61"/>
        <v>0</v>
      </c>
      <c r="Z60" s="240" t="s">
        <v>318</v>
      </c>
      <c r="AA60" s="115">
        <f>ROUND(IF(Z60="SI",W60*$AA$5,0),-3)*2</f>
        <v>2100000</v>
      </c>
      <c r="AB60" s="884"/>
      <c r="AC60" s="874">
        <f t="shared" si="63"/>
        <v>0</v>
      </c>
      <c r="AD60" s="884"/>
      <c r="AE60" s="874">
        <f t="shared" si="64"/>
        <v>0</v>
      </c>
      <c r="AF60" s="241" t="s">
        <v>318</v>
      </c>
      <c r="AG60" s="116">
        <f t="shared" si="65"/>
        <v>140000</v>
      </c>
      <c r="AH60" s="239"/>
      <c r="AI60" s="116">
        <f t="shared" si="66"/>
        <v>0</v>
      </c>
      <c r="AJ60" s="242"/>
      <c r="AK60" s="117">
        <f t="shared" si="67"/>
        <v>0</v>
      </c>
      <c r="AL60" s="505">
        <f>SUMIF('Otras Asesorías y Préstamos'!$B$7:$B$242,B60,'Otras Asesorías y Préstamos'!$F$7:$F$242)</f>
        <v>70000</v>
      </c>
      <c r="AM60" s="269">
        <f>SUMIF('Otras Asesorías y Préstamos'!$B$7:$B$242,B60,'Otras Asesorías y Préstamos'!$V$7:$V$242)</f>
        <v>0</v>
      </c>
      <c r="AN60" s="1853">
        <f t="shared" si="68"/>
        <v>3710000</v>
      </c>
      <c r="AO60" s="1852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</row>
    <row r="61" spans="1:255" x14ac:dyDescent="0.2">
      <c r="A61" s="1850">
        <f t="shared" si="59"/>
        <v>8</v>
      </c>
      <c r="B61" s="1137" t="s">
        <v>738</v>
      </c>
      <c r="C61" s="1202">
        <f>_xlfn.XLOOKUP(B61,Códigos!$B$8:$B$406,Códigos!$A$8:$A$406,"Verificar",0)</f>
        <v>19</v>
      </c>
      <c r="D61" s="1187">
        <f>_xlfn.XLOOKUP(B61,'Consolidado Cobros'!$B$10:$B$312,'Consolidado Cobros'!$C$10:$C$312,"Verificar",0)</f>
        <v>900478289</v>
      </c>
      <c r="E61" s="1202">
        <f t="shared" si="36"/>
        <v>8</v>
      </c>
      <c r="F61" s="1463">
        <f t="shared" si="60"/>
        <v>11587000</v>
      </c>
      <c r="G61" s="1464">
        <f t="shared" si="49"/>
        <v>2201530</v>
      </c>
      <c r="H61" s="1537" t="s">
        <v>471</v>
      </c>
      <c r="I61" s="1547">
        <f t="shared" si="38"/>
        <v>-1274570</v>
      </c>
      <c r="J61" s="1465">
        <f t="shared" si="39"/>
        <v>13788530</v>
      </c>
      <c r="K61" s="1466">
        <f t="shared" si="50"/>
        <v>12513960</v>
      </c>
      <c r="L61" s="1188"/>
      <c r="M61" s="1467"/>
      <c r="N61" s="1594"/>
      <c r="O61" s="1598"/>
      <c r="P61" s="1594"/>
      <c r="Q61" s="1834"/>
      <c r="R61" s="1463">
        <f t="shared" si="51"/>
        <v>0</v>
      </c>
      <c r="S61" s="1734"/>
      <c r="T61" s="1851" t="s">
        <v>922</v>
      </c>
      <c r="U61" s="1852"/>
      <c r="V61" s="1230" t="s">
        <v>318</v>
      </c>
      <c r="W61" s="345">
        <f>11025000*(1+$W$5)</f>
        <v>11587275</v>
      </c>
      <c r="X61" s="239"/>
      <c r="Y61" s="114"/>
      <c r="Z61" s="240"/>
      <c r="AA61" s="115">
        <f>ROUND(IF(Z61="SI",W61*$AA$5,0),-3)*2</f>
        <v>0</v>
      </c>
      <c r="AB61" s="884"/>
      <c r="AC61" s="874"/>
      <c r="AD61" s="884"/>
      <c r="AE61" s="874"/>
      <c r="AF61" s="241"/>
      <c r="AG61" s="116"/>
      <c r="AH61" s="239"/>
      <c r="AI61" s="116"/>
      <c r="AJ61" s="242"/>
      <c r="AK61" s="117"/>
      <c r="AL61" s="505"/>
      <c r="AM61" s="269"/>
      <c r="AN61" s="1853">
        <f t="shared" si="68"/>
        <v>11587000</v>
      </c>
      <c r="AO61" s="1852"/>
      <c r="AP61" s="65">
        <f>+'Facturas año anterior'!V61</f>
        <v>10480000</v>
      </c>
      <c r="AQ61" s="65">
        <f>+AP61*5.2%</f>
        <v>544960</v>
      </c>
      <c r="AR61" s="65">
        <f>+AP61+AQ61</f>
        <v>11024960</v>
      </c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</row>
    <row r="62" spans="1:255" ht="25.5" hidden="1" x14ac:dyDescent="0.2">
      <c r="A62" s="1850">
        <f t="shared" si="59"/>
        <v>9</v>
      </c>
      <c r="B62" s="1201" t="s">
        <v>366</v>
      </c>
      <c r="C62" s="1202">
        <f>_xlfn.XLOOKUP(B62,Códigos!$B$8:$B$406,Códigos!$A$8:$A$406,"Verificar",0)</f>
        <v>290</v>
      </c>
      <c r="D62" s="1187">
        <f>_xlfn.XLOOKUP(B62,'Consolidado Cobros'!$B$10:$B$312,'Consolidado Cobros'!$C$10:$C$312,"Verificar",0)</f>
        <v>900792746</v>
      </c>
      <c r="E62" s="1202">
        <f t="shared" si="36"/>
        <v>8</v>
      </c>
      <c r="F62" s="1463">
        <f t="shared" ref="F62:F67" si="69">+AN62</f>
        <v>3876000</v>
      </c>
      <c r="G62" s="1464">
        <f t="shared" si="49"/>
        <v>736440</v>
      </c>
      <c r="H62" s="1537" t="s">
        <v>471</v>
      </c>
      <c r="I62" s="1547">
        <f t="shared" si="38"/>
        <v>-426360</v>
      </c>
      <c r="J62" s="1465">
        <f t="shared" si="39"/>
        <v>4612440</v>
      </c>
      <c r="K62" s="1466">
        <f t="shared" si="50"/>
        <v>4186080</v>
      </c>
      <c r="L62" s="1188"/>
      <c r="M62" s="1467"/>
      <c r="N62" s="1594"/>
      <c r="O62" s="1598"/>
      <c r="P62" s="1594"/>
      <c r="Q62" s="1834"/>
      <c r="R62" s="1463">
        <f t="shared" si="51"/>
        <v>0</v>
      </c>
      <c r="S62" s="1734"/>
      <c r="T62" s="1854" t="s">
        <v>824</v>
      </c>
      <c r="U62" s="1852"/>
      <c r="V62" s="1230" t="s">
        <v>318</v>
      </c>
      <c r="W62" s="119">
        <v>1425000</v>
      </c>
      <c r="X62" s="239"/>
      <c r="Y62" s="114">
        <f t="shared" si="61"/>
        <v>0</v>
      </c>
      <c r="Z62" s="240" t="s">
        <v>318</v>
      </c>
      <c r="AA62" s="115">
        <f t="shared" ref="AA62:AA68" si="70">ROUND(IF(Z62="SI",W62*$AA$5,0),-3)</f>
        <v>1069000</v>
      </c>
      <c r="AB62" s="884"/>
      <c r="AC62" s="874">
        <f t="shared" ref="AC62:AC67" si="71">ROUND(IF(AB62="SI",W62*$AC$5,0),-3)</f>
        <v>0</v>
      </c>
      <c r="AD62" s="884"/>
      <c r="AE62" s="874">
        <f t="shared" ref="AE62:AE67" si="72">ROUND(IF(AD62="SI",W62*$AE$5,0),-3)</f>
        <v>0</v>
      </c>
      <c r="AF62" s="241" t="s">
        <v>318</v>
      </c>
      <c r="AG62" s="116">
        <f t="shared" ref="AG62:AG67" si="73">ROUND(IF(AF62="SI",W62*$AG$5,0),-3)</f>
        <v>143000</v>
      </c>
      <c r="AH62" s="239"/>
      <c r="AI62" s="116">
        <f t="shared" ref="AI62:AI67" si="74">ROUND(IF(AH62="SI",W62*$AI$5,0),-3)</f>
        <v>0</v>
      </c>
      <c r="AJ62" s="242"/>
      <c r="AK62" s="117">
        <f t="shared" ref="AK62:AK67" si="75">IF(AJ62="SI",W62*$AK$5,0)</f>
        <v>0</v>
      </c>
      <c r="AL62" s="505">
        <f>SUMIF('Otras Asesorías y Préstamos'!$B$7:$B$242,B62,'Otras Asesorías y Préstamos'!$F$7:$F$242)</f>
        <v>1239211.87961024</v>
      </c>
      <c r="AM62" s="269">
        <f>SUMIF('Otras Asesorías y Préstamos'!$B$7:$B$242,B62,'Otras Asesorías y Préstamos'!$V$7:$V$242)</f>
        <v>0</v>
      </c>
      <c r="AN62" s="1853">
        <f t="shared" si="68"/>
        <v>3876000</v>
      </c>
      <c r="AO62" s="1852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</row>
    <row r="63" spans="1:255" hidden="1" x14ac:dyDescent="0.2">
      <c r="A63" s="1850">
        <f t="shared" si="59"/>
        <v>10</v>
      </c>
      <c r="B63" s="1137" t="s">
        <v>349</v>
      </c>
      <c r="C63" s="1202">
        <f>_xlfn.XLOOKUP(B63,Códigos!$B$8:$B$406,Códigos!$A$8:$A$406,"Verificar",0)</f>
        <v>33</v>
      </c>
      <c r="D63" s="1187">
        <f>_xlfn.XLOOKUP(B63,'Consolidado Cobros'!$B$10:$B$312,'Consolidado Cobros'!$C$10:$C$312,"Verificar",0)</f>
        <v>901241763</v>
      </c>
      <c r="E63" s="1202">
        <f t="shared" si="36"/>
        <v>3</v>
      </c>
      <c r="F63" s="1463">
        <f t="shared" si="69"/>
        <v>3377000</v>
      </c>
      <c r="G63" s="1464">
        <f t="shared" si="49"/>
        <v>641630</v>
      </c>
      <c r="H63" s="1537" t="s">
        <v>471</v>
      </c>
      <c r="I63" s="1547">
        <f t="shared" si="38"/>
        <v>-371470</v>
      </c>
      <c r="J63" s="1465">
        <f t="shared" si="39"/>
        <v>4018630</v>
      </c>
      <c r="K63" s="1466">
        <f t="shared" si="50"/>
        <v>3647160</v>
      </c>
      <c r="L63" s="1188"/>
      <c r="M63" s="413"/>
      <c r="N63" s="1634"/>
      <c r="O63" s="1863"/>
      <c r="P63" s="1594"/>
      <c r="Q63" s="1834"/>
      <c r="R63" s="1463">
        <f t="shared" si="51"/>
        <v>0</v>
      </c>
      <c r="S63" s="1734"/>
      <c r="T63" s="297"/>
      <c r="U63" s="1855"/>
      <c r="V63" s="1230" t="s">
        <v>318</v>
      </c>
      <c r="W63" s="119">
        <v>1825000</v>
      </c>
      <c r="X63" s="239"/>
      <c r="Y63" s="114">
        <f t="shared" si="61"/>
        <v>0</v>
      </c>
      <c r="Z63" s="240" t="s">
        <v>318</v>
      </c>
      <c r="AA63" s="115">
        <f t="shared" si="70"/>
        <v>1369000</v>
      </c>
      <c r="AB63" s="884"/>
      <c r="AC63" s="874">
        <f t="shared" si="71"/>
        <v>0</v>
      </c>
      <c r="AD63" s="884"/>
      <c r="AE63" s="874">
        <f t="shared" si="72"/>
        <v>0</v>
      </c>
      <c r="AF63" s="241" t="s">
        <v>318</v>
      </c>
      <c r="AG63" s="116">
        <f t="shared" si="73"/>
        <v>183000</v>
      </c>
      <c r="AH63" s="239"/>
      <c r="AI63" s="116">
        <f t="shared" si="74"/>
        <v>0</v>
      </c>
      <c r="AJ63" s="242"/>
      <c r="AK63" s="117">
        <f t="shared" si="75"/>
        <v>0</v>
      </c>
      <c r="AL63" s="505">
        <f>SUMIF('Otras Asesorías y Préstamos'!$B$7:$B$242,B63,'Otras Asesorías y Préstamos'!$F$7:$F$242)</f>
        <v>0</v>
      </c>
      <c r="AM63" s="269">
        <f>SUMIF('Otras Asesorías y Préstamos'!$B$7:$B$242,B63,'Otras Asesorías y Préstamos'!$V$7:$V$242)</f>
        <v>0</v>
      </c>
      <c r="AN63" s="1853">
        <f t="shared" si="68"/>
        <v>3377000</v>
      </c>
      <c r="AO63" s="1852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</row>
    <row r="64" spans="1:255" hidden="1" x14ac:dyDescent="0.2">
      <c r="A64" s="1850">
        <f t="shared" si="59"/>
        <v>11</v>
      </c>
      <c r="B64" s="1137" t="s">
        <v>731</v>
      </c>
      <c r="C64" s="1202">
        <f>_xlfn.XLOOKUP(B64,Códigos!$B$8:$B$406,Códigos!$A$8:$A$406,"Verificar",0)</f>
        <v>291</v>
      </c>
      <c r="D64" s="1187">
        <f>_xlfn.XLOOKUP(B64,'Consolidado Cobros'!$B$10:$B$312,'Consolidado Cobros'!$C$10:$C$312,"Verificar",0)</f>
        <v>900797164</v>
      </c>
      <c r="E64" s="1202">
        <f t="shared" si="36"/>
        <v>4</v>
      </c>
      <c r="F64" s="1463">
        <f t="shared" si="69"/>
        <v>2637000</v>
      </c>
      <c r="G64" s="1464">
        <f t="shared" si="49"/>
        <v>501030</v>
      </c>
      <c r="H64" s="1537" t="s">
        <v>471</v>
      </c>
      <c r="I64" s="1547">
        <f t="shared" si="38"/>
        <v>-290070</v>
      </c>
      <c r="J64" s="1465">
        <f t="shared" si="39"/>
        <v>3138030</v>
      </c>
      <c r="K64" s="1466">
        <f t="shared" si="50"/>
        <v>2847960</v>
      </c>
      <c r="L64" s="1188"/>
      <c r="M64" s="407"/>
      <c r="N64" s="1594"/>
      <c r="O64" s="1598"/>
      <c r="P64" s="1594"/>
      <c r="Q64" s="1834"/>
      <c r="R64" s="1463">
        <f t="shared" si="51"/>
        <v>0</v>
      </c>
      <c r="S64" s="1734"/>
      <c r="T64" s="297"/>
      <c r="U64" s="1852"/>
      <c r="V64" s="1230" t="s">
        <v>318</v>
      </c>
      <c r="W64" s="119">
        <v>1425000</v>
      </c>
      <c r="X64" s="239"/>
      <c r="Y64" s="114">
        <f t="shared" si="61"/>
        <v>0</v>
      </c>
      <c r="Z64" s="240" t="s">
        <v>318</v>
      </c>
      <c r="AA64" s="115">
        <f t="shared" si="70"/>
        <v>1069000</v>
      </c>
      <c r="AB64" s="884"/>
      <c r="AC64" s="874">
        <f t="shared" si="71"/>
        <v>0</v>
      </c>
      <c r="AD64" s="884"/>
      <c r="AE64" s="874">
        <f t="shared" si="72"/>
        <v>0</v>
      </c>
      <c r="AF64" s="241" t="s">
        <v>318</v>
      </c>
      <c r="AG64" s="116">
        <f t="shared" si="73"/>
        <v>143000</v>
      </c>
      <c r="AH64" s="239"/>
      <c r="AI64" s="116">
        <f t="shared" si="74"/>
        <v>0</v>
      </c>
      <c r="AJ64" s="242"/>
      <c r="AK64" s="117">
        <f t="shared" si="75"/>
        <v>0</v>
      </c>
      <c r="AL64" s="505">
        <f>SUMIF('Otras Asesorías y Préstamos'!$B$7:$B$242,B64,'Otras Asesorías y Préstamos'!$F$7:$F$242)</f>
        <v>0</v>
      </c>
      <c r="AM64" s="269">
        <f>SUMIF('Otras Asesorías y Préstamos'!$B$7:$B$242,B64,'Otras Asesorías y Préstamos'!$V$7:$V$242)</f>
        <v>0</v>
      </c>
      <c r="AN64" s="1853">
        <f t="shared" si="68"/>
        <v>2637000</v>
      </c>
      <c r="AO64" s="1852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  <c r="IU64" s="38"/>
    </row>
    <row r="65" spans="1:255" hidden="1" x14ac:dyDescent="0.2">
      <c r="A65" s="1850">
        <f t="shared" si="59"/>
        <v>12</v>
      </c>
      <c r="B65" s="1137" t="s">
        <v>184</v>
      </c>
      <c r="C65" s="1202">
        <f>_xlfn.XLOOKUP(B65,Códigos!$B$8:$B$406,Códigos!$A$8:$A$406,"Verificar",0)</f>
        <v>292</v>
      </c>
      <c r="D65" s="1187">
        <f>_xlfn.XLOOKUP(B65,'Consolidado Cobros'!$B$10:$B$312,'Consolidado Cobros'!$C$10:$C$312,"Verificar",0)</f>
        <v>900474585</v>
      </c>
      <c r="E65" s="1202">
        <f t="shared" si="36"/>
        <v>5</v>
      </c>
      <c r="F65" s="1463">
        <f t="shared" si="69"/>
        <v>3929000</v>
      </c>
      <c r="G65" s="1464">
        <f t="shared" si="49"/>
        <v>746510</v>
      </c>
      <c r="H65" s="1537" t="s">
        <v>471</v>
      </c>
      <c r="I65" s="1547">
        <f t="shared" si="38"/>
        <v>-432190</v>
      </c>
      <c r="J65" s="1465">
        <f t="shared" si="39"/>
        <v>4675510</v>
      </c>
      <c r="K65" s="1466">
        <f t="shared" si="50"/>
        <v>4243320</v>
      </c>
      <c r="L65" s="1188"/>
      <c r="M65" s="407"/>
      <c r="N65" s="1594"/>
      <c r="O65" s="1598"/>
      <c r="P65" s="1594"/>
      <c r="Q65" s="1834"/>
      <c r="R65" s="1463">
        <f t="shared" si="51"/>
        <v>0</v>
      </c>
      <c r="S65" s="1734"/>
      <c r="T65" s="297"/>
      <c r="U65" s="1852"/>
      <c r="V65" s="1230" t="s">
        <v>318</v>
      </c>
      <c r="W65" s="119">
        <v>1825000</v>
      </c>
      <c r="X65" s="239"/>
      <c r="Y65" s="114">
        <f t="shared" si="61"/>
        <v>0</v>
      </c>
      <c r="Z65" s="240" t="s">
        <v>318</v>
      </c>
      <c r="AA65" s="115">
        <f t="shared" si="70"/>
        <v>1369000</v>
      </c>
      <c r="AB65" s="884"/>
      <c r="AC65" s="874">
        <f t="shared" si="71"/>
        <v>0</v>
      </c>
      <c r="AD65" s="884"/>
      <c r="AE65" s="874">
        <f t="shared" si="72"/>
        <v>0</v>
      </c>
      <c r="AF65" s="241"/>
      <c r="AG65" s="116">
        <f t="shared" si="73"/>
        <v>0</v>
      </c>
      <c r="AH65" s="239" t="s">
        <v>318</v>
      </c>
      <c r="AI65" s="116">
        <f t="shared" si="74"/>
        <v>365000</v>
      </c>
      <c r="AJ65" s="242"/>
      <c r="AK65" s="117">
        <f t="shared" si="75"/>
        <v>0</v>
      </c>
      <c r="AL65" s="505">
        <f>SUMIF('Otras Asesorías y Préstamos'!$B$7:$B$242,B65,'Otras Asesorías y Préstamos'!$F$7:$F$242)</f>
        <v>370000</v>
      </c>
      <c r="AM65" s="269">
        <f>SUMIF('Otras Asesorías y Préstamos'!$B$7:$B$242,B65,'Otras Asesorías y Préstamos'!$V$7:$V$242)</f>
        <v>0</v>
      </c>
      <c r="AN65" s="1853">
        <f t="shared" si="68"/>
        <v>3929000</v>
      </c>
      <c r="AO65" s="1852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  <c r="IU65" s="38"/>
    </row>
    <row r="66" spans="1:255" hidden="1" x14ac:dyDescent="0.2">
      <c r="A66" s="1850">
        <f t="shared" si="59"/>
        <v>13</v>
      </c>
      <c r="B66" s="1137" t="s">
        <v>185</v>
      </c>
      <c r="C66" s="1202">
        <f>_xlfn.XLOOKUP(B66,Códigos!$B$8:$B$406,Códigos!$A$8:$A$406,"Verificar",0)</f>
        <v>293</v>
      </c>
      <c r="D66" s="1187">
        <f>_xlfn.XLOOKUP(B66,'Consolidado Cobros'!$B$10:$B$312,'Consolidado Cobros'!$C$10:$C$312,"Verificar",0)</f>
        <v>900620247</v>
      </c>
      <c r="E66" s="1202">
        <f t="shared" si="36"/>
        <v>7</v>
      </c>
      <c r="F66" s="1463">
        <f t="shared" si="69"/>
        <v>3007000</v>
      </c>
      <c r="G66" s="1464">
        <f t="shared" si="49"/>
        <v>571330</v>
      </c>
      <c r="H66" s="1537" t="s">
        <v>471</v>
      </c>
      <c r="I66" s="1547">
        <f t="shared" si="38"/>
        <v>-330770</v>
      </c>
      <c r="J66" s="1465">
        <f t="shared" si="39"/>
        <v>3578330</v>
      </c>
      <c r="K66" s="1466">
        <f t="shared" si="50"/>
        <v>3247560</v>
      </c>
      <c r="L66" s="1188"/>
      <c r="M66" s="407"/>
      <c r="N66" s="1594"/>
      <c r="O66" s="1598"/>
      <c r="P66" s="1594"/>
      <c r="Q66" s="1834"/>
      <c r="R66" s="1463">
        <f t="shared" si="51"/>
        <v>0</v>
      </c>
      <c r="S66" s="1734"/>
      <c r="T66" s="297"/>
      <c r="U66" s="1852"/>
      <c r="V66" s="1230" t="s">
        <v>318</v>
      </c>
      <c r="W66" s="119">
        <v>1425000</v>
      </c>
      <c r="X66" s="239"/>
      <c r="Y66" s="114">
        <f t="shared" si="61"/>
        <v>0</v>
      </c>
      <c r="Z66" s="240" t="s">
        <v>318</v>
      </c>
      <c r="AA66" s="115">
        <f t="shared" si="70"/>
        <v>1069000</v>
      </c>
      <c r="AB66" s="884"/>
      <c r="AC66" s="874">
        <f t="shared" si="71"/>
        <v>0</v>
      </c>
      <c r="AD66" s="884"/>
      <c r="AE66" s="874">
        <f t="shared" si="72"/>
        <v>0</v>
      </c>
      <c r="AF66" s="241" t="s">
        <v>318</v>
      </c>
      <c r="AG66" s="116">
        <f t="shared" si="73"/>
        <v>143000</v>
      </c>
      <c r="AH66" s="239"/>
      <c r="AI66" s="116">
        <f t="shared" si="74"/>
        <v>0</v>
      </c>
      <c r="AJ66" s="242"/>
      <c r="AK66" s="117">
        <f t="shared" si="75"/>
        <v>0</v>
      </c>
      <c r="AL66" s="505">
        <f>SUMIF('Otras Asesorías y Préstamos'!$B$7:$B$242,B66,'Otras Asesorías y Préstamos'!$F$7:$F$242)</f>
        <v>370000</v>
      </c>
      <c r="AM66" s="269">
        <f>SUMIF('Otras Asesorías y Préstamos'!$B$7:$B$242,B66,'Otras Asesorías y Préstamos'!$V$7:$V$242)</f>
        <v>0</v>
      </c>
      <c r="AN66" s="1853">
        <f t="shared" si="68"/>
        <v>3007000</v>
      </c>
      <c r="AO66" s="1852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</row>
    <row r="67" spans="1:255" ht="25.5" hidden="1" x14ac:dyDescent="0.2">
      <c r="A67" s="1850">
        <f t="shared" si="59"/>
        <v>14</v>
      </c>
      <c r="B67" s="1137" t="s">
        <v>187</v>
      </c>
      <c r="C67" s="1202">
        <f>_xlfn.XLOOKUP(B67,Códigos!$B$8:$B$406,Códigos!$A$8:$A$406,"Verificar",0)</f>
        <v>25</v>
      </c>
      <c r="D67" s="1187">
        <f>_xlfn.XLOOKUP(B67,'Consolidado Cobros'!$B$10:$B$312,'Consolidado Cobros'!$C$10:$C$312,"Verificar",0)</f>
        <v>900103304</v>
      </c>
      <c r="E67" s="1202">
        <f t="shared" si="36"/>
        <v>1</v>
      </c>
      <c r="F67" s="1463">
        <f t="shared" si="69"/>
        <v>3876000</v>
      </c>
      <c r="G67" s="1464">
        <f t="shared" si="49"/>
        <v>736440</v>
      </c>
      <c r="H67" s="1537" t="s">
        <v>471</v>
      </c>
      <c r="I67" s="1547">
        <f t="shared" si="38"/>
        <v>-426360</v>
      </c>
      <c r="J67" s="1465">
        <f t="shared" si="39"/>
        <v>4612440</v>
      </c>
      <c r="K67" s="1466">
        <f t="shared" si="50"/>
        <v>4186080</v>
      </c>
      <c r="L67" s="1188"/>
      <c r="M67" s="1467"/>
      <c r="N67" s="1594"/>
      <c r="O67" s="1598"/>
      <c r="P67" s="1594"/>
      <c r="Q67" s="1834"/>
      <c r="R67" s="1463">
        <f t="shared" si="51"/>
        <v>0</v>
      </c>
      <c r="S67" s="1734"/>
      <c r="T67" s="1854" t="s">
        <v>825</v>
      </c>
      <c r="U67" s="1852"/>
      <c r="V67" s="1230" t="s">
        <v>318</v>
      </c>
      <c r="W67" s="119">
        <v>1425000</v>
      </c>
      <c r="X67" s="239"/>
      <c r="Y67" s="114">
        <f t="shared" si="61"/>
        <v>0</v>
      </c>
      <c r="Z67" s="240" t="s">
        <v>318</v>
      </c>
      <c r="AA67" s="115">
        <f t="shared" si="70"/>
        <v>1069000</v>
      </c>
      <c r="AB67" s="884"/>
      <c r="AC67" s="874">
        <f t="shared" si="71"/>
        <v>0</v>
      </c>
      <c r="AD67" s="884"/>
      <c r="AE67" s="874">
        <f t="shared" si="72"/>
        <v>0</v>
      </c>
      <c r="AF67" s="241" t="s">
        <v>318</v>
      </c>
      <c r="AG67" s="116">
        <f t="shared" si="73"/>
        <v>143000</v>
      </c>
      <c r="AH67" s="239"/>
      <c r="AI67" s="116">
        <f t="shared" si="74"/>
        <v>0</v>
      </c>
      <c r="AJ67" s="242"/>
      <c r="AK67" s="117">
        <f t="shared" si="75"/>
        <v>0</v>
      </c>
      <c r="AL67" s="505">
        <f>SUMIF('Otras Asesorías y Préstamos'!$B$7:$B$242,B67,'Otras Asesorías y Préstamos'!$F$7:$F$242)</f>
        <v>1239211.87961024</v>
      </c>
      <c r="AM67" s="269">
        <f>SUMIF('Otras Asesorías y Préstamos'!$B$7:$B$242,B67,'Otras Asesorías y Préstamos'!$V$7:$V$242)</f>
        <v>0</v>
      </c>
      <c r="AN67" s="1853">
        <f t="shared" si="68"/>
        <v>3876000</v>
      </c>
      <c r="AO67" s="1852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</row>
    <row r="68" spans="1:255" x14ac:dyDescent="0.2">
      <c r="A68" s="1850">
        <f t="shared" si="59"/>
        <v>15</v>
      </c>
      <c r="B68" s="1137" t="s">
        <v>188</v>
      </c>
      <c r="C68" s="1202">
        <f>_xlfn.XLOOKUP(B68,Códigos!$B$8:$B$406,Códigos!$A$8:$A$406,"Verificar",0)</f>
        <v>28</v>
      </c>
      <c r="D68" s="1187">
        <f>_xlfn.XLOOKUP(B68,'Consolidado Cobros'!$B$10:$B$312,'Consolidado Cobros'!$C$10:$C$312,"Verificar",0)</f>
        <v>890910546</v>
      </c>
      <c r="E68" s="1202">
        <f t="shared" si="36"/>
        <v>3</v>
      </c>
      <c r="F68" s="1463">
        <f t="shared" si="60"/>
        <v>11587000</v>
      </c>
      <c r="G68" s="1464">
        <f t="shared" si="49"/>
        <v>2201530</v>
      </c>
      <c r="H68" s="1537" t="s">
        <v>471</v>
      </c>
      <c r="I68" s="1547">
        <f t="shared" si="38"/>
        <v>-1274570</v>
      </c>
      <c r="J68" s="1465">
        <f t="shared" si="39"/>
        <v>13788530</v>
      </c>
      <c r="K68" s="1466">
        <f t="shared" si="50"/>
        <v>12513960</v>
      </c>
      <c r="L68" s="1188"/>
      <c r="M68" s="1467"/>
      <c r="N68" s="1594"/>
      <c r="O68" s="1598"/>
      <c r="P68" s="1594"/>
      <c r="Q68" s="1834"/>
      <c r="R68" s="1463">
        <f t="shared" si="51"/>
        <v>0</v>
      </c>
      <c r="S68" s="1734"/>
      <c r="T68" s="1851" t="s">
        <v>922</v>
      </c>
      <c r="U68" s="1852"/>
      <c r="V68" s="1230" t="s">
        <v>318</v>
      </c>
      <c r="W68" s="345">
        <f>11025000*(1+$W$5)</f>
        <v>11587275</v>
      </c>
      <c r="X68" s="239"/>
      <c r="Y68" s="114"/>
      <c r="Z68" s="240"/>
      <c r="AA68" s="115">
        <f t="shared" si="70"/>
        <v>0</v>
      </c>
      <c r="AB68" s="884"/>
      <c r="AC68" s="874"/>
      <c r="AD68" s="884"/>
      <c r="AE68" s="874"/>
      <c r="AF68" s="241"/>
      <c r="AG68" s="116"/>
      <c r="AH68" s="239"/>
      <c r="AI68" s="116"/>
      <c r="AJ68" s="242"/>
      <c r="AK68" s="117"/>
      <c r="AL68" s="505"/>
      <c r="AM68" s="269"/>
      <c r="AN68" s="1853">
        <f t="shared" si="68"/>
        <v>11587000</v>
      </c>
      <c r="AO68" s="1852"/>
      <c r="AP68" s="65">
        <f>+'Facturas año anterior'!V68</f>
        <v>10480000</v>
      </c>
      <c r="AQ68" s="65">
        <f>+AP68*5.2%</f>
        <v>544960</v>
      </c>
      <c r="AR68" s="65">
        <f>+AP68+AQ68</f>
        <v>11024960</v>
      </c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  <c r="IU68" s="38"/>
    </row>
    <row r="69" spans="1:255" ht="24.75" hidden="1" customHeight="1" x14ac:dyDescent="0.2">
      <c r="A69" s="1850">
        <f t="shared" si="59"/>
        <v>16</v>
      </c>
      <c r="B69" s="1137" t="s">
        <v>368</v>
      </c>
      <c r="C69" s="1202">
        <f>_xlfn.XLOOKUP(B69,Códigos!$B$8:$B$406,Códigos!$A$8:$A$406,"Verificar",0)</f>
        <v>35</v>
      </c>
      <c r="D69" s="1187">
        <f>_xlfn.XLOOKUP(B69,'Consolidado Cobros'!$B$10:$B$312,'Consolidado Cobros'!$C$10:$C$312,"Verificar",0)</f>
        <v>800178231</v>
      </c>
      <c r="E69" s="1202">
        <f t="shared" si="36"/>
        <v>1</v>
      </c>
      <c r="F69" s="1463">
        <f>+AN69</f>
        <v>3391000</v>
      </c>
      <c r="G69" s="1464">
        <f t="shared" si="49"/>
        <v>644290</v>
      </c>
      <c r="H69" s="1537" t="s">
        <v>471</v>
      </c>
      <c r="I69" s="1547">
        <f t="shared" si="38"/>
        <v>-373010</v>
      </c>
      <c r="J69" s="1465">
        <f t="shared" si="39"/>
        <v>4035290</v>
      </c>
      <c r="K69" s="1466">
        <f t="shared" si="50"/>
        <v>3662280</v>
      </c>
      <c r="L69" s="1188"/>
      <c r="M69" s="1467" t="s">
        <v>1108</v>
      </c>
      <c r="N69" s="1594" t="s">
        <v>761</v>
      </c>
      <c r="O69" s="1598">
        <v>45987</v>
      </c>
      <c r="P69" s="1594"/>
      <c r="Q69" s="1834"/>
      <c r="R69" s="1463">
        <f t="shared" si="51"/>
        <v>0</v>
      </c>
      <c r="S69" s="1734"/>
      <c r="T69" s="1856" t="s">
        <v>629</v>
      </c>
      <c r="U69" s="1852"/>
      <c r="V69" s="1230" t="s">
        <v>318</v>
      </c>
      <c r="W69" s="119">
        <f>ROUND(IF(V69="SI",SUMIF('Facturas año anterior'!$B$8:$B$81,B69,'Facturas año anterior'!$V$8:$V$81)*(100%+$W$5),0),-3)+ROUND(IF(V69="SI",SUMIF('C de C año anterior'!$B$8:$B$210,B69,'C de C año anterior'!$Q$8:$Q$210)*(100%+$W$5),0),-3)</f>
        <v>1833000</v>
      </c>
      <c r="X69" s="239"/>
      <c r="Y69" s="114">
        <f t="shared" si="61"/>
        <v>0</v>
      </c>
      <c r="Z69" s="240" t="s">
        <v>318</v>
      </c>
      <c r="AA69" s="115">
        <f>ROUND(IF(Z69="SI",W69*$AA$5,0),-3)</f>
        <v>1375000</v>
      </c>
      <c r="AB69" s="884"/>
      <c r="AC69" s="874">
        <f t="shared" si="43"/>
        <v>0</v>
      </c>
      <c r="AD69" s="884"/>
      <c r="AE69" s="874">
        <f t="shared" si="44"/>
        <v>0</v>
      </c>
      <c r="AF69" s="241" t="s">
        <v>318</v>
      </c>
      <c r="AG69" s="116">
        <f>ROUND(IF(AF69="SI",W69*$AG$5,0),-3)</f>
        <v>183000</v>
      </c>
      <c r="AH69" s="239"/>
      <c r="AI69" s="116">
        <f>ROUND(IF(AH69="SI",W69*$AI$5,0),-3)</f>
        <v>0</v>
      </c>
      <c r="AJ69" s="242"/>
      <c r="AK69" s="117">
        <f>IF(AJ69="SI",W69*$AK$5,0)</f>
        <v>0</v>
      </c>
      <c r="AL69" s="505">
        <f>SUMIF('Otras Asesorías y Préstamos'!$B$7:$B$242,B69,'Otras Asesorías y Préstamos'!$F$7:$F$242)</f>
        <v>0</v>
      </c>
      <c r="AM69" s="269">
        <f>SUMIF('Otras Asesorías y Préstamos'!$B$7:$B$242,B69,'Otras Asesorías y Préstamos'!$V$7:$V$242)</f>
        <v>0</v>
      </c>
      <c r="AN69" s="1853">
        <f t="shared" si="68"/>
        <v>3391000</v>
      </c>
      <c r="AO69" s="1852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</row>
    <row r="70" spans="1:255" hidden="1" x14ac:dyDescent="0.2">
      <c r="A70" s="1850">
        <f t="shared" si="59"/>
        <v>17</v>
      </c>
      <c r="B70" s="1201" t="s">
        <v>724</v>
      </c>
      <c r="C70" s="1202">
        <f>_xlfn.XLOOKUP(B70,Códigos!$B$8:$B$406,Códigos!$A$8:$A$406,"Verificar",0)</f>
        <v>294</v>
      </c>
      <c r="D70" s="1187">
        <f>_xlfn.XLOOKUP(B70,'Consolidado Cobros'!$B$10:$B$312,'Consolidado Cobros'!$C$10:$C$312,"Verificar",0)</f>
        <v>900742209</v>
      </c>
      <c r="E70" s="1202">
        <f t="shared" si="36"/>
        <v>0</v>
      </c>
      <c r="F70" s="1463">
        <f>+AN70</f>
        <v>3873000</v>
      </c>
      <c r="G70" s="1464">
        <f t="shared" si="49"/>
        <v>735870</v>
      </c>
      <c r="H70" s="1537" t="s">
        <v>471</v>
      </c>
      <c r="I70" s="1547">
        <f t="shared" si="38"/>
        <v>-426030</v>
      </c>
      <c r="J70" s="1465">
        <f t="shared" si="39"/>
        <v>4608870</v>
      </c>
      <c r="K70" s="1466">
        <f t="shared" si="50"/>
        <v>4182840</v>
      </c>
      <c r="L70" s="1188"/>
      <c r="M70" s="1467" t="s">
        <v>1110</v>
      </c>
      <c r="N70" s="1594" t="s">
        <v>761</v>
      </c>
      <c r="O70" s="1598">
        <v>45987</v>
      </c>
      <c r="P70" s="1594"/>
      <c r="Q70" s="1834"/>
      <c r="R70" s="1463">
        <f t="shared" si="51"/>
        <v>0</v>
      </c>
      <c r="S70" s="1734"/>
      <c r="T70" s="297"/>
      <c r="U70" s="1852"/>
      <c r="V70" s="1230" t="s">
        <v>318</v>
      </c>
      <c r="W70" s="119">
        <f>ROUND(IF(V70="SI",SUMIF('Facturas año anterior'!$B$8:$B$81,B70,'Facturas año anterior'!$V$8:$V$81)*(100%+$W$5),0),-3)+ROUND(IF(V70="SI",SUMIF('C de C año anterior'!$B$8:$B$210,B70,'C de C año anterior'!$Q$8:$Q$210)*(100%+$W$5),0),-3)</f>
        <v>1424000</v>
      </c>
      <c r="X70" s="239"/>
      <c r="Y70" s="114">
        <f t="shared" si="61"/>
        <v>0</v>
      </c>
      <c r="Z70" s="240" t="s">
        <v>318</v>
      </c>
      <c r="AA70" s="115">
        <f>ROUND(IF(Z70="SI",W70*$AA$5,0),-3)</f>
        <v>1068000</v>
      </c>
      <c r="AB70" s="884"/>
      <c r="AC70" s="874">
        <f t="shared" si="43"/>
        <v>0</v>
      </c>
      <c r="AD70" s="884"/>
      <c r="AE70" s="874">
        <f t="shared" si="44"/>
        <v>0</v>
      </c>
      <c r="AF70" s="241" t="s">
        <v>318</v>
      </c>
      <c r="AG70" s="116">
        <f>ROUND(IF(AF70="SI",W70*$AG$5,0),-3)</f>
        <v>142000</v>
      </c>
      <c r="AH70" s="239"/>
      <c r="AI70" s="116">
        <f>ROUND(IF(AH70="SI",W70*$AI$5,0),-3)</f>
        <v>0</v>
      </c>
      <c r="AJ70" s="242"/>
      <c r="AK70" s="117">
        <f>IF(AJ70="SI",W70*$AK$5,0)</f>
        <v>0</v>
      </c>
      <c r="AL70" s="505">
        <f>SUMIF('Otras Asesorías y Préstamos'!$B$7:$B$242,B70,'Otras Asesorías y Préstamos'!$F$7:$F$242)</f>
        <v>1239211.87961024</v>
      </c>
      <c r="AM70" s="269">
        <f>SUMIF('Otras Asesorías y Préstamos'!$B$7:$B$242,B70,'Otras Asesorías y Préstamos'!$V$7:$V$242)</f>
        <v>0</v>
      </c>
      <c r="AN70" s="1853">
        <f t="shared" si="68"/>
        <v>3873000</v>
      </c>
      <c r="AO70" s="1852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  <c r="IU70" s="38"/>
    </row>
    <row r="71" spans="1:255" ht="25.5" hidden="1" x14ac:dyDescent="0.2">
      <c r="A71" s="1850">
        <f t="shared" si="59"/>
        <v>18</v>
      </c>
      <c r="B71" s="1137" t="s">
        <v>740</v>
      </c>
      <c r="C71" s="1202">
        <f>_xlfn.XLOOKUP(B71,Códigos!$B$8:$B$406,Códigos!$A$8:$A$406,"Verificar",0)</f>
        <v>319</v>
      </c>
      <c r="D71" s="1740">
        <f>_xlfn.XLOOKUP(B71,'Consolidado Cobros'!$B$10:$B$312,'Consolidado Cobros'!$C$10:$C$312,"Verificar",0)</f>
        <v>901035800</v>
      </c>
      <c r="E71" s="1202">
        <f t="shared" si="36"/>
        <v>5</v>
      </c>
      <c r="F71" s="1463">
        <f>+AN71</f>
        <v>3873000</v>
      </c>
      <c r="G71" s="1464">
        <f t="shared" si="49"/>
        <v>735870</v>
      </c>
      <c r="H71" s="1537" t="s">
        <v>471</v>
      </c>
      <c r="I71" s="1547">
        <f t="shared" si="38"/>
        <v>-426030</v>
      </c>
      <c r="J71" s="1465">
        <f t="shared" si="39"/>
        <v>4608870</v>
      </c>
      <c r="K71" s="1466">
        <f t="shared" si="50"/>
        <v>4182840</v>
      </c>
      <c r="L71" s="1188"/>
      <c r="M71" s="1467" t="s">
        <v>1108</v>
      </c>
      <c r="N71" s="1594" t="s">
        <v>761</v>
      </c>
      <c r="O71" s="1598">
        <v>45987</v>
      </c>
      <c r="P71" s="1594"/>
      <c r="Q71" s="1834"/>
      <c r="R71" s="1463">
        <f t="shared" si="51"/>
        <v>0</v>
      </c>
      <c r="S71" s="1734"/>
      <c r="T71" s="1089" t="s">
        <v>826</v>
      </c>
      <c r="U71" s="24"/>
      <c r="V71" s="301" t="s">
        <v>318</v>
      </c>
      <c r="W71" s="119">
        <f>ROUND(IF(V71="SI",SUMIF('Facturas año anterior'!$B$8:$B$81,B71,'Facturas año anterior'!$V$8:$V$81)*(100%+$W$5),0),-3)+ROUND(IF(V71="SI",SUMIF('C de C año anterior'!$B$8:$B$210,B71,'C de C año anterior'!$Q$8:$Q$210)*(100%+$W$5),0),-3)</f>
        <v>1424000</v>
      </c>
      <c r="X71" s="239"/>
      <c r="Y71" s="114">
        <f t="shared" si="61"/>
        <v>0</v>
      </c>
      <c r="Z71" s="240" t="s">
        <v>318</v>
      </c>
      <c r="AA71" s="115">
        <f>ROUND(IF(Z71="SI",W71*$AA$5,0),-3)</f>
        <v>1068000</v>
      </c>
      <c r="AB71" s="884"/>
      <c r="AC71" s="874">
        <f t="shared" si="43"/>
        <v>0</v>
      </c>
      <c r="AD71" s="884"/>
      <c r="AE71" s="874">
        <f t="shared" si="44"/>
        <v>0</v>
      </c>
      <c r="AF71" s="241" t="s">
        <v>318</v>
      </c>
      <c r="AG71" s="116">
        <f>ROUND(IF(AF71="SI",W71*$AG$5,0),-3)</f>
        <v>142000</v>
      </c>
      <c r="AH71" s="239"/>
      <c r="AI71" s="116">
        <f>ROUND(IF(AH71="SI",W71*$AI$5,0),-3)</f>
        <v>0</v>
      </c>
      <c r="AJ71" s="242"/>
      <c r="AK71" s="117">
        <f>IF(AJ71="SI",W71*$AK$5,0)</f>
        <v>0</v>
      </c>
      <c r="AL71" s="505">
        <f>SUMIF('Otras Asesorías y Préstamos'!$B$7:$B$242,B71,'Otras Asesorías y Préstamos'!$F$7:$F$242)</f>
        <v>1239211.87961024</v>
      </c>
      <c r="AM71" s="269">
        <f>SUMIF('Otras Asesorías y Préstamos'!$B$7:$B$242,B71,'Otras Asesorías y Préstamos'!$V$7:$V$242)</f>
        <v>0</v>
      </c>
      <c r="AN71" s="271">
        <f t="shared" si="68"/>
        <v>3873000</v>
      </c>
      <c r="AO71" s="24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  <c r="IU71" s="38"/>
    </row>
    <row r="72" spans="1:255" hidden="1" x14ac:dyDescent="0.2">
      <c r="A72" s="1850">
        <f t="shared" si="59"/>
        <v>19</v>
      </c>
      <c r="B72" s="1137" t="s">
        <v>195</v>
      </c>
      <c r="C72" s="1202">
        <f>_xlfn.XLOOKUP(B72,Códigos!$B$8:$B$406,Códigos!$A$8:$A$406,"Verificar",0)</f>
        <v>37</v>
      </c>
      <c r="D72" s="1187">
        <f>_xlfn.XLOOKUP(B72,'Consolidado Cobros'!$B$10:$B$312,'Consolidado Cobros'!$C$10:$C$312,"Verificar",0)</f>
        <v>900258791</v>
      </c>
      <c r="E72" s="1202">
        <f t="shared" si="36"/>
        <v>0</v>
      </c>
      <c r="F72" s="1463">
        <f>+AN72</f>
        <v>3372000</v>
      </c>
      <c r="G72" s="1464">
        <f t="shared" si="49"/>
        <v>640680</v>
      </c>
      <c r="H72" s="1537" t="s">
        <v>471</v>
      </c>
      <c r="I72" s="1547">
        <f t="shared" si="38"/>
        <v>-370920</v>
      </c>
      <c r="J72" s="1465">
        <f t="shared" si="39"/>
        <v>4012680</v>
      </c>
      <c r="K72" s="1466">
        <f t="shared" si="50"/>
        <v>3641760</v>
      </c>
      <c r="L72" s="1188"/>
      <c r="M72" s="1467" t="s">
        <v>1121</v>
      </c>
      <c r="N72" s="1634"/>
      <c r="O72" s="1863"/>
      <c r="P72" s="1594"/>
      <c r="Q72" s="1834"/>
      <c r="R72" s="1463">
        <f t="shared" si="51"/>
        <v>0</v>
      </c>
      <c r="S72" s="1734"/>
      <c r="T72" s="297"/>
      <c r="U72" s="944"/>
      <c r="V72" s="301" t="s">
        <v>318</v>
      </c>
      <c r="W72" s="119">
        <f>ROUND(IF(V72="SI",SUMIF('Facturas año anterior'!$B$8:$B$81,B72,'Facturas año anterior'!$V$8:$V$81)*(100%+$W$5),0),-3)+ROUND(IF(V72="SI",SUMIF('C de C año anterior'!$B$8:$B$210,B72,'C de C año anterior'!$Q$8:$Q$210)*(100%+$W$5),0),-3)</f>
        <v>1823000</v>
      </c>
      <c r="X72" s="239"/>
      <c r="Y72" s="114">
        <f t="shared" si="61"/>
        <v>0</v>
      </c>
      <c r="Z72" s="240" t="s">
        <v>318</v>
      </c>
      <c r="AA72" s="115">
        <f>ROUND(IF(Z72="SI",W72*$AA$5,0),-3)</f>
        <v>1367000</v>
      </c>
      <c r="AB72" s="884"/>
      <c r="AC72" s="874">
        <f t="shared" si="43"/>
        <v>0</v>
      </c>
      <c r="AD72" s="884"/>
      <c r="AE72" s="874">
        <f t="shared" si="44"/>
        <v>0</v>
      </c>
      <c r="AF72" s="241" t="s">
        <v>318</v>
      </c>
      <c r="AG72" s="116">
        <f>ROUND(IF(AF72="SI",W72*$AG$5,0),-3)</f>
        <v>182000</v>
      </c>
      <c r="AH72" s="239"/>
      <c r="AI72" s="116">
        <f>ROUND(IF(AH72="SI",W72*$AI$5,0),-3)</f>
        <v>0</v>
      </c>
      <c r="AJ72" s="242"/>
      <c r="AK72" s="117">
        <f>IF(AJ72="SI",W72*$AK$5,0)</f>
        <v>0</v>
      </c>
      <c r="AL72" s="505">
        <f>SUMIF('Otras Asesorías y Préstamos'!$B$7:$B$242,B72,'Otras Asesorías y Préstamos'!$F$7:$F$242)</f>
        <v>0</v>
      </c>
      <c r="AM72" s="269">
        <f>SUMIF('Otras Asesorías y Préstamos'!$B$7:$B$242,B72,'Otras Asesorías y Préstamos'!$V$7:$V$242)</f>
        <v>0</v>
      </c>
      <c r="AN72" s="271">
        <f t="shared" si="68"/>
        <v>3372000</v>
      </c>
      <c r="AO72" s="24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  <c r="IU72" s="38"/>
    </row>
    <row r="73" spans="1:255" hidden="1" x14ac:dyDescent="0.2">
      <c r="A73" s="1733"/>
      <c r="B73" s="1137"/>
      <c r="C73" s="1202"/>
      <c r="D73" s="1138"/>
      <c r="E73" s="1202"/>
      <c r="F73" s="1463"/>
      <c r="G73" s="1464"/>
      <c r="H73" s="1537"/>
      <c r="I73" s="1547"/>
      <c r="J73" s="1465"/>
      <c r="K73" s="1466"/>
      <c r="L73" s="1188"/>
      <c r="M73" s="1467"/>
      <c r="N73" s="1594"/>
      <c r="O73" s="1598"/>
      <c r="P73" s="1594"/>
      <c r="Q73" s="1834"/>
      <c r="R73" s="1463"/>
      <c r="S73" s="1734"/>
      <c r="T73" s="298"/>
      <c r="U73" s="24"/>
      <c r="V73" s="302"/>
      <c r="W73" s="119">
        <f>ROUND(IF(V73="SI",SUMIF('Facturas año anterior'!$B$8:$B$81,B73,'Facturas año anterior'!$V$8:$V$81)*(100%+$W$5),0),-3)+ROUND(IF(V73="SI",SUMIF('C de C año anterior'!$B$8:$B$210,B73,'C de C año anterior'!$Q$8:$Q$210)*(100%+$W$5),0),-3)</f>
        <v>0</v>
      </c>
      <c r="X73" s="239"/>
      <c r="Y73" s="114">
        <f t="shared" ref="Y73:Y74" si="76">ROUND(IF(X73="SI",W73*$Y$5,0),-3)</f>
        <v>0</v>
      </c>
      <c r="Z73" s="240"/>
      <c r="AA73" s="115">
        <f t="shared" ref="AA73:AA74" si="77">ROUND(IF(Z73="SI",W73*$AA$5,0),-3)</f>
        <v>0</v>
      </c>
      <c r="AB73" s="884"/>
      <c r="AC73" s="874"/>
      <c r="AD73" s="884"/>
      <c r="AE73" s="874"/>
      <c r="AF73" s="241"/>
      <c r="AG73" s="116">
        <f t="shared" ref="AG73:AG74" si="78">ROUND(IF(AF73="SI",W73*$AG$5,0),-3)</f>
        <v>0</v>
      </c>
      <c r="AH73" s="239"/>
      <c r="AI73" s="116">
        <f t="shared" ref="AI73:AI74" si="79">ROUND(IF(AH73="SI",W73*$AI$5,0),-3)</f>
        <v>0</v>
      </c>
      <c r="AJ73" s="242"/>
      <c r="AK73" s="117">
        <f t="shared" ref="AK73:AK74" si="80">IF(AJ73="SI",W73*$AK$5,0)</f>
        <v>0</v>
      </c>
      <c r="AL73" s="505">
        <f>SUMIF('Otras Asesorías y Préstamos'!$B$7:$B$242,B73,'Otras Asesorías y Préstamos'!$F$7:$F$242)</f>
        <v>0</v>
      </c>
      <c r="AM73" s="269">
        <f>SUMIF('Otras Asesorías y Préstamos'!$B$7:$B$242,B73,'Otras Asesorías y Préstamos'!$V$7:$V$242)</f>
        <v>0</v>
      </c>
      <c r="AN73" s="271">
        <f t="shared" si="68"/>
        <v>0</v>
      </c>
      <c r="AO73" s="24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</row>
    <row r="74" spans="1:255" hidden="1" x14ac:dyDescent="0.2">
      <c r="A74" s="1733"/>
      <c r="B74" s="1137"/>
      <c r="C74" s="1202"/>
      <c r="D74" s="1138"/>
      <c r="E74" s="1202"/>
      <c r="F74" s="1463"/>
      <c r="G74" s="1464"/>
      <c r="H74" s="1537"/>
      <c r="I74" s="1547"/>
      <c r="J74" s="1465"/>
      <c r="K74" s="1466"/>
      <c r="L74" s="1188"/>
      <c r="M74" s="1467"/>
      <c r="N74" s="1594"/>
      <c r="O74" s="1598"/>
      <c r="P74" s="1594"/>
      <c r="Q74" s="1834"/>
      <c r="R74" s="1463"/>
      <c r="S74" s="1734"/>
      <c r="T74" s="298"/>
      <c r="U74" s="24"/>
      <c r="V74" s="302"/>
      <c r="W74" s="119">
        <f>ROUND(IF(V74="SI",SUMIF('Facturas año anterior'!$B$8:$B$81,B74,'Facturas año anterior'!$V$8:$V$81)*(100%+$W$5),0),-3)+ROUND(IF(V74="SI",SUMIF('C de C año anterior'!$B$8:$B$210,B74,'C de C año anterior'!$Q$8:$Q$210)*(100%+$W$5),0),-3)</f>
        <v>0</v>
      </c>
      <c r="X74" s="239"/>
      <c r="Y74" s="114">
        <f t="shared" si="76"/>
        <v>0</v>
      </c>
      <c r="Z74" s="240"/>
      <c r="AA74" s="115">
        <f t="shared" si="77"/>
        <v>0</v>
      </c>
      <c r="AB74" s="884"/>
      <c r="AC74" s="874"/>
      <c r="AD74" s="884"/>
      <c r="AE74" s="874"/>
      <c r="AF74" s="241"/>
      <c r="AG74" s="116">
        <f t="shared" si="78"/>
        <v>0</v>
      </c>
      <c r="AH74" s="239"/>
      <c r="AI74" s="116">
        <f t="shared" si="79"/>
        <v>0</v>
      </c>
      <c r="AJ74" s="242"/>
      <c r="AK74" s="117">
        <f t="shared" si="80"/>
        <v>0</v>
      </c>
      <c r="AL74" s="505">
        <f>SUMIF('Otras Asesorías y Préstamos'!$B$7:$B$242,B74,'Otras Asesorías y Préstamos'!$F$7:$F$242)</f>
        <v>0</v>
      </c>
      <c r="AM74" s="269">
        <f>SUMIF('Otras Asesorías y Préstamos'!$B$7:$B$242,B74,'Otras Asesorías y Préstamos'!$V$7:$V$242)</f>
        <v>0</v>
      </c>
      <c r="AN74" s="271">
        <f t="shared" si="68"/>
        <v>0</v>
      </c>
      <c r="AO74" s="24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  <c r="IU74" s="38"/>
    </row>
    <row r="75" spans="1:255" hidden="1" x14ac:dyDescent="0.2">
      <c r="A75" s="1733"/>
      <c r="B75" s="1137"/>
      <c r="C75" s="1202"/>
      <c r="D75" s="1138"/>
      <c r="E75" s="1202"/>
      <c r="F75" s="1463"/>
      <c r="G75" s="1464"/>
      <c r="H75" s="1537"/>
      <c r="I75" s="1547"/>
      <c r="J75" s="1465"/>
      <c r="K75" s="1466"/>
      <c r="L75" s="1188"/>
      <c r="M75" s="1467"/>
      <c r="N75" s="1594"/>
      <c r="O75" s="1598"/>
      <c r="P75" s="1594"/>
      <c r="Q75" s="1834"/>
      <c r="R75" s="1463"/>
      <c r="S75" s="1734"/>
      <c r="T75" s="298"/>
      <c r="U75" s="24"/>
      <c r="V75" s="302"/>
      <c r="W75" s="119">
        <f>ROUND(IF(V75="SI",SUMIF('Facturas año anterior'!$B$8:$B$81,B75,'Facturas año anterior'!$V$8:$V$81)*(100%+$W$5),0),-3)+ROUND(IF(V75="SI",SUMIF('C de C año anterior'!$B$8:$B$210,B75,'C de C año anterior'!$Q$8:$Q$210)*(100%+$W$5),0),-3)</f>
        <v>0</v>
      </c>
      <c r="X75" s="239"/>
      <c r="Y75" s="114">
        <f>ROUND(IF(X75="SI",W75*$Y$5,0),-3)</f>
        <v>0</v>
      </c>
      <c r="Z75" s="240"/>
      <c r="AA75" s="115">
        <f>ROUND(IF(Z75="SI",W75*$AA$5,0),-3)</f>
        <v>0</v>
      </c>
      <c r="AB75" s="884"/>
      <c r="AC75" s="874"/>
      <c r="AD75" s="884"/>
      <c r="AE75" s="874"/>
      <c r="AF75" s="241"/>
      <c r="AG75" s="116">
        <f>ROUND(IF(AF75="SI",W75*$AG$5,0),-3)</f>
        <v>0</v>
      </c>
      <c r="AH75" s="239"/>
      <c r="AI75" s="116">
        <f>ROUND(IF(AH75="SI",W75*$AI$5,0),-3)</f>
        <v>0</v>
      </c>
      <c r="AJ75" s="242"/>
      <c r="AK75" s="117">
        <f>IF(AJ75="SI",W75*$AK$5,0)</f>
        <v>0</v>
      </c>
      <c r="AL75" s="505">
        <f>SUMIF('Otras Asesorías y Préstamos'!$B$7:$B$242,B75,'Otras Asesorías y Préstamos'!$F$7:$F$242)</f>
        <v>0</v>
      </c>
      <c r="AM75" s="269">
        <f>SUMIF('Otras Asesorías y Préstamos'!$B$7:$B$242,B75,'Otras Asesorías y Préstamos'!$V$7:$V$242)</f>
        <v>0</v>
      </c>
      <c r="AN75" s="271">
        <f t="shared" si="68"/>
        <v>0</v>
      </c>
      <c r="AO75" s="24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</row>
    <row r="76" spans="1:255" hidden="1" x14ac:dyDescent="0.2">
      <c r="A76" s="1733"/>
      <c r="B76" s="1137"/>
      <c r="C76" s="1202"/>
      <c r="D76" s="1138"/>
      <c r="E76" s="1202"/>
      <c r="F76" s="1463"/>
      <c r="G76" s="1464"/>
      <c r="H76" s="1537"/>
      <c r="I76" s="1547"/>
      <c r="J76" s="1465"/>
      <c r="K76" s="1466"/>
      <c r="L76" s="1188"/>
      <c r="M76" s="1467"/>
      <c r="N76" s="1594"/>
      <c r="O76" s="1598"/>
      <c r="P76" s="1594"/>
      <c r="Q76" s="1834"/>
      <c r="R76" s="1463"/>
      <c r="S76" s="1734"/>
      <c r="T76" s="298"/>
      <c r="U76" s="24"/>
      <c r="V76" s="302"/>
      <c r="W76" s="119">
        <f>ROUND(IF(V76="SI",SUMIF('Facturas año anterior'!$B$8:$B$81,B76,'Facturas año anterior'!$V$8:$V$81)*(100%+$W$5),0),-3)+ROUND(IF(V76="SI",SUMIF('C de C año anterior'!$B$8:$B$210,B76,'C de C año anterior'!$Q$8:$Q$210)*(100%+$W$5),0),-3)</f>
        <v>0</v>
      </c>
      <c r="X76" s="239"/>
      <c r="Y76" s="114">
        <f>ROUND(IF(X76="SI",W76*$Y$5,0),-3)</f>
        <v>0</v>
      </c>
      <c r="Z76" s="240"/>
      <c r="AA76" s="115">
        <f>ROUND(IF(Z76="SI",W76*$AA$5,0),-3)</f>
        <v>0</v>
      </c>
      <c r="AB76" s="884"/>
      <c r="AC76" s="874"/>
      <c r="AD76" s="884"/>
      <c r="AE76" s="874"/>
      <c r="AF76" s="241"/>
      <c r="AG76" s="116">
        <f>ROUND(IF(AF76="SI",W76*$AG$5,0),-3)</f>
        <v>0</v>
      </c>
      <c r="AH76" s="239"/>
      <c r="AI76" s="116">
        <f>ROUND(IF(AH76="SI",W76*$AI$5,0),-3)</f>
        <v>0</v>
      </c>
      <c r="AJ76" s="242"/>
      <c r="AK76" s="117">
        <f>IF(AJ76="SI",W76*$AK$5,0)</f>
        <v>0</v>
      </c>
      <c r="AL76" s="505">
        <f>SUMIF('Otras Asesorías y Préstamos'!$B$7:$B$242,B76,'Otras Asesorías y Préstamos'!$F$7:$F$242)</f>
        <v>0</v>
      </c>
      <c r="AM76" s="269">
        <f>SUMIF('Otras Asesorías y Préstamos'!$B$7:$B$242,B76,'Otras Asesorías y Préstamos'!$V$7:$V$242)</f>
        <v>0</v>
      </c>
      <c r="AN76" s="271">
        <f t="shared" si="68"/>
        <v>0</v>
      </c>
      <c r="AO76" s="24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</row>
    <row r="77" spans="1:255" x14ac:dyDescent="0.2">
      <c r="A77" s="1733"/>
      <c r="B77" s="1137"/>
      <c r="C77" s="1202"/>
      <c r="D77" s="1138"/>
      <c r="E77" s="1202"/>
      <c r="F77" s="1463"/>
      <c r="G77" s="1464"/>
      <c r="H77" s="1537"/>
      <c r="I77" s="1547"/>
      <c r="J77" s="1465"/>
      <c r="K77" s="1466"/>
      <c r="L77" s="1188"/>
      <c r="M77" s="1467"/>
      <c r="N77" s="1594"/>
      <c r="O77" s="1598"/>
      <c r="P77" s="1594"/>
      <c r="Q77" s="1834"/>
      <c r="R77" s="1463"/>
      <c r="S77" s="1734"/>
      <c r="T77" s="298"/>
      <c r="U77" s="24"/>
      <c r="V77" s="302"/>
      <c r="W77" s="119">
        <f>ROUND(IF(V77="SI",SUMIF('Facturas año anterior'!$B$8:$B$81,B77,'Facturas año anterior'!$V$8:$V$81)*(100%+$W$5),0),-3)+ROUND(IF(V77="SI",SUMIF('C de C año anterior'!$B$8:$B$210,B77,'C de C año anterior'!$Q$8:$Q$210)*(100%+$W$5),0),-3)</f>
        <v>0</v>
      </c>
      <c r="X77" s="239"/>
      <c r="Y77" s="114">
        <f>ROUND(IF(X77="SI",W77*$Y$5,0),-3)</f>
        <v>0</v>
      </c>
      <c r="Z77" s="240"/>
      <c r="AA77" s="115">
        <f>ROUND(IF(Z77="SI",W77*$AA$5,0),-3)</f>
        <v>0</v>
      </c>
      <c r="AB77" s="884"/>
      <c r="AC77" s="874"/>
      <c r="AD77" s="884"/>
      <c r="AE77" s="874"/>
      <c r="AF77" s="241"/>
      <c r="AG77" s="116">
        <f>ROUND(IF(AF77="SI",W77*$AG$5,0),-3)</f>
        <v>0</v>
      </c>
      <c r="AH77" s="239"/>
      <c r="AI77" s="116">
        <f>ROUND(IF(AH77="SI",W77*$AI$5,0),-3)</f>
        <v>0</v>
      </c>
      <c r="AJ77" s="242"/>
      <c r="AK77" s="117">
        <f>IF(AJ77="SI",W77*$AK$5,0)</f>
        <v>0</v>
      </c>
      <c r="AL77" s="505">
        <f>SUMIF('Otras Asesorías y Préstamos'!$B$7:$B$242,B77,'Otras Asesorías y Préstamos'!$F$7:$F$242)</f>
        <v>0</v>
      </c>
      <c r="AM77" s="269">
        <f>SUMIF('Otras Asesorías y Préstamos'!$B$7:$B$242,B77,'Otras Asesorías y Préstamos'!$V$7:$V$242)</f>
        <v>0</v>
      </c>
      <c r="AN77" s="271">
        <f t="shared" si="68"/>
        <v>0</v>
      </c>
      <c r="AO77" s="24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</row>
    <row r="78" spans="1:255" ht="13.5" thickBot="1" x14ac:dyDescent="0.25">
      <c r="A78" s="277"/>
      <c r="B78" s="1741"/>
      <c r="C78" s="495"/>
      <c r="D78" s="1742"/>
      <c r="E78" s="652"/>
      <c r="F78" s="319"/>
      <c r="G78" s="627"/>
      <c r="H78" s="1539"/>
      <c r="I78" s="1549"/>
      <c r="J78" s="530"/>
      <c r="K78" s="521"/>
      <c r="L78" s="928"/>
      <c r="M78" s="1072"/>
      <c r="N78" s="1596"/>
      <c r="O78" s="1599"/>
      <c r="P78" s="1596"/>
      <c r="Q78" s="1835"/>
      <c r="R78" s="321"/>
      <c r="S78" s="320"/>
      <c r="T78" s="331"/>
      <c r="U78" s="24"/>
      <c r="V78" s="305"/>
      <c r="W78" s="272"/>
      <c r="X78" s="187"/>
      <c r="Y78" s="188"/>
      <c r="Z78" s="189"/>
      <c r="AA78" s="190"/>
      <c r="AB78" s="885"/>
      <c r="AC78" s="875"/>
      <c r="AD78" s="885"/>
      <c r="AE78" s="875"/>
      <c r="AF78" s="191"/>
      <c r="AG78" s="192"/>
      <c r="AH78" s="187"/>
      <c r="AI78" s="188"/>
      <c r="AJ78" s="193"/>
      <c r="AK78" s="194"/>
      <c r="AL78" s="506"/>
      <c r="AM78" s="273"/>
      <c r="AN78" s="274"/>
      <c r="AO78" s="24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  <c r="IU78" s="38"/>
    </row>
    <row r="79" spans="1:255" ht="13.5" thickBot="1" x14ac:dyDescent="0.25">
      <c r="F79" s="172"/>
      <c r="G79" s="172"/>
      <c r="H79" s="50"/>
      <c r="I79" s="202"/>
      <c r="J79" s="159"/>
      <c r="K79" s="172"/>
      <c r="L79" s="258"/>
      <c r="M79" s="216"/>
      <c r="N79" s="216"/>
      <c r="O79" s="216"/>
      <c r="P79" s="216"/>
      <c r="Q79" s="216"/>
      <c r="R79" s="258"/>
      <c r="S79" s="258"/>
      <c r="U79" s="19"/>
      <c r="V79" s="47"/>
      <c r="W79" s="259"/>
      <c r="X79" s="47"/>
      <c r="Y79" s="259"/>
      <c r="Z79" s="47"/>
      <c r="AA79" s="259"/>
      <c r="AB79" s="216"/>
      <c r="AC79" s="74"/>
      <c r="AD79" s="216"/>
      <c r="AE79" s="74"/>
      <c r="AF79" s="255"/>
      <c r="AG79" s="259"/>
      <c r="AH79" s="255"/>
      <c r="AI79" s="259"/>
      <c r="AJ79" s="48"/>
      <c r="AK79" s="259"/>
      <c r="AL79" s="202"/>
      <c r="AM79" s="259"/>
      <c r="AN79" s="49"/>
      <c r="AO79" s="19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</row>
    <row r="80" spans="1:255" s="951" customFormat="1" ht="13.5" thickBot="1" x14ac:dyDescent="0.25">
      <c r="A80" s="162" t="s">
        <v>290</v>
      </c>
      <c r="B80" s="131"/>
      <c r="C80" s="493"/>
      <c r="D80" s="266"/>
      <c r="E80" s="276"/>
      <c r="F80" s="229">
        <f>SUM(F54:F77)</f>
        <v>83629000</v>
      </c>
      <c r="G80" s="229">
        <f>SUM(G54:G77)</f>
        <v>15889510</v>
      </c>
      <c r="H80" s="1540"/>
      <c r="I80" s="507">
        <f>SUM(I54:I77)</f>
        <v>-9199190</v>
      </c>
      <c r="J80" s="230">
        <f>SUM(J54:J77)</f>
        <v>99518510</v>
      </c>
      <c r="K80" s="229">
        <f>SUM(K54:K77)</f>
        <v>90319320</v>
      </c>
      <c r="L80" s="90"/>
      <c r="M80" s="90"/>
      <c r="N80" s="90"/>
      <c r="O80" s="90"/>
      <c r="P80" s="90"/>
      <c r="Q80" s="90"/>
      <c r="R80" s="90"/>
      <c r="S80" s="90"/>
      <c r="T80" s="62"/>
      <c r="U80" s="64"/>
      <c r="V80" s="243"/>
      <c r="W80" s="244">
        <f>SUM(W54:W77)</f>
        <v>54519753</v>
      </c>
      <c r="X80" s="243"/>
      <c r="Y80" s="244">
        <f>SUM(Y54:Y77)</f>
        <v>0</v>
      </c>
      <c r="Z80" s="243"/>
      <c r="AA80" s="244">
        <f>SUM(AA54:AA77)</f>
        <v>18606000</v>
      </c>
      <c r="AB80" s="266"/>
      <c r="AC80" s="244">
        <f>SUM(AC54:AC77)</f>
        <v>0</v>
      </c>
      <c r="AD80" s="266"/>
      <c r="AE80" s="244">
        <f>SUM(AE54:AE77)</f>
        <v>0</v>
      </c>
      <c r="AF80" s="243"/>
      <c r="AG80" s="244">
        <f>SUM(AG54:AG77)</f>
        <v>2159000</v>
      </c>
      <c r="AH80" s="243"/>
      <c r="AI80" s="244">
        <f>SUM(AI54:AI77)</f>
        <v>365000</v>
      </c>
      <c r="AJ80" s="243"/>
      <c r="AK80" s="244">
        <f>SUM(AK54:AK77)</f>
        <v>0</v>
      </c>
      <c r="AL80" s="507">
        <f>SUM(AL54:AL77)</f>
        <v>7990642.39517162</v>
      </c>
      <c r="AM80" s="229">
        <f>SUM(AM54:AM77)</f>
        <v>0</v>
      </c>
      <c r="AN80" s="229">
        <f>SUM(AN54:AN77)</f>
        <v>83639000</v>
      </c>
      <c r="AO80" s="64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</row>
    <row r="81" spans="1:255" s="951" customFormat="1" x14ac:dyDescent="0.2">
      <c r="A81" s="90"/>
      <c r="B81" s="62"/>
      <c r="C81" s="494"/>
      <c r="D81" s="216"/>
      <c r="E81" s="111"/>
      <c r="F81" s="90"/>
      <c r="G81" s="90"/>
      <c r="H81" s="91"/>
      <c r="I81" s="206"/>
      <c r="J81" s="498"/>
      <c r="K81" s="90"/>
      <c r="L81" s="47"/>
      <c r="M81" s="90"/>
      <c r="N81" s="90"/>
      <c r="O81" s="90"/>
      <c r="P81" s="90"/>
      <c r="Q81" s="90"/>
      <c r="R81" s="90"/>
      <c r="S81" s="90"/>
      <c r="T81" s="62"/>
      <c r="U81" s="64"/>
      <c r="V81" s="216"/>
      <c r="W81" s="90"/>
      <c r="X81" s="216"/>
      <c r="Y81" s="90"/>
      <c r="Z81" s="216"/>
      <c r="AA81" s="90"/>
      <c r="AB81" s="216"/>
      <c r="AC81" s="90"/>
      <c r="AD81" s="216"/>
      <c r="AE81" s="90"/>
      <c r="AF81" s="216"/>
      <c r="AG81" s="90"/>
      <c r="AH81" s="216"/>
      <c r="AI81" s="90"/>
      <c r="AJ81" s="216"/>
      <c r="AK81" s="90"/>
      <c r="AL81" s="206"/>
      <c r="AM81" s="90"/>
      <c r="AN81" s="90"/>
      <c r="AO81" s="64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</row>
    <row r="82" spans="1:255" s="153" customFormat="1" ht="30" customHeight="1" x14ac:dyDescent="0.2">
      <c r="A82" s="151" t="s">
        <v>291</v>
      </c>
      <c r="B82" s="152"/>
      <c r="C82" s="654">
        <f>+A38+A72</f>
        <v>19</v>
      </c>
      <c r="D82" s="1523">
        <f>+C82+C51</f>
        <v>48</v>
      </c>
      <c r="E82" s="151"/>
      <c r="F82" s="151">
        <f>F49+F80</f>
        <v>121229000</v>
      </c>
      <c r="G82" s="151">
        <f>G49+G80</f>
        <v>23033510</v>
      </c>
      <c r="H82" s="96"/>
      <c r="I82" s="207">
        <f>I49+I80</f>
        <v>-12447490</v>
      </c>
      <c r="J82" s="151">
        <f>J49+J80</f>
        <v>144262510</v>
      </c>
      <c r="K82" s="151">
        <f>K49+K80</f>
        <v>131815020</v>
      </c>
      <c r="L82" s="92"/>
      <c r="M82" s="66">
        <f>M49+M80</f>
        <v>0</v>
      </c>
      <c r="N82" s="66"/>
      <c r="O82" s="66"/>
      <c r="P82" s="66"/>
      <c r="Q82" s="66"/>
      <c r="R82" s="151"/>
      <c r="S82" s="151"/>
      <c r="T82" s="151"/>
      <c r="U82" s="151"/>
      <c r="V82" s="151"/>
      <c r="W82" s="151">
        <f>W49+W80</f>
        <v>83931753</v>
      </c>
      <c r="X82" s="151"/>
      <c r="Y82" s="151">
        <f>Y49+Y80</f>
        <v>497000</v>
      </c>
      <c r="Z82" s="151"/>
      <c r="AA82" s="151">
        <f>AA49+AA80</f>
        <v>20687000</v>
      </c>
      <c r="AB82" s="477"/>
      <c r="AC82" s="151">
        <f>AC49+AC80</f>
        <v>0</v>
      </c>
      <c r="AD82" s="477"/>
      <c r="AE82" s="151">
        <f>AE49+AE80</f>
        <v>0</v>
      </c>
      <c r="AF82" s="151"/>
      <c r="AG82" s="151">
        <f>AG49+AG80</f>
        <v>2159000</v>
      </c>
      <c r="AH82" s="151"/>
      <c r="AI82" s="151">
        <f>AI49+AI80</f>
        <v>599000</v>
      </c>
      <c r="AJ82" s="151"/>
      <c r="AK82" s="151">
        <f>AK49+AK80</f>
        <v>2641800</v>
      </c>
      <c r="AL82" s="151">
        <f>AL49+AL80</f>
        <v>10746810.693412459</v>
      </c>
      <c r="AM82" s="151">
        <f>AM49+AM80</f>
        <v>0</v>
      </c>
      <c r="AN82" s="151">
        <f>AN49+AN80</f>
        <v>121239000</v>
      </c>
      <c r="AO82" s="151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</row>
    <row r="83" spans="1:255" x14ac:dyDescent="0.2"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</row>
    <row r="84" spans="1:255" x14ac:dyDescent="0.2"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</row>
    <row r="85" spans="1:255" x14ac:dyDescent="0.2">
      <c r="G85" s="1223"/>
      <c r="H85" s="1544"/>
      <c r="W85" s="51">
        <v>11025000</v>
      </c>
      <c r="X85" s="52">
        <f>+W85*5.1%</f>
        <v>562275</v>
      </c>
      <c r="Y85" s="51">
        <f>+W85+X85</f>
        <v>11587275</v>
      </c>
    </row>
    <row r="87" spans="1:255" x14ac:dyDescent="0.2">
      <c r="A87" s="1700" t="s">
        <v>895</v>
      </c>
      <c r="B87" s="1701"/>
    </row>
    <row r="88" spans="1:255" ht="38.25" x14ac:dyDescent="0.2">
      <c r="A88" s="1601">
        <v>1</v>
      </c>
      <c r="B88" s="356" t="s">
        <v>735</v>
      </c>
      <c r="C88" s="387">
        <f>_xlfn.XLOOKUP(B88,Códigos!$B$8:$B$406,Códigos!$A$8:$A$406,"Verificar",0)</f>
        <v>29</v>
      </c>
      <c r="D88" s="487">
        <f>_xlfn.XLOOKUP(B88,'Consolidado Cobros'!$B$10:$B$312,'Consolidado Cobros'!$C$10:$C$312,"Verificar",0)</f>
        <v>890924327</v>
      </c>
      <c r="E88" s="387">
        <f t="shared" ref="E88" si="81">IF((MOD((VALUE(MID(TEXT(D88,"000000000000000"),15,1))*3+VALUE(MID(TEXT(D88,"000000000000000"),14,1))*7+VALUE(MID(TEXT(D88,"000000000000000"),13,1))*13+VALUE(MID(TEXT(D88,"000000000000000"),12,1))*17+VALUE(MID(TEXT(D88,"000000000000000"),11,1))*19+VALUE(MID(TEXT(D88,"000000000000000"),10,1))*23+VALUE(MID(TEXT(D88,"000000000000000"),9,1))*29+VALUE(MID(TEXT(D88,"000000000000000"),8,1))*37+VALUE(MID(TEXT(D88,"000000000000000"),7,1))*41+VALUE(MID(TEXT(D88,"000000000000000"),6,1))*43+VALUE(MID(TEXT(D88,"000000000000000"),5,1))*47+VALUE(MID(TEXT(D88,"000000000000000"),4,1))*53+VALUE(MID(TEXT(D88,"000000000000000"),3,1))*59+VALUE(MID(TEXT(D88,"000000000000000"),2,1))*67+VALUE(MID(TEXT(D88,"000000000000000"),1,1))*71),11))=0,0,IF((MOD((VALUE(MID(TEXT(D88,"000000000000000"),15,1))*3+VALUE(MID(TEXT(D88,"000000000000000"),14,1))*7+VALUE(MID(TEXT(D88,"000000000000000"),13,1))*13+VALUE(MID(TEXT(D88,"000000000000000"),12,1))*17+VALUE(MID(TEXT(D88,"000000000000000"),11,1))*19+VALUE(MID(TEXT(D88,"000000000000000"),10,1))*23+VALUE(MID(TEXT(D88,"000000000000000"),9,1))*29+VALUE(MID(TEXT(D88,"000000000000000"),8,1))*37+VALUE(MID(TEXT(D88,"000000000000000"),7,1))*41+VALUE(MID(TEXT(D88,"000000000000000"),6,1))*43+VALUE(MID(TEXT(D88,"000000000000000"),5,1))*47+VALUE(MID(TEXT(D88,"000000000000000"),4,1))*53+VALUE(MID(TEXT(D88,"000000000000000"),3,1))*59+VALUE(MID(TEXT(D88,"000000000000000"),2,1))*67+VALUE(MID(TEXT(D88,"000000000000000"),1,1))*71),11))=1,1,11-(MOD((VALUE(MID(TEXT(D88,"000000000000000"),15,1))*3+VALUE(MID(TEXT(D88,"000000000000000"),14,1))*7+VALUE(MID(TEXT(D88,"000000000000000"),13,1))*13+VALUE(MID(TEXT(D88,"000000000000000"),12,1))*17+VALUE(MID(TEXT(D88,"000000000000000"),11,1))*19+VALUE(MID(TEXT(D88,"000000000000000"),10,1))*23+VALUE(MID(TEXT(D88,"000000000000000"),9,1))*29+VALUE(MID(TEXT(D88,"000000000000000"),8,1))*37+VALUE(MID(TEXT(D88,"000000000000000"),7,1))*41+VALUE(MID(TEXT(D88,"000000000000000"),6,1))*43+VALUE(MID(TEXT(D88,"000000000000000"),5,1))*47+VALUE(MID(TEXT(D88,"000000000000000"),4,1))*53+VALUE(MID(TEXT(D88,"000000000000000"),3,1))*59+VALUE(MID(TEXT(D88,"000000000000000"),2,1))*67+VALUE(MID(TEXT(D88,"000000000000000"),1,1))*71),11))))</f>
        <v>8</v>
      </c>
      <c r="F88" s="290">
        <f t="shared" ref="F88" si="82">+AN88</f>
        <v>0</v>
      </c>
      <c r="G88" s="287">
        <f t="shared" ref="G88" si="83">+F88*$G$5</f>
        <v>0</v>
      </c>
      <c r="H88" s="1537" t="s">
        <v>471</v>
      </c>
      <c r="I88" s="1552">
        <f t="shared" ref="I88" si="84">IF(H88="S",-F88*$I$5,"NO RETENCIÓN")</f>
        <v>0</v>
      </c>
      <c r="J88" s="526">
        <f t="shared" ref="J88" si="85">+F88+G88</f>
        <v>0</v>
      </c>
      <c r="K88" s="520">
        <f t="shared" ref="K88" si="86">SUM(F88:I88)</f>
        <v>0</v>
      </c>
      <c r="L88" s="927"/>
      <c r="M88" s="1467"/>
      <c r="N88" s="1594"/>
      <c r="O88" s="1598"/>
      <c r="P88" s="1594"/>
      <c r="Q88" s="1832"/>
      <c r="R88" s="290">
        <f t="shared" ref="R88" si="87">+AM88</f>
        <v>0</v>
      </c>
      <c r="S88" s="288"/>
      <c r="T88" s="1089" t="s">
        <v>678</v>
      </c>
      <c r="U88" s="24"/>
      <c r="V88" s="301"/>
      <c r="W88" s="119">
        <f>ROUND(IF(V88="SI",SUMIF('Facturas año anterior'!$B$8:$B$81,B88,'Facturas año anterior'!$V$8:$V$81)*(100%+$W$5),0),-3)+ROUND(IF(V88="SI",SUMIF('C de C año anterior'!$B$8:$B$210,B88,'C de C año anterior'!$Q$8:$Q$210)*(100%+$W$5),0),-3)</f>
        <v>0</v>
      </c>
      <c r="X88" s="239"/>
      <c r="Y88" s="114">
        <f t="shared" ref="Y88" si="88">ROUND(IF(X88="SI",W88*$Y$5,0),-3)</f>
        <v>0</v>
      </c>
      <c r="Z88" s="240"/>
      <c r="AA88" s="115">
        <f t="shared" ref="AA88" si="89">ROUND(IF(Z88="SI",W88*$AA$5,0),-3)</f>
        <v>0</v>
      </c>
      <c r="AB88" s="884"/>
      <c r="AC88" s="874">
        <f t="shared" ref="AC88" si="90">ROUND(IF(AB88="SI",W88*$AC$5,0),-3)</f>
        <v>0</v>
      </c>
      <c r="AD88" s="884"/>
      <c r="AE88" s="874">
        <f t="shared" ref="AE88" si="91">ROUND(IF(AD88="SI",W88*$AE$5,0),-3)</f>
        <v>0</v>
      </c>
      <c r="AF88" s="241"/>
      <c r="AG88" s="116">
        <f t="shared" ref="AG88" si="92">ROUND(IF(AF88="SI",W88*$AG$5,0),-3)</f>
        <v>0</v>
      </c>
      <c r="AH88" s="239"/>
      <c r="AI88" s="116">
        <f t="shared" ref="AI88" si="93">ROUND(IF(AH88="SI",W88*$AI$5,0),-3)</f>
        <v>0</v>
      </c>
      <c r="AJ88" s="242"/>
      <c r="AK88" s="117">
        <f t="shared" ref="AK88" si="94">IF(AJ88="SI",W88*$AK$5,0)</f>
        <v>0</v>
      </c>
      <c r="AL88" s="505">
        <f>SUMIF('Otras Asesorías y Préstamos'!$B$7:$B$242,B88,'Otras Asesorías y Préstamos'!$F$7:$F$242)</f>
        <v>0</v>
      </c>
      <c r="AM88" s="269">
        <f>SUMIF('Otras Asesorías y Préstamos'!$B$7:$B$242,B88,'Otras Asesorías y Préstamos'!$V$7:$V$242)</f>
        <v>0</v>
      </c>
      <c r="AN88" s="271">
        <f t="shared" ref="AN88" si="95">ROUND(SUM(W88:AL88),-3)</f>
        <v>0</v>
      </c>
      <c r="AO88" s="24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  <c r="EN88" s="38"/>
      <c r="EO88" s="38"/>
      <c r="EP88" s="38"/>
      <c r="EQ88" s="38"/>
      <c r="ER88" s="38"/>
      <c r="ES88" s="38"/>
      <c r="ET88" s="38"/>
      <c r="EU88" s="38"/>
      <c r="EV88" s="38"/>
      <c r="EW88" s="38"/>
      <c r="EX88" s="38"/>
      <c r="EY88" s="38"/>
      <c r="EZ88" s="38"/>
      <c r="FA88" s="38"/>
      <c r="FB88" s="38"/>
      <c r="FC88" s="38"/>
      <c r="FD88" s="38"/>
      <c r="FE88" s="38"/>
      <c r="FF88" s="38"/>
      <c r="FG88" s="38"/>
      <c r="FH88" s="38"/>
      <c r="FI88" s="38"/>
      <c r="FJ88" s="38"/>
      <c r="FK88" s="38"/>
      <c r="FL88" s="38"/>
      <c r="FM88" s="38"/>
      <c r="FN88" s="38"/>
      <c r="FO88" s="38"/>
      <c r="FP88" s="38"/>
      <c r="FQ88" s="38"/>
      <c r="FR88" s="38"/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/>
      <c r="HG88" s="38"/>
      <c r="HH88" s="38"/>
      <c r="HI88" s="38"/>
      <c r="HJ88" s="38"/>
      <c r="HK88" s="38"/>
      <c r="HL88" s="38"/>
      <c r="HM88" s="38"/>
      <c r="HN88" s="38"/>
      <c r="HO88" s="38"/>
      <c r="HP88" s="38"/>
      <c r="HQ88" s="38"/>
      <c r="HR88" s="38"/>
      <c r="HS88" s="38"/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</row>
  </sheetData>
  <mergeCells count="1">
    <mergeCell ref="F4:S4"/>
  </mergeCells>
  <printOptions horizontalCentered="1" verticalCentered="1"/>
  <pageMargins left="0.19685039370078741" right="0.19685039370078741" top="0.19685039370078741" bottom="0.19685039370078741" header="0" footer="0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rgb="FF00B0F0"/>
  </sheetPr>
  <dimension ref="A1:GP242"/>
  <sheetViews>
    <sheetView showGridLines="0" tabSelected="1" zoomScaleNormal="10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Q10" sqref="Q10"/>
    </sheetView>
  </sheetViews>
  <sheetFormatPr baseColWidth="10" defaultColWidth="9.6640625" defaultRowHeight="12.75" x14ac:dyDescent="0.2"/>
  <cols>
    <col min="1" max="1" width="6.109375" style="74" customWidth="1"/>
    <col min="2" max="2" width="43.88671875" style="759" bestFit="1" customWidth="1"/>
    <col min="3" max="3" width="7.109375" style="159" bestFit="1" customWidth="1"/>
    <col min="4" max="4" width="14.33203125" style="70" customWidth="1"/>
    <col min="5" max="5" width="3.77734375" style="82" customWidth="1"/>
    <col min="6" max="6" width="12.77734375" style="74" customWidth="1"/>
    <col min="7" max="7" width="13.44140625" style="178" customWidth="1"/>
    <col min="8" max="8" width="17.77734375" style="178" customWidth="1"/>
    <col min="9" max="9" width="13.44140625" style="596" customWidth="1"/>
    <col min="10" max="10" width="9.77734375" style="23" customWidth="1"/>
    <col min="11" max="11" width="14.21875" style="23" customWidth="1"/>
    <col min="12" max="12" width="10.77734375" style="50" customWidth="1"/>
    <col min="13" max="13" width="34" style="84" customWidth="1"/>
    <col min="14" max="14" width="30.77734375" style="84" customWidth="1"/>
    <col min="15" max="15" width="1.6640625" style="74" customWidth="1"/>
    <col min="16" max="16" width="4.77734375" style="83" customWidth="1"/>
    <col min="17" max="17" width="13.77734375" style="71" customWidth="1"/>
    <col min="18" max="18" width="4.77734375" style="47" customWidth="1"/>
    <col min="19" max="19" width="13.77734375" style="71" customWidth="1"/>
    <col min="20" max="20" width="4.77734375" style="47" customWidth="1"/>
    <col min="21" max="21" width="13.77734375" style="71" customWidth="1"/>
    <col min="22" max="22" width="4.77734375" style="216" customWidth="1"/>
    <col min="23" max="23" width="13.77734375" style="74" customWidth="1"/>
    <col min="24" max="24" width="4.77734375" style="216" customWidth="1"/>
    <col min="25" max="25" width="13.77734375" style="74" customWidth="1"/>
    <col min="26" max="26" width="4.77734375" style="73" customWidth="1"/>
    <col min="27" max="27" width="13.77734375" style="71" customWidth="1"/>
    <col min="28" max="28" width="4.77734375" style="71" customWidth="1"/>
    <col min="29" max="29" width="13.77734375" style="48" customWidth="1"/>
    <col min="30" max="30" width="4.77734375" style="71" customWidth="1"/>
    <col min="31" max="31" width="13.77734375" style="71" customWidth="1"/>
    <col min="32" max="33" width="13.77734375" style="202" customWidth="1"/>
    <col min="34" max="34" width="15.77734375" style="49" customWidth="1"/>
    <col min="35" max="35" width="1.6640625" style="74" customWidth="1"/>
    <col min="36" max="198" width="9.6640625" style="74"/>
    <col min="199" max="16384" width="9.6640625" style="75"/>
  </cols>
  <sheetData>
    <row r="1" spans="1:198" ht="15" x14ac:dyDescent="0.2">
      <c r="A1" s="165" t="str">
        <f>+'Grupos Familiares'!$A$1</f>
        <v>GERMÁN TULIO FERNÁNDEZ FERNÁNDEZ</v>
      </c>
      <c r="G1" s="77"/>
      <c r="H1" s="77"/>
      <c r="I1" s="77"/>
      <c r="J1" s="77"/>
      <c r="M1" s="1838" t="s">
        <v>1101</v>
      </c>
      <c r="N1" s="1839">
        <v>1423500</v>
      </c>
      <c r="O1" s="8"/>
    </row>
    <row r="2" spans="1:198" ht="15" x14ac:dyDescent="0.2">
      <c r="A2" s="165" t="str">
        <f>+'Grupos Familiares'!$A$3</f>
        <v>PRESUPUESTO DE COBROS</v>
      </c>
      <c r="B2" s="750"/>
      <c r="C2" s="509"/>
      <c r="D2" s="76"/>
      <c r="E2" s="77"/>
      <c r="G2" s="77"/>
      <c r="H2" s="77"/>
      <c r="I2" s="77"/>
      <c r="J2" s="77"/>
      <c r="K2" s="78"/>
      <c r="L2" s="76"/>
      <c r="M2" s="840" t="s">
        <v>637</v>
      </c>
      <c r="N2" s="200" t="s">
        <v>638</v>
      </c>
      <c r="O2" s="8"/>
      <c r="P2" s="896" t="s">
        <v>347</v>
      </c>
      <c r="Q2" s="76"/>
      <c r="R2" s="76"/>
      <c r="S2" s="76"/>
      <c r="T2" s="76"/>
      <c r="U2" s="76"/>
      <c r="V2" s="879"/>
      <c r="W2" s="870"/>
      <c r="X2" s="879"/>
      <c r="Y2" s="870"/>
      <c r="Z2"/>
      <c r="AA2" s="76"/>
      <c r="AB2" s="76"/>
      <c r="AC2" s="76"/>
      <c r="AD2" s="76"/>
      <c r="AE2" s="76"/>
      <c r="AF2" s="201"/>
      <c r="AG2" s="201"/>
      <c r="AH2" s="76"/>
      <c r="AI2" s="8"/>
    </row>
    <row r="3" spans="1:198" ht="15" x14ac:dyDescent="0.2">
      <c r="A3" s="165" t="s">
        <v>920</v>
      </c>
      <c r="B3" s="751"/>
      <c r="C3" s="218"/>
      <c r="D3" s="70">
        <v>42684082</v>
      </c>
      <c r="E3" s="77"/>
      <c r="M3" s="841">
        <f>(+Facturas!R3)</f>
        <v>230000</v>
      </c>
      <c r="N3" s="565">
        <f>+Facturas!T3</f>
        <v>370000</v>
      </c>
      <c r="O3" s="80"/>
      <c r="Z3" s="74"/>
      <c r="AI3" s="80"/>
    </row>
    <row r="4" spans="1:198" ht="15" x14ac:dyDescent="0.2">
      <c r="A4" s="265" t="str">
        <f>+'Grupos Familiares'!$A$4</f>
        <v>AÑO  GRAVABLE 2024</v>
      </c>
      <c r="B4" s="752"/>
      <c r="C4" s="482"/>
      <c r="E4" s="60"/>
      <c r="F4" s="1872" t="s">
        <v>611</v>
      </c>
      <c r="G4" s="1873"/>
      <c r="H4" s="1874"/>
      <c r="I4" s="1874"/>
      <c r="J4" s="1873"/>
      <c r="K4" s="1874"/>
      <c r="L4" s="1875"/>
      <c r="M4" s="196"/>
      <c r="N4" s="196"/>
      <c r="O4" s="8"/>
      <c r="P4" s="887" t="s">
        <v>894</v>
      </c>
      <c r="Q4" s="888"/>
      <c r="R4" s="888"/>
      <c r="S4" s="888"/>
      <c r="T4" s="1643" t="str">
        <f>+$A$3</f>
        <v>CUENTAS DE COBRO</v>
      </c>
      <c r="U4" s="888"/>
      <c r="V4" s="888"/>
      <c r="W4" s="888"/>
      <c r="X4" s="888"/>
      <c r="Y4" s="888"/>
      <c r="Z4" s="888"/>
      <c r="AA4" s="888"/>
      <c r="AB4" s="888"/>
      <c r="AC4" s="888"/>
      <c r="AD4" s="888"/>
      <c r="AE4" s="888"/>
      <c r="AF4" s="888"/>
      <c r="AG4" s="888"/>
      <c r="AH4" s="889"/>
      <c r="AI4" s="8"/>
    </row>
    <row r="5" spans="1:198" ht="13.5" thickBot="1" x14ac:dyDescent="0.25">
      <c r="A5" s="1644" t="s">
        <v>350</v>
      </c>
      <c r="B5" s="752"/>
      <c r="C5" s="482"/>
      <c r="D5" s="27"/>
      <c r="E5" s="60"/>
      <c r="F5" s="306"/>
      <c r="G5" s="322"/>
      <c r="H5" s="322"/>
      <c r="I5" s="597"/>
      <c r="J5" s="323"/>
      <c r="K5" s="323"/>
      <c r="L5" s="309"/>
      <c r="M5" s="196"/>
      <c r="N5" s="196"/>
      <c r="O5" s="8"/>
      <c r="P5" s="1221" t="s">
        <v>721</v>
      </c>
      <c r="Q5" s="1645">
        <f>+Facturas!W5</f>
        <v>5.0999999999999997E-2</v>
      </c>
      <c r="R5" s="281"/>
      <c r="S5" s="282">
        <v>0.5</v>
      </c>
      <c r="T5" s="281"/>
      <c r="U5" s="281">
        <f>75%+80%*0</f>
        <v>0.75</v>
      </c>
      <c r="V5" s="871"/>
      <c r="W5" s="871">
        <v>0.15</v>
      </c>
      <c r="X5" s="871"/>
      <c r="Y5" s="871">
        <v>0.2</v>
      </c>
      <c r="Z5" s="123"/>
      <c r="AA5" s="124">
        <v>0.1</v>
      </c>
      <c r="AB5" s="124"/>
      <c r="AC5" s="124">
        <v>0.2</v>
      </c>
      <c r="AD5" s="284"/>
      <c r="AE5" s="284">
        <v>0.3</v>
      </c>
      <c r="AF5" s="877"/>
      <c r="AG5" s="285"/>
      <c r="AH5" s="878"/>
      <c r="AI5" s="8"/>
    </row>
    <row r="6" spans="1:198" s="107" customFormat="1" ht="42.75" thickBot="1" x14ac:dyDescent="0.2">
      <c r="A6" s="126" t="s">
        <v>2</v>
      </c>
      <c r="B6" s="127" t="s">
        <v>279</v>
      </c>
      <c r="C6" s="483" t="s">
        <v>419</v>
      </c>
      <c r="D6" s="128" t="s">
        <v>280</v>
      </c>
      <c r="E6" s="388" t="s">
        <v>333</v>
      </c>
      <c r="F6" s="138" t="s">
        <v>754</v>
      </c>
      <c r="G6" s="140" t="s">
        <v>292</v>
      </c>
      <c r="H6" s="591" t="s">
        <v>476</v>
      </c>
      <c r="I6" s="598" t="s">
        <v>477</v>
      </c>
      <c r="J6" s="141" t="s">
        <v>287</v>
      </c>
      <c r="K6" s="141" t="s">
        <v>481</v>
      </c>
      <c r="L6" s="141" t="s">
        <v>478</v>
      </c>
      <c r="M6" s="125" t="s">
        <v>479</v>
      </c>
      <c r="N6" s="125" t="s">
        <v>480</v>
      </c>
      <c r="O6" s="106"/>
      <c r="P6" s="268" t="s">
        <v>285</v>
      </c>
      <c r="Q6" s="132" t="s">
        <v>281</v>
      </c>
      <c r="R6" s="133" t="s">
        <v>285</v>
      </c>
      <c r="S6" s="133" t="s">
        <v>346</v>
      </c>
      <c r="T6" s="134" t="s">
        <v>285</v>
      </c>
      <c r="U6" s="134" t="s">
        <v>282</v>
      </c>
      <c r="V6" s="635" t="s">
        <v>285</v>
      </c>
      <c r="W6" s="635" t="s">
        <v>643</v>
      </c>
      <c r="X6" s="635" t="s">
        <v>285</v>
      </c>
      <c r="Y6" s="635" t="s">
        <v>644</v>
      </c>
      <c r="Z6" s="135" t="s">
        <v>285</v>
      </c>
      <c r="AA6" s="135" t="s">
        <v>465</v>
      </c>
      <c r="AB6" s="135" t="s">
        <v>285</v>
      </c>
      <c r="AC6" s="135" t="s">
        <v>376</v>
      </c>
      <c r="AD6" s="136" t="s">
        <v>285</v>
      </c>
      <c r="AE6" s="136" t="s">
        <v>283</v>
      </c>
      <c r="AF6" s="203" t="s">
        <v>624</v>
      </c>
      <c r="AG6" s="203" t="s">
        <v>625</v>
      </c>
      <c r="AH6" s="137" t="s">
        <v>286</v>
      </c>
      <c r="AI6" s="106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</row>
    <row r="7" spans="1:198" x14ac:dyDescent="0.2">
      <c r="A7" s="59"/>
      <c r="B7" s="753"/>
      <c r="C7" s="510"/>
      <c r="D7" s="59"/>
      <c r="E7" s="60"/>
      <c r="F7" s="60"/>
      <c r="G7" s="79"/>
      <c r="H7" s="79"/>
      <c r="I7" s="599"/>
      <c r="J7" s="60"/>
      <c r="K7" s="60"/>
      <c r="L7" s="60"/>
      <c r="M7" s="197"/>
      <c r="N7" s="197"/>
      <c r="O7" s="8"/>
      <c r="P7" s="670"/>
      <c r="Q7" s="59"/>
      <c r="R7" s="59"/>
      <c r="S7" s="59"/>
      <c r="T7" s="59"/>
      <c r="U7" s="59"/>
      <c r="V7" s="882"/>
      <c r="W7" s="872"/>
      <c r="X7" s="882"/>
      <c r="Y7" s="872"/>
      <c r="Z7" s="59"/>
      <c r="AA7" s="59"/>
      <c r="AB7" s="59"/>
      <c r="AC7" s="59"/>
      <c r="AD7" s="59"/>
      <c r="AE7" s="59"/>
      <c r="AF7" s="204"/>
      <c r="AG7" s="204"/>
      <c r="AH7" s="118"/>
      <c r="AI7" s="8"/>
    </row>
    <row r="8" spans="1:198" ht="15.75" thickBot="1" x14ac:dyDescent="0.25">
      <c r="A8" s="112" t="s">
        <v>1</v>
      </c>
      <c r="B8" s="754"/>
      <c r="C8" s="232"/>
      <c r="D8" s="81"/>
      <c r="E8" s="60"/>
      <c r="F8" s="81"/>
      <c r="G8" s="79"/>
      <c r="H8" s="79"/>
      <c r="I8" s="599"/>
      <c r="J8" s="60"/>
      <c r="K8" s="60"/>
      <c r="L8" s="81"/>
      <c r="M8" s="197"/>
      <c r="N8" s="197"/>
      <c r="O8" s="8"/>
      <c r="P8" s="60"/>
      <c r="Q8" s="61"/>
      <c r="R8" s="60"/>
      <c r="S8" s="60"/>
      <c r="T8" s="60"/>
      <c r="U8" s="60"/>
      <c r="V8" s="103"/>
      <c r="W8" s="158"/>
      <c r="X8" s="103"/>
      <c r="Y8" s="158"/>
      <c r="Z8" s="60"/>
      <c r="AA8" s="60"/>
      <c r="AB8" s="60"/>
      <c r="AC8" s="60"/>
      <c r="AD8" s="60"/>
      <c r="AE8" s="60"/>
      <c r="AF8" s="105"/>
      <c r="AG8" s="105"/>
      <c r="AH8" s="118"/>
      <c r="AI8" s="8"/>
    </row>
    <row r="9" spans="1:198" ht="11.25" customHeight="1" thickBot="1" x14ac:dyDescent="0.25">
      <c r="A9" s="613">
        <v>1</v>
      </c>
      <c r="B9" s="1671" t="s">
        <v>4</v>
      </c>
      <c r="C9" s="1673">
        <f>_xlfn.XLOOKUP(B9,Códigos!$B$8:$B$406,Códigos!$A$8:$A$406,"Verificar",0)</f>
        <v>41</v>
      </c>
      <c r="D9" s="1702">
        <f>_xlfn.XLOOKUP(B9,'Consolidado Cobros'!$B$10:$B$312,'Consolidado Cobros'!$C$10:$C$312,"Verificar",0)</f>
        <v>22126399</v>
      </c>
      <c r="E9" s="816">
        <f t="shared" ref="E9:E40" si="0">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0,0,IF(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=1,1,11-(MOD((VALUE(MID(TEXT(D9,"000000000000000"),15,1))*3+VALUE(MID(TEXT(D9,"000000000000000"),14,1))*7+VALUE(MID(TEXT(D9,"000000000000000"),13,1))*13+VALUE(MID(TEXT(D9,"000000000000000"),12,1))*17+VALUE(MID(TEXT(D9,"000000000000000"),11,1))*19+VALUE(MID(TEXT(D9,"000000000000000"),10,1))*23+VALUE(MID(TEXT(D9,"000000000000000"),9,1))*29+VALUE(MID(TEXT(D9,"000000000000000"),8,1))*37+VALUE(MID(TEXT(D9,"000000000000000"),7,1))*41+VALUE(MID(TEXT(D9,"000000000000000"),6,1))*43+VALUE(MID(TEXT(D9,"000000000000000"),5,1))*47+VALUE(MID(TEXT(D9,"000000000000000"),4,1))*53+VALUE(MID(TEXT(D9,"000000000000000"),3,1))*59+VALUE(MID(TEXT(D9,"000000000000000"),2,1))*67+VALUE(MID(TEXT(D9,"000000000000000"),1,1))*71),11))))</f>
        <v>5</v>
      </c>
      <c r="F9" s="615">
        <f t="shared" ref="F9:F41" si="1">+AH9</f>
        <v>380000</v>
      </c>
      <c r="G9" s="1703"/>
      <c r="H9" s="1804"/>
      <c r="I9" s="1704"/>
      <c r="J9" s="1631"/>
      <c r="K9" s="1631"/>
      <c r="L9" s="1095"/>
      <c r="M9" s="1096"/>
      <c r="N9" s="1705"/>
      <c r="O9" s="8"/>
      <c r="P9" s="239" t="s">
        <v>318</v>
      </c>
      <c r="Q9" s="182">
        <f>ROUND(IF(P9="SI",SUMIF('C de C año anterior'!$B$8:$B$229,B9,'C de C año anterior'!$Q$8:$Q$229)*(100%+$Q$5),0),-3)+ROUND(IF(P9="SI",SUMIF('Facturas año anterior'!$B$8:$B$86,B9,'Facturas año anterior'!$V$8:$V$86)*(100%+$AA$5),0),-3)</f>
        <v>375000</v>
      </c>
      <c r="R9" s="235"/>
      <c r="S9" s="183">
        <f t="shared" ref="S9" si="2">ROUND(IF(R9="SI",Q9*$S$5,0),-3)</f>
        <v>0</v>
      </c>
      <c r="T9" s="236"/>
      <c r="U9" s="184">
        <f t="shared" ref="U9" si="3">ROUND(IF(T9="SI",Q9*$U$5,0),-3)</f>
        <v>0</v>
      </c>
      <c r="V9" s="883"/>
      <c r="W9" s="873">
        <f>ROUND(IF(V9="SI",Q9*$W$5,0),-3)</f>
        <v>0</v>
      </c>
      <c r="X9" s="883"/>
      <c r="Y9" s="873">
        <f>ROUND(IF(X9="SI",Q9*$Y$5,0),-3)</f>
        <v>0</v>
      </c>
      <c r="Z9" s="237"/>
      <c r="AA9" s="185">
        <f t="shared" ref="AA9" si="4">ROUND(IF(Z9="SI",Q9*$AA$5,0),-3)</f>
        <v>0</v>
      </c>
      <c r="AB9" s="235"/>
      <c r="AC9" s="185">
        <f t="shared" ref="AC9" si="5">ROUND(IF(AB9="SI",Q9*$AC$5,0),-3)</f>
        <v>0</v>
      </c>
      <c r="AD9" s="238"/>
      <c r="AE9" s="264">
        <f t="shared" ref="AE9" si="6">IF(AD9="SI",Q9*$AE$5,0)</f>
        <v>0</v>
      </c>
      <c r="AF9" s="205">
        <f>SUMIF('Otras Asesorías y Préstamos'!$B$7:$B$242,B9,'Otras Asesorías y Préstamos'!$F$7:$F$242)</f>
        <v>0</v>
      </c>
      <c r="AG9" s="205">
        <f>SUMIF('Otras Asesorías y Préstamos'!$B$7:$B$242,B9,'Otras Asesorías y Préstamos'!$V$7:$V$242)</f>
        <v>0</v>
      </c>
      <c r="AH9" s="1226">
        <f t="shared" ref="AH9" si="7">ROUND(SUM(Q9:AG9),-4)</f>
        <v>380000</v>
      </c>
      <c r="AI9" s="8"/>
    </row>
    <row r="10" spans="1:198" ht="11.25" customHeight="1" x14ac:dyDescent="0.2">
      <c r="A10" s="1953"/>
      <c r="B10" s="1954" t="s">
        <v>1140</v>
      </c>
      <c r="C10" s="1673">
        <f>_xlfn.XLOOKUP(B10,Códigos!$B$8:$B$406,Códigos!$A$8:$A$406,"Verificar",0)</f>
        <v>370</v>
      </c>
      <c r="D10" s="1702">
        <f>_xlfn.XLOOKUP(B10,'Consolidado Cobros'!$B$10:$B$312,'Consolidado Cobros'!$C$10:$C$312,"Verificar",0)</f>
        <v>52111932</v>
      </c>
      <c r="E10" s="816">
        <f t="shared" si="0"/>
        <v>5</v>
      </c>
      <c r="F10" s="615">
        <f t="shared" si="1"/>
        <v>300000</v>
      </c>
      <c r="G10" s="1955"/>
      <c r="H10" s="1956"/>
      <c r="I10" s="1957"/>
      <c r="J10" s="1958"/>
      <c r="K10" s="1958"/>
      <c r="L10" s="1959"/>
      <c r="M10" s="1960"/>
      <c r="N10" s="1961"/>
      <c r="O10" s="8"/>
      <c r="P10" s="239" t="s">
        <v>318</v>
      </c>
      <c r="Q10" s="182">
        <f>ROUND(IF(P10="SI",SUMIF('C de C año anterior'!$B$8:$B$229,B10,'C de C año anterior'!$Q$8:$Q$229)*(100%+$Q$5),0),-3)+ROUND(IF(P10="SI",SUMIF('Facturas año anterior'!$B$8:$B$86,B10,'Facturas año anterior'!$V$8:$V$86)*(100%+$AA$5),0),-3)+300000</f>
        <v>300000</v>
      </c>
      <c r="R10" s="235"/>
      <c r="S10" s="183">
        <f t="shared" ref="S10" si="8">ROUND(IF(R10="SI",Q10*$S$5,0),-3)</f>
        <v>0</v>
      </c>
      <c r="T10" s="236"/>
      <c r="U10" s="184">
        <f t="shared" ref="U10" si="9">ROUND(IF(T10="SI",Q10*$U$5,0),-3)</f>
        <v>0</v>
      </c>
      <c r="V10" s="883"/>
      <c r="W10" s="873">
        <f>ROUND(IF(V10="SI",Q10*$W$5,0),-3)</f>
        <v>0</v>
      </c>
      <c r="X10" s="883"/>
      <c r="Y10" s="873">
        <f>ROUND(IF(X10="SI",Q10*$Y$5,0),-3)</f>
        <v>0</v>
      </c>
      <c r="Z10" s="237"/>
      <c r="AA10" s="185">
        <f t="shared" ref="AA10" si="10">ROUND(IF(Z10="SI",Q10*$AA$5,0),-3)</f>
        <v>0</v>
      </c>
      <c r="AB10" s="235"/>
      <c r="AC10" s="185">
        <f t="shared" ref="AC10" si="11">ROUND(IF(AB10="SI",Q10*$AC$5,0),-3)</f>
        <v>0</v>
      </c>
      <c r="AD10" s="238"/>
      <c r="AE10" s="264">
        <f t="shared" ref="AE10" si="12">IF(AD10="SI",Q10*$AE$5,0)</f>
        <v>0</v>
      </c>
      <c r="AF10" s="205">
        <f>SUMIF('Otras Asesorías y Préstamos'!$B$7:$B$242,B10,'Otras Asesorías y Préstamos'!$F$7:$F$242)</f>
        <v>0</v>
      </c>
      <c r="AG10" s="205">
        <f>SUMIF('Otras Asesorías y Préstamos'!$B$7:$B$242,B10,'Otras Asesorías y Préstamos'!$V$7:$V$242)</f>
        <v>0</v>
      </c>
      <c r="AH10" s="1226">
        <f t="shared" ref="AH10" si="13">ROUND(SUM(Q10:AG10),-4)</f>
        <v>300000</v>
      </c>
      <c r="AI10" s="8"/>
    </row>
    <row r="11" spans="1:198" x14ac:dyDescent="0.2">
      <c r="A11" s="1462">
        <f>+A9+1</f>
        <v>2</v>
      </c>
      <c r="B11" s="1137" t="s">
        <v>360</v>
      </c>
      <c r="C11" s="1185">
        <f>_xlfn.XLOOKUP(B11,Códigos!$B$8:$B$406,Códigos!$A$8:$A$406,"Verificar",0)</f>
        <v>346</v>
      </c>
      <c r="D11" s="1114">
        <f>_xlfn.XLOOKUP(B11,'Consolidado Cobros'!$B$10:$B$312,'Consolidado Cobros'!$C$10:$C$312,"Verificar",0)</f>
        <v>71581755</v>
      </c>
      <c r="E11" s="1186">
        <f t="shared" si="0"/>
        <v>2</v>
      </c>
      <c r="F11" s="1463">
        <f t="shared" si="1"/>
        <v>170000</v>
      </c>
      <c r="G11" s="1098"/>
      <c r="H11" s="1099"/>
      <c r="I11" s="1100"/>
      <c r="J11" s="1099"/>
      <c r="K11" s="1099"/>
      <c r="L11" s="1100"/>
      <c r="M11" s="1101"/>
      <c r="N11" s="1706"/>
      <c r="O11" s="8"/>
      <c r="P11" s="239" t="s">
        <v>318</v>
      </c>
      <c r="Q11" s="119">
        <f>ROUND(IF(P11="SI",SUMIF('C de C año anterior'!$B$8:$B$229,B11,'C de C año anterior'!$Q$8:$Q$229)*(100%+$Q$5),0),-3)+ROUND(IF(P11="SI",SUMIF('Facturas año anterior'!$B$8:$B$86,B11,'Facturas año anterior'!$V$8:$V$86)*(100%+$AA$5),0),-3)</f>
        <v>169000</v>
      </c>
      <c r="R11" s="239"/>
      <c r="S11" s="114">
        <f t="shared" ref="S11:S71" si="14">ROUND(IF(R11="SI",Q11*$S$5,0),-3)</f>
        <v>0</v>
      </c>
      <c r="T11" s="240"/>
      <c r="U11" s="115">
        <f t="shared" ref="U11:U72" si="15">ROUND(IF(T11="SI",Q11*$U$5,0),-3)</f>
        <v>0</v>
      </c>
      <c r="V11" s="884"/>
      <c r="W11" s="874">
        <f t="shared" ref="W11:W72" si="16">ROUND(IF(V11="SI",Q11*$W$5,0),-3)</f>
        <v>0</v>
      </c>
      <c r="X11" s="884"/>
      <c r="Y11" s="874">
        <f t="shared" ref="Y11:Y72" si="17">ROUND(IF(X11="SI",Q11*$Y$5,0),-3)</f>
        <v>0</v>
      </c>
      <c r="Z11" s="241"/>
      <c r="AA11" s="116">
        <f t="shared" ref="AA11:AA72" si="18">ROUND(IF(Z11="SI",Q11*$AA$5,0),-3)</f>
        <v>0</v>
      </c>
      <c r="AB11" s="239"/>
      <c r="AC11" s="116">
        <f t="shared" ref="AC11:AC72" si="19">ROUND(IF(AB11="SI",Q11*$AC$5,0),-3)</f>
        <v>0</v>
      </c>
      <c r="AD11" s="242"/>
      <c r="AE11" s="117">
        <f t="shared" ref="AE11:AE72" si="20">IF(AD11="SI",Q11*$AE$5,0)</f>
        <v>0</v>
      </c>
      <c r="AF11" s="1228">
        <f>SUMIF('Otras Asesorías y Préstamos'!$B$7:$B$242,B11,'Otras Asesorías y Préstamos'!$F$7:$F$242)</f>
        <v>0</v>
      </c>
      <c r="AG11" s="1228">
        <f>SUMIF('Otras Asesorías y Préstamos'!$B$7:$B$242,B11,'Otras Asesorías y Préstamos'!$V$7:$V$242)</f>
        <v>0</v>
      </c>
      <c r="AH11" s="1229">
        <f t="shared" ref="AH11:AH72" si="21">ROUND(SUM(Q11:AG11),-4)</f>
        <v>170000</v>
      </c>
      <c r="AI11" s="8"/>
    </row>
    <row r="12" spans="1:198" x14ac:dyDescent="0.2">
      <c r="A12" s="1462">
        <f t="shared" ref="A12:A78" si="22">+A11+1</f>
        <v>3</v>
      </c>
      <c r="B12" s="1097" t="s">
        <v>198</v>
      </c>
      <c r="C12" s="1185">
        <f>_xlfn.XLOOKUP(B12,Códigos!$B$8:$B$406,Códigos!$A$8:$A$406,"Verificar",0)</f>
        <v>300</v>
      </c>
      <c r="D12" s="1114">
        <f>_xlfn.XLOOKUP(B12,'Consolidado Cobros'!$B$10:$B$312,'Consolidado Cobros'!$C$10:$C$312,"Verificar",0)</f>
        <v>70116694</v>
      </c>
      <c r="E12" s="1186">
        <f t="shared" si="0"/>
        <v>5</v>
      </c>
      <c r="F12" s="1463">
        <f t="shared" si="1"/>
        <v>500000</v>
      </c>
      <c r="G12" s="1098"/>
      <c r="H12" s="1099"/>
      <c r="I12" s="1100"/>
      <c r="J12" s="1099"/>
      <c r="K12" s="1099"/>
      <c r="L12" s="1100"/>
      <c r="M12" s="1793"/>
      <c r="N12" s="1707"/>
      <c r="O12" s="8"/>
      <c r="P12" s="239" t="s">
        <v>318</v>
      </c>
      <c r="Q12" s="119">
        <f>ROUND(IF(P12="SI",SUMIF('C de C año anterior'!$B$8:$B$229,B12,'C de C año anterior'!$Q$8:$Q$229)*(100%+$Q$5),0),-3)+ROUND(IF(P12="SI",SUMIF('Facturas año anterior'!$B$8:$B$86,B12,'Facturas año anterior'!$V$8:$V$86)*(100%+$AA$5),0),-3)</f>
        <v>495000</v>
      </c>
      <c r="R12" s="239"/>
      <c r="S12" s="114">
        <f t="shared" si="14"/>
        <v>0</v>
      </c>
      <c r="T12" s="240"/>
      <c r="U12" s="115">
        <f t="shared" si="15"/>
        <v>0</v>
      </c>
      <c r="V12" s="884"/>
      <c r="W12" s="874">
        <f t="shared" si="16"/>
        <v>0</v>
      </c>
      <c r="X12" s="884"/>
      <c r="Y12" s="874">
        <f t="shared" si="17"/>
        <v>0</v>
      </c>
      <c r="Z12" s="241"/>
      <c r="AA12" s="116">
        <f t="shared" si="18"/>
        <v>0</v>
      </c>
      <c r="AB12" s="239"/>
      <c r="AC12" s="116">
        <f t="shared" si="19"/>
        <v>0</v>
      </c>
      <c r="AD12" s="242"/>
      <c r="AE12" s="117">
        <f t="shared" si="20"/>
        <v>0</v>
      </c>
      <c r="AF12" s="1228">
        <f>SUMIF('Otras Asesorías y Préstamos'!$B$7:$B$242,B12,'Otras Asesorías y Préstamos'!$F$7:$F$242)</f>
        <v>0</v>
      </c>
      <c r="AG12" s="1228">
        <f>SUMIF('Otras Asesorías y Préstamos'!$B$7:$B$242,B12,'Otras Asesorías y Préstamos'!$V$7:$V$242)</f>
        <v>0</v>
      </c>
      <c r="AH12" s="1229">
        <f t="shared" si="21"/>
        <v>500000</v>
      </c>
      <c r="AI12" s="8"/>
    </row>
    <row r="13" spans="1:198" x14ac:dyDescent="0.2">
      <c r="A13" s="1462">
        <f t="shared" si="22"/>
        <v>4</v>
      </c>
      <c r="B13" s="1097" t="s">
        <v>5</v>
      </c>
      <c r="C13" s="1185">
        <f>_xlfn.XLOOKUP(B13,Códigos!$B$8:$B$406,Códigos!$A$8:$A$406,"Verificar",0)</f>
        <v>217</v>
      </c>
      <c r="D13" s="1114">
        <f>_xlfn.XLOOKUP(B13,'Consolidado Cobros'!$B$10:$B$312,'Consolidado Cobros'!$C$10:$C$312,"Verificar",0)</f>
        <v>3349249</v>
      </c>
      <c r="E13" s="1186">
        <f t="shared" si="0"/>
        <v>7</v>
      </c>
      <c r="F13" s="1463">
        <f t="shared" si="1"/>
        <v>350000</v>
      </c>
      <c r="G13" s="1098"/>
      <c r="H13" s="1099"/>
      <c r="I13" s="1100"/>
      <c r="J13" s="1099"/>
      <c r="K13" s="1099"/>
      <c r="L13" s="1100"/>
      <c r="M13" s="1793"/>
      <c r="N13" s="1707"/>
      <c r="O13" s="8"/>
      <c r="P13" s="239" t="s">
        <v>318</v>
      </c>
      <c r="Q13" s="119">
        <f>ROUND(IF(P13="SI",SUMIF('C de C año anterior'!$B$8:$B$229,B13,'C de C año anterior'!$Q$8:$Q$229)*(100%+$Q$5),0),-3)+ROUND(IF(P13="SI",SUMIF('Facturas año anterior'!$B$8:$B$86,B13,'Facturas año anterior'!$V$8:$V$86)*(100%+$AA$5),0),-3)</f>
        <v>350000</v>
      </c>
      <c r="R13" s="239"/>
      <c r="S13" s="114">
        <f t="shared" si="14"/>
        <v>0</v>
      </c>
      <c r="T13" s="240"/>
      <c r="U13" s="115">
        <f t="shared" si="15"/>
        <v>0</v>
      </c>
      <c r="V13" s="884"/>
      <c r="W13" s="874">
        <f t="shared" si="16"/>
        <v>0</v>
      </c>
      <c r="X13" s="884"/>
      <c r="Y13" s="874">
        <f t="shared" si="17"/>
        <v>0</v>
      </c>
      <c r="Z13" s="241"/>
      <c r="AA13" s="116">
        <f t="shared" si="18"/>
        <v>0</v>
      </c>
      <c r="AB13" s="239"/>
      <c r="AC13" s="116">
        <f t="shared" si="19"/>
        <v>0</v>
      </c>
      <c r="AD13" s="242"/>
      <c r="AE13" s="117">
        <f t="shared" si="20"/>
        <v>0</v>
      </c>
      <c r="AF13" s="1228">
        <f>SUMIF('Otras Asesorías y Préstamos'!$B$7:$B$242,B13,'Otras Asesorías y Préstamos'!$F$7:$F$242)</f>
        <v>0</v>
      </c>
      <c r="AG13" s="1228">
        <f>SUMIF('Otras Asesorías y Préstamos'!$B$7:$B$242,B13,'Otras Asesorías y Préstamos'!$V$7:$V$242)</f>
        <v>0</v>
      </c>
      <c r="AH13" s="1229">
        <f t="shared" si="21"/>
        <v>350000</v>
      </c>
      <c r="AI13" s="8"/>
    </row>
    <row r="14" spans="1:198" x14ac:dyDescent="0.2">
      <c r="A14" s="1462">
        <f t="shared" si="22"/>
        <v>5</v>
      </c>
      <c r="B14" s="1491" t="s">
        <v>356</v>
      </c>
      <c r="C14" s="1678">
        <f>_xlfn.XLOOKUP(B14,Códigos!$B$8:$B$406,Códigos!$A$8:$A$406,"Verificar",0)</f>
        <v>43</v>
      </c>
      <c r="D14" s="1114">
        <f>_xlfn.XLOOKUP(B14,'Consolidado Cobros'!$B$10:$B$312,'Consolidado Cobros'!$C$10:$C$312,"Verificar",0)</f>
        <v>71632774</v>
      </c>
      <c r="E14" s="1186">
        <f t="shared" si="0"/>
        <v>2</v>
      </c>
      <c r="F14" s="1463">
        <f t="shared" si="1"/>
        <v>500000</v>
      </c>
      <c r="G14" s="1098"/>
      <c r="H14" s="1099"/>
      <c r="I14" s="1100"/>
      <c r="J14" s="1099"/>
      <c r="K14" s="1099"/>
      <c r="L14" s="1100"/>
      <c r="M14" s="1101"/>
      <c r="N14" s="1706"/>
      <c r="O14" s="8"/>
      <c r="P14" s="239" t="s">
        <v>927</v>
      </c>
      <c r="Q14" s="119">
        <f>ROUND(IF(P14="SI",SUMIF('C de C año anterior'!$B$8:$B$229,B14,'C de C año anterior'!$Q$8:$Q$229)*(100%+$Q$5),0),-3)+ROUND(IF(P14="SI",SUMIF('Facturas año anterior'!$B$8:$B$86,B14,'Facturas año anterior'!$V$8:$V$86)*(100%+$AA$5),0),-3)</f>
        <v>448000</v>
      </c>
      <c r="R14" s="239"/>
      <c r="S14" s="114">
        <f t="shared" si="14"/>
        <v>0</v>
      </c>
      <c r="T14" s="240"/>
      <c r="U14" s="115">
        <f t="shared" si="15"/>
        <v>0</v>
      </c>
      <c r="V14" s="884"/>
      <c r="W14" s="874">
        <f t="shared" si="16"/>
        <v>0</v>
      </c>
      <c r="X14" s="884"/>
      <c r="Y14" s="874">
        <f t="shared" si="17"/>
        <v>0</v>
      </c>
      <c r="Z14" s="241"/>
      <c r="AA14" s="116">
        <f t="shared" si="18"/>
        <v>0</v>
      </c>
      <c r="AB14" s="239"/>
      <c r="AC14" s="116">
        <f t="shared" si="19"/>
        <v>0</v>
      </c>
      <c r="AD14" s="242"/>
      <c r="AE14" s="117">
        <f t="shared" si="20"/>
        <v>0</v>
      </c>
      <c r="AF14" s="1228">
        <f>SUMIF('Otras Asesorías y Préstamos'!$B$7:$B$242,B14,'Otras Asesorías y Préstamos'!$F$7:$F$242)</f>
        <v>50000</v>
      </c>
      <c r="AG14" s="1228">
        <f>SUMIF('Otras Asesorías y Préstamos'!$B$7:$B$242,B14,'Otras Asesorías y Préstamos'!$V$7:$V$242)</f>
        <v>0</v>
      </c>
      <c r="AH14" s="1229">
        <f t="shared" si="21"/>
        <v>500000</v>
      </c>
      <c r="AI14" s="8"/>
    </row>
    <row r="15" spans="1:198" x14ac:dyDescent="0.2">
      <c r="A15" s="1462">
        <f t="shared" si="22"/>
        <v>6</v>
      </c>
      <c r="B15" s="1097" t="s">
        <v>7</v>
      </c>
      <c r="C15" s="1185">
        <f>_xlfn.XLOOKUP(B15,Códigos!$B$8:$B$406,Códigos!$A$8:$A$406,"Verificar",0)</f>
        <v>44</v>
      </c>
      <c r="D15" s="1114">
        <f>_xlfn.XLOOKUP(B15,'Consolidado Cobros'!$B$10:$B$312,'Consolidado Cobros'!$C$10:$C$312,"Verificar",0)</f>
        <v>21315528</v>
      </c>
      <c r="E15" s="1186">
        <f t="shared" si="0"/>
        <v>6</v>
      </c>
      <c r="F15" s="1463">
        <f t="shared" si="1"/>
        <v>1920000</v>
      </c>
      <c r="G15" s="1098"/>
      <c r="H15" s="1099"/>
      <c r="I15" s="1100"/>
      <c r="J15" s="1099"/>
      <c r="K15" s="1099"/>
      <c r="L15" s="1100"/>
      <c r="M15" s="1793"/>
      <c r="N15" s="1706"/>
      <c r="O15" s="8"/>
      <c r="P15" s="239" t="s">
        <v>318</v>
      </c>
      <c r="Q15" s="119">
        <f>ROUND(IF(P15="SI",SUMIF('C de C año anterior'!$B$8:$B$229,B15,'C de C año anterior'!$Q$8:$Q$229)*(100%+$Q$5),0),-3)+ROUND(IF(P15="SI",SUMIF('Facturas año anterior'!$B$8:$B$86,B15,'Facturas año anterior'!$V$8:$V$86)*(100%+$AA$5),0),-3)</f>
        <v>1279000</v>
      </c>
      <c r="R15" s="239" t="s">
        <v>318</v>
      </c>
      <c r="S15" s="114">
        <f t="shared" si="14"/>
        <v>640000</v>
      </c>
      <c r="T15" s="240"/>
      <c r="U15" s="115">
        <f t="shared" si="15"/>
        <v>0</v>
      </c>
      <c r="V15" s="884"/>
      <c r="W15" s="874">
        <f t="shared" si="16"/>
        <v>0</v>
      </c>
      <c r="X15" s="884"/>
      <c r="Y15" s="874">
        <f t="shared" si="17"/>
        <v>0</v>
      </c>
      <c r="Z15" s="241"/>
      <c r="AA15" s="116">
        <f t="shared" si="18"/>
        <v>0</v>
      </c>
      <c r="AB15" s="239"/>
      <c r="AC15" s="116">
        <f t="shared" si="19"/>
        <v>0</v>
      </c>
      <c r="AD15" s="242"/>
      <c r="AE15" s="117">
        <f t="shared" si="20"/>
        <v>0</v>
      </c>
      <c r="AF15" s="1228">
        <f>SUMIF('Otras Asesorías y Préstamos'!$B$7:$B$242,B15,'Otras Asesorías y Préstamos'!$F$7:$F$242)</f>
        <v>0</v>
      </c>
      <c r="AG15" s="1228">
        <f>SUMIF('Otras Asesorías y Préstamos'!$B$7:$B$242,B15,'Otras Asesorías y Préstamos'!$V$7:$V$242)</f>
        <v>0</v>
      </c>
      <c r="AH15" s="1229">
        <f t="shared" si="21"/>
        <v>1920000</v>
      </c>
      <c r="AI15" s="8"/>
    </row>
    <row r="16" spans="1:198" x14ac:dyDescent="0.2">
      <c r="A16" s="1462">
        <f t="shared" si="22"/>
        <v>7</v>
      </c>
      <c r="B16" s="1097" t="s">
        <v>8</v>
      </c>
      <c r="C16" s="1185">
        <f>_xlfn.XLOOKUP(B16,Códigos!$B$8:$B$406,Códigos!$A$8:$A$406,"Verificar",0)</f>
        <v>45</v>
      </c>
      <c r="D16" s="1114">
        <f>_xlfn.XLOOKUP(B16,'Consolidado Cobros'!$B$10:$B$312,'Consolidado Cobros'!$C$10:$C$312,"Verificar",0)</f>
        <v>32336950</v>
      </c>
      <c r="E16" s="1186">
        <f t="shared" si="0"/>
        <v>1</v>
      </c>
      <c r="F16" s="1463">
        <f t="shared" si="1"/>
        <v>1010000</v>
      </c>
      <c r="G16" s="1098"/>
      <c r="H16" s="1099"/>
      <c r="I16" s="1100"/>
      <c r="J16" s="1099"/>
      <c r="K16" s="1099"/>
      <c r="L16" s="1100"/>
      <c r="M16" s="1793"/>
      <c r="N16" s="1706"/>
      <c r="O16" s="8"/>
      <c r="P16" s="239" t="s">
        <v>318</v>
      </c>
      <c r="Q16" s="119">
        <f>ROUND(IF(P16="SI",SUMIF('C de C año anterior'!$B$8:$B$229,B16,'C de C año anterior'!$Q$8:$Q$229)*(100%+$Q$5),0),-3)+ROUND(IF(P16="SI",SUMIF('Facturas año anterior'!$B$8:$B$86,B16,'Facturas año anterior'!$V$8:$V$86)*(100%+$AA$5),0),-3)</f>
        <v>627000</v>
      </c>
      <c r="R16" s="239"/>
      <c r="S16" s="114">
        <f t="shared" si="14"/>
        <v>0</v>
      </c>
      <c r="T16" s="240"/>
      <c r="U16" s="115">
        <f t="shared" si="15"/>
        <v>0</v>
      </c>
      <c r="V16" s="884"/>
      <c r="W16" s="874">
        <f t="shared" si="16"/>
        <v>0</v>
      </c>
      <c r="X16" s="884"/>
      <c r="Y16" s="874">
        <f t="shared" si="17"/>
        <v>0</v>
      </c>
      <c r="Z16" s="241"/>
      <c r="AA16" s="116">
        <f t="shared" si="18"/>
        <v>0</v>
      </c>
      <c r="AB16" s="239"/>
      <c r="AC16" s="116">
        <f t="shared" si="19"/>
        <v>0</v>
      </c>
      <c r="AD16" s="242"/>
      <c r="AE16" s="117">
        <f t="shared" si="20"/>
        <v>0</v>
      </c>
      <c r="AF16" s="1228">
        <f>SUMIF('Otras Asesorías y Préstamos'!$B$7:$B$242,B16,'Otras Asesorías y Préstamos'!$F$7:$F$242)</f>
        <v>384582.76248159999</v>
      </c>
      <c r="AG16" s="1228">
        <f>SUMIF('Otras Asesorías y Préstamos'!$B$7:$B$242,B16,'Otras Asesorías y Préstamos'!$V$7:$V$242)</f>
        <v>0</v>
      </c>
      <c r="AH16" s="1229">
        <f t="shared" si="21"/>
        <v>1010000</v>
      </c>
      <c r="AI16" s="8"/>
    </row>
    <row r="17" spans="1:198" s="556" customFormat="1" x14ac:dyDescent="0.2">
      <c r="A17" s="1462">
        <f t="shared" si="22"/>
        <v>8</v>
      </c>
      <c r="B17" s="1433" t="s">
        <v>468</v>
      </c>
      <c r="C17" s="1185">
        <f>_xlfn.XLOOKUP(B17,Códigos!$B$8:$B$406,Códigos!$A$8:$A$406,"Verificar",0)</f>
        <v>156</v>
      </c>
      <c r="D17" s="1114">
        <f>_xlfn.XLOOKUP(B17,'Consolidado Cobros'!$B$10:$B$312,'Consolidado Cobros'!$C$10:$C$312,"Verificar",0)</f>
        <v>43079999</v>
      </c>
      <c r="E17" s="1186">
        <f t="shared" si="0"/>
        <v>9</v>
      </c>
      <c r="F17" s="1463">
        <f t="shared" si="1"/>
        <v>220000</v>
      </c>
      <c r="G17" s="1098"/>
      <c r="H17" s="1099"/>
      <c r="I17" s="1099"/>
      <c r="J17" s="1099"/>
      <c r="K17" s="1099"/>
      <c r="L17" s="1099"/>
      <c r="M17" s="1101"/>
      <c r="N17" s="1706"/>
      <c r="O17" s="8"/>
      <c r="P17" s="239" t="s">
        <v>318</v>
      </c>
      <c r="Q17" s="119">
        <f>ROUND(IF(P17="SI",SUMIF('C de C año anterior'!$B$8:$B$229,B17,'C de C año anterior'!$Q$8:$Q$229)*(100%+$Q$5),0),-3)+ROUND(IF(P17="SI",SUMIF('Facturas año anterior'!$B$8:$B$86,B17,'Facturas año anterior'!$V$8:$V$86)*(100%+$AA$5),0),-3)</f>
        <v>218000</v>
      </c>
      <c r="R17" s="239"/>
      <c r="S17" s="114">
        <f t="shared" si="14"/>
        <v>0</v>
      </c>
      <c r="T17" s="240"/>
      <c r="U17" s="115">
        <f t="shared" si="15"/>
        <v>0</v>
      </c>
      <c r="V17" s="884"/>
      <c r="W17" s="874">
        <f t="shared" si="16"/>
        <v>0</v>
      </c>
      <c r="X17" s="884"/>
      <c r="Y17" s="874">
        <f t="shared" si="17"/>
        <v>0</v>
      </c>
      <c r="Z17" s="241"/>
      <c r="AA17" s="116">
        <f t="shared" si="18"/>
        <v>0</v>
      </c>
      <c r="AB17" s="239"/>
      <c r="AC17" s="116">
        <f t="shared" si="19"/>
        <v>0</v>
      </c>
      <c r="AD17" s="242"/>
      <c r="AE17" s="117">
        <f t="shared" si="20"/>
        <v>0</v>
      </c>
      <c r="AF17" s="1228">
        <f>SUMIF('Otras Asesorías y Préstamos'!$B$7:$B$242,B17,'Otras Asesorías y Préstamos'!$F$7:$F$242)</f>
        <v>0</v>
      </c>
      <c r="AG17" s="1228">
        <f>SUMIF('Otras Asesorías y Préstamos'!$B$7:$B$242,B17,'Otras Asesorías y Préstamos'!$V$7:$V$242)</f>
        <v>0</v>
      </c>
      <c r="AH17" s="1229">
        <f t="shared" si="21"/>
        <v>220000</v>
      </c>
      <c r="AI17" s="8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27"/>
      <c r="BE17" s="227"/>
      <c r="BF17" s="227"/>
      <c r="BG17" s="227"/>
      <c r="BH17" s="227"/>
      <c r="BI17" s="227"/>
      <c r="BJ17" s="227"/>
      <c r="BK17" s="227"/>
      <c r="BL17" s="227"/>
      <c r="BM17" s="227"/>
      <c r="BN17" s="227"/>
      <c r="BO17" s="227"/>
      <c r="BP17" s="227"/>
      <c r="BQ17" s="227"/>
      <c r="BR17" s="227"/>
      <c r="BS17" s="227"/>
      <c r="BT17" s="227"/>
      <c r="BU17" s="227"/>
      <c r="BV17" s="227"/>
      <c r="BW17" s="227"/>
      <c r="BX17" s="227"/>
      <c r="BY17" s="227"/>
      <c r="BZ17" s="227"/>
      <c r="CA17" s="227"/>
      <c r="CB17" s="227"/>
      <c r="CC17" s="227"/>
      <c r="CD17" s="227"/>
      <c r="CE17" s="227"/>
      <c r="CF17" s="227"/>
      <c r="CG17" s="227"/>
      <c r="CH17" s="227"/>
      <c r="CI17" s="227"/>
      <c r="CJ17" s="227"/>
      <c r="CK17" s="227"/>
      <c r="CL17" s="227"/>
      <c r="CM17" s="227"/>
      <c r="CN17" s="227"/>
      <c r="CO17" s="227"/>
      <c r="CP17" s="227"/>
      <c r="CQ17" s="227"/>
      <c r="CR17" s="227"/>
      <c r="CS17" s="227"/>
      <c r="CT17" s="227"/>
      <c r="CU17" s="227"/>
      <c r="CV17" s="227"/>
      <c r="CW17" s="227"/>
      <c r="CX17" s="227"/>
      <c r="CY17" s="227"/>
      <c r="CZ17" s="227"/>
      <c r="DA17" s="227"/>
      <c r="DB17" s="227"/>
      <c r="DC17" s="227"/>
      <c r="DD17" s="227"/>
      <c r="DE17" s="227"/>
      <c r="DF17" s="227"/>
      <c r="DG17" s="227"/>
      <c r="DH17" s="227"/>
      <c r="DI17" s="227"/>
      <c r="DJ17" s="227"/>
      <c r="DK17" s="227"/>
      <c r="DL17" s="227"/>
      <c r="DM17" s="227"/>
      <c r="DN17" s="227"/>
      <c r="DO17" s="227"/>
      <c r="DP17" s="227"/>
      <c r="DQ17" s="227"/>
      <c r="DR17" s="227"/>
      <c r="DS17" s="227"/>
      <c r="DT17" s="227"/>
      <c r="DU17" s="227"/>
      <c r="DV17" s="227"/>
      <c r="DW17" s="227"/>
      <c r="DX17" s="227"/>
      <c r="DY17" s="227"/>
      <c r="DZ17" s="227"/>
      <c r="EA17" s="227"/>
      <c r="EB17" s="227"/>
      <c r="EC17" s="227"/>
      <c r="ED17" s="227"/>
      <c r="EE17" s="227"/>
      <c r="EF17" s="227"/>
      <c r="EG17" s="227"/>
      <c r="EH17" s="227"/>
      <c r="EI17" s="227"/>
      <c r="EJ17" s="227"/>
      <c r="EK17" s="227"/>
      <c r="EL17" s="227"/>
      <c r="EM17" s="227"/>
      <c r="EN17" s="227"/>
      <c r="EO17" s="227"/>
      <c r="EP17" s="227"/>
      <c r="EQ17" s="227"/>
      <c r="ER17" s="227"/>
      <c r="ES17" s="227"/>
      <c r="ET17" s="227"/>
      <c r="EU17" s="227"/>
      <c r="EV17" s="227"/>
      <c r="EW17" s="227"/>
      <c r="EX17" s="227"/>
      <c r="EY17" s="227"/>
      <c r="EZ17" s="227"/>
      <c r="FA17" s="227"/>
      <c r="FB17" s="227"/>
      <c r="FC17" s="227"/>
      <c r="FD17" s="227"/>
      <c r="FE17" s="227"/>
      <c r="FF17" s="227"/>
      <c r="FG17" s="227"/>
      <c r="FH17" s="227"/>
      <c r="FI17" s="227"/>
      <c r="FJ17" s="227"/>
      <c r="FK17" s="227"/>
      <c r="FL17" s="227"/>
      <c r="FM17" s="227"/>
      <c r="FN17" s="227"/>
      <c r="FO17" s="227"/>
      <c r="FP17" s="227"/>
      <c r="FQ17" s="227"/>
      <c r="FR17" s="227"/>
      <c r="FS17" s="227"/>
      <c r="FT17" s="227"/>
      <c r="FU17" s="227"/>
      <c r="FV17" s="227"/>
      <c r="FW17" s="227"/>
      <c r="FX17" s="227"/>
      <c r="FY17" s="227"/>
      <c r="FZ17" s="227"/>
      <c r="GA17" s="227"/>
      <c r="GB17" s="227"/>
      <c r="GC17" s="227"/>
      <c r="GD17" s="227"/>
      <c r="GE17" s="227"/>
      <c r="GF17" s="227"/>
      <c r="GG17" s="227"/>
      <c r="GH17" s="227"/>
      <c r="GI17" s="227"/>
      <c r="GJ17" s="227"/>
      <c r="GK17" s="227"/>
      <c r="GL17" s="227"/>
      <c r="GM17" s="227"/>
      <c r="GN17" s="227"/>
      <c r="GO17" s="227"/>
      <c r="GP17" s="227"/>
    </row>
    <row r="18" spans="1:198" x14ac:dyDescent="0.2">
      <c r="A18" s="1462">
        <f t="shared" si="22"/>
        <v>9</v>
      </c>
      <c r="B18" s="1433" t="s">
        <v>493</v>
      </c>
      <c r="C18" s="1185">
        <f>_xlfn.XLOOKUP(B18,Códigos!$B$8:$B$406,Códigos!$A$8:$A$406,"Verificar",0)</f>
        <v>179</v>
      </c>
      <c r="D18" s="1114">
        <f>_xlfn.XLOOKUP(B18,'Consolidado Cobros'!$B$10:$B$312,'Consolidado Cobros'!$C$10:$C$312,"Verificar",0)</f>
        <v>1017178784</v>
      </c>
      <c r="E18" s="1186">
        <f t="shared" si="0"/>
        <v>3</v>
      </c>
      <c r="F18" s="1463">
        <f t="shared" si="1"/>
        <v>180000</v>
      </c>
      <c r="G18" s="1098"/>
      <c r="H18" s="1099"/>
      <c r="I18" s="1099"/>
      <c r="J18" s="1099"/>
      <c r="K18" s="1099"/>
      <c r="L18" s="1099"/>
      <c r="M18" s="1101"/>
      <c r="N18" s="1706"/>
      <c r="O18" s="8"/>
      <c r="P18" s="239" t="s">
        <v>318</v>
      </c>
      <c r="Q18" s="119">
        <f>ROUND(IF(P18="SI",SUMIF('C de C año anterior'!$B$8:$B$229,B18,'C de C año anterior'!$Q$8:$Q$229)*(100%+$Q$5),0),-3)+ROUND(IF(P18="SI",SUMIF('Facturas año anterior'!$B$8:$B$86,B18,'Facturas año anterior'!$V$8:$V$86)*(100%+$AA$5),0),-3)</f>
        <v>181000</v>
      </c>
      <c r="R18" s="239"/>
      <c r="S18" s="114">
        <f t="shared" si="14"/>
        <v>0</v>
      </c>
      <c r="T18" s="240"/>
      <c r="U18" s="115">
        <f t="shared" si="15"/>
        <v>0</v>
      </c>
      <c r="V18" s="884"/>
      <c r="W18" s="874">
        <f t="shared" si="16"/>
        <v>0</v>
      </c>
      <c r="X18" s="884"/>
      <c r="Y18" s="874">
        <f t="shared" si="17"/>
        <v>0</v>
      </c>
      <c r="Z18" s="241"/>
      <c r="AA18" s="116">
        <f t="shared" si="18"/>
        <v>0</v>
      </c>
      <c r="AB18" s="239"/>
      <c r="AC18" s="116">
        <f t="shared" si="19"/>
        <v>0</v>
      </c>
      <c r="AD18" s="242"/>
      <c r="AE18" s="117">
        <f t="shared" si="20"/>
        <v>0</v>
      </c>
      <c r="AF18" s="1228">
        <f>SUMIF('Otras Asesorías y Préstamos'!$B$7:$B$242,B18,'Otras Asesorías y Préstamos'!$F$7:$F$242)</f>
        <v>0</v>
      </c>
      <c r="AG18" s="1228">
        <f>SUMIF('Otras Asesorías y Préstamos'!$B$7:$B$242,B18,'Otras Asesorías y Préstamos'!$V$7:$V$242)</f>
        <v>0</v>
      </c>
      <c r="AH18" s="1229">
        <f t="shared" si="21"/>
        <v>180000</v>
      </c>
      <c r="AI18" s="8"/>
    </row>
    <row r="19" spans="1:198" x14ac:dyDescent="0.2">
      <c r="A19" s="1462">
        <f t="shared" si="22"/>
        <v>10</v>
      </c>
      <c r="B19" s="1097" t="s">
        <v>9</v>
      </c>
      <c r="C19" s="1185">
        <f>_xlfn.XLOOKUP(B19,Códigos!$B$8:$B$406,Códigos!$A$8:$A$406,"Verificar",0)</f>
        <v>48</v>
      </c>
      <c r="D19" s="1114">
        <f>_xlfn.XLOOKUP(B19,'Consolidado Cobros'!$B$10:$B$312,'Consolidado Cobros'!$C$10:$C$312,"Verificar",0)</f>
        <v>32470755</v>
      </c>
      <c r="E19" s="1186">
        <f t="shared" si="0"/>
        <v>4</v>
      </c>
      <c r="F19" s="1463">
        <f t="shared" si="1"/>
        <v>600000</v>
      </c>
      <c r="G19" s="1098"/>
      <c r="H19" s="1099"/>
      <c r="I19" s="1099"/>
      <c r="J19" s="1099"/>
      <c r="K19" s="1099"/>
      <c r="L19" s="1099"/>
      <c r="M19" s="1793"/>
      <c r="N19" s="1706"/>
      <c r="O19" s="8"/>
      <c r="P19" s="239" t="s">
        <v>318</v>
      </c>
      <c r="Q19" s="119">
        <f>ROUND(IF(P19="SI",SUMIF('C de C año anterior'!$B$8:$B$229,B19,'C de C año anterior'!$Q$8:$Q$229)*(100%+$Q$5),0),-3)+ROUND(IF(P19="SI",SUMIF('Facturas año anterior'!$B$8:$B$86,B19,'Facturas año anterior'!$V$8:$V$86)*(100%+$AA$5),0),-3)</f>
        <v>524000</v>
      </c>
      <c r="R19" s="239"/>
      <c r="S19" s="114">
        <f t="shared" si="14"/>
        <v>0</v>
      </c>
      <c r="T19" s="240"/>
      <c r="U19" s="115">
        <f t="shared" si="15"/>
        <v>0</v>
      </c>
      <c r="V19" s="884"/>
      <c r="W19" s="874">
        <f t="shared" si="16"/>
        <v>0</v>
      </c>
      <c r="X19" s="884"/>
      <c r="Y19" s="874">
        <f t="shared" si="17"/>
        <v>0</v>
      </c>
      <c r="Z19" s="241"/>
      <c r="AA19" s="116">
        <f t="shared" si="18"/>
        <v>0</v>
      </c>
      <c r="AB19" s="239"/>
      <c r="AC19" s="116">
        <f t="shared" si="19"/>
        <v>0</v>
      </c>
      <c r="AD19" s="242"/>
      <c r="AE19" s="117">
        <f t="shared" si="20"/>
        <v>0</v>
      </c>
      <c r="AF19" s="1228">
        <f>SUMIF('Otras Asesorías y Préstamos'!$B$7:$B$242,B19,'Otras Asesorías y Préstamos'!$F$7:$F$242)</f>
        <v>80000</v>
      </c>
      <c r="AG19" s="1228">
        <f>SUMIF('Otras Asesorías y Préstamos'!$B$7:$B$242,B19,'Otras Asesorías y Préstamos'!$V$7:$V$242)</f>
        <v>0</v>
      </c>
      <c r="AH19" s="1229">
        <f t="shared" si="21"/>
        <v>600000</v>
      </c>
      <c r="AI19" s="8"/>
    </row>
    <row r="20" spans="1:198" x14ac:dyDescent="0.2">
      <c r="A20" s="1462">
        <f t="shared" si="22"/>
        <v>11</v>
      </c>
      <c r="B20" s="1097" t="s">
        <v>10</v>
      </c>
      <c r="C20" s="1185">
        <f>_xlfn.XLOOKUP(B20,Códigos!$B$8:$B$406,Códigos!$A$8:$A$406,"Verificar",0)</f>
        <v>49</v>
      </c>
      <c r="D20" s="1114">
        <f>_xlfn.XLOOKUP(B20,'Consolidado Cobros'!$B$10:$B$312,'Consolidado Cobros'!$C$10:$C$312,"Verificar",0)</f>
        <v>42889979</v>
      </c>
      <c r="E20" s="1186">
        <f t="shared" si="0"/>
        <v>3</v>
      </c>
      <c r="F20" s="1463">
        <f t="shared" si="1"/>
        <v>720000</v>
      </c>
      <c r="G20" s="1098"/>
      <c r="H20" s="1099"/>
      <c r="I20" s="1099"/>
      <c r="J20" s="1099"/>
      <c r="K20" s="1099"/>
      <c r="L20" s="1099"/>
      <c r="M20" s="1101"/>
      <c r="N20" s="1706"/>
      <c r="O20" s="8"/>
      <c r="P20" s="239" t="s">
        <v>318</v>
      </c>
      <c r="Q20" s="119">
        <f>ROUND(IF(P20="SI",SUMIF('C de C año anterior'!$B$8:$B$229,B20,'C de C año anterior'!$Q$8:$Q$229)*(100%+$Q$5),0),-3)+ROUND(IF(P20="SI",SUMIF('Facturas año anterior'!$B$8:$B$86,B20,'Facturas año anterior'!$V$8:$V$86)*(100%+$AA$5),0),-3)</f>
        <v>724000</v>
      </c>
      <c r="R20" s="239"/>
      <c r="S20" s="114">
        <f t="shared" si="14"/>
        <v>0</v>
      </c>
      <c r="T20" s="240"/>
      <c r="U20" s="115">
        <f t="shared" si="15"/>
        <v>0</v>
      </c>
      <c r="V20" s="884"/>
      <c r="W20" s="874">
        <f t="shared" si="16"/>
        <v>0</v>
      </c>
      <c r="X20" s="884"/>
      <c r="Y20" s="874">
        <f t="shared" si="17"/>
        <v>0</v>
      </c>
      <c r="Z20" s="241"/>
      <c r="AA20" s="116">
        <f t="shared" si="18"/>
        <v>0</v>
      </c>
      <c r="AB20" s="239"/>
      <c r="AC20" s="116">
        <f t="shared" si="19"/>
        <v>0</v>
      </c>
      <c r="AD20" s="242"/>
      <c r="AE20" s="117">
        <f t="shared" si="20"/>
        <v>0</v>
      </c>
      <c r="AF20" s="1228">
        <f>SUMIF('Otras Asesorías y Préstamos'!$B$7:$B$242,B20,'Otras Asesorías y Préstamos'!$F$7:$F$242)</f>
        <v>0</v>
      </c>
      <c r="AG20" s="1228">
        <f>SUMIF('Otras Asesorías y Préstamos'!$B$7:$B$242,B20,'Otras Asesorías y Préstamos'!$V$7:$V$242)</f>
        <v>0</v>
      </c>
      <c r="AH20" s="1229">
        <f t="shared" si="21"/>
        <v>720000</v>
      </c>
      <c r="AI20" s="8"/>
    </row>
    <row r="21" spans="1:198" x14ac:dyDescent="0.2">
      <c r="A21" s="1462">
        <f t="shared" si="22"/>
        <v>12</v>
      </c>
      <c r="B21" s="1097" t="s">
        <v>11</v>
      </c>
      <c r="C21" s="1185">
        <f>_xlfn.XLOOKUP(B21,Códigos!$B$8:$B$406,Códigos!$A$8:$A$406,"Verificar",0)</f>
        <v>50</v>
      </c>
      <c r="D21" s="1114">
        <f>_xlfn.XLOOKUP(B21,'Consolidado Cobros'!$B$10:$B$312,'Consolidado Cobros'!$C$10:$C$312,"Verificar",0)</f>
        <v>98554347</v>
      </c>
      <c r="E21" s="1186">
        <f t="shared" si="0"/>
        <v>4</v>
      </c>
      <c r="F21" s="1463">
        <f t="shared" si="1"/>
        <v>360000</v>
      </c>
      <c r="G21" s="1098"/>
      <c r="H21" s="1099"/>
      <c r="I21" s="1099"/>
      <c r="J21" s="1099"/>
      <c r="K21" s="1099"/>
      <c r="L21" s="1099"/>
      <c r="M21" s="1793"/>
      <c r="N21" s="1708"/>
      <c r="O21" s="8"/>
      <c r="P21" s="239" t="s">
        <v>318</v>
      </c>
      <c r="Q21" s="119">
        <f>ROUND(IF(P21="SI",SUMIF('C de C año anterior'!$B$8:$B$229,B21,'C de C año anterior'!$Q$8:$Q$229)*(100%+$Q$5),0),-3)+ROUND(IF(P21="SI",SUMIF('Facturas año anterior'!$B$8:$B$86,B21,'Facturas año anterior'!$V$8:$V$86)*(100%+$AA$5),0),-3)</f>
        <v>363000</v>
      </c>
      <c r="R21" s="239"/>
      <c r="S21" s="114">
        <f t="shared" si="14"/>
        <v>0</v>
      </c>
      <c r="T21" s="240"/>
      <c r="U21" s="115">
        <f t="shared" si="15"/>
        <v>0</v>
      </c>
      <c r="V21" s="884"/>
      <c r="W21" s="874">
        <f t="shared" si="16"/>
        <v>0</v>
      </c>
      <c r="X21" s="884"/>
      <c r="Y21" s="874">
        <f t="shared" si="17"/>
        <v>0</v>
      </c>
      <c r="Z21" s="241"/>
      <c r="AA21" s="116">
        <f t="shared" si="18"/>
        <v>0</v>
      </c>
      <c r="AB21" s="239"/>
      <c r="AC21" s="116">
        <f t="shared" si="19"/>
        <v>0</v>
      </c>
      <c r="AD21" s="242"/>
      <c r="AE21" s="117">
        <f t="shared" si="20"/>
        <v>0</v>
      </c>
      <c r="AF21" s="1228">
        <f>SUMIF('Otras Asesorías y Préstamos'!$B$7:$B$242,B21,'Otras Asesorías y Préstamos'!$F$7:$F$242)</f>
        <v>0</v>
      </c>
      <c r="AG21" s="1228">
        <f>SUMIF('Otras Asesorías y Préstamos'!$B$7:$B$242,B21,'Otras Asesorías y Préstamos'!$V$7:$V$242)</f>
        <v>0</v>
      </c>
      <c r="AH21" s="1229">
        <f t="shared" si="21"/>
        <v>360000</v>
      </c>
      <c r="AI21" s="8"/>
    </row>
    <row r="22" spans="1:198" x14ac:dyDescent="0.2">
      <c r="A22" s="1462">
        <f t="shared" si="22"/>
        <v>13</v>
      </c>
      <c r="B22" s="1791" t="s">
        <v>984</v>
      </c>
      <c r="C22" s="1185">
        <f>_xlfn.XLOOKUP(B22,Códigos!$B$8:$B$406,Códigos!$A$8:$A$406,"Verificar",0)</f>
        <v>366</v>
      </c>
      <c r="D22" s="1114">
        <v>789347</v>
      </c>
      <c r="E22" s="1186">
        <f t="shared" si="0"/>
        <v>7</v>
      </c>
      <c r="F22" s="1463">
        <f t="shared" ref="F22" si="23">+AH22</f>
        <v>200000</v>
      </c>
      <c r="G22" s="1098"/>
      <c r="H22" s="1099"/>
      <c r="I22" s="1099"/>
      <c r="J22" s="1099"/>
      <c r="K22" s="1099"/>
      <c r="L22" s="1099"/>
      <c r="M22" s="1793"/>
      <c r="N22" s="1706"/>
      <c r="O22" s="8"/>
      <c r="P22" s="239" t="s">
        <v>318</v>
      </c>
      <c r="Q22" s="119">
        <v>150000</v>
      </c>
      <c r="R22" s="239"/>
      <c r="S22" s="114">
        <f t="shared" ref="S22" si="24">ROUND(IF(R22="SI",Q22*$S$5,0),-3)</f>
        <v>0</v>
      </c>
      <c r="T22" s="240"/>
      <c r="U22" s="115">
        <f t="shared" ref="U22" si="25">ROUND(IF(T22="SI",Q22*$U$5,0),-3)</f>
        <v>0</v>
      </c>
      <c r="V22" s="884"/>
      <c r="W22" s="874">
        <f t="shared" ref="W22" si="26">ROUND(IF(V22="SI",Q22*$W$5,0),-3)</f>
        <v>0</v>
      </c>
      <c r="X22" s="884"/>
      <c r="Y22" s="874">
        <f t="shared" ref="Y22" si="27">ROUND(IF(X22="SI",Q22*$Y$5,0),-3)</f>
        <v>0</v>
      </c>
      <c r="Z22" s="241"/>
      <c r="AA22" s="116">
        <f t="shared" ref="AA22" si="28">ROUND(IF(Z22="SI",Q22*$AA$5,0),-3)</f>
        <v>0</v>
      </c>
      <c r="AB22" s="239"/>
      <c r="AC22" s="116">
        <f t="shared" ref="AC22" si="29">ROUND(IF(AB22="SI",Q22*$AC$5,0),-3)</f>
        <v>0</v>
      </c>
      <c r="AD22" s="242" t="s">
        <v>318</v>
      </c>
      <c r="AE22" s="117">
        <f t="shared" ref="AE22" si="30">IF(AD22="SI",Q22*$AE$5,0)</f>
        <v>45000</v>
      </c>
      <c r="AF22" s="1228">
        <f>SUMIF('Otras Asesorías y Préstamos'!$B$7:$B$242,B22,'Otras Asesorías y Préstamos'!$F$7:$F$242)</f>
        <v>0</v>
      </c>
      <c r="AG22" s="1228">
        <f>SUMIF('Otras Asesorías y Préstamos'!$B$7:$B$242,B22,'Otras Asesorías y Préstamos'!$V$7:$V$242)</f>
        <v>0</v>
      </c>
      <c r="AH22" s="1229">
        <f t="shared" si="21"/>
        <v>200000</v>
      </c>
      <c r="AI22" s="8"/>
    </row>
    <row r="23" spans="1:198" x14ac:dyDescent="0.2">
      <c r="A23" s="1462">
        <f t="shared" si="22"/>
        <v>14</v>
      </c>
      <c r="B23" s="1137" t="s">
        <v>336</v>
      </c>
      <c r="C23" s="1185">
        <f>_xlfn.XLOOKUP(B23,Códigos!$B$8:$B$406,Códigos!$A$8:$A$406,"Verificar",0)</f>
        <v>260</v>
      </c>
      <c r="D23" s="1114">
        <f>_xlfn.XLOOKUP(B23,'Consolidado Cobros'!$B$10:$B$312,'Consolidado Cobros'!$C$10:$C$312,"Verificar",0)</f>
        <v>43012007</v>
      </c>
      <c r="E23" s="1186">
        <f t="shared" ref="E23" si="31">IF((MOD((VALUE(MID(TEXT(D23,"000000000000000"),15,1))*3+VALUE(MID(TEXT(D23,"000000000000000"),14,1))*7+VALUE(MID(TEXT(D23,"000000000000000"),13,1))*13+VALUE(MID(TEXT(D23,"000000000000000"),12,1))*17+VALUE(MID(TEXT(D23,"000000000000000"),11,1))*19+VALUE(MID(TEXT(D23,"000000000000000"),10,1))*23+VALUE(MID(TEXT(D23,"000000000000000"),9,1))*29+VALUE(MID(TEXT(D23,"000000000000000"),8,1))*37+VALUE(MID(TEXT(D23,"000000000000000"),7,1))*41+VALUE(MID(TEXT(D23,"000000000000000"),6,1))*43+VALUE(MID(TEXT(D23,"000000000000000"),5,1))*47+VALUE(MID(TEXT(D23,"000000000000000"),4,1))*53+VALUE(MID(TEXT(D23,"000000000000000"),3,1))*59+VALUE(MID(TEXT(D23,"000000000000000"),2,1))*67+VALUE(MID(TEXT(D23,"000000000000000"),1,1))*71),11))=0,0,IF((MOD((VALUE(MID(TEXT(D23,"000000000000000"),15,1))*3+VALUE(MID(TEXT(D23,"000000000000000"),14,1))*7+VALUE(MID(TEXT(D23,"000000000000000"),13,1))*13+VALUE(MID(TEXT(D23,"000000000000000"),12,1))*17+VALUE(MID(TEXT(D23,"000000000000000"),11,1))*19+VALUE(MID(TEXT(D23,"000000000000000"),10,1))*23+VALUE(MID(TEXT(D23,"000000000000000"),9,1))*29+VALUE(MID(TEXT(D23,"000000000000000"),8,1))*37+VALUE(MID(TEXT(D23,"000000000000000"),7,1))*41+VALUE(MID(TEXT(D23,"000000000000000"),6,1))*43+VALUE(MID(TEXT(D23,"000000000000000"),5,1))*47+VALUE(MID(TEXT(D23,"000000000000000"),4,1))*53+VALUE(MID(TEXT(D23,"000000000000000"),3,1))*59+VALUE(MID(TEXT(D23,"000000000000000"),2,1))*67+VALUE(MID(TEXT(D23,"000000000000000"),1,1))*71),11))=1,1,11-(MOD((VALUE(MID(TEXT(D23,"000000000000000"),15,1))*3+VALUE(MID(TEXT(D23,"000000000000000"),14,1))*7+VALUE(MID(TEXT(D23,"000000000000000"),13,1))*13+VALUE(MID(TEXT(D23,"000000000000000"),12,1))*17+VALUE(MID(TEXT(D23,"000000000000000"),11,1))*19+VALUE(MID(TEXT(D23,"000000000000000"),10,1))*23+VALUE(MID(TEXT(D23,"000000000000000"),9,1))*29+VALUE(MID(TEXT(D23,"000000000000000"),8,1))*37+VALUE(MID(TEXT(D23,"000000000000000"),7,1))*41+VALUE(MID(TEXT(D23,"000000000000000"),6,1))*43+VALUE(MID(TEXT(D23,"000000000000000"),5,1))*47+VALUE(MID(TEXT(D23,"000000000000000"),4,1))*53+VALUE(MID(TEXT(D23,"000000000000000"),3,1))*59+VALUE(MID(TEXT(D23,"000000000000000"),2,1))*67+VALUE(MID(TEXT(D23,"000000000000000"),1,1))*71),11))))</f>
        <v>1</v>
      </c>
      <c r="F23" s="1463">
        <f t="shared" ref="F23" si="32">+AH23</f>
        <v>180000</v>
      </c>
      <c r="G23" s="1098"/>
      <c r="H23" s="1099"/>
      <c r="I23" s="1099"/>
      <c r="J23" s="1099"/>
      <c r="K23" s="1099"/>
      <c r="L23" s="1099"/>
      <c r="M23" s="1793"/>
      <c r="N23" s="1708"/>
      <c r="O23" s="8"/>
      <c r="P23" s="239" t="s">
        <v>318</v>
      </c>
      <c r="Q23" s="119">
        <f>ROUND(IF(P23="SI",SUMIF('C de C año anterior'!$B$8:$B$229,B23,'C de C año anterior'!$Q$8:$Q$229)*(100%+$Q$5),0),-3)+ROUND(IF(P23="SI",SUMIF('Facturas año anterior'!$B$8:$B$86,B23,'Facturas año anterior'!$V$8:$V$86)*(100%+$AA$5),0),-3)</f>
        <v>177000</v>
      </c>
      <c r="R23" s="239"/>
      <c r="S23" s="114">
        <f t="shared" ref="S23" si="33">ROUND(IF(R23="SI",Q23*$S$5,0),-3)</f>
        <v>0</v>
      </c>
      <c r="T23" s="240"/>
      <c r="U23" s="115">
        <f t="shared" ref="U23" si="34">ROUND(IF(T23="SI",Q23*$U$5,0),-3)</f>
        <v>0</v>
      </c>
      <c r="V23" s="884"/>
      <c r="W23" s="874">
        <f t="shared" ref="W23" si="35">ROUND(IF(V23="SI",Q23*$W$5,0),-3)</f>
        <v>0</v>
      </c>
      <c r="X23" s="884"/>
      <c r="Y23" s="874">
        <f t="shared" ref="Y23" si="36">ROUND(IF(X23="SI",Q23*$Y$5,0),-3)</f>
        <v>0</v>
      </c>
      <c r="Z23" s="241"/>
      <c r="AA23" s="116">
        <f t="shared" ref="AA23" si="37">ROUND(IF(Z23="SI",Q23*$AA$5,0),-3)</f>
        <v>0</v>
      </c>
      <c r="AB23" s="239"/>
      <c r="AC23" s="116">
        <f t="shared" ref="AC23" si="38">ROUND(IF(AB23="SI",Q23*$AC$5,0),-3)</f>
        <v>0</v>
      </c>
      <c r="AD23" s="242"/>
      <c r="AE23" s="117">
        <f t="shared" ref="AE23" si="39">IF(AD23="SI",Q23*$AE$5,0)</f>
        <v>0</v>
      </c>
      <c r="AF23" s="1228">
        <f>SUMIF('Otras Asesorías y Préstamos'!$B$7:$B$242,B23,'Otras Asesorías y Préstamos'!$F$7:$F$242)</f>
        <v>0</v>
      </c>
      <c r="AG23" s="1228">
        <f>SUMIF('Otras Asesorías y Préstamos'!$B$7:$B$242,B23,'Otras Asesorías y Préstamos'!$V$7:$V$242)</f>
        <v>0</v>
      </c>
      <c r="AH23" s="1229">
        <f t="shared" ref="AH23" si="40">ROUND(SUM(Q23:AG23),-4)</f>
        <v>180000</v>
      </c>
      <c r="AI23" s="8"/>
    </row>
    <row r="24" spans="1:198" x14ac:dyDescent="0.2">
      <c r="A24" s="1462">
        <f t="shared" si="22"/>
        <v>15</v>
      </c>
      <c r="B24" s="1201" t="s">
        <v>647</v>
      </c>
      <c r="C24" s="1185">
        <f>_xlfn.XLOOKUP(B24,Códigos!$B$8:$B$406,Códigos!$A$8:$A$406,"Verificar",0)</f>
        <v>218</v>
      </c>
      <c r="D24" s="1114">
        <f>_xlfn.XLOOKUP(B24,'Consolidado Cobros'!$B$10:$B$312,'Consolidado Cobros'!$C$10:$C$312,"Verificar",0)</f>
        <v>1000416970</v>
      </c>
      <c r="E24" s="1186">
        <f t="shared" si="0"/>
        <v>7</v>
      </c>
      <c r="F24" s="1463">
        <f>+AH24-40000</f>
        <v>260000</v>
      </c>
      <c r="G24" s="1098"/>
      <c r="H24" s="1099"/>
      <c r="I24" s="1099"/>
      <c r="J24" s="1099"/>
      <c r="K24" s="1099"/>
      <c r="L24" s="1099"/>
      <c r="M24" s="1101"/>
      <c r="N24" s="1706"/>
      <c r="O24" s="8"/>
      <c r="P24" s="239" t="s">
        <v>318</v>
      </c>
      <c r="Q24" s="119">
        <f>ROUND(IF(P24="SI",SUMIF('C de C año anterior'!$B$8:$B$229,B24,'C de C año anterior'!$Q$8:$Q$229)*(100%+$Q$5),0),-3)+ROUND(IF(P24="SI",SUMIF('Facturas año anterior'!$B$8:$B$86,B24,'Facturas año anterior'!$V$8:$V$86)*(100%+$AA$5),0),-3)</f>
        <v>302000</v>
      </c>
      <c r="R24" s="239"/>
      <c r="S24" s="114">
        <f t="shared" si="14"/>
        <v>0</v>
      </c>
      <c r="T24" s="240"/>
      <c r="U24" s="115">
        <f t="shared" si="15"/>
        <v>0</v>
      </c>
      <c r="V24" s="884"/>
      <c r="W24" s="874">
        <f t="shared" si="16"/>
        <v>0</v>
      </c>
      <c r="X24" s="884"/>
      <c r="Y24" s="874">
        <f t="shared" si="17"/>
        <v>0</v>
      </c>
      <c r="Z24" s="241"/>
      <c r="AA24" s="116">
        <f t="shared" si="18"/>
        <v>0</v>
      </c>
      <c r="AB24" s="239"/>
      <c r="AC24" s="116">
        <f t="shared" si="19"/>
        <v>0</v>
      </c>
      <c r="AD24" s="242"/>
      <c r="AE24" s="117">
        <f t="shared" si="20"/>
        <v>0</v>
      </c>
      <c r="AF24" s="1228">
        <f>SUMIF('Otras Asesorías y Préstamos'!$B$7:$B$242,B24,'Otras Asesorías y Préstamos'!$F$7:$F$242)</f>
        <v>0</v>
      </c>
      <c r="AG24" s="1228">
        <f>SUMIF('Otras Asesorías y Préstamos'!$B$7:$B$242,B24,'Otras Asesorías y Préstamos'!$V$7:$V$242)</f>
        <v>0</v>
      </c>
      <c r="AH24" s="1229">
        <f t="shared" si="21"/>
        <v>300000</v>
      </c>
      <c r="AI24" s="8"/>
    </row>
    <row r="25" spans="1:198" x14ac:dyDescent="0.2">
      <c r="A25" s="1462">
        <f t="shared" si="22"/>
        <v>16</v>
      </c>
      <c r="B25" s="1491" t="s">
        <v>358</v>
      </c>
      <c r="C25" s="1185">
        <f>_xlfn.XLOOKUP(B25,Códigos!$B$8:$B$406,Códigos!$A$8:$A$406,"Verificar",0)</f>
        <v>306</v>
      </c>
      <c r="D25" s="1114">
        <f>_xlfn.XLOOKUP(B25,'Consolidado Cobros'!$B$10:$B$312,'Consolidado Cobros'!$C$10:$C$312,"Verificar",0)</f>
        <v>71788661</v>
      </c>
      <c r="E25" s="1186">
        <f t="shared" si="0"/>
        <v>9</v>
      </c>
      <c r="F25" s="1463">
        <f t="shared" si="1"/>
        <v>470000</v>
      </c>
      <c r="G25" s="1098"/>
      <c r="H25" s="1099"/>
      <c r="I25" s="1099"/>
      <c r="J25" s="1099"/>
      <c r="K25" s="1099"/>
      <c r="L25" s="1099"/>
      <c r="M25" s="1793"/>
      <c r="N25" s="1794"/>
      <c r="O25" s="8"/>
      <c r="P25" s="239" t="s">
        <v>318</v>
      </c>
      <c r="Q25" s="119">
        <f>ROUND(IF(P25="SI",SUMIF('C de C año anterior'!$B$8:$B$229,B25,'C de C año anterior'!$Q$8:$Q$229)*(100%+$Q$5),0),-3)+ROUND(IF(P25="SI",SUMIF('Facturas año anterior'!$B$8:$B$86,B25,'Facturas año anterior'!$V$8:$V$86)*(100%+$AA$5),0),-3)</f>
        <v>363000</v>
      </c>
      <c r="R25" s="239"/>
      <c r="S25" s="114">
        <f t="shared" si="14"/>
        <v>0</v>
      </c>
      <c r="T25" s="240"/>
      <c r="U25" s="115">
        <f t="shared" si="15"/>
        <v>0</v>
      </c>
      <c r="V25" s="884"/>
      <c r="W25" s="874">
        <f t="shared" si="16"/>
        <v>0</v>
      </c>
      <c r="X25" s="884"/>
      <c r="Y25" s="874">
        <f t="shared" si="17"/>
        <v>0</v>
      </c>
      <c r="Z25" s="241"/>
      <c r="AA25" s="116">
        <f t="shared" si="18"/>
        <v>0</v>
      </c>
      <c r="AB25" s="239"/>
      <c r="AC25" s="116">
        <f t="shared" si="19"/>
        <v>0</v>
      </c>
      <c r="AD25" s="242" t="s">
        <v>318</v>
      </c>
      <c r="AE25" s="117">
        <f t="shared" si="20"/>
        <v>108900</v>
      </c>
      <c r="AF25" s="1228">
        <f>SUMIF('Otras Asesorías y Préstamos'!$B$7:$B$242,B25,'Otras Asesorías y Préstamos'!$F$7:$F$242)</f>
        <v>0</v>
      </c>
      <c r="AG25" s="1228">
        <f>SUMIF('Otras Asesorías y Préstamos'!$B$7:$B$242,B25,'Otras Asesorías y Préstamos'!$V$7:$V$242)</f>
        <v>0</v>
      </c>
      <c r="AH25" s="1229">
        <f t="shared" si="21"/>
        <v>470000</v>
      </c>
      <c r="AI25" s="8"/>
    </row>
    <row r="26" spans="1:198" x14ac:dyDescent="0.2">
      <c r="A26" s="1462">
        <f t="shared" si="22"/>
        <v>17</v>
      </c>
      <c r="B26" s="1792" t="s">
        <v>943</v>
      </c>
      <c r="C26" s="1185">
        <f>_xlfn.XLOOKUP(B26,Códigos!$B$8:$B$406,Códigos!$A$8:$A$406,"Verificar",0)</f>
        <v>367</v>
      </c>
      <c r="D26" s="1114">
        <v>1039885067</v>
      </c>
      <c r="E26" s="1186">
        <f t="shared" si="0"/>
        <v>3</v>
      </c>
      <c r="F26" s="1463">
        <f t="shared" ref="F26" si="41">+AH26</f>
        <v>100000</v>
      </c>
      <c r="G26" s="1098"/>
      <c r="H26" s="1099"/>
      <c r="I26" s="1099"/>
      <c r="J26" s="1099"/>
      <c r="K26" s="1099"/>
      <c r="L26" s="1099"/>
      <c r="M26" s="1101"/>
      <c r="N26" s="1706"/>
      <c r="O26" s="8"/>
      <c r="P26" s="239" t="s">
        <v>318</v>
      </c>
      <c r="Q26" s="119">
        <v>100000</v>
      </c>
      <c r="R26" s="239"/>
      <c r="S26" s="114">
        <f t="shared" ref="S26" si="42">ROUND(IF(R26="SI",Q26*$S$5,0),-3)</f>
        <v>0</v>
      </c>
      <c r="T26" s="240"/>
      <c r="U26" s="115">
        <f t="shared" ref="U26" si="43">ROUND(IF(T26="SI",Q26*$U$5,0),-3)</f>
        <v>0</v>
      </c>
      <c r="V26" s="884"/>
      <c r="W26" s="874">
        <f t="shared" ref="W26" si="44">ROUND(IF(V26="SI",Q26*$W$5,0),-3)</f>
        <v>0</v>
      </c>
      <c r="X26" s="884"/>
      <c r="Y26" s="874">
        <f t="shared" ref="Y26" si="45">ROUND(IF(X26="SI",Q26*$Y$5,0),-3)</f>
        <v>0</v>
      </c>
      <c r="Z26" s="241"/>
      <c r="AA26" s="116">
        <f t="shared" ref="AA26" si="46">ROUND(IF(Z26="SI",Q26*$AA$5,0),-3)</f>
        <v>0</v>
      </c>
      <c r="AB26" s="239"/>
      <c r="AC26" s="116">
        <f t="shared" ref="AC26" si="47">ROUND(IF(AB26="SI",Q26*$AC$5,0),-3)</f>
        <v>0</v>
      </c>
      <c r="AD26" s="242"/>
      <c r="AE26" s="117">
        <f t="shared" ref="AE26" si="48">IF(AD26="SI",Q26*$AE$5,0)</f>
        <v>0</v>
      </c>
      <c r="AF26" s="1228">
        <f>SUMIF('Otras Asesorías y Préstamos'!$B$7:$B$242,B26,'Otras Asesorías y Préstamos'!$F$7:$F$242)</f>
        <v>0</v>
      </c>
      <c r="AG26" s="1228">
        <f>SUMIF('Otras Asesorías y Préstamos'!$B$7:$B$242,B26,'Otras Asesorías y Préstamos'!$V$7:$V$242)</f>
        <v>0</v>
      </c>
      <c r="AH26" s="1229">
        <f t="shared" ref="AH26" si="49">ROUND(SUM(Q26:AG26),-4)</f>
        <v>100000</v>
      </c>
      <c r="AI26" s="8"/>
    </row>
    <row r="27" spans="1:198" x14ac:dyDescent="0.2">
      <c r="A27" s="1462">
        <f t="shared" si="22"/>
        <v>18</v>
      </c>
      <c r="B27" s="1097" t="s">
        <v>274</v>
      </c>
      <c r="C27" s="1185">
        <f>_xlfn.XLOOKUP(B27,Códigos!$B$8:$B$406,Códigos!$A$8:$A$406,"Verificar",0)</f>
        <v>322</v>
      </c>
      <c r="D27" s="1114">
        <f>_xlfn.XLOOKUP(B27,'Consolidado Cobros'!$B$10:$B$312,'Consolidado Cobros'!$C$10:$C$312,"Verificar",0)</f>
        <v>43820323</v>
      </c>
      <c r="E27" s="1186">
        <f t="shared" si="0"/>
        <v>9</v>
      </c>
      <c r="F27" s="1463">
        <f>+AH27</f>
        <v>350000</v>
      </c>
      <c r="G27" s="1098"/>
      <c r="H27" s="1099"/>
      <c r="I27" s="1099"/>
      <c r="J27" s="1099"/>
      <c r="K27" s="1099"/>
      <c r="L27" s="1099"/>
      <c r="M27" s="1101"/>
      <c r="N27" s="1706"/>
      <c r="O27" s="8"/>
      <c r="P27" s="239" t="s">
        <v>318</v>
      </c>
      <c r="Q27" s="119">
        <f>ROUND(IF(P27="SI",SUMIF('C de C año anterior'!$B$8:$B$229,B27,'C de C año anterior'!$Q$8:$Q$229)*(100%+$Q$5),0),-3)+ROUND(IF(P27="SI",SUMIF('Facturas año anterior'!$B$8:$B$86,B27,'Facturas año anterior'!$V$8:$V$86)*(100%+$AA$5),0),-3)</f>
        <v>350000</v>
      </c>
      <c r="R27" s="239"/>
      <c r="S27" s="114">
        <f t="shared" si="14"/>
        <v>0</v>
      </c>
      <c r="T27" s="240"/>
      <c r="U27" s="115">
        <f t="shared" si="15"/>
        <v>0</v>
      </c>
      <c r="V27" s="884"/>
      <c r="W27" s="874">
        <f t="shared" si="16"/>
        <v>0</v>
      </c>
      <c r="X27" s="884"/>
      <c r="Y27" s="874">
        <f t="shared" si="17"/>
        <v>0</v>
      </c>
      <c r="Z27" s="241"/>
      <c r="AA27" s="116">
        <f t="shared" si="18"/>
        <v>0</v>
      </c>
      <c r="AB27" s="239"/>
      <c r="AC27" s="116">
        <f t="shared" si="19"/>
        <v>0</v>
      </c>
      <c r="AD27" s="242"/>
      <c r="AE27" s="117">
        <f t="shared" si="20"/>
        <v>0</v>
      </c>
      <c r="AF27" s="1228">
        <f>SUMIF('Otras Asesorías y Préstamos'!$B$7:$B$242,B27,'Otras Asesorías y Préstamos'!$F$7:$F$242)</f>
        <v>0</v>
      </c>
      <c r="AG27" s="1228">
        <f>SUMIF('Otras Asesorías y Préstamos'!$B$7:$B$242,B27,'Otras Asesorías y Préstamos'!$V$7:$V$242)</f>
        <v>0</v>
      </c>
      <c r="AH27" s="1229">
        <f t="shared" si="21"/>
        <v>350000</v>
      </c>
      <c r="AI27" s="8"/>
    </row>
    <row r="28" spans="1:198" x14ac:dyDescent="0.2">
      <c r="A28" s="1462">
        <f t="shared" si="22"/>
        <v>19</v>
      </c>
      <c r="B28" s="1097" t="s">
        <v>18</v>
      </c>
      <c r="C28" s="1185">
        <f>_xlfn.XLOOKUP(B28,Códigos!$B$8:$B$406,Códigos!$A$8:$A$406,"Verificar",0)</f>
        <v>271</v>
      </c>
      <c r="D28" s="1114">
        <f>_xlfn.XLOOKUP(B28,'Consolidado Cobros'!$B$10:$B$312,'Consolidado Cobros'!$C$10:$C$312,"Verificar",0)</f>
        <v>3322312</v>
      </c>
      <c r="E28" s="1186">
        <f t="shared" si="0"/>
        <v>6</v>
      </c>
      <c r="F28" s="1463">
        <f>+AH28</f>
        <v>360000</v>
      </c>
      <c r="G28" s="1098"/>
      <c r="H28" s="1099"/>
      <c r="I28" s="1099"/>
      <c r="J28" s="1099"/>
      <c r="K28" s="1099"/>
      <c r="L28" s="1099"/>
      <c r="M28" s="1793"/>
      <c r="N28" s="1706"/>
      <c r="O28" s="8"/>
      <c r="P28" s="239" t="s">
        <v>318</v>
      </c>
      <c r="Q28" s="119">
        <f>ROUND(IF(P28="SI",SUMIF('C de C año anterior'!$B$8:$B$229,B28,'C de C año anterior'!$Q$8:$Q$229)*(100%+$Q$5),0),-3)+ROUND(IF(P28="SI",SUMIF('Facturas año anterior'!$B$8:$B$86,B28,'Facturas año anterior'!$V$8:$V$86)*(100%+$AA$5),0),-3)</f>
        <v>363000</v>
      </c>
      <c r="R28" s="239"/>
      <c r="S28" s="114">
        <f t="shared" si="14"/>
        <v>0</v>
      </c>
      <c r="T28" s="240"/>
      <c r="U28" s="115">
        <f t="shared" si="15"/>
        <v>0</v>
      </c>
      <c r="V28" s="884"/>
      <c r="W28" s="874">
        <f t="shared" si="16"/>
        <v>0</v>
      </c>
      <c r="X28" s="884"/>
      <c r="Y28" s="874">
        <f t="shared" si="17"/>
        <v>0</v>
      </c>
      <c r="Z28" s="241"/>
      <c r="AA28" s="116">
        <f t="shared" si="18"/>
        <v>0</v>
      </c>
      <c r="AB28" s="239"/>
      <c r="AC28" s="116">
        <f t="shared" si="19"/>
        <v>0</v>
      </c>
      <c r="AD28" s="242"/>
      <c r="AE28" s="117">
        <f t="shared" si="20"/>
        <v>0</v>
      </c>
      <c r="AF28" s="1228">
        <f>SUMIF('Otras Asesorías y Préstamos'!$B$7:$B$242,B28,'Otras Asesorías y Préstamos'!$F$7:$F$242)</f>
        <v>0</v>
      </c>
      <c r="AG28" s="1228">
        <f>SUMIF('Otras Asesorías y Préstamos'!$B$7:$B$242,B28,'Otras Asesorías y Préstamos'!$V$7:$V$242)</f>
        <v>0</v>
      </c>
      <c r="AH28" s="1229">
        <f t="shared" si="21"/>
        <v>360000</v>
      </c>
      <c r="AI28" s="8"/>
    </row>
    <row r="29" spans="1:198" x14ac:dyDescent="0.2">
      <c r="A29" s="1462">
        <f t="shared" si="22"/>
        <v>20</v>
      </c>
      <c r="B29" s="1097" t="s">
        <v>19</v>
      </c>
      <c r="C29" s="1185">
        <f>_xlfn.XLOOKUP(B29,Códigos!$B$8:$B$406,Códigos!$A$8:$A$406,"Verificar",0)</f>
        <v>60</v>
      </c>
      <c r="D29" s="1114">
        <f>_xlfn.XLOOKUP(B29,'Consolidado Cobros'!$B$10:$B$312,'Consolidado Cobros'!$C$10:$C$312,"Verificar",0)</f>
        <v>42793787</v>
      </c>
      <c r="E29" s="1186">
        <f t="shared" si="0"/>
        <v>2</v>
      </c>
      <c r="F29" s="1463">
        <f t="shared" si="1"/>
        <v>360000</v>
      </c>
      <c r="G29" s="1098"/>
      <c r="H29" s="1099"/>
      <c r="I29" s="1099"/>
      <c r="J29" s="1099"/>
      <c r="K29" s="1099"/>
      <c r="L29" s="1099"/>
      <c r="M29" s="1101"/>
      <c r="N29" s="1706"/>
      <c r="O29" s="8"/>
      <c r="P29" s="239" t="s">
        <v>318</v>
      </c>
      <c r="Q29" s="119">
        <f>ROUND(IF(P29="SI",SUMIF('C de C año anterior'!$B$8:$B$229,B29,'C de C año anterior'!$Q$8:$Q$229)*(100%+$Q$5),0),-3)+ROUND(IF(P29="SI",SUMIF('Facturas año anterior'!$B$8:$B$86,B29,'Facturas año anterior'!$V$8:$V$86)*(100%+$AA$5),0),-3)</f>
        <v>363000</v>
      </c>
      <c r="R29" s="239"/>
      <c r="S29" s="114">
        <f t="shared" si="14"/>
        <v>0</v>
      </c>
      <c r="T29" s="240"/>
      <c r="U29" s="115">
        <f t="shared" si="15"/>
        <v>0</v>
      </c>
      <c r="V29" s="884"/>
      <c r="W29" s="874">
        <f t="shared" si="16"/>
        <v>0</v>
      </c>
      <c r="X29" s="884"/>
      <c r="Y29" s="874">
        <f t="shared" si="17"/>
        <v>0</v>
      </c>
      <c r="Z29" s="241"/>
      <c r="AA29" s="116">
        <f t="shared" si="18"/>
        <v>0</v>
      </c>
      <c r="AB29" s="239"/>
      <c r="AC29" s="116">
        <f t="shared" si="19"/>
        <v>0</v>
      </c>
      <c r="AD29" s="242"/>
      <c r="AE29" s="117">
        <f t="shared" si="20"/>
        <v>0</v>
      </c>
      <c r="AF29" s="1228">
        <f>SUMIF('Otras Asesorías y Préstamos'!$B$7:$B$242,B29,'Otras Asesorías y Préstamos'!$F$7:$F$242)</f>
        <v>0</v>
      </c>
      <c r="AG29" s="1228">
        <f>SUMIF('Otras Asesorías y Préstamos'!$B$7:$B$242,B29,'Otras Asesorías y Préstamos'!$V$7:$V$242)</f>
        <v>0</v>
      </c>
      <c r="AH29" s="1229">
        <f t="shared" si="21"/>
        <v>360000</v>
      </c>
      <c r="AI29" s="8"/>
    </row>
    <row r="30" spans="1:198" x14ac:dyDescent="0.2">
      <c r="A30" s="1462">
        <f t="shared" si="22"/>
        <v>21</v>
      </c>
      <c r="B30" s="1492" t="s">
        <v>20</v>
      </c>
      <c r="C30" s="1185">
        <f>_xlfn.XLOOKUP(B30,Códigos!$B$8:$B$406,Códigos!$A$8:$A$406,"Verificar",0)</f>
        <v>61</v>
      </c>
      <c r="D30" s="1114">
        <f>_xlfn.XLOOKUP(B30,'Consolidado Cobros'!$B$10:$B$312,'Consolidado Cobros'!$C$10:$C$312,"Verificar",0)</f>
        <v>1035852107</v>
      </c>
      <c r="E30" s="1186">
        <f t="shared" si="0"/>
        <v>3</v>
      </c>
      <c r="F30" s="1463">
        <f>+AH30*0+400000</f>
        <v>400000</v>
      </c>
      <c r="G30" s="1098"/>
      <c r="H30" s="1099"/>
      <c r="I30" s="1099"/>
      <c r="J30" s="1099"/>
      <c r="K30" s="1099"/>
      <c r="L30" s="1099"/>
      <c r="M30" s="1793"/>
      <c r="N30" s="1706"/>
      <c r="O30" s="8"/>
      <c r="P30" s="239" t="s">
        <v>318</v>
      </c>
      <c r="Q30" s="119">
        <f>ROUND(IF(P30="SI",SUMIF('C de C año anterior'!$B$8:$B$229,B30,'C de C año anterior'!$Q$8:$Q$229)*(100%+$Q$5),0),-3)+ROUND(IF(P30="SI",SUMIF('Facturas año anterior'!$B$8:$B$86,B30,'Facturas año anterior'!$V$8:$V$86)*(100%+$AA$5),0),-3)</f>
        <v>447000</v>
      </c>
      <c r="R30" s="239"/>
      <c r="S30" s="114">
        <f t="shared" si="14"/>
        <v>0</v>
      </c>
      <c r="T30" s="240"/>
      <c r="U30" s="115">
        <f t="shared" si="15"/>
        <v>0</v>
      </c>
      <c r="V30" s="884"/>
      <c r="W30" s="874">
        <f t="shared" si="16"/>
        <v>0</v>
      </c>
      <c r="X30" s="884"/>
      <c r="Y30" s="874">
        <f t="shared" si="17"/>
        <v>0</v>
      </c>
      <c r="Z30" s="241"/>
      <c r="AA30" s="116">
        <f t="shared" si="18"/>
        <v>0</v>
      </c>
      <c r="AB30" s="239"/>
      <c r="AC30" s="116">
        <f t="shared" si="19"/>
        <v>0</v>
      </c>
      <c r="AD30" s="242"/>
      <c r="AE30" s="117">
        <f t="shared" si="20"/>
        <v>0</v>
      </c>
      <c r="AF30" s="1228">
        <f>SUMIF('Otras Asesorías y Préstamos'!$B$7:$B$242,B30,'Otras Asesorías y Préstamos'!$F$7:$F$242)</f>
        <v>0</v>
      </c>
      <c r="AG30" s="1228">
        <f>SUMIF('Otras Asesorías y Préstamos'!$B$7:$B$242,B30,'Otras Asesorías y Préstamos'!$V$7:$V$242)</f>
        <v>0</v>
      </c>
      <c r="AH30" s="1229">
        <f t="shared" si="21"/>
        <v>450000</v>
      </c>
      <c r="AI30" s="8"/>
    </row>
    <row r="31" spans="1:198" x14ac:dyDescent="0.2">
      <c r="A31" s="1462">
        <f t="shared" si="22"/>
        <v>22</v>
      </c>
      <c r="B31" s="1097" t="s">
        <v>21</v>
      </c>
      <c r="C31" s="1185">
        <f>_xlfn.XLOOKUP(B31,Códigos!$B$8:$B$406,Códigos!$A$8:$A$406,"Verificar",0)</f>
        <v>62</v>
      </c>
      <c r="D31" s="1114">
        <f>_xlfn.XLOOKUP(B31,'Consolidado Cobros'!$B$10:$B$312,'Consolidado Cobros'!$C$10:$C$312,"Verificar",0)</f>
        <v>43577753</v>
      </c>
      <c r="E31" s="1186">
        <f t="shared" si="0"/>
        <v>0</v>
      </c>
      <c r="F31" s="1463">
        <f t="shared" si="1"/>
        <v>1380000</v>
      </c>
      <c r="G31" s="1098"/>
      <c r="H31" s="1099"/>
      <c r="I31" s="1099"/>
      <c r="J31" s="1099"/>
      <c r="K31" s="1099"/>
      <c r="L31" s="1099"/>
      <c r="M31" s="1793"/>
      <c r="N31" s="1707"/>
      <c r="O31" s="8"/>
      <c r="P31" s="239" t="s">
        <v>318</v>
      </c>
      <c r="Q31" s="119">
        <f>ROUND(IF(P31="SI",SUMIF('C de C año anterior'!$B$8:$B$229,B31,'C de C año anterior'!$Q$8:$Q$229)*(100%+$Q$5),0),-3)+ROUND(IF(P31="SI",SUMIF('Facturas año anterior'!$B$8:$B$86,B31,'Facturas año anterior'!$V$8:$V$86)*(100%+$AA$5),0),-3)</f>
        <v>766000</v>
      </c>
      <c r="R31" s="239" t="s">
        <v>318</v>
      </c>
      <c r="S31" s="114">
        <f t="shared" si="14"/>
        <v>383000</v>
      </c>
      <c r="T31" s="240"/>
      <c r="U31" s="115">
        <f t="shared" si="15"/>
        <v>0</v>
      </c>
      <c r="V31" s="884"/>
      <c r="W31" s="874">
        <f t="shared" si="16"/>
        <v>0</v>
      </c>
      <c r="X31" s="884"/>
      <c r="Y31" s="874">
        <f t="shared" si="17"/>
        <v>0</v>
      </c>
      <c r="Z31" s="241"/>
      <c r="AA31" s="116">
        <f t="shared" si="18"/>
        <v>0</v>
      </c>
      <c r="AB31" s="239"/>
      <c r="AC31" s="116">
        <f t="shared" si="19"/>
        <v>0</v>
      </c>
      <c r="AD31" s="242" t="s">
        <v>318</v>
      </c>
      <c r="AE31" s="117">
        <f t="shared" si="20"/>
        <v>229800</v>
      </c>
      <c r="AF31" s="1228">
        <f>SUMIF('Otras Asesorías y Préstamos'!$B$7:$B$242,B31,'Otras Asesorías y Préstamos'!$F$7:$F$242)</f>
        <v>0</v>
      </c>
      <c r="AG31" s="1228">
        <f>SUMIF('Otras Asesorías y Préstamos'!$B$7:$B$242,B31,'Otras Asesorías y Préstamos'!$V$7:$V$242)</f>
        <v>0</v>
      </c>
      <c r="AH31" s="1229">
        <f t="shared" si="21"/>
        <v>1380000</v>
      </c>
      <c r="AI31" s="8"/>
    </row>
    <row r="32" spans="1:198" x14ac:dyDescent="0.2">
      <c r="A32" s="1462">
        <f t="shared" si="22"/>
        <v>23</v>
      </c>
      <c r="B32" s="1097" t="s">
        <v>22</v>
      </c>
      <c r="C32" s="1185">
        <f>_xlfn.XLOOKUP(B32,Códigos!$B$8:$B$406,Códigos!$A$8:$A$406,"Verificar",0)</f>
        <v>63</v>
      </c>
      <c r="D32" s="1114">
        <f>_xlfn.XLOOKUP(B32,'Consolidado Cobros'!$B$10:$B$312,'Consolidado Cobros'!$C$10:$C$312,"Verificar",0)</f>
        <v>71608158</v>
      </c>
      <c r="E32" s="1186">
        <f t="shared" si="0"/>
        <v>4</v>
      </c>
      <c r="F32" s="1463">
        <f t="shared" si="1"/>
        <v>770000</v>
      </c>
      <c r="G32" s="1098"/>
      <c r="H32" s="1099"/>
      <c r="I32" s="1099"/>
      <c r="J32" s="1099"/>
      <c r="K32" s="1099"/>
      <c r="L32" s="1099"/>
      <c r="M32" s="1793"/>
      <c r="N32" s="1706"/>
      <c r="O32" s="8"/>
      <c r="P32" s="239" t="s">
        <v>318</v>
      </c>
      <c r="Q32" s="119">
        <f>ROUND(IF(P32="SI",SUMIF('C de C año anterior'!$B$8:$B$229,B32,'C de C año anterior'!$Q$8:$Q$229)*(100%+$Q$5),0),-3)+ROUND(IF(P32="SI",SUMIF('Facturas año anterior'!$B$8:$B$86,B32,'Facturas año anterior'!$V$8:$V$86)*(100%+$AA$5),0),-3)</f>
        <v>766000</v>
      </c>
      <c r="R32" s="239"/>
      <c r="S32" s="114">
        <f t="shared" si="14"/>
        <v>0</v>
      </c>
      <c r="T32" s="240"/>
      <c r="U32" s="115">
        <f t="shared" si="15"/>
        <v>0</v>
      </c>
      <c r="V32" s="884"/>
      <c r="W32" s="874">
        <f t="shared" si="16"/>
        <v>0</v>
      </c>
      <c r="X32" s="884"/>
      <c r="Y32" s="874">
        <f t="shared" si="17"/>
        <v>0</v>
      </c>
      <c r="Z32" s="241"/>
      <c r="AA32" s="116">
        <f t="shared" si="18"/>
        <v>0</v>
      </c>
      <c r="AB32" s="239"/>
      <c r="AC32" s="116">
        <f t="shared" si="19"/>
        <v>0</v>
      </c>
      <c r="AD32" s="242"/>
      <c r="AE32" s="117">
        <f t="shared" si="20"/>
        <v>0</v>
      </c>
      <c r="AF32" s="1228">
        <f>SUMIF('Otras Asesorías y Préstamos'!$B$7:$B$242,B32,'Otras Asesorías y Préstamos'!$F$7:$F$242)</f>
        <v>0</v>
      </c>
      <c r="AG32" s="1228">
        <f>SUMIF('Otras Asesorías y Préstamos'!$B$7:$B$242,B32,'Otras Asesorías y Préstamos'!$V$7:$V$242)</f>
        <v>0</v>
      </c>
      <c r="AH32" s="1229">
        <f t="shared" si="21"/>
        <v>770000</v>
      </c>
      <c r="AI32" s="8"/>
    </row>
    <row r="33" spans="1:35" x14ac:dyDescent="0.2">
      <c r="A33" s="1462">
        <f t="shared" si="22"/>
        <v>24</v>
      </c>
      <c r="B33" s="1097" t="s">
        <v>23</v>
      </c>
      <c r="C33" s="1185">
        <f>_xlfn.XLOOKUP(B33,Códigos!$B$8:$B$406,Códigos!$A$8:$A$406,"Verificar",0)</f>
        <v>65</v>
      </c>
      <c r="D33" s="1114">
        <f>_xlfn.XLOOKUP(B33,'Consolidado Cobros'!$B$10:$B$312,'Consolidado Cobros'!$C$10:$C$312,"Verificar",0)</f>
        <v>3313365</v>
      </c>
      <c r="E33" s="1186">
        <f t="shared" si="0"/>
        <v>8</v>
      </c>
      <c r="F33" s="1463">
        <f t="shared" si="1"/>
        <v>1660000</v>
      </c>
      <c r="G33" s="1098"/>
      <c r="H33" s="1099"/>
      <c r="I33" s="1100"/>
      <c r="J33" s="1099"/>
      <c r="K33" s="1099"/>
      <c r="L33" s="1262"/>
      <c r="M33" s="1793"/>
      <c r="N33" s="1706"/>
      <c r="O33" s="8"/>
      <c r="P33" s="239" t="s">
        <v>318</v>
      </c>
      <c r="Q33" s="119">
        <f>ROUND(IF(P33="SI",SUMIF('C de C año anterior'!$B$8:$B$229,B33,'C de C año anterior'!$Q$8:$Q$229)*(100%+$Q$5),0),-3)+ROUND(IF(P33="SI",SUMIF('Facturas año anterior'!$B$8:$B$86,B33,'Facturas año anterior'!$V$8:$V$86)*(100%+$AA$5),0),-3)</f>
        <v>1266000</v>
      </c>
      <c r="R33" s="239"/>
      <c r="S33" s="114">
        <f t="shared" si="14"/>
        <v>0</v>
      </c>
      <c r="T33" s="240"/>
      <c r="U33" s="115">
        <f t="shared" si="15"/>
        <v>0</v>
      </c>
      <c r="V33" s="884"/>
      <c r="W33" s="874">
        <f t="shared" si="16"/>
        <v>0</v>
      </c>
      <c r="X33" s="884"/>
      <c r="Y33" s="874">
        <f t="shared" si="17"/>
        <v>0</v>
      </c>
      <c r="Z33" s="241"/>
      <c r="AA33" s="116">
        <f t="shared" si="18"/>
        <v>0</v>
      </c>
      <c r="AB33" s="239"/>
      <c r="AC33" s="116">
        <f t="shared" si="19"/>
        <v>0</v>
      </c>
      <c r="AD33" s="242"/>
      <c r="AE33" s="117">
        <f t="shared" si="20"/>
        <v>0</v>
      </c>
      <c r="AF33" s="1228">
        <f>SUMIF('Otras Asesorías y Préstamos'!$B$7:$B$242,B33,'Otras Asesorías y Préstamos'!$F$7:$F$242)</f>
        <v>398826.8118285829</v>
      </c>
      <c r="AG33" s="1228">
        <f>SUMIF('Otras Asesorías y Préstamos'!$B$7:$B$242,B33,'Otras Asesorías y Préstamos'!$V$7:$V$242)</f>
        <v>0</v>
      </c>
      <c r="AH33" s="1229">
        <f t="shared" si="21"/>
        <v>1660000</v>
      </c>
      <c r="AI33" s="8"/>
    </row>
    <row r="34" spans="1:35" x14ac:dyDescent="0.2">
      <c r="A34" s="1462">
        <f t="shared" si="22"/>
        <v>25</v>
      </c>
      <c r="B34" s="1097" t="s">
        <v>24</v>
      </c>
      <c r="C34" s="1185">
        <f>_xlfn.XLOOKUP(B34,Códigos!$B$8:$B$406,Códigos!$A$8:$A$406,"Verificar",0)</f>
        <v>67</v>
      </c>
      <c r="D34" s="1114">
        <f>_xlfn.XLOOKUP(B34,'Consolidado Cobros'!$B$10:$B$312,'Consolidado Cobros'!$C$10:$C$312,"Verificar",0)</f>
        <v>5734197</v>
      </c>
      <c r="E34" s="1186">
        <f t="shared" si="0"/>
        <v>0</v>
      </c>
      <c r="F34" s="1463">
        <f t="shared" si="1"/>
        <v>360000</v>
      </c>
      <c r="G34" s="1098"/>
      <c r="H34" s="1099"/>
      <c r="I34" s="1100"/>
      <c r="J34" s="1099"/>
      <c r="K34" s="1099"/>
      <c r="L34" s="1262"/>
      <c r="M34" s="1101"/>
      <c r="N34" s="1706"/>
      <c r="O34" s="8"/>
      <c r="P34" s="239" t="s">
        <v>318</v>
      </c>
      <c r="Q34" s="119">
        <f>ROUND(IF(P34="SI",SUMIF('C de C año anterior'!$B$8:$B$229,B34,'C de C año anterior'!$Q$8:$Q$229)*(100%+$Q$5),0),-3)+ROUND(IF(P34="SI",SUMIF('Facturas año anterior'!$B$8:$B$86,B34,'Facturas año anterior'!$V$8:$V$86)*(100%+$AA$5),0),-3)</f>
        <v>363000</v>
      </c>
      <c r="R34" s="239"/>
      <c r="S34" s="114">
        <f t="shared" si="14"/>
        <v>0</v>
      </c>
      <c r="T34" s="240"/>
      <c r="U34" s="115">
        <f t="shared" si="15"/>
        <v>0</v>
      </c>
      <c r="V34" s="884"/>
      <c r="W34" s="874">
        <f t="shared" si="16"/>
        <v>0</v>
      </c>
      <c r="X34" s="884"/>
      <c r="Y34" s="874">
        <f t="shared" si="17"/>
        <v>0</v>
      </c>
      <c r="Z34" s="241"/>
      <c r="AA34" s="116">
        <f t="shared" si="18"/>
        <v>0</v>
      </c>
      <c r="AB34" s="239"/>
      <c r="AC34" s="116">
        <f t="shared" si="19"/>
        <v>0</v>
      </c>
      <c r="AD34" s="242"/>
      <c r="AE34" s="117">
        <f t="shared" si="20"/>
        <v>0</v>
      </c>
      <c r="AF34" s="1228">
        <f>SUMIF('Otras Asesorías y Préstamos'!$B$7:$B$242,B34,'Otras Asesorías y Préstamos'!$F$7:$F$242)</f>
        <v>0</v>
      </c>
      <c r="AG34" s="1228">
        <f>SUMIF('Otras Asesorías y Préstamos'!$B$7:$B$242,B34,'Otras Asesorías y Préstamos'!$V$7:$V$242)</f>
        <v>0</v>
      </c>
      <c r="AH34" s="1229">
        <f t="shared" si="21"/>
        <v>360000</v>
      </c>
      <c r="AI34" s="8"/>
    </row>
    <row r="35" spans="1:35" x14ac:dyDescent="0.2">
      <c r="A35" s="1462">
        <f t="shared" si="22"/>
        <v>26</v>
      </c>
      <c r="B35" s="1097" t="s">
        <v>26</v>
      </c>
      <c r="C35" s="1185">
        <f>_xlfn.XLOOKUP(B35,Códigos!$B$8:$B$406,Códigos!$A$8:$A$406,"Verificar",0)</f>
        <v>68</v>
      </c>
      <c r="D35" s="1114">
        <f>_xlfn.XLOOKUP(B35,'Consolidado Cobros'!$B$10:$B$312,'Consolidado Cobros'!$C$10:$C$312,"Verificar",0)</f>
        <v>43616958</v>
      </c>
      <c r="E35" s="1186">
        <f t="shared" si="0"/>
        <v>1</v>
      </c>
      <c r="F35" s="1866">
        <f>+AH35*0+470000</f>
        <v>470000</v>
      </c>
      <c r="G35" s="1098" t="s">
        <v>1132</v>
      </c>
      <c r="H35" s="1099" t="s">
        <v>761</v>
      </c>
      <c r="I35" s="1100">
        <v>46266</v>
      </c>
      <c r="J35" s="1099" t="s">
        <v>1133</v>
      </c>
      <c r="K35" s="1099" t="s">
        <v>762</v>
      </c>
      <c r="L35" s="1100">
        <v>46267</v>
      </c>
      <c r="M35" s="1793"/>
      <c r="N35" s="1706"/>
      <c r="O35" s="8"/>
      <c r="P35" s="239" t="s">
        <v>318</v>
      </c>
      <c r="Q35" s="119">
        <f>ROUND(IF(P35="SI",SUMIF('C de C año anterior'!$B$8:$B$229,B35,'C de C año anterior'!$Q$8:$Q$229)*(100%+$Q$5),0),-3)+ROUND(IF(P35="SI",SUMIF('Facturas año anterior'!$B$8:$B$86,B35,'Facturas año anterior'!$V$8:$V$86)*(100%+$AA$5),0),-3)</f>
        <v>507000</v>
      </c>
      <c r="R35" s="239"/>
      <c r="S35" s="114">
        <f t="shared" si="14"/>
        <v>0</v>
      </c>
      <c r="T35" s="240"/>
      <c r="U35" s="115">
        <f t="shared" si="15"/>
        <v>0</v>
      </c>
      <c r="V35" s="884"/>
      <c r="W35" s="874">
        <f t="shared" si="16"/>
        <v>0</v>
      </c>
      <c r="X35" s="884"/>
      <c r="Y35" s="874">
        <f t="shared" si="17"/>
        <v>0</v>
      </c>
      <c r="Z35" s="241"/>
      <c r="AA35" s="116">
        <f t="shared" si="18"/>
        <v>0</v>
      </c>
      <c r="AB35" s="239"/>
      <c r="AC35" s="116">
        <f t="shared" si="19"/>
        <v>0</v>
      </c>
      <c r="AD35" s="242"/>
      <c r="AE35" s="117">
        <f t="shared" si="20"/>
        <v>0</v>
      </c>
      <c r="AF35" s="1228">
        <f>SUMIF('Otras Asesorías y Préstamos'!$B$7:$B$242,B35,'Otras Asesorías y Préstamos'!$F$7:$F$242)</f>
        <v>0</v>
      </c>
      <c r="AG35" s="1228">
        <f>SUMIF('Otras Asesorías y Préstamos'!$B$7:$B$242,B35,'Otras Asesorías y Préstamos'!$V$7:$V$242)</f>
        <v>0</v>
      </c>
      <c r="AH35" s="1229">
        <f t="shared" si="21"/>
        <v>510000</v>
      </c>
      <c r="AI35" s="8"/>
    </row>
    <row r="36" spans="1:35" x14ac:dyDescent="0.2">
      <c r="A36" s="1462">
        <f t="shared" si="22"/>
        <v>27</v>
      </c>
      <c r="B36" s="1097" t="s">
        <v>25</v>
      </c>
      <c r="C36" s="1185">
        <f>_xlfn.XLOOKUP(B36,Códigos!$B$8:$B$406,Códigos!$A$8:$A$406,"Verificar",0)</f>
        <v>13</v>
      </c>
      <c r="D36" s="1114">
        <f>_xlfn.XLOOKUP(B36,'Consolidado Cobros'!$B$10:$B$312,'Consolidado Cobros'!$C$10:$C$312,"Verificar",0)</f>
        <v>32441185</v>
      </c>
      <c r="E36" s="1186">
        <f t="shared" si="0"/>
        <v>2</v>
      </c>
      <c r="F36" s="1463">
        <f t="shared" si="1"/>
        <v>330000</v>
      </c>
      <c r="G36" s="1098"/>
      <c r="H36" s="1099"/>
      <c r="I36" s="1100"/>
      <c r="J36" s="1099"/>
      <c r="K36" s="1099"/>
      <c r="L36" s="1100"/>
      <c r="M36" s="1101"/>
      <c r="N36" s="1706"/>
      <c r="O36" s="8"/>
      <c r="P36" s="239" t="s">
        <v>318</v>
      </c>
      <c r="Q36" s="119">
        <f>ROUND(IF(P36="SI",SUMIF('C de C año anterior'!$B$8:$B$229,B36,'C de C año anterior'!$Q$8:$Q$229)*(100%+$Q$5),0),-3)+ROUND(IF(P36="SI",SUMIF('Facturas año anterior'!$B$8:$B$86,B36,'Facturas año anterior'!$V$8:$V$86)*(100%+$AA$5),0),-3)</f>
        <v>332000</v>
      </c>
      <c r="R36" s="239"/>
      <c r="S36" s="114">
        <f t="shared" si="14"/>
        <v>0</v>
      </c>
      <c r="T36" s="240"/>
      <c r="U36" s="115">
        <f t="shared" si="15"/>
        <v>0</v>
      </c>
      <c r="V36" s="884"/>
      <c r="W36" s="874">
        <f t="shared" si="16"/>
        <v>0</v>
      </c>
      <c r="X36" s="884"/>
      <c r="Y36" s="874">
        <f t="shared" si="17"/>
        <v>0</v>
      </c>
      <c r="Z36" s="241"/>
      <c r="AA36" s="116">
        <f t="shared" si="18"/>
        <v>0</v>
      </c>
      <c r="AB36" s="239"/>
      <c r="AC36" s="116">
        <f t="shared" si="19"/>
        <v>0</v>
      </c>
      <c r="AD36" s="242"/>
      <c r="AE36" s="117">
        <f t="shared" si="20"/>
        <v>0</v>
      </c>
      <c r="AF36" s="1228">
        <f>SUMIF('Otras Asesorías y Préstamos'!$B$7:$B$242,B36,'Otras Asesorías y Préstamos'!$F$7:$F$242)</f>
        <v>0</v>
      </c>
      <c r="AG36" s="1228">
        <f>SUMIF('Otras Asesorías y Préstamos'!$B$7:$B$242,B36,'Otras Asesorías y Préstamos'!$V$7:$V$242)</f>
        <v>0</v>
      </c>
      <c r="AH36" s="1229">
        <f t="shared" si="21"/>
        <v>330000</v>
      </c>
      <c r="AI36" s="8"/>
    </row>
    <row r="37" spans="1:35" x14ac:dyDescent="0.2">
      <c r="A37" s="1462">
        <f t="shared" si="22"/>
        <v>28</v>
      </c>
      <c r="B37" s="1097" t="s">
        <v>28</v>
      </c>
      <c r="C37" s="1185">
        <f>_xlfn.XLOOKUP(B37,Códigos!$B$8:$B$406,Códigos!$A$8:$A$406,"Verificar",0)</f>
        <v>69</v>
      </c>
      <c r="D37" s="1114">
        <f>_xlfn.XLOOKUP(B37,'Consolidado Cobros'!$B$10:$B$312,'Consolidado Cobros'!$C$10:$C$312,"Verificar",0)</f>
        <v>21374070</v>
      </c>
      <c r="E37" s="1186">
        <f t="shared" si="0"/>
        <v>7</v>
      </c>
      <c r="F37" s="1463">
        <f t="shared" si="1"/>
        <v>720000</v>
      </c>
      <c r="G37" s="1098"/>
      <c r="H37" s="1099"/>
      <c r="I37" s="1100"/>
      <c r="J37" s="1099"/>
      <c r="K37" s="1099"/>
      <c r="L37" s="1100"/>
      <c r="M37" s="1101"/>
      <c r="N37" s="1706"/>
      <c r="O37" s="8"/>
      <c r="P37" s="239" t="s">
        <v>318</v>
      </c>
      <c r="Q37" s="119">
        <f>ROUND(IF(P37="SI",SUMIF('C de C año anterior'!$B$8:$B$229,B37,'C de C año anterior'!$Q$8:$Q$229)*(100%+$Q$5),0),-3)+ROUND(IF(P37="SI",SUMIF('Facturas año anterior'!$B$8:$B$86,B37,'Facturas año anterior'!$V$8:$V$86)*(100%+$AA$5),0),-3)</f>
        <v>724000</v>
      </c>
      <c r="R37" s="239"/>
      <c r="S37" s="114">
        <f t="shared" si="14"/>
        <v>0</v>
      </c>
      <c r="T37" s="240"/>
      <c r="U37" s="115">
        <f t="shared" si="15"/>
        <v>0</v>
      </c>
      <c r="V37" s="884"/>
      <c r="W37" s="874">
        <f t="shared" si="16"/>
        <v>0</v>
      </c>
      <c r="X37" s="884"/>
      <c r="Y37" s="874">
        <f t="shared" si="17"/>
        <v>0</v>
      </c>
      <c r="Z37" s="241"/>
      <c r="AA37" s="116">
        <f t="shared" si="18"/>
        <v>0</v>
      </c>
      <c r="AB37" s="239"/>
      <c r="AC37" s="116">
        <f t="shared" si="19"/>
        <v>0</v>
      </c>
      <c r="AD37" s="242"/>
      <c r="AE37" s="117">
        <f t="shared" si="20"/>
        <v>0</v>
      </c>
      <c r="AF37" s="1228">
        <f>SUMIF('Otras Asesorías y Préstamos'!$B$7:$B$242,B37,'Otras Asesorías y Préstamos'!$F$7:$F$242)</f>
        <v>0</v>
      </c>
      <c r="AG37" s="1228">
        <f>SUMIF('Otras Asesorías y Préstamos'!$B$7:$B$242,B37,'Otras Asesorías y Préstamos'!$V$7:$V$242)</f>
        <v>0</v>
      </c>
      <c r="AH37" s="1229">
        <f t="shared" si="21"/>
        <v>720000</v>
      </c>
      <c r="AI37" s="8"/>
    </row>
    <row r="38" spans="1:35" x14ac:dyDescent="0.2">
      <c r="A38" s="1462">
        <f t="shared" si="22"/>
        <v>29</v>
      </c>
      <c r="B38" s="1097" t="s">
        <v>30</v>
      </c>
      <c r="C38" s="1185">
        <f>_xlfn.XLOOKUP(B38,Códigos!$B$8:$B$406,Códigos!$A$8:$A$406,"Verificar",0)</f>
        <v>71</v>
      </c>
      <c r="D38" s="1114">
        <f>_xlfn.XLOOKUP(B38,'Consolidado Cobros'!$B$10:$B$312,'Consolidado Cobros'!$C$10:$C$312,"Verificar",0)</f>
        <v>71688257</v>
      </c>
      <c r="E38" s="1186">
        <f t="shared" si="0"/>
        <v>7</v>
      </c>
      <c r="F38" s="1463">
        <f t="shared" si="1"/>
        <v>1500000</v>
      </c>
      <c r="G38" s="1098"/>
      <c r="H38" s="1099"/>
      <c r="I38" s="1100"/>
      <c r="J38" s="1099"/>
      <c r="K38" s="1099"/>
      <c r="L38" s="1100"/>
      <c r="M38" s="1793"/>
      <c r="N38" s="1706"/>
      <c r="O38" s="8"/>
      <c r="P38" s="239" t="s">
        <v>318</v>
      </c>
      <c r="Q38" s="119">
        <f>ROUND(IF(P38="SI",SUMIF('C de C año anterior'!$B$8:$B$229,B38,'C de C año anterior'!$Q$8:$Q$229)*(100%+$Q$5),0),-3)+ROUND(IF(P38="SI",SUMIF('Facturas año anterior'!$B$8:$B$86,B38,'Facturas año anterior'!$V$8:$V$86)*(100%+$AA$5),0),-3)</f>
        <v>816000</v>
      </c>
      <c r="R38" s="239"/>
      <c r="S38" s="114">
        <f t="shared" si="14"/>
        <v>0</v>
      </c>
      <c r="T38" s="240" t="s">
        <v>318</v>
      </c>
      <c r="U38" s="115">
        <f t="shared" si="15"/>
        <v>612000</v>
      </c>
      <c r="V38" s="884"/>
      <c r="W38" s="874">
        <f t="shared" si="16"/>
        <v>0</v>
      </c>
      <c r="X38" s="884"/>
      <c r="Y38" s="874">
        <f t="shared" si="17"/>
        <v>0</v>
      </c>
      <c r="Z38" s="241"/>
      <c r="AA38" s="116">
        <f t="shared" si="18"/>
        <v>0</v>
      </c>
      <c r="AB38" s="239"/>
      <c r="AC38" s="116">
        <f t="shared" si="19"/>
        <v>0</v>
      </c>
      <c r="AD38" s="242"/>
      <c r="AE38" s="117">
        <f t="shared" si="20"/>
        <v>0</v>
      </c>
      <c r="AF38" s="1228">
        <f>SUMIF('Otras Asesorías y Préstamos'!$B$7:$B$242,B38,'Otras Asesorías y Préstamos'!$F$7:$F$242)</f>
        <v>70000</v>
      </c>
      <c r="AG38" s="1228">
        <f>SUMIF('Otras Asesorías y Préstamos'!$B$7:$B$242,B38,'Otras Asesorías y Préstamos'!$V$7:$V$242)</f>
        <v>0</v>
      </c>
      <c r="AH38" s="1229">
        <f t="shared" si="21"/>
        <v>1500000</v>
      </c>
      <c r="AI38" s="8"/>
    </row>
    <row r="39" spans="1:35" x14ac:dyDescent="0.2">
      <c r="A39" s="1462">
        <f t="shared" si="22"/>
        <v>30</v>
      </c>
      <c r="B39" s="1097" t="s">
        <v>31</v>
      </c>
      <c r="C39" s="1185">
        <f>_xlfn.XLOOKUP(B39,Códigos!$B$8:$B$406,Códigos!$A$8:$A$406,"Verificar",0)</f>
        <v>72</v>
      </c>
      <c r="D39" s="1114">
        <f>_xlfn.XLOOKUP(B39,'Consolidado Cobros'!$B$10:$B$312,'Consolidado Cobros'!$C$10:$C$312,"Verificar",0)</f>
        <v>43584680</v>
      </c>
      <c r="E39" s="1186">
        <f t="shared" si="0"/>
        <v>0</v>
      </c>
      <c r="F39" s="1463">
        <f t="shared" si="1"/>
        <v>820000</v>
      </c>
      <c r="G39" s="1098"/>
      <c r="H39" s="1099"/>
      <c r="I39" s="1100"/>
      <c r="J39" s="1099"/>
      <c r="K39" s="1099"/>
      <c r="L39" s="1100"/>
      <c r="M39" s="1101"/>
      <c r="N39" s="1706"/>
      <c r="O39" s="8"/>
      <c r="P39" s="239" t="s">
        <v>318</v>
      </c>
      <c r="Q39" s="119">
        <f>ROUND(IF(P39="SI",SUMIF('C de C año anterior'!$B$8:$B$229,B39,'C de C año anterior'!$Q$8:$Q$229)*(100%+$Q$5),0),-3)+ROUND(IF(P39="SI",SUMIF('Facturas año anterior'!$B$8:$B$86,B39,'Facturas año anterior'!$V$8:$V$86)*(100%+$AA$5),0),-3)</f>
        <v>816000</v>
      </c>
      <c r="R39" s="239"/>
      <c r="S39" s="114">
        <f t="shared" si="14"/>
        <v>0</v>
      </c>
      <c r="T39" s="240"/>
      <c r="U39" s="115">
        <f t="shared" si="15"/>
        <v>0</v>
      </c>
      <c r="V39" s="884"/>
      <c r="W39" s="874">
        <f t="shared" si="16"/>
        <v>0</v>
      </c>
      <c r="X39" s="884"/>
      <c r="Y39" s="874">
        <f t="shared" si="17"/>
        <v>0</v>
      </c>
      <c r="Z39" s="241"/>
      <c r="AA39" s="116">
        <f t="shared" si="18"/>
        <v>0</v>
      </c>
      <c r="AB39" s="239"/>
      <c r="AC39" s="116">
        <f t="shared" si="19"/>
        <v>0</v>
      </c>
      <c r="AD39" s="242"/>
      <c r="AE39" s="117">
        <f t="shared" si="20"/>
        <v>0</v>
      </c>
      <c r="AF39" s="1228">
        <f>SUMIF('Otras Asesorías y Préstamos'!$B$7:$B$242,B39,'Otras Asesorías y Préstamos'!$F$7:$F$242)</f>
        <v>0</v>
      </c>
      <c r="AG39" s="1228">
        <f>SUMIF('Otras Asesorías y Préstamos'!$B$7:$B$242,B39,'Otras Asesorías y Préstamos'!$V$7:$V$242)</f>
        <v>0</v>
      </c>
      <c r="AH39" s="1229">
        <f t="shared" si="21"/>
        <v>820000</v>
      </c>
      <c r="AI39" s="8"/>
    </row>
    <row r="40" spans="1:35" x14ac:dyDescent="0.2">
      <c r="A40" s="1462">
        <f t="shared" si="22"/>
        <v>31</v>
      </c>
      <c r="B40" s="1097" t="s">
        <v>32</v>
      </c>
      <c r="C40" s="1185">
        <f>_xlfn.XLOOKUP(B40,Códigos!$B$8:$B$406,Códigos!$A$8:$A$406,"Verificar",0)</f>
        <v>73</v>
      </c>
      <c r="D40" s="1114">
        <f>_xlfn.XLOOKUP(B40,'Consolidado Cobros'!$B$10:$B$312,'Consolidado Cobros'!$C$10:$C$312,"Verificar",0)</f>
        <v>71715157</v>
      </c>
      <c r="E40" s="1186">
        <f t="shared" si="0"/>
        <v>5</v>
      </c>
      <c r="F40" s="1463">
        <f t="shared" si="1"/>
        <v>820000</v>
      </c>
      <c r="G40" s="1098"/>
      <c r="H40" s="1099"/>
      <c r="I40" s="1100"/>
      <c r="J40" s="1099"/>
      <c r="K40" s="1099"/>
      <c r="L40" s="1100"/>
      <c r="M40" s="1101"/>
      <c r="N40" s="1706"/>
      <c r="O40" s="8"/>
      <c r="P40" s="239" t="s">
        <v>318</v>
      </c>
      <c r="Q40" s="119">
        <f>ROUND(IF(P40="SI",SUMIF('C de C año anterior'!$B$8:$B$229,B40,'C de C año anterior'!$Q$8:$Q$229)*(100%+$Q$5),0),-3)+ROUND(IF(P40="SI",SUMIF('Facturas año anterior'!$B$8:$B$86,B40,'Facturas año anterior'!$V$8:$V$86)*(100%+$AA$5),0),-3)</f>
        <v>816000</v>
      </c>
      <c r="R40" s="239"/>
      <c r="S40" s="114">
        <f t="shared" si="14"/>
        <v>0</v>
      </c>
      <c r="T40" s="240"/>
      <c r="U40" s="115">
        <f t="shared" si="15"/>
        <v>0</v>
      </c>
      <c r="V40" s="884"/>
      <c r="W40" s="874">
        <f t="shared" si="16"/>
        <v>0</v>
      </c>
      <c r="X40" s="884"/>
      <c r="Y40" s="874">
        <f t="shared" si="17"/>
        <v>0</v>
      </c>
      <c r="Z40" s="241"/>
      <c r="AA40" s="116">
        <f t="shared" si="18"/>
        <v>0</v>
      </c>
      <c r="AB40" s="239"/>
      <c r="AC40" s="116">
        <f t="shared" si="19"/>
        <v>0</v>
      </c>
      <c r="AD40" s="242"/>
      <c r="AE40" s="117">
        <f t="shared" si="20"/>
        <v>0</v>
      </c>
      <c r="AF40" s="1228">
        <f>SUMIF('Otras Asesorías y Préstamos'!$B$7:$B$242,B40,'Otras Asesorías y Préstamos'!$F$7:$F$242)</f>
        <v>0</v>
      </c>
      <c r="AG40" s="1228">
        <f>SUMIF('Otras Asesorías y Préstamos'!$B$7:$B$242,B40,'Otras Asesorías y Préstamos'!$V$7:$V$242)</f>
        <v>0</v>
      </c>
      <c r="AH40" s="1229">
        <f t="shared" si="21"/>
        <v>820000</v>
      </c>
      <c r="AI40" s="8"/>
    </row>
    <row r="41" spans="1:35" x14ac:dyDescent="0.2">
      <c r="A41" s="1462">
        <f t="shared" si="22"/>
        <v>32</v>
      </c>
      <c r="B41" s="1097" t="s">
        <v>357</v>
      </c>
      <c r="C41" s="1185">
        <f>_xlfn.XLOOKUP(B41,Códigos!$B$8:$B$406,Códigos!$A$8:$A$406,"Verificar",0)</f>
        <v>74</v>
      </c>
      <c r="D41" s="1114">
        <f>_xlfn.XLOOKUP(B41,'Consolidado Cobros'!$B$10:$B$312,'Consolidado Cobros'!$C$10:$C$312,"Verificar",0)</f>
        <v>8237268</v>
      </c>
      <c r="E41" s="1186">
        <f t="shared" ref="E41:E71" si="50">IF((MOD((VALUE(MID(TEXT(D41,"000000000000000"),15,1))*3+VALUE(MID(TEXT(D41,"000000000000000"),14,1))*7+VALUE(MID(TEXT(D41,"000000000000000"),13,1))*13+VALUE(MID(TEXT(D41,"000000000000000"),12,1))*17+VALUE(MID(TEXT(D41,"000000000000000"),11,1))*19+VALUE(MID(TEXT(D41,"000000000000000"),10,1))*23+VALUE(MID(TEXT(D41,"000000000000000"),9,1))*29+VALUE(MID(TEXT(D41,"000000000000000"),8,1))*37+VALUE(MID(TEXT(D41,"000000000000000"),7,1))*41+VALUE(MID(TEXT(D41,"000000000000000"),6,1))*43+VALUE(MID(TEXT(D41,"000000000000000"),5,1))*47+VALUE(MID(TEXT(D41,"000000000000000"),4,1))*53+VALUE(MID(TEXT(D41,"000000000000000"),3,1))*59+VALUE(MID(TEXT(D41,"000000000000000"),2,1))*67+VALUE(MID(TEXT(D41,"000000000000000"),1,1))*71),11))=0,0,IF((MOD((VALUE(MID(TEXT(D41,"000000000000000"),15,1))*3+VALUE(MID(TEXT(D41,"000000000000000"),14,1))*7+VALUE(MID(TEXT(D41,"000000000000000"),13,1))*13+VALUE(MID(TEXT(D41,"000000000000000"),12,1))*17+VALUE(MID(TEXT(D41,"000000000000000"),11,1))*19+VALUE(MID(TEXT(D41,"000000000000000"),10,1))*23+VALUE(MID(TEXT(D41,"000000000000000"),9,1))*29+VALUE(MID(TEXT(D41,"000000000000000"),8,1))*37+VALUE(MID(TEXT(D41,"000000000000000"),7,1))*41+VALUE(MID(TEXT(D41,"000000000000000"),6,1))*43+VALUE(MID(TEXT(D41,"000000000000000"),5,1))*47+VALUE(MID(TEXT(D41,"000000000000000"),4,1))*53+VALUE(MID(TEXT(D41,"000000000000000"),3,1))*59+VALUE(MID(TEXT(D41,"000000000000000"),2,1))*67+VALUE(MID(TEXT(D41,"000000000000000"),1,1))*71),11))=1,1,11-(MOD((VALUE(MID(TEXT(D41,"000000000000000"),15,1))*3+VALUE(MID(TEXT(D41,"000000000000000"),14,1))*7+VALUE(MID(TEXT(D41,"000000000000000"),13,1))*13+VALUE(MID(TEXT(D41,"000000000000000"),12,1))*17+VALUE(MID(TEXT(D41,"000000000000000"),11,1))*19+VALUE(MID(TEXT(D41,"000000000000000"),10,1))*23+VALUE(MID(TEXT(D41,"000000000000000"),9,1))*29+VALUE(MID(TEXT(D41,"000000000000000"),8,1))*37+VALUE(MID(TEXT(D41,"000000000000000"),7,1))*41+VALUE(MID(TEXT(D41,"000000000000000"),6,1))*43+VALUE(MID(TEXT(D41,"000000000000000"),5,1))*47+VALUE(MID(TEXT(D41,"000000000000000"),4,1))*53+VALUE(MID(TEXT(D41,"000000000000000"),3,1))*59+VALUE(MID(TEXT(D41,"000000000000000"),2,1))*67+VALUE(MID(TEXT(D41,"000000000000000"),1,1))*71),11))))</f>
        <v>4</v>
      </c>
      <c r="F41" s="1463">
        <f t="shared" si="1"/>
        <v>1320000</v>
      </c>
      <c r="G41" s="1098"/>
      <c r="H41" s="1099"/>
      <c r="I41" s="1100"/>
      <c r="J41" s="1099"/>
      <c r="K41" s="1099"/>
      <c r="L41" s="1100"/>
      <c r="M41" s="1793"/>
      <c r="N41" s="1706"/>
      <c r="O41" s="8"/>
      <c r="P41" s="239" t="s">
        <v>318</v>
      </c>
      <c r="Q41" s="119">
        <f>ROUND(IF(P41="SI",SUMIF('C de C año anterior'!$B$8:$B$229,B41,'C de C año anterior'!$Q$8:$Q$229)*(100%+$Q$5),0),-3)+ROUND(IF(P41="SI",SUMIF('Facturas año anterior'!$B$8:$B$86,B41,'Facturas año anterior'!$V$8:$V$86)*(100%+$AA$5),0),-3)</f>
        <v>1063000</v>
      </c>
      <c r="R41" s="239"/>
      <c r="S41" s="114">
        <f t="shared" si="14"/>
        <v>0</v>
      </c>
      <c r="T41" s="240"/>
      <c r="U41" s="115">
        <f t="shared" si="15"/>
        <v>0</v>
      </c>
      <c r="V41" s="884"/>
      <c r="W41" s="874">
        <f t="shared" si="16"/>
        <v>0</v>
      </c>
      <c r="X41" s="884"/>
      <c r="Y41" s="874">
        <f t="shared" si="17"/>
        <v>0</v>
      </c>
      <c r="Z41" s="241"/>
      <c r="AA41" s="116">
        <f t="shared" si="18"/>
        <v>0</v>
      </c>
      <c r="AB41" s="239"/>
      <c r="AC41" s="116">
        <f t="shared" si="19"/>
        <v>0</v>
      </c>
      <c r="AD41" s="242"/>
      <c r="AE41" s="117">
        <f t="shared" si="20"/>
        <v>0</v>
      </c>
      <c r="AF41" s="1228">
        <f>SUMIF('Otras Asesorías y Préstamos'!$B$7:$B$242,B41,'Otras Asesorías y Préstamos'!$F$7:$F$242)</f>
        <v>256388.66474694616</v>
      </c>
      <c r="AG41" s="1228">
        <f>SUMIF('Otras Asesorías y Préstamos'!$B$7:$B$242,B41,'Otras Asesorías y Préstamos'!$V$7:$V$242)</f>
        <v>0</v>
      </c>
      <c r="AH41" s="1229">
        <f t="shared" si="21"/>
        <v>1320000</v>
      </c>
      <c r="AI41" s="8"/>
    </row>
    <row r="42" spans="1:35" x14ac:dyDescent="0.2">
      <c r="A42" s="1462">
        <f t="shared" si="22"/>
        <v>33</v>
      </c>
      <c r="B42" s="1097" t="s">
        <v>35</v>
      </c>
      <c r="C42" s="1185">
        <f>_xlfn.XLOOKUP(B42,Códigos!$B$8:$B$406,Códigos!$A$8:$A$406,"Verificar",0)</f>
        <v>77</v>
      </c>
      <c r="D42" s="1114">
        <f>_xlfn.XLOOKUP(B42,'Consolidado Cobros'!$B$10:$B$312,'Consolidado Cobros'!$C$10:$C$312,"Verificar",0)</f>
        <v>43525573</v>
      </c>
      <c r="E42" s="1186">
        <f t="shared" si="50"/>
        <v>9</v>
      </c>
      <c r="F42" s="1463">
        <f t="shared" ref="F42:F66" si="51">+AH42</f>
        <v>450000</v>
      </c>
      <c r="G42" s="1098"/>
      <c r="H42" s="1099"/>
      <c r="I42" s="1100"/>
      <c r="J42" s="1099"/>
      <c r="K42" s="1099"/>
      <c r="L42" s="1100"/>
      <c r="M42" s="1101"/>
      <c r="N42" s="1706"/>
      <c r="O42" s="8"/>
      <c r="P42" s="239" t="s">
        <v>927</v>
      </c>
      <c r="Q42" s="119">
        <f>ROUND(IF(P42="SI",SUMIF('C de C año anterior'!$B$8:$B$229,B42,'C de C año anterior'!$Q$8:$Q$229)*(100%+$Q$5),0),-3)+ROUND(IF(P42="SI",SUMIF('Facturas año anterior'!$B$8:$B$86,B42,'Facturas año anterior'!$V$8:$V$86)*(100%+$AA$5),0),-3)</f>
        <v>453000</v>
      </c>
      <c r="R42" s="239"/>
      <c r="S42" s="114">
        <f t="shared" si="14"/>
        <v>0</v>
      </c>
      <c r="T42" s="240"/>
      <c r="U42" s="115">
        <f t="shared" si="15"/>
        <v>0</v>
      </c>
      <c r="V42" s="884"/>
      <c r="W42" s="874">
        <f t="shared" si="16"/>
        <v>0</v>
      </c>
      <c r="X42" s="884"/>
      <c r="Y42" s="874">
        <f t="shared" si="17"/>
        <v>0</v>
      </c>
      <c r="Z42" s="241"/>
      <c r="AA42" s="116">
        <f t="shared" si="18"/>
        <v>0</v>
      </c>
      <c r="AB42" s="239"/>
      <c r="AC42" s="116">
        <f t="shared" si="19"/>
        <v>0</v>
      </c>
      <c r="AD42" s="242"/>
      <c r="AE42" s="117">
        <f t="shared" si="20"/>
        <v>0</v>
      </c>
      <c r="AF42" s="1228">
        <f>SUMIF('Otras Asesorías y Préstamos'!$B$7:$B$242,B42,'Otras Asesorías y Préstamos'!$F$7:$F$242)</f>
        <v>0</v>
      </c>
      <c r="AG42" s="1228">
        <f>SUMIF('Otras Asesorías y Préstamos'!$B$7:$B$242,B42,'Otras Asesorías y Préstamos'!$V$7:$V$242)</f>
        <v>0</v>
      </c>
      <c r="AH42" s="1229">
        <f t="shared" si="21"/>
        <v>450000</v>
      </c>
      <c r="AI42" s="8"/>
    </row>
    <row r="43" spans="1:35" x14ac:dyDescent="0.2">
      <c r="A43" s="1462">
        <f t="shared" si="22"/>
        <v>34</v>
      </c>
      <c r="B43" s="1097" t="s">
        <v>37</v>
      </c>
      <c r="C43" s="1185">
        <f>_xlfn.XLOOKUP(B43,Códigos!$B$8:$B$406,Códigos!$A$8:$A$406,"Verificar",0)</f>
        <v>303</v>
      </c>
      <c r="D43" s="1114">
        <f>_xlfn.XLOOKUP(B43,'Consolidado Cobros'!$B$10:$B$312,'Consolidado Cobros'!$C$10:$C$312,"Verificar",0)</f>
        <v>71750917</v>
      </c>
      <c r="E43" s="1186">
        <f t="shared" si="50"/>
        <v>4</v>
      </c>
      <c r="F43" s="1463">
        <f t="shared" si="51"/>
        <v>1070000</v>
      </c>
      <c r="G43" s="1098"/>
      <c r="H43" s="1099"/>
      <c r="I43" s="1100"/>
      <c r="J43" s="1099"/>
      <c r="K43" s="1099"/>
      <c r="L43" s="1100"/>
      <c r="M43" s="1793"/>
      <c r="N43" s="1706"/>
      <c r="O43" s="8"/>
      <c r="P43" s="239" t="s">
        <v>318</v>
      </c>
      <c r="Q43" s="119">
        <f>ROUND(IF(P43="SI",SUMIF('C de C año anterior'!$B$8:$B$229,B43,'C de C año anterior'!$Q$8:$Q$229)*(100%+$Q$5),0),-3)+ROUND(IF(P43="SI",SUMIF('Facturas año anterior'!$B$8:$B$86,B43,'Facturas año anterior'!$V$8:$V$86)*(100%+$AA$5),0),-3)</f>
        <v>1026000</v>
      </c>
      <c r="R43" s="239"/>
      <c r="S43" s="114">
        <f t="shared" si="14"/>
        <v>0</v>
      </c>
      <c r="T43" s="240"/>
      <c r="U43" s="115">
        <f t="shared" si="15"/>
        <v>0</v>
      </c>
      <c r="V43" s="884"/>
      <c r="W43" s="874">
        <f t="shared" si="16"/>
        <v>0</v>
      </c>
      <c r="X43" s="884"/>
      <c r="Y43" s="874">
        <f t="shared" si="17"/>
        <v>0</v>
      </c>
      <c r="Z43" s="241"/>
      <c r="AA43" s="116">
        <f t="shared" si="18"/>
        <v>0</v>
      </c>
      <c r="AB43" s="239"/>
      <c r="AC43" s="116">
        <f t="shared" si="19"/>
        <v>0</v>
      </c>
      <c r="AD43" s="242"/>
      <c r="AE43" s="117">
        <f t="shared" si="20"/>
        <v>0</v>
      </c>
      <c r="AF43" s="1228">
        <f>SUMIF('Otras Asesorías y Préstamos'!$B$7:$B$242,B43,'Otras Asesorías y Préstamos'!$F$7:$F$242)</f>
        <v>40000</v>
      </c>
      <c r="AG43" s="1228">
        <f>SUMIF('Otras Asesorías y Préstamos'!$B$7:$B$242,B43,'Otras Asesorías y Préstamos'!$V$7:$V$242)</f>
        <v>0</v>
      </c>
      <c r="AH43" s="1229">
        <f t="shared" si="21"/>
        <v>1070000</v>
      </c>
      <c r="AI43" s="8"/>
    </row>
    <row r="44" spans="1:35" x14ac:dyDescent="0.2">
      <c r="A44" s="1462">
        <f t="shared" si="22"/>
        <v>35</v>
      </c>
      <c r="B44" s="1097" t="s">
        <v>335</v>
      </c>
      <c r="C44" s="1185">
        <f>_xlfn.XLOOKUP(B44,Códigos!$B$8:$B$406,Códigos!$A$8:$A$406,"Verificar",0)</f>
        <v>348</v>
      </c>
      <c r="D44" s="1114">
        <f>_xlfn.XLOOKUP(B44,'Consolidado Cobros'!$B$10:$B$312,'Consolidado Cobros'!$C$10:$C$312,"Verificar",0)</f>
        <v>42874922</v>
      </c>
      <c r="E44" s="1186">
        <f t="shared" si="50"/>
        <v>9</v>
      </c>
      <c r="F44" s="1463">
        <f>+AH44*0+350000</f>
        <v>350000</v>
      </c>
      <c r="G44" s="1098"/>
      <c r="H44" s="1099"/>
      <c r="I44" s="1100"/>
      <c r="J44" s="1099"/>
      <c r="K44" s="1099"/>
      <c r="L44" s="1100"/>
      <c r="M44" s="1793"/>
      <c r="N44" s="1706"/>
      <c r="O44" s="8"/>
      <c r="P44" s="239" t="s">
        <v>318</v>
      </c>
      <c r="Q44" s="119">
        <f>ROUND(IF(P44="SI",SUMIF('C de C año anterior'!$B$8:$B$229,B44,'C de C año anterior'!$Q$8:$Q$229)*(100%+$Q$5),0),-3)+ROUND(IF(P44="SI",SUMIF('Facturas año anterior'!$B$8:$B$86,B44,'Facturas año anterior'!$V$8:$V$86)*(100%+$AA$5),0),-3)</f>
        <v>414000</v>
      </c>
      <c r="R44" s="239"/>
      <c r="S44" s="114">
        <f t="shared" si="14"/>
        <v>0</v>
      </c>
      <c r="T44" s="240"/>
      <c r="U44" s="115">
        <f t="shared" si="15"/>
        <v>0</v>
      </c>
      <c r="V44" s="884"/>
      <c r="W44" s="874">
        <f t="shared" si="16"/>
        <v>0</v>
      </c>
      <c r="X44" s="884"/>
      <c r="Y44" s="874">
        <f t="shared" si="17"/>
        <v>0</v>
      </c>
      <c r="Z44" s="241"/>
      <c r="AA44" s="116">
        <f t="shared" si="18"/>
        <v>0</v>
      </c>
      <c r="AB44" s="239"/>
      <c r="AC44" s="116">
        <f t="shared" si="19"/>
        <v>0</v>
      </c>
      <c r="AD44" s="242"/>
      <c r="AE44" s="117">
        <f t="shared" si="20"/>
        <v>0</v>
      </c>
      <c r="AF44" s="1228">
        <f>SUMIF('Otras Asesorías y Préstamos'!$B$7:$B$242,B44,'Otras Asesorías y Préstamos'!$F$7:$F$242)</f>
        <v>0</v>
      </c>
      <c r="AG44" s="1228">
        <f>SUMIF('Otras Asesorías y Préstamos'!$B$7:$B$242,B44,'Otras Asesorías y Préstamos'!$V$7:$V$242)</f>
        <v>0</v>
      </c>
      <c r="AH44" s="1229">
        <f t="shared" si="21"/>
        <v>410000</v>
      </c>
      <c r="AI44" s="8"/>
    </row>
    <row r="45" spans="1:35" x14ac:dyDescent="0.2">
      <c r="A45" s="1462">
        <f t="shared" si="22"/>
        <v>36</v>
      </c>
      <c r="B45" s="1097" t="s">
        <v>324</v>
      </c>
      <c r="C45" s="1185">
        <f>_xlfn.XLOOKUP(B45,Códigos!$B$8:$B$406,Códigos!$A$8:$A$406,"Verificar",0)</f>
        <v>338</v>
      </c>
      <c r="D45" s="1114">
        <f>_xlfn.XLOOKUP(B45,'Consolidado Cobros'!$B$10:$B$312,'Consolidado Cobros'!$C$10:$C$312,"Verificar",0)</f>
        <v>42876443</v>
      </c>
      <c r="E45" s="1186">
        <f t="shared" si="50"/>
        <v>1</v>
      </c>
      <c r="F45" s="1463">
        <f>+AH45*0+550000</f>
        <v>550000</v>
      </c>
      <c r="G45" s="1098"/>
      <c r="H45" s="1099"/>
      <c r="I45" s="1100"/>
      <c r="J45" s="1099"/>
      <c r="K45" s="1099"/>
      <c r="L45" s="1100"/>
      <c r="M45" s="1793"/>
      <c r="N45" s="1706"/>
      <c r="O45" s="8"/>
      <c r="P45" s="239" t="s">
        <v>318</v>
      </c>
      <c r="Q45" s="119">
        <f>ROUND(IF(P45="SI",SUMIF('C de C año anterior'!$B$8:$B$229,B45,'C de C año anterior'!$Q$8:$Q$229)*(100%+$Q$5),0),-3)+ROUND(IF(P45="SI",SUMIF('Facturas año anterior'!$B$8:$B$86,B45,'Facturas año anterior'!$V$8:$V$86)*(100%+$AA$5),0),-3)</f>
        <v>495000</v>
      </c>
      <c r="R45" s="239"/>
      <c r="S45" s="114">
        <f t="shared" si="14"/>
        <v>0</v>
      </c>
      <c r="T45" s="240"/>
      <c r="U45" s="115">
        <f t="shared" si="15"/>
        <v>0</v>
      </c>
      <c r="V45" s="884"/>
      <c r="W45" s="874">
        <f t="shared" si="16"/>
        <v>0</v>
      </c>
      <c r="X45" s="884"/>
      <c r="Y45" s="874">
        <f t="shared" si="17"/>
        <v>0</v>
      </c>
      <c r="Z45" s="241"/>
      <c r="AA45" s="116">
        <f t="shared" si="18"/>
        <v>0</v>
      </c>
      <c r="AB45" s="239"/>
      <c r="AC45" s="116">
        <f t="shared" si="19"/>
        <v>0</v>
      </c>
      <c r="AD45" s="242"/>
      <c r="AE45" s="117">
        <f t="shared" si="20"/>
        <v>0</v>
      </c>
      <c r="AF45" s="1228">
        <f>SUMIF('Otras Asesorías y Préstamos'!$B$7:$B$242,B45,'Otras Asesorías y Préstamos'!$F$7:$F$242)</f>
        <v>0</v>
      </c>
      <c r="AG45" s="1228">
        <f>SUMIF('Otras Asesorías y Préstamos'!$B$7:$B$242,B45,'Otras Asesorías y Préstamos'!$V$7:$V$242)</f>
        <v>0</v>
      </c>
      <c r="AH45" s="1229">
        <f t="shared" si="21"/>
        <v>500000</v>
      </c>
      <c r="AI45" s="8"/>
    </row>
    <row r="46" spans="1:35" x14ac:dyDescent="0.2">
      <c r="A46" s="1462">
        <f t="shared" si="22"/>
        <v>37</v>
      </c>
      <c r="B46" s="1097" t="s">
        <v>241</v>
      </c>
      <c r="C46" s="1185">
        <f>_xlfn.XLOOKUP(B46,Códigos!$B$8:$B$406,Códigos!$A$8:$A$406,"Verificar",0)</f>
        <v>313</v>
      </c>
      <c r="D46" s="1114">
        <f>_xlfn.XLOOKUP(B46,'Consolidado Cobros'!$B$10:$B$312,'Consolidado Cobros'!$C$10:$C$312,"Verificar",0)</f>
        <v>43502550</v>
      </c>
      <c r="E46" s="1186">
        <f t="shared" si="50"/>
        <v>0</v>
      </c>
      <c r="F46" s="1463">
        <f>+AH46*0+450000</f>
        <v>450000</v>
      </c>
      <c r="G46" s="1098"/>
      <c r="H46" s="1099"/>
      <c r="I46" s="1100"/>
      <c r="J46" s="1099"/>
      <c r="K46" s="1099"/>
      <c r="L46" s="1100"/>
      <c r="M46" s="1793"/>
      <c r="N46" s="1706"/>
      <c r="O46" s="8"/>
      <c r="P46" s="239" t="s">
        <v>318</v>
      </c>
      <c r="Q46" s="119">
        <f>ROUND(IF(P46="SI",SUMIF('C de C año anterior'!$B$8:$B$229,B46,'C de C año anterior'!$Q$8:$Q$229)*(100%+$Q$5),0),-3)+ROUND(IF(P46="SI",SUMIF('Facturas año anterior'!$B$8:$B$86,B46,'Facturas año anterior'!$V$8:$V$86)*(100%+$AA$5),0),-3)</f>
        <v>495000</v>
      </c>
      <c r="R46" s="239"/>
      <c r="S46" s="114">
        <f t="shared" si="14"/>
        <v>0</v>
      </c>
      <c r="T46" s="240"/>
      <c r="U46" s="115">
        <f t="shared" si="15"/>
        <v>0</v>
      </c>
      <c r="V46" s="884"/>
      <c r="W46" s="874">
        <f t="shared" si="16"/>
        <v>0</v>
      </c>
      <c r="X46" s="884"/>
      <c r="Y46" s="874">
        <f t="shared" si="17"/>
        <v>0</v>
      </c>
      <c r="Z46" s="241"/>
      <c r="AA46" s="116">
        <f t="shared" si="18"/>
        <v>0</v>
      </c>
      <c r="AB46" s="239"/>
      <c r="AC46" s="116">
        <f t="shared" si="19"/>
        <v>0</v>
      </c>
      <c r="AD46" s="242"/>
      <c r="AE46" s="117">
        <f t="shared" si="20"/>
        <v>0</v>
      </c>
      <c r="AF46" s="1228">
        <f>SUMIF('Otras Asesorías y Préstamos'!$B$7:$B$242,B46,'Otras Asesorías y Préstamos'!$F$7:$F$242)</f>
        <v>0</v>
      </c>
      <c r="AG46" s="1228">
        <f>SUMIF('Otras Asesorías y Préstamos'!$B$7:$B$242,B46,'Otras Asesorías y Préstamos'!$V$7:$V$242)</f>
        <v>0</v>
      </c>
      <c r="AH46" s="1229">
        <f t="shared" si="21"/>
        <v>500000</v>
      </c>
      <c r="AI46" s="8"/>
    </row>
    <row r="47" spans="1:35" x14ac:dyDescent="0.2">
      <c r="A47" s="1462">
        <f t="shared" si="22"/>
        <v>38</v>
      </c>
      <c r="B47" s="1097" t="s">
        <v>273</v>
      </c>
      <c r="C47" s="1185">
        <f>_xlfn.XLOOKUP(B47,Códigos!$B$8:$B$406,Códigos!$A$8:$A$406,"Verificar",0)</f>
        <v>324</v>
      </c>
      <c r="D47" s="1114">
        <f>_xlfn.XLOOKUP(B47,'Consolidado Cobros'!$B$10:$B$312,'Consolidado Cobros'!$C$10:$C$312,"Verificar",0)</f>
        <v>43221128</v>
      </c>
      <c r="E47" s="1186">
        <f t="shared" si="50"/>
        <v>9</v>
      </c>
      <c r="F47" s="1463">
        <f t="shared" si="51"/>
        <v>330000</v>
      </c>
      <c r="G47" s="1098"/>
      <c r="H47" s="1099"/>
      <c r="I47" s="1100"/>
      <c r="J47" s="1099"/>
      <c r="K47" s="1099"/>
      <c r="L47" s="1100"/>
      <c r="M47" s="1793"/>
      <c r="N47" s="1706"/>
      <c r="O47" s="8"/>
      <c r="P47" s="239" t="s">
        <v>318</v>
      </c>
      <c r="Q47" s="119">
        <f>ROUND(IF(P47="SI",SUMIF('C de C año anterior'!$B$8:$B$229,B47,'C de C año anterior'!$Q$8:$Q$229)*(100%+$Q$5),0),-3)+ROUND(IF(P47="SI",SUMIF('Facturas año anterior'!$B$8:$B$86,B47,'Facturas año anterior'!$V$8:$V$86)*(100%+$AA$5),0),-3)</f>
        <v>332000</v>
      </c>
      <c r="R47" s="239"/>
      <c r="S47" s="114">
        <f t="shared" si="14"/>
        <v>0</v>
      </c>
      <c r="T47" s="240"/>
      <c r="U47" s="115">
        <f t="shared" si="15"/>
        <v>0</v>
      </c>
      <c r="V47" s="884"/>
      <c r="W47" s="874">
        <f t="shared" si="16"/>
        <v>0</v>
      </c>
      <c r="X47" s="884"/>
      <c r="Y47" s="874">
        <f t="shared" si="17"/>
        <v>0</v>
      </c>
      <c r="Z47" s="241"/>
      <c r="AA47" s="116">
        <f t="shared" si="18"/>
        <v>0</v>
      </c>
      <c r="AB47" s="239"/>
      <c r="AC47" s="116">
        <f t="shared" si="19"/>
        <v>0</v>
      </c>
      <c r="AD47" s="242"/>
      <c r="AE47" s="117">
        <f t="shared" si="20"/>
        <v>0</v>
      </c>
      <c r="AF47" s="1228">
        <f>SUMIF('Otras Asesorías y Préstamos'!$B$7:$B$242,B47,'Otras Asesorías y Préstamos'!$F$7:$F$242)</f>
        <v>0</v>
      </c>
      <c r="AG47" s="1228">
        <f>SUMIF('Otras Asesorías y Préstamos'!$B$7:$B$242,B47,'Otras Asesorías y Préstamos'!$V$7:$V$242)</f>
        <v>0</v>
      </c>
      <c r="AH47" s="1229">
        <f t="shared" si="21"/>
        <v>330000</v>
      </c>
      <c r="AI47" s="8"/>
    </row>
    <row r="48" spans="1:35" x14ac:dyDescent="0.2">
      <c r="A48" s="1462">
        <f t="shared" si="22"/>
        <v>39</v>
      </c>
      <c r="B48" s="1097" t="s">
        <v>428</v>
      </c>
      <c r="C48" s="1185">
        <f>_xlfn.XLOOKUP(B48,Códigos!$B$8:$B$406,Códigos!$A$8:$A$406,"Verificar",0)</f>
        <v>340</v>
      </c>
      <c r="D48" s="1114">
        <f>_xlfn.XLOOKUP(B48,'Consolidado Cobros'!$B$10:$B$312,'Consolidado Cobros'!$C$10:$C$312,"Verificar",0)</f>
        <v>8215384</v>
      </c>
      <c r="E48" s="1186">
        <f t="shared" si="50"/>
        <v>6</v>
      </c>
      <c r="F48" s="1463">
        <v>200000</v>
      </c>
      <c r="G48" s="1098"/>
      <c r="H48" s="1099"/>
      <c r="I48" s="1100"/>
      <c r="J48" s="1099"/>
      <c r="K48" s="1099"/>
      <c r="L48" s="1868"/>
      <c r="M48" s="1101"/>
      <c r="N48" s="1706"/>
      <c r="O48" s="8"/>
      <c r="P48" s="239" t="s">
        <v>318</v>
      </c>
      <c r="Q48" s="119">
        <f>ROUND(IF(P48="SI",SUMIF('C de C año anterior'!$B$8:$B$229,B48,'C de C año anterior'!$Q$8:$Q$229)*(100%+$Q$5),0),-3)+ROUND(IF(P48="SI",SUMIF('Facturas año anterior'!$B$8:$B$86,B48,'Facturas año anterior'!$V$8:$V$86)*(100%+$AA$5),0),-3)</f>
        <v>242000</v>
      </c>
      <c r="R48" s="239"/>
      <c r="S48" s="114">
        <f t="shared" si="14"/>
        <v>0</v>
      </c>
      <c r="T48" s="240"/>
      <c r="U48" s="115">
        <f t="shared" si="15"/>
        <v>0</v>
      </c>
      <c r="V48" s="884"/>
      <c r="W48" s="874">
        <f t="shared" si="16"/>
        <v>0</v>
      </c>
      <c r="X48" s="884"/>
      <c r="Y48" s="874">
        <f t="shared" si="17"/>
        <v>0</v>
      </c>
      <c r="Z48" s="241"/>
      <c r="AA48" s="116">
        <f t="shared" si="18"/>
        <v>0</v>
      </c>
      <c r="AB48" s="239"/>
      <c r="AC48" s="116">
        <f t="shared" si="19"/>
        <v>0</v>
      </c>
      <c r="AD48" s="242"/>
      <c r="AE48" s="117">
        <f t="shared" si="20"/>
        <v>0</v>
      </c>
      <c r="AF48" s="1228">
        <f>SUMIF('Otras Asesorías y Préstamos'!$B$7:$B$242,B48,'Otras Asesorías y Préstamos'!$F$7:$F$242)</f>
        <v>0</v>
      </c>
      <c r="AG48" s="1228">
        <f>SUMIF('Otras Asesorías y Préstamos'!$B$7:$B$242,B48,'Otras Asesorías y Préstamos'!$V$7:$V$242)</f>
        <v>0</v>
      </c>
      <c r="AH48" s="1229">
        <f t="shared" si="21"/>
        <v>240000</v>
      </c>
      <c r="AI48" s="8"/>
    </row>
    <row r="49" spans="1:36" x14ac:dyDescent="0.2">
      <c r="A49" s="1462">
        <f t="shared" si="22"/>
        <v>40</v>
      </c>
      <c r="B49" s="1097" t="s">
        <v>429</v>
      </c>
      <c r="C49" s="1185">
        <f>_xlfn.XLOOKUP(B49,Códigos!$B$8:$B$406,Códigos!$A$8:$A$406,"Verificar",0)</f>
        <v>349</v>
      </c>
      <c r="D49" s="1114">
        <f>_xlfn.XLOOKUP(B49,'Consolidado Cobros'!$B$10:$B$312,'Consolidado Cobros'!$C$10:$C$312,"Verificar",0)</f>
        <v>75072481</v>
      </c>
      <c r="E49" s="1186">
        <f t="shared" si="50"/>
        <v>0</v>
      </c>
      <c r="F49" s="1463">
        <f t="shared" si="51"/>
        <v>930000</v>
      </c>
      <c r="G49" s="1098"/>
      <c r="H49" s="1099"/>
      <c r="I49" s="1100"/>
      <c r="J49" s="1099"/>
      <c r="K49" s="1099"/>
      <c r="L49" s="1100"/>
      <c r="M49" s="1101"/>
      <c r="N49" s="1706"/>
      <c r="O49" s="8"/>
      <c r="P49" s="239" t="s">
        <v>318</v>
      </c>
      <c r="Q49" s="119">
        <f>ROUND(IF(P49="SI",SUMIF('C de C año anterior'!$B$8:$B$229,B49,'C de C año anterior'!$Q$8:$Q$229)*(100%+$Q$5),0),-3)+ROUND(IF(P49="SI",SUMIF('Facturas año anterior'!$B$8:$B$86,B49,'Facturas año anterior'!$V$8:$V$86)*(100%+$AA$5),0),-3)</f>
        <v>929000</v>
      </c>
      <c r="R49" s="239"/>
      <c r="S49" s="114">
        <f t="shared" si="14"/>
        <v>0</v>
      </c>
      <c r="T49" s="240"/>
      <c r="U49" s="115">
        <f t="shared" si="15"/>
        <v>0</v>
      </c>
      <c r="V49" s="884"/>
      <c r="W49" s="874">
        <f t="shared" si="16"/>
        <v>0</v>
      </c>
      <c r="X49" s="884"/>
      <c r="Y49" s="874">
        <f t="shared" si="17"/>
        <v>0</v>
      </c>
      <c r="Z49" s="241"/>
      <c r="AA49" s="116">
        <f t="shared" si="18"/>
        <v>0</v>
      </c>
      <c r="AB49" s="239"/>
      <c r="AC49" s="116">
        <f t="shared" si="19"/>
        <v>0</v>
      </c>
      <c r="AD49" s="242"/>
      <c r="AE49" s="117">
        <f t="shared" si="20"/>
        <v>0</v>
      </c>
      <c r="AF49" s="1228">
        <f>SUMIF('Otras Asesorías y Préstamos'!$B$7:$B$242,B49,'Otras Asesorías y Préstamos'!$F$7:$F$242)</f>
        <v>0</v>
      </c>
      <c r="AG49" s="1228">
        <f>SUMIF('Otras Asesorías y Préstamos'!$B$7:$B$242,B49,'Otras Asesorías y Préstamos'!$V$7:$V$242)</f>
        <v>0</v>
      </c>
      <c r="AH49" s="1229">
        <f t="shared" si="21"/>
        <v>930000</v>
      </c>
      <c r="AI49" s="8"/>
    </row>
    <row r="50" spans="1:36" x14ac:dyDescent="0.2">
      <c r="A50" s="1462">
        <f t="shared" si="22"/>
        <v>41</v>
      </c>
      <c r="B50" s="1097" t="s">
        <v>40</v>
      </c>
      <c r="C50" s="1185">
        <f>_xlfn.XLOOKUP(B50,Códigos!$B$8:$B$406,Códigos!$A$8:$A$406,"Verificar",0)</f>
        <v>299</v>
      </c>
      <c r="D50" s="1114">
        <f>_xlfn.XLOOKUP(B50,'Consolidado Cobros'!$B$10:$B$312,'Consolidado Cobros'!$C$10:$C$312,"Verificar",0)</f>
        <v>8105540</v>
      </c>
      <c r="E50" s="1186">
        <f t="shared" si="50"/>
        <v>7</v>
      </c>
      <c r="F50" s="1463">
        <f t="shared" si="51"/>
        <v>330000</v>
      </c>
      <c r="G50" s="1098"/>
      <c r="H50" s="1099"/>
      <c r="I50" s="1100"/>
      <c r="J50" s="1099"/>
      <c r="K50" s="1099"/>
      <c r="L50" s="1100"/>
      <c r="M50" s="1793"/>
      <c r="N50" s="1706"/>
      <c r="O50" s="8"/>
      <c r="P50" s="239" t="s">
        <v>318</v>
      </c>
      <c r="Q50" s="119">
        <f>ROUND(IF(P50="SI",SUMIF('C de C año anterior'!$B$8:$B$229,B50,'C de C año anterior'!$Q$8:$Q$229)*(100%+$Q$5),0),-3)+ROUND(IF(P50="SI",SUMIF('Facturas año anterior'!$B$8:$B$86,B50,'Facturas año anterior'!$V$8:$V$86)*(100%+$AA$5),0),-3)</f>
        <v>332000</v>
      </c>
      <c r="R50" s="239"/>
      <c r="S50" s="114">
        <f t="shared" si="14"/>
        <v>0</v>
      </c>
      <c r="T50" s="240"/>
      <c r="U50" s="115">
        <f t="shared" si="15"/>
        <v>0</v>
      </c>
      <c r="V50" s="884"/>
      <c r="W50" s="874">
        <f t="shared" si="16"/>
        <v>0</v>
      </c>
      <c r="X50" s="884"/>
      <c r="Y50" s="874">
        <f t="shared" si="17"/>
        <v>0</v>
      </c>
      <c r="Z50" s="241"/>
      <c r="AA50" s="116">
        <f t="shared" si="18"/>
        <v>0</v>
      </c>
      <c r="AB50" s="239"/>
      <c r="AC50" s="116">
        <f t="shared" si="19"/>
        <v>0</v>
      </c>
      <c r="AD50" s="242"/>
      <c r="AE50" s="117">
        <f t="shared" si="20"/>
        <v>0</v>
      </c>
      <c r="AF50" s="1228">
        <f>SUMIF('Otras Asesorías y Préstamos'!$B$7:$B$242,B50,'Otras Asesorías y Préstamos'!$F$7:$F$242)</f>
        <v>0</v>
      </c>
      <c r="AG50" s="1228">
        <f>SUMIF('Otras Asesorías y Préstamos'!$B$7:$B$242,B50,'Otras Asesorías y Préstamos'!$V$7:$V$242)</f>
        <v>0</v>
      </c>
      <c r="AH50" s="1229">
        <f t="shared" si="21"/>
        <v>330000</v>
      </c>
      <c r="AI50" s="8"/>
    </row>
    <row r="51" spans="1:36" x14ac:dyDescent="0.2">
      <c r="A51" s="1462">
        <f t="shared" si="22"/>
        <v>42</v>
      </c>
      <c r="B51" s="1097" t="s">
        <v>39</v>
      </c>
      <c r="C51" s="1185">
        <f>_xlfn.XLOOKUP(B51,Códigos!$B$8:$B$406,Códigos!$A$8:$A$406,"Verificar",0)</f>
        <v>295</v>
      </c>
      <c r="D51" s="1114">
        <f>_xlfn.XLOOKUP(B51,'Consolidado Cobros'!$B$10:$B$312,'Consolidado Cobros'!$C$10:$C$312,"Verificar",0)</f>
        <v>10059375</v>
      </c>
      <c r="E51" s="1186">
        <f t="shared" si="50"/>
        <v>8</v>
      </c>
      <c r="F51" s="1463">
        <f t="shared" si="51"/>
        <v>600000</v>
      </c>
      <c r="G51" s="1098"/>
      <c r="H51" s="1099"/>
      <c r="I51" s="1100"/>
      <c r="J51" s="1099"/>
      <c r="K51" s="1099"/>
      <c r="L51" s="1100"/>
      <c r="M51" s="1101"/>
      <c r="N51" s="1706"/>
      <c r="O51" s="8"/>
      <c r="P51" s="239" t="s">
        <v>318</v>
      </c>
      <c r="Q51" s="119">
        <f>ROUND(IF(P51="SI",SUMIF('C de C año anterior'!$B$8:$B$229,B51,'C de C año anterior'!$Q$8:$Q$229)*(100%+$Q$5),0),-3)+ROUND(IF(P51="SI",SUMIF('Facturas año anterior'!$B$8:$B$86,B51,'Facturas año anterior'!$V$8:$V$86)*(100%+$AA$5),0),-3)</f>
        <v>465000</v>
      </c>
      <c r="R51" s="239"/>
      <c r="S51" s="114">
        <f t="shared" si="14"/>
        <v>0</v>
      </c>
      <c r="T51" s="240"/>
      <c r="U51" s="115">
        <f t="shared" si="15"/>
        <v>0</v>
      </c>
      <c r="V51" s="884"/>
      <c r="W51" s="874">
        <f t="shared" si="16"/>
        <v>0</v>
      </c>
      <c r="X51" s="884"/>
      <c r="Y51" s="874">
        <f t="shared" si="17"/>
        <v>0</v>
      </c>
      <c r="Z51" s="241"/>
      <c r="AA51" s="116">
        <f t="shared" si="18"/>
        <v>0</v>
      </c>
      <c r="AB51" s="239"/>
      <c r="AC51" s="116">
        <f t="shared" si="19"/>
        <v>0</v>
      </c>
      <c r="AD51" s="242" t="s">
        <v>318</v>
      </c>
      <c r="AE51" s="117">
        <f t="shared" si="20"/>
        <v>139500</v>
      </c>
      <c r="AF51" s="1228">
        <f>SUMIF('Otras Asesorías y Préstamos'!$B$7:$B$242,B51,'Otras Asesorías y Préstamos'!$F$7:$F$242)</f>
        <v>0</v>
      </c>
      <c r="AG51" s="1228">
        <f>SUMIF('Otras Asesorías y Préstamos'!$B$7:$B$242,B51,'Otras Asesorías y Préstamos'!$V$7:$V$242)</f>
        <v>0</v>
      </c>
      <c r="AH51" s="1229">
        <f t="shared" si="21"/>
        <v>600000</v>
      </c>
      <c r="AI51" s="8"/>
    </row>
    <row r="52" spans="1:36" x14ac:dyDescent="0.2">
      <c r="A52" s="1462">
        <f t="shared" si="22"/>
        <v>43</v>
      </c>
      <c r="B52" s="1097" t="s">
        <v>42</v>
      </c>
      <c r="C52" s="1185">
        <f>_xlfn.XLOOKUP(B52,Códigos!$B$8:$B$406,Códigos!$A$8:$A$406,"Verificar",0)</f>
        <v>272</v>
      </c>
      <c r="D52" s="1114">
        <f>_xlfn.XLOOKUP(B52,'Consolidado Cobros'!$B$10:$B$312,'Consolidado Cobros'!$C$10:$C$312,"Verificar",0)</f>
        <v>43832021</v>
      </c>
      <c r="E52" s="1186">
        <f t="shared" si="50"/>
        <v>1</v>
      </c>
      <c r="F52" s="1463">
        <f t="shared" si="51"/>
        <v>360000</v>
      </c>
      <c r="G52" s="1098"/>
      <c r="H52" s="1099"/>
      <c r="I52" s="1100"/>
      <c r="J52" s="1099"/>
      <c r="K52" s="1099"/>
      <c r="L52" s="1100"/>
      <c r="M52" s="1793"/>
      <c r="N52" s="1706"/>
      <c r="O52" s="8"/>
      <c r="P52" s="239" t="s">
        <v>318</v>
      </c>
      <c r="Q52" s="119">
        <f>ROUND(IF(P52="SI",SUMIF('C de C año anterior'!$B$8:$B$229,B52,'C de C año anterior'!$Q$8:$Q$229)*(100%+$Q$5),0),-3)+ROUND(IF(P52="SI",SUMIF('Facturas año anterior'!$B$8:$B$86,B52,'Facturas año anterior'!$V$8:$V$86)*(100%+$AA$5),0),-3)</f>
        <v>363000</v>
      </c>
      <c r="R52" s="239"/>
      <c r="S52" s="114">
        <f t="shared" si="14"/>
        <v>0</v>
      </c>
      <c r="T52" s="240"/>
      <c r="U52" s="115">
        <f t="shared" si="15"/>
        <v>0</v>
      </c>
      <c r="V52" s="884"/>
      <c r="W52" s="874">
        <f t="shared" si="16"/>
        <v>0</v>
      </c>
      <c r="X52" s="884"/>
      <c r="Y52" s="874">
        <f t="shared" si="17"/>
        <v>0</v>
      </c>
      <c r="Z52" s="241"/>
      <c r="AA52" s="116">
        <f t="shared" si="18"/>
        <v>0</v>
      </c>
      <c r="AB52" s="239"/>
      <c r="AC52" s="116">
        <f t="shared" si="19"/>
        <v>0</v>
      </c>
      <c r="AD52" s="242"/>
      <c r="AE52" s="117">
        <f t="shared" si="20"/>
        <v>0</v>
      </c>
      <c r="AF52" s="1228">
        <f>SUMIF('Otras Asesorías y Préstamos'!$B$7:$B$242,B52,'Otras Asesorías y Préstamos'!$F$7:$F$242)</f>
        <v>0</v>
      </c>
      <c r="AG52" s="1228">
        <f>SUMIF('Otras Asesorías y Préstamos'!$B$7:$B$242,B52,'Otras Asesorías y Préstamos'!$V$7:$V$242)</f>
        <v>0</v>
      </c>
      <c r="AH52" s="1229">
        <f t="shared" si="21"/>
        <v>360000</v>
      </c>
      <c r="AI52" s="8"/>
    </row>
    <row r="53" spans="1:36" x14ac:dyDescent="0.2">
      <c r="A53" s="1462">
        <f t="shared" si="22"/>
        <v>44</v>
      </c>
      <c r="B53" s="1097" t="s">
        <v>43</v>
      </c>
      <c r="C53" s="1185">
        <f>_xlfn.XLOOKUP(B53,Códigos!$B$8:$B$406,Códigos!$A$8:$A$406,"Verificar",0)</f>
        <v>83</v>
      </c>
      <c r="D53" s="1114">
        <f>_xlfn.XLOOKUP(B53,'Consolidado Cobros'!$B$10:$B$312,'Consolidado Cobros'!$C$10:$C$312,"Verificar",0)</f>
        <v>42684082</v>
      </c>
      <c r="E53" s="1186">
        <f t="shared" si="50"/>
        <v>1</v>
      </c>
      <c r="F53" s="1463">
        <f t="shared" si="51"/>
        <v>690000</v>
      </c>
      <c r="G53" s="1098"/>
      <c r="H53" s="1099"/>
      <c r="I53" s="1100"/>
      <c r="J53" s="1099"/>
      <c r="K53" s="1099"/>
      <c r="L53" s="1100"/>
      <c r="M53" s="1101"/>
      <c r="N53" s="1706"/>
      <c r="O53" s="8"/>
      <c r="P53" s="239" t="s">
        <v>318</v>
      </c>
      <c r="Q53" s="119">
        <f>ROUND(IF(P53="SI",SUMIF('C de C año anterior'!$B$8:$B$229,B53,'C de C año anterior'!$Q$8:$Q$229)*(100%+$Q$5),0),-3)+ROUND(IF(P53="SI",SUMIF('Facturas año anterior'!$B$8:$B$86,B53,'Facturas año anterior'!$V$8:$V$86)*(100%+$AA$5),0),-3)</f>
        <v>688000</v>
      </c>
      <c r="R53" s="239"/>
      <c r="S53" s="114">
        <f t="shared" si="14"/>
        <v>0</v>
      </c>
      <c r="T53" s="240"/>
      <c r="U53" s="115">
        <f t="shared" si="15"/>
        <v>0</v>
      </c>
      <c r="V53" s="884"/>
      <c r="W53" s="874">
        <f t="shared" si="16"/>
        <v>0</v>
      </c>
      <c r="X53" s="884"/>
      <c r="Y53" s="874">
        <f t="shared" si="17"/>
        <v>0</v>
      </c>
      <c r="Z53" s="241"/>
      <c r="AA53" s="116">
        <f t="shared" si="18"/>
        <v>0</v>
      </c>
      <c r="AB53" s="239"/>
      <c r="AC53" s="116">
        <f t="shared" si="19"/>
        <v>0</v>
      </c>
      <c r="AD53" s="242"/>
      <c r="AE53" s="117">
        <f t="shared" si="20"/>
        <v>0</v>
      </c>
      <c r="AF53" s="1228">
        <f>SUMIF('Otras Asesorías y Préstamos'!$B$7:$B$242,B53,'Otras Asesorías y Préstamos'!$F$7:$F$242)</f>
        <v>0</v>
      </c>
      <c r="AG53" s="1228">
        <f>SUMIF('Otras Asesorías y Préstamos'!$B$7:$B$242,B53,'Otras Asesorías y Préstamos'!$V$7:$V$242)</f>
        <v>0</v>
      </c>
      <c r="AH53" s="1229">
        <f t="shared" si="21"/>
        <v>690000</v>
      </c>
      <c r="AI53" s="8"/>
    </row>
    <row r="54" spans="1:36" x14ac:dyDescent="0.2">
      <c r="A54" s="1462">
        <f t="shared" si="22"/>
        <v>45</v>
      </c>
      <c r="B54" s="1097" t="s">
        <v>44</v>
      </c>
      <c r="C54" s="1185">
        <f>_xlfn.XLOOKUP(B54,Códigos!$B$8:$B$406,Códigos!$A$8:$A$406,"Verificar",0)</f>
        <v>84</v>
      </c>
      <c r="D54" s="1114">
        <f>_xlfn.XLOOKUP(B54,'Consolidado Cobros'!$B$10:$B$312,'Consolidado Cobros'!$C$10:$C$312,"Verificar",0)</f>
        <v>3309812</v>
      </c>
      <c r="E54" s="1186">
        <f t="shared" si="50"/>
        <v>3</v>
      </c>
      <c r="F54" s="1463">
        <f t="shared" si="51"/>
        <v>350000</v>
      </c>
      <c r="G54" s="1098"/>
      <c r="H54" s="1099"/>
      <c r="I54" s="1100"/>
      <c r="J54" s="1099"/>
      <c r="K54" s="1099"/>
      <c r="L54" s="1100"/>
      <c r="M54" s="1793"/>
      <c r="N54" s="1706"/>
      <c r="O54" s="8"/>
      <c r="P54" s="239" t="s">
        <v>318</v>
      </c>
      <c r="Q54" s="119">
        <f>ROUND(IF(P54="SI",SUMIF('C de C año anterior'!$B$8:$B$229,B54,'C de C año anterior'!$Q$8:$Q$229)*(100%+$Q$5),0),-3)+ROUND(IF(P54="SI",SUMIF('Facturas año anterior'!$B$8:$B$86,B54,'Facturas año anterior'!$V$8:$V$86)*(100%+$AA$5),0),-3)</f>
        <v>350000</v>
      </c>
      <c r="R54" s="239"/>
      <c r="S54" s="114">
        <f t="shared" si="14"/>
        <v>0</v>
      </c>
      <c r="T54" s="240"/>
      <c r="U54" s="115">
        <f t="shared" si="15"/>
        <v>0</v>
      </c>
      <c r="V54" s="884"/>
      <c r="W54" s="874">
        <f t="shared" si="16"/>
        <v>0</v>
      </c>
      <c r="X54" s="884"/>
      <c r="Y54" s="874">
        <f t="shared" si="17"/>
        <v>0</v>
      </c>
      <c r="Z54" s="241"/>
      <c r="AA54" s="116">
        <f t="shared" si="18"/>
        <v>0</v>
      </c>
      <c r="AB54" s="239"/>
      <c r="AC54" s="116">
        <f t="shared" si="19"/>
        <v>0</v>
      </c>
      <c r="AD54" s="242"/>
      <c r="AE54" s="117">
        <f t="shared" si="20"/>
        <v>0</v>
      </c>
      <c r="AF54" s="1228">
        <f>SUMIF('Otras Asesorías y Préstamos'!$B$7:$B$242,B54,'Otras Asesorías y Préstamos'!$F$7:$F$242)</f>
        <v>0</v>
      </c>
      <c r="AG54" s="1228">
        <f>SUMIF('Otras Asesorías y Préstamos'!$B$7:$B$242,B54,'Otras Asesorías y Préstamos'!$V$7:$V$242)</f>
        <v>0</v>
      </c>
      <c r="AH54" s="1229">
        <f t="shared" si="21"/>
        <v>350000</v>
      </c>
      <c r="AI54" s="8"/>
    </row>
    <row r="55" spans="1:36" x14ac:dyDescent="0.2">
      <c r="A55" s="1462">
        <f t="shared" si="22"/>
        <v>46</v>
      </c>
      <c r="B55" s="1097" t="s">
        <v>313</v>
      </c>
      <c r="C55" s="1185">
        <f>_xlfn.XLOOKUP(B55,Códigos!$B$8:$B$406,Códigos!$A$8:$A$406,"Verificar",0)</f>
        <v>329</v>
      </c>
      <c r="D55" s="1114">
        <f>_xlfn.XLOOKUP(B55,'Consolidado Cobros'!$B$10:$B$312,'Consolidado Cobros'!$C$10:$C$312,"Verificar",0)</f>
        <v>21344340</v>
      </c>
      <c r="E55" s="1186">
        <f t="shared" si="50"/>
        <v>2</v>
      </c>
      <c r="F55" s="1463">
        <f t="shared" si="51"/>
        <v>350000</v>
      </c>
      <c r="G55" s="1098"/>
      <c r="H55" s="1099"/>
      <c r="I55" s="1100"/>
      <c r="J55" s="1099"/>
      <c r="K55" s="1099"/>
      <c r="L55" s="1100"/>
      <c r="M55" s="1793"/>
      <c r="N55" s="1706"/>
      <c r="O55" s="8"/>
      <c r="P55" s="239" t="s">
        <v>318</v>
      </c>
      <c r="Q55" s="119">
        <f>ROUND(IF(P55="SI",SUMIF('C de C año anterior'!$B$8:$B$229,B55,'C de C año anterior'!$Q$8:$Q$229)*(100%+$Q$5),0),-3)+ROUND(IF(P55="SI",SUMIF('Facturas año anterior'!$B$8:$B$86,B55,'Facturas año anterior'!$V$8:$V$86)*(100%+$AA$5),0),-3)</f>
        <v>350000</v>
      </c>
      <c r="R55" s="239"/>
      <c r="S55" s="114">
        <f t="shared" si="14"/>
        <v>0</v>
      </c>
      <c r="T55" s="240"/>
      <c r="U55" s="115">
        <f t="shared" si="15"/>
        <v>0</v>
      </c>
      <c r="V55" s="884"/>
      <c r="W55" s="874">
        <f t="shared" si="16"/>
        <v>0</v>
      </c>
      <c r="X55" s="884"/>
      <c r="Y55" s="874">
        <f t="shared" si="17"/>
        <v>0</v>
      </c>
      <c r="Z55" s="241"/>
      <c r="AA55" s="116">
        <f t="shared" si="18"/>
        <v>0</v>
      </c>
      <c r="AB55" s="239"/>
      <c r="AC55" s="116">
        <f t="shared" si="19"/>
        <v>0</v>
      </c>
      <c r="AD55" s="242"/>
      <c r="AE55" s="117">
        <f t="shared" si="20"/>
        <v>0</v>
      </c>
      <c r="AF55" s="1228">
        <f>SUMIF('Otras Asesorías y Préstamos'!$B$7:$B$242,B55,'Otras Asesorías y Préstamos'!$F$7:$F$242)</f>
        <v>0</v>
      </c>
      <c r="AG55" s="1228">
        <f>SUMIF('Otras Asesorías y Préstamos'!$B$7:$B$242,B55,'Otras Asesorías y Préstamos'!$V$7:$V$242)</f>
        <v>0</v>
      </c>
      <c r="AH55" s="1229">
        <f t="shared" si="21"/>
        <v>350000</v>
      </c>
      <c r="AI55" s="8"/>
    </row>
    <row r="56" spans="1:36" x14ac:dyDescent="0.2">
      <c r="A56" s="1462">
        <f t="shared" si="22"/>
        <v>47</v>
      </c>
      <c r="B56" s="1097" t="s">
        <v>432</v>
      </c>
      <c r="C56" s="1185">
        <f>_xlfn.XLOOKUP(B56,Códigos!$B$8:$B$406,Códigos!$A$8:$A$406,"Verificar",0)</f>
        <v>85</v>
      </c>
      <c r="D56" s="1114">
        <f>_xlfn.XLOOKUP(B56,'Consolidado Cobros'!$B$10:$B$312,'Consolidado Cobros'!$C$10:$C$312,"Verificar",0)</f>
        <v>42888678</v>
      </c>
      <c r="E56" s="1186">
        <f t="shared" si="50"/>
        <v>7</v>
      </c>
      <c r="F56" s="1463">
        <f t="shared" si="51"/>
        <v>640000</v>
      </c>
      <c r="G56" s="1098"/>
      <c r="H56" s="1099"/>
      <c r="I56" s="1100"/>
      <c r="J56" s="1099"/>
      <c r="K56" s="1099"/>
      <c r="L56" s="1100"/>
      <c r="M56" s="1795"/>
      <c r="N56" s="1706"/>
      <c r="O56" s="8"/>
      <c r="P56" s="239" t="s">
        <v>318</v>
      </c>
      <c r="Q56" s="119">
        <f>ROUND(IF(P56="SI",SUMIF('C de C año anterior'!$B$8:$B$229,B56,'C de C año anterior'!$Q$8:$Q$229)*(100%+$Q$5),0),-3)+ROUND(IF(P56="SI",SUMIF('Facturas año anterior'!$B$8:$B$86,B56,'Facturas año anterior'!$V$8:$V$86)*(100%+$AA$5),0),-3)</f>
        <v>495000</v>
      </c>
      <c r="R56" s="239"/>
      <c r="S56" s="114">
        <f t="shared" si="14"/>
        <v>0</v>
      </c>
      <c r="T56" s="240"/>
      <c r="U56" s="115">
        <f t="shared" si="15"/>
        <v>0</v>
      </c>
      <c r="V56" s="884"/>
      <c r="W56" s="874">
        <f t="shared" si="16"/>
        <v>0</v>
      </c>
      <c r="X56" s="884"/>
      <c r="Y56" s="874">
        <f t="shared" si="17"/>
        <v>0</v>
      </c>
      <c r="Z56" s="241"/>
      <c r="AA56" s="116">
        <f t="shared" si="18"/>
        <v>0</v>
      </c>
      <c r="AB56" s="239"/>
      <c r="AC56" s="116">
        <f t="shared" si="19"/>
        <v>0</v>
      </c>
      <c r="AD56" s="242" t="s">
        <v>318</v>
      </c>
      <c r="AE56" s="117">
        <f t="shared" si="20"/>
        <v>148500</v>
      </c>
      <c r="AF56" s="1228">
        <f>SUMIF('Otras Asesorías y Préstamos'!$B$7:$B$242,B56,'Otras Asesorías y Préstamos'!$F$7:$F$242)</f>
        <v>0</v>
      </c>
      <c r="AG56" s="1228">
        <f>SUMIF('Otras Asesorías y Préstamos'!$B$7:$B$242,B56,'Otras Asesorías y Préstamos'!$V$7:$V$242)</f>
        <v>0</v>
      </c>
      <c r="AH56" s="1229">
        <f t="shared" si="21"/>
        <v>640000</v>
      </c>
      <c r="AI56" s="8"/>
    </row>
    <row r="57" spans="1:36" x14ac:dyDescent="0.2">
      <c r="A57" s="1462">
        <f t="shared" si="22"/>
        <v>48</v>
      </c>
      <c r="B57" s="1097" t="s">
        <v>46</v>
      </c>
      <c r="C57" s="1185">
        <f>_xlfn.XLOOKUP(B57,Códigos!$B$8:$B$406,Códigos!$A$8:$A$406,"Verificar",0)</f>
        <v>273</v>
      </c>
      <c r="D57" s="1114">
        <f>_xlfn.XLOOKUP(B57,'Consolidado Cobros'!$B$10:$B$312,'Consolidado Cobros'!$C$10:$C$312,"Verificar",0)</f>
        <v>43870119</v>
      </c>
      <c r="E57" s="1186">
        <f t="shared" si="50"/>
        <v>6</v>
      </c>
      <c r="F57" s="1463">
        <f t="shared" si="51"/>
        <v>640000</v>
      </c>
      <c r="G57" s="1098"/>
      <c r="H57" s="1099"/>
      <c r="I57" s="1100"/>
      <c r="J57" s="1099"/>
      <c r="K57" s="1099"/>
      <c r="L57" s="1100"/>
      <c r="M57" s="1793"/>
      <c r="N57" s="1706"/>
      <c r="O57" s="8"/>
      <c r="P57" s="239" t="s">
        <v>318</v>
      </c>
      <c r="Q57" s="119">
        <f>ROUND(IF(P57="SI",SUMIF('C de C año anterior'!$B$8:$B$229,B57,'C de C año anterior'!$Q$8:$Q$229)*(100%+$Q$5),0),-3)+ROUND(IF(P57="SI",SUMIF('Facturas año anterior'!$B$8:$B$86,B57,'Facturas año anterior'!$V$8:$V$86)*(100%+$AA$5),0),-3)</f>
        <v>640000</v>
      </c>
      <c r="R57" s="239"/>
      <c r="S57" s="114">
        <f t="shared" si="14"/>
        <v>0</v>
      </c>
      <c r="T57" s="240"/>
      <c r="U57" s="115">
        <f t="shared" si="15"/>
        <v>0</v>
      </c>
      <c r="V57" s="884"/>
      <c r="W57" s="874">
        <f t="shared" si="16"/>
        <v>0</v>
      </c>
      <c r="X57" s="884"/>
      <c r="Y57" s="874">
        <f t="shared" si="17"/>
        <v>0</v>
      </c>
      <c r="Z57" s="241"/>
      <c r="AA57" s="116">
        <f t="shared" si="18"/>
        <v>0</v>
      </c>
      <c r="AB57" s="239"/>
      <c r="AC57" s="116">
        <f t="shared" si="19"/>
        <v>0</v>
      </c>
      <c r="AD57" s="242"/>
      <c r="AE57" s="117">
        <f t="shared" si="20"/>
        <v>0</v>
      </c>
      <c r="AF57" s="1228">
        <f>SUMIF('Otras Asesorías y Préstamos'!$B$7:$B$242,B57,'Otras Asesorías y Préstamos'!$F$7:$F$242)</f>
        <v>0</v>
      </c>
      <c r="AG57" s="1228">
        <f>SUMIF('Otras Asesorías y Préstamos'!$B$7:$B$242,B57,'Otras Asesorías y Préstamos'!$V$7:$V$242)</f>
        <v>0</v>
      </c>
      <c r="AH57" s="1229">
        <f t="shared" si="21"/>
        <v>640000</v>
      </c>
      <c r="AI57" s="8"/>
    </row>
    <row r="58" spans="1:36" x14ac:dyDescent="0.2">
      <c r="A58" s="1462">
        <f t="shared" si="22"/>
        <v>49</v>
      </c>
      <c r="B58" s="1097" t="s">
        <v>47</v>
      </c>
      <c r="C58" s="1185">
        <f>_xlfn.XLOOKUP(B58,Códigos!$B$8:$B$406,Códigos!$A$8:$A$406,"Verificar",0)</f>
        <v>87</v>
      </c>
      <c r="D58" s="1114">
        <f>_xlfn.XLOOKUP(B58,'Consolidado Cobros'!$B$10:$B$312,'Consolidado Cobros'!$C$10:$C$312,"Verificar",0)</f>
        <v>1000410740</v>
      </c>
      <c r="E58" s="1186">
        <f t="shared" si="50"/>
        <v>2</v>
      </c>
      <c r="F58" s="1463">
        <f t="shared" si="51"/>
        <v>0</v>
      </c>
      <c r="G58" s="1098"/>
      <c r="H58" s="1867"/>
      <c r="I58" s="1100"/>
      <c r="J58" s="1099"/>
      <c r="K58" s="1099"/>
      <c r="L58" s="1100"/>
      <c r="M58" s="1101"/>
      <c r="N58" s="1708"/>
      <c r="O58" s="8"/>
      <c r="P58" s="239" t="s">
        <v>266</v>
      </c>
      <c r="Q58" s="119">
        <f>ROUND(IF(P58="SI",SUMIF('C de C año anterior'!$B$8:$B$229,B58,'C de C año anterior'!$Q$8:$Q$229)*(100%+$Q$5),0),-3)+ROUND(IF(P58="SI",SUMIF('Facturas año anterior'!$B$8:$B$86,B58,'Facturas año anterior'!$V$8:$V$86)*(100%+$AA$5),0),-3)</f>
        <v>0</v>
      </c>
      <c r="R58" s="239"/>
      <c r="S58" s="114">
        <f t="shared" si="14"/>
        <v>0</v>
      </c>
      <c r="T58" s="240"/>
      <c r="U58" s="115">
        <f t="shared" si="15"/>
        <v>0</v>
      </c>
      <c r="V58" s="884"/>
      <c r="W58" s="874">
        <f t="shared" si="16"/>
        <v>0</v>
      </c>
      <c r="X58" s="884"/>
      <c r="Y58" s="874">
        <f t="shared" si="17"/>
        <v>0</v>
      </c>
      <c r="Z58" s="241"/>
      <c r="AA58" s="116">
        <f t="shared" si="18"/>
        <v>0</v>
      </c>
      <c r="AB58" s="239"/>
      <c r="AC58" s="116">
        <f t="shared" si="19"/>
        <v>0</v>
      </c>
      <c r="AD58" s="242"/>
      <c r="AE58" s="117">
        <f t="shared" si="20"/>
        <v>0</v>
      </c>
      <c r="AF58" s="1228">
        <f>SUMIF('Otras Asesorías y Préstamos'!$B$7:$B$242,B58,'Otras Asesorías y Préstamos'!$F$7:$F$242)</f>
        <v>0</v>
      </c>
      <c r="AG58" s="1228">
        <f>SUMIF('Otras Asesorías y Préstamos'!$B$7:$B$242,B58,'Otras Asesorías y Préstamos'!$V$7:$V$242)</f>
        <v>0</v>
      </c>
      <c r="AH58" s="1229">
        <f t="shared" si="21"/>
        <v>0</v>
      </c>
      <c r="AI58" s="8"/>
    </row>
    <row r="59" spans="1:36" x14ac:dyDescent="0.2">
      <c r="A59" s="1462">
        <f t="shared" si="22"/>
        <v>50</v>
      </c>
      <c r="B59" s="1791" t="s">
        <v>48</v>
      </c>
      <c r="C59" s="1185">
        <f>_xlfn.XLOOKUP(B59,Códigos!$B$8:$B$406,Códigos!$A$8:$A$406,"Verificar",0)</f>
        <v>88</v>
      </c>
      <c r="D59" s="1114">
        <f>_xlfn.XLOOKUP(B59,'Consolidado Cobros'!$B$10:$B$312,'Consolidado Cobros'!$C$10:$C$312,"Verificar",0)</f>
        <v>1017922378</v>
      </c>
      <c r="E59" s="1186">
        <f t="shared" si="50"/>
        <v>8</v>
      </c>
      <c r="F59" s="1463">
        <f t="shared" si="51"/>
        <v>590000</v>
      </c>
      <c r="G59" s="1098"/>
      <c r="H59" s="1099"/>
      <c r="I59" s="1100"/>
      <c r="J59" s="1099"/>
      <c r="K59" s="1099"/>
      <c r="L59" s="1100"/>
      <c r="M59" s="1101"/>
      <c r="N59" s="1708"/>
      <c r="O59" s="8"/>
      <c r="P59" s="239" t="s">
        <v>318</v>
      </c>
      <c r="Q59" s="119">
        <f>ROUND(IF(P59="SI",SUMIF('C de C año anterior'!$B$8:$B$229,B59,'C de C año anterior'!$Q$8:$Q$229)*(100%+$Q$5),0),-3)+ROUND(IF(P59="SI",SUMIF('Facturas año anterior'!$B$8:$B$86,B59,'Facturas año anterior'!$V$8:$V$86)*(100%+$AA$5),0),-3)</f>
        <v>453000</v>
      </c>
      <c r="R59" s="239"/>
      <c r="S59" s="114">
        <f t="shared" si="14"/>
        <v>0</v>
      </c>
      <c r="T59" s="240"/>
      <c r="U59" s="115">
        <f t="shared" si="15"/>
        <v>0</v>
      </c>
      <c r="V59" s="884"/>
      <c r="W59" s="874">
        <f t="shared" si="16"/>
        <v>0</v>
      </c>
      <c r="X59" s="884"/>
      <c r="Y59" s="874">
        <f t="shared" si="17"/>
        <v>0</v>
      </c>
      <c r="Z59" s="241"/>
      <c r="AA59" s="116">
        <f t="shared" si="18"/>
        <v>0</v>
      </c>
      <c r="AB59" s="239"/>
      <c r="AC59" s="116">
        <f t="shared" si="19"/>
        <v>0</v>
      </c>
      <c r="AD59" s="242" t="s">
        <v>318</v>
      </c>
      <c r="AE59" s="117">
        <f t="shared" si="20"/>
        <v>135900</v>
      </c>
      <c r="AF59" s="1228">
        <f>SUMIF('Otras Asesorías y Préstamos'!$B$7:$B$242,B59,'Otras Asesorías y Préstamos'!$F$7:$F$242)</f>
        <v>0</v>
      </c>
      <c r="AG59" s="1228">
        <f>SUMIF('Otras Asesorías y Préstamos'!$B$7:$B$242,B59,'Otras Asesorías y Préstamos'!$V$7:$V$242)</f>
        <v>0</v>
      </c>
      <c r="AH59" s="1229">
        <f t="shared" si="21"/>
        <v>590000</v>
      </c>
      <c r="AI59" s="8"/>
    </row>
    <row r="60" spans="1:36" x14ac:dyDescent="0.2">
      <c r="A60" s="1462">
        <f t="shared" si="22"/>
        <v>51</v>
      </c>
      <c r="B60" s="1097" t="s">
        <v>774</v>
      </c>
      <c r="C60" s="1185">
        <f>_xlfn.XLOOKUP(B60,Códigos!$B$8:$B$406,Códigos!$A$8:$A$406,"Verificar",0)</f>
        <v>309</v>
      </c>
      <c r="D60" s="1114">
        <f>_xlfn.XLOOKUP(B60,'Consolidado Cobros'!$B$10:$B$312,'Consolidado Cobros'!$C$10:$C$312,"Verificar",0)</f>
        <v>42780425</v>
      </c>
      <c r="E60" s="1186">
        <f t="shared" ref="E60" si="52">IF((MOD((VALUE(MID(TEXT(D60,"000000000000000"),15,1))*3+VALUE(MID(TEXT(D60,"000000000000000"),14,1))*7+VALUE(MID(TEXT(D60,"000000000000000"),13,1))*13+VALUE(MID(TEXT(D60,"000000000000000"),12,1))*17+VALUE(MID(TEXT(D60,"000000000000000"),11,1))*19+VALUE(MID(TEXT(D60,"000000000000000"),10,1))*23+VALUE(MID(TEXT(D60,"000000000000000"),9,1))*29+VALUE(MID(TEXT(D60,"000000000000000"),8,1))*37+VALUE(MID(TEXT(D60,"000000000000000"),7,1))*41+VALUE(MID(TEXT(D60,"000000000000000"),6,1))*43+VALUE(MID(TEXT(D60,"000000000000000"),5,1))*47+VALUE(MID(TEXT(D60,"000000000000000"),4,1))*53+VALUE(MID(TEXT(D60,"000000000000000"),3,1))*59+VALUE(MID(TEXT(D60,"000000000000000"),2,1))*67+VALUE(MID(TEXT(D60,"000000000000000"),1,1))*71),11))=0,0,IF((MOD((VALUE(MID(TEXT(D60,"000000000000000"),15,1))*3+VALUE(MID(TEXT(D60,"000000000000000"),14,1))*7+VALUE(MID(TEXT(D60,"000000000000000"),13,1))*13+VALUE(MID(TEXT(D60,"000000000000000"),12,1))*17+VALUE(MID(TEXT(D60,"000000000000000"),11,1))*19+VALUE(MID(TEXT(D60,"000000000000000"),10,1))*23+VALUE(MID(TEXT(D60,"000000000000000"),9,1))*29+VALUE(MID(TEXT(D60,"000000000000000"),8,1))*37+VALUE(MID(TEXT(D60,"000000000000000"),7,1))*41+VALUE(MID(TEXT(D60,"000000000000000"),6,1))*43+VALUE(MID(TEXT(D60,"000000000000000"),5,1))*47+VALUE(MID(TEXT(D60,"000000000000000"),4,1))*53+VALUE(MID(TEXT(D60,"000000000000000"),3,1))*59+VALUE(MID(TEXT(D60,"000000000000000"),2,1))*67+VALUE(MID(TEXT(D60,"000000000000000"),1,1))*71),11))=1,1,11-(MOD((VALUE(MID(TEXT(D60,"000000000000000"),15,1))*3+VALUE(MID(TEXT(D60,"000000000000000"),14,1))*7+VALUE(MID(TEXT(D60,"000000000000000"),13,1))*13+VALUE(MID(TEXT(D60,"000000000000000"),12,1))*17+VALUE(MID(TEXT(D60,"000000000000000"),11,1))*19+VALUE(MID(TEXT(D60,"000000000000000"),10,1))*23+VALUE(MID(TEXT(D60,"000000000000000"),9,1))*29+VALUE(MID(TEXT(D60,"000000000000000"),8,1))*37+VALUE(MID(TEXT(D60,"000000000000000"),7,1))*41+VALUE(MID(TEXT(D60,"000000000000000"),6,1))*43+VALUE(MID(TEXT(D60,"000000000000000"),5,1))*47+VALUE(MID(TEXT(D60,"000000000000000"),4,1))*53+VALUE(MID(TEXT(D60,"000000000000000"),3,1))*59+VALUE(MID(TEXT(D60,"000000000000000"),2,1))*67+VALUE(MID(TEXT(D60,"000000000000000"),1,1))*71),11))))</f>
        <v>5</v>
      </c>
      <c r="F60" s="1463">
        <f t="shared" ref="F60" si="53">+AH60</f>
        <v>170000</v>
      </c>
      <c r="G60" s="1362"/>
      <c r="H60" s="1099"/>
      <c r="I60" s="1100"/>
      <c r="J60" s="1099"/>
      <c r="K60" s="1099"/>
      <c r="L60" s="1100"/>
      <c r="M60" s="1793"/>
      <c r="N60" s="1708"/>
      <c r="O60" s="8"/>
      <c r="P60" s="239" t="s">
        <v>318</v>
      </c>
      <c r="Q60" s="119">
        <f>ROUND(IF(P60="SI",SUMIF('C de C año anterior'!$B$8:$B$229,B60,'C de C año anterior'!$Q$8:$Q$229)*(100%+$Q$5),0),-3)+ROUND(IF(P60="SI",SUMIF('Facturas año anterior'!$B$8:$B$86,B60,'Facturas año anterior'!$V$8:$V$86)*(100%+$AA$5),0),-3)</f>
        <v>166000</v>
      </c>
      <c r="R60" s="239"/>
      <c r="S60" s="114">
        <f t="shared" ref="S60" si="54">ROUND(IF(R60="SI",Q60*$S$5,0),-3)</f>
        <v>0</v>
      </c>
      <c r="T60" s="240"/>
      <c r="U60" s="115">
        <f t="shared" ref="U60" si="55">ROUND(IF(T60="SI",Q60*$U$5,0),-3)</f>
        <v>0</v>
      </c>
      <c r="V60" s="884"/>
      <c r="W60" s="874">
        <f t="shared" ref="W60" si="56">ROUND(IF(V60="SI",Q60*$W$5,0),-3)</f>
        <v>0</v>
      </c>
      <c r="X60" s="884"/>
      <c r="Y60" s="874">
        <f t="shared" ref="Y60" si="57">ROUND(IF(X60="SI",Q60*$Y$5,0),-3)</f>
        <v>0</v>
      </c>
      <c r="Z60" s="241"/>
      <c r="AA60" s="116">
        <f t="shared" ref="AA60" si="58">ROUND(IF(Z60="SI",Q60*$AA$5,0),-3)</f>
        <v>0</v>
      </c>
      <c r="AB60" s="239"/>
      <c r="AC60" s="116">
        <f t="shared" ref="AC60" si="59">ROUND(IF(AB60="SI",Q60*$AC$5,0),-3)</f>
        <v>0</v>
      </c>
      <c r="AD60" s="242"/>
      <c r="AE60" s="117">
        <f t="shared" ref="AE60" si="60">IF(AD60="SI",Q60*$AE$5,0)</f>
        <v>0</v>
      </c>
      <c r="AF60" s="1228">
        <f>SUMIF('Otras Asesorías y Préstamos'!$B$7:$B$242,B60,'Otras Asesorías y Préstamos'!$F$7:$F$242)</f>
        <v>0</v>
      </c>
      <c r="AG60" s="1228">
        <f>SUMIF('Otras Asesorías y Préstamos'!$B$7:$B$242,B60,'Otras Asesorías y Préstamos'!$V$7:$V$242)</f>
        <v>0</v>
      </c>
      <c r="AH60" s="1229">
        <f t="shared" ref="AH60" si="61">ROUND(SUM(Q60:AG60),-4)</f>
        <v>170000</v>
      </c>
      <c r="AI60" s="8"/>
    </row>
    <row r="61" spans="1:36" x14ac:dyDescent="0.2">
      <c r="A61" s="1462">
        <f t="shared" si="22"/>
        <v>52</v>
      </c>
      <c r="B61" s="1137" t="s">
        <v>657</v>
      </c>
      <c r="C61" s="1185">
        <f>_xlfn.XLOOKUP(B61,Códigos!$B$8:$B$406,Códigos!$A$8:$A$406,"Verificar",0)</f>
        <v>244</v>
      </c>
      <c r="D61" s="1114">
        <f>_xlfn.XLOOKUP(B61,'Consolidado Cobros'!$B$10:$B$312,'Consolidado Cobros'!$C$10:$C$312,"Verificar",0)</f>
        <v>71227472</v>
      </c>
      <c r="E61" s="1186">
        <f t="shared" si="50"/>
        <v>7</v>
      </c>
      <c r="F61" s="1463">
        <f t="shared" ref="F61" si="62">+AH61</f>
        <v>300000</v>
      </c>
      <c r="G61" s="1098"/>
      <c r="H61" s="1867"/>
      <c r="I61" s="1100"/>
      <c r="J61" s="1099"/>
      <c r="K61" s="1099"/>
      <c r="L61" s="1100"/>
      <c r="M61" s="1101"/>
      <c r="N61" s="1706"/>
      <c r="O61" s="8"/>
      <c r="P61" s="239" t="s">
        <v>318</v>
      </c>
      <c r="Q61" s="119">
        <f>ROUND(IF(P61="SI",SUMIF('C de C año anterior'!$B$8:$B$229,B61,'C de C año anterior'!$Q$8:$Q$229)*(100%+$Q$5),0),-3)+ROUND(IF(P61="SI",SUMIF('Facturas año anterior'!$B$8:$B$86,B61,'Facturas año anterior'!$V$8:$V$86)*(100%+$AA$5),0),-3)</f>
        <v>302000</v>
      </c>
      <c r="R61" s="239"/>
      <c r="S61" s="114">
        <f t="shared" si="14"/>
        <v>0</v>
      </c>
      <c r="T61" s="240"/>
      <c r="U61" s="115">
        <f t="shared" si="15"/>
        <v>0</v>
      </c>
      <c r="V61" s="884"/>
      <c r="W61" s="874">
        <f t="shared" si="16"/>
        <v>0</v>
      </c>
      <c r="X61" s="884"/>
      <c r="Y61" s="874">
        <f t="shared" si="17"/>
        <v>0</v>
      </c>
      <c r="Z61" s="241"/>
      <c r="AA61" s="116">
        <f t="shared" si="18"/>
        <v>0</v>
      </c>
      <c r="AB61" s="239"/>
      <c r="AC61" s="116">
        <f t="shared" si="19"/>
        <v>0</v>
      </c>
      <c r="AD61" s="242"/>
      <c r="AE61" s="117">
        <f t="shared" si="20"/>
        <v>0</v>
      </c>
      <c r="AF61" s="1228">
        <f>SUMIF('Otras Asesorías y Préstamos'!$B$7:$B$242,B61,'Otras Asesorías y Préstamos'!$F$7:$F$242)</f>
        <v>0</v>
      </c>
      <c r="AG61" s="1228">
        <f>SUMIF('Otras Asesorías y Préstamos'!$B$7:$B$242,B61,'Otras Asesorías y Préstamos'!$V$7:$V$242)</f>
        <v>0</v>
      </c>
      <c r="AH61" s="1229">
        <f t="shared" si="21"/>
        <v>300000</v>
      </c>
      <c r="AI61" s="8"/>
    </row>
    <row r="62" spans="1:36" x14ac:dyDescent="0.2">
      <c r="A62" s="1462">
        <f t="shared" si="22"/>
        <v>53</v>
      </c>
      <c r="B62" s="1097" t="s">
        <v>52</v>
      </c>
      <c r="C62" s="1185">
        <f>_xlfn.XLOOKUP(B62,Códigos!$B$8:$B$406,Códigos!$A$8:$A$406,"Verificar",0)</f>
        <v>91</v>
      </c>
      <c r="D62" s="1114">
        <f>_xlfn.XLOOKUP(B62,'Consolidado Cobros'!$B$10:$B$312,'Consolidado Cobros'!$C$10:$C$312,"Verificar",0)</f>
        <v>71639489</v>
      </c>
      <c r="E62" s="1186">
        <f t="shared" si="50"/>
        <v>1</v>
      </c>
      <c r="F62" s="1463">
        <f t="shared" si="51"/>
        <v>360000</v>
      </c>
      <c r="G62" s="1098"/>
      <c r="H62" s="1099"/>
      <c r="I62" s="1100"/>
      <c r="J62" s="1099"/>
      <c r="K62" s="1099"/>
      <c r="L62" s="1100"/>
      <c r="M62" s="1101"/>
      <c r="N62" s="1706"/>
      <c r="O62" s="8"/>
      <c r="P62" s="239" t="s">
        <v>318</v>
      </c>
      <c r="Q62" s="119">
        <f>ROUND(IF(P62="SI",SUMIF('C de C año anterior'!$B$8:$B$229,B62,'C de C año anterior'!$Q$8:$Q$229)*(100%+$Q$5),0),-3)+ROUND(IF(P62="SI",SUMIF('Facturas año anterior'!$B$8:$B$86,B62,'Facturas año anterior'!$V$8:$V$86)*(100%+$AA$5),0),-3)</f>
        <v>363000</v>
      </c>
      <c r="R62" s="239"/>
      <c r="S62" s="114">
        <f t="shared" si="14"/>
        <v>0</v>
      </c>
      <c r="T62" s="240"/>
      <c r="U62" s="115">
        <f t="shared" si="15"/>
        <v>0</v>
      </c>
      <c r="V62" s="884"/>
      <c r="W62" s="874">
        <f t="shared" si="16"/>
        <v>0</v>
      </c>
      <c r="X62" s="884"/>
      <c r="Y62" s="874">
        <f t="shared" si="17"/>
        <v>0</v>
      </c>
      <c r="Z62" s="241"/>
      <c r="AA62" s="116">
        <f t="shared" si="18"/>
        <v>0</v>
      </c>
      <c r="AB62" s="239"/>
      <c r="AC62" s="116">
        <f t="shared" si="19"/>
        <v>0</v>
      </c>
      <c r="AD62" s="242"/>
      <c r="AE62" s="117">
        <f t="shared" si="20"/>
        <v>0</v>
      </c>
      <c r="AF62" s="1228">
        <f>SUMIF('Otras Asesorías y Préstamos'!$B$7:$B$242,B62,'Otras Asesorías y Préstamos'!$F$7:$F$242)</f>
        <v>0</v>
      </c>
      <c r="AG62" s="1228">
        <f>SUMIF('Otras Asesorías y Préstamos'!$B$7:$B$242,B62,'Otras Asesorías y Préstamos'!$V$7:$V$242)</f>
        <v>0</v>
      </c>
      <c r="AH62" s="1229">
        <f t="shared" si="21"/>
        <v>360000</v>
      </c>
      <c r="AI62" s="8"/>
    </row>
    <row r="63" spans="1:36" x14ac:dyDescent="0.2">
      <c r="A63" s="1462">
        <f t="shared" si="22"/>
        <v>54</v>
      </c>
      <c r="B63" s="1097" t="s">
        <v>53</v>
      </c>
      <c r="C63" s="1185">
        <f>_xlfn.XLOOKUP(B63,Códigos!$B$8:$B$406,Códigos!$A$8:$A$406,"Verificar",0)</f>
        <v>222</v>
      </c>
      <c r="D63" s="1114">
        <f>_xlfn.XLOOKUP(B63,'Consolidado Cobros'!$B$10:$B$312,'Consolidado Cobros'!$C$10:$C$312,"Verificar",0)</f>
        <v>8268050</v>
      </c>
      <c r="E63" s="1186">
        <f t="shared" si="50"/>
        <v>9</v>
      </c>
      <c r="F63" s="1463">
        <f t="shared" si="51"/>
        <v>5130000</v>
      </c>
      <c r="G63" s="1098"/>
      <c r="H63" s="1867"/>
      <c r="I63" s="1100"/>
      <c r="J63" s="1099"/>
      <c r="K63" s="1099"/>
      <c r="L63" s="1262"/>
      <c r="M63" s="1266"/>
      <c r="N63" s="1706"/>
      <c r="O63" s="8"/>
      <c r="P63" s="239" t="s">
        <v>318</v>
      </c>
      <c r="Q63" s="119">
        <f>ROUND(IF(P63="SI",SUMIF('C de C año anterior'!$B$8:$B$229,B63,'C de C año anterior'!$Q$8:$Q$229)*(100%+$Q$5),0),-3)+ROUND(IF(P63="SI",SUMIF('Facturas año anterior'!$B$8:$B$86,B63,'Facturas año anterior'!$V$8:$V$86)*(100%+$AA$5),0),-3)</f>
        <v>2011000</v>
      </c>
      <c r="R63" s="239" t="s">
        <v>318</v>
      </c>
      <c r="S63" s="114">
        <f t="shared" si="14"/>
        <v>1006000</v>
      </c>
      <c r="T63" s="240" t="s">
        <v>318</v>
      </c>
      <c r="U63" s="115">
        <f t="shared" si="15"/>
        <v>1508000</v>
      </c>
      <c r="V63" s="884"/>
      <c r="W63" s="874">
        <f t="shared" si="16"/>
        <v>0</v>
      </c>
      <c r="X63" s="884"/>
      <c r="Y63" s="874">
        <f t="shared" si="17"/>
        <v>0</v>
      </c>
      <c r="Z63" s="241"/>
      <c r="AA63" s="116">
        <f t="shared" si="18"/>
        <v>0</v>
      </c>
      <c r="AB63" s="239"/>
      <c r="AC63" s="116">
        <f t="shared" si="19"/>
        <v>0</v>
      </c>
      <c r="AD63" s="242" t="s">
        <v>318</v>
      </c>
      <c r="AE63" s="117">
        <f t="shared" si="20"/>
        <v>603300</v>
      </c>
      <c r="AF63" s="1228">
        <f>SUMIF('Otras Asesorías y Préstamos'!$B$7:$B$242,B63,'Otras Asesorías y Préstamos'!$F$7:$F$242)</f>
        <v>0</v>
      </c>
      <c r="AG63" s="1228">
        <f>SUMIF('Otras Asesorías y Préstamos'!$B$7:$B$242,B63,'Otras Asesorías y Préstamos'!$V$7:$V$242)</f>
        <v>0</v>
      </c>
      <c r="AH63" s="1229">
        <f t="shared" si="21"/>
        <v>5130000</v>
      </c>
      <c r="AI63" s="8"/>
      <c r="AJ63" s="498"/>
    </row>
    <row r="64" spans="1:36" x14ac:dyDescent="0.2">
      <c r="A64" s="1462">
        <f t="shared" si="22"/>
        <v>55</v>
      </c>
      <c r="B64" s="1097" t="s">
        <v>54</v>
      </c>
      <c r="C64" s="1185">
        <f>_xlfn.XLOOKUP(B64,Códigos!$B$8:$B$406,Códigos!$A$8:$A$406,"Verificar",0)</f>
        <v>92</v>
      </c>
      <c r="D64" s="1114">
        <f>_xlfn.XLOOKUP(B64,'Consolidado Cobros'!$B$10:$B$312,'Consolidado Cobros'!$C$10:$C$312,"Verificar",0)</f>
        <v>6053547</v>
      </c>
      <c r="E64" s="1186">
        <f t="shared" si="50"/>
        <v>6</v>
      </c>
      <c r="F64" s="1463">
        <f t="shared" si="51"/>
        <v>360000</v>
      </c>
      <c r="G64" s="1098"/>
      <c r="H64" s="1099"/>
      <c r="I64" s="1100"/>
      <c r="J64" s="1099"/>
      <c r="K64" s="1099"/>
      <c r="L64" s="1262"/>
      <c r="M64" s="1793"/>
      <c r="N64" s="1706"/>
      <c r="O64" s="8"/>
      <c r="P64" s="239" t="s">
        <v>318</v>
      </c>
      <c r="Q64" s="119">
        <f>ROUND(IF(P64="SI",SUMIF('C de C año anterior'!$B$8:$B$229,B64,'C de C año anterior'!$Q$8:$Q$229)*(100%+$Q$5),0),-3)+ROUND(IF(P64="SI",SUMIF('Facturas año anterior'!$B$8:$B$86,B64,'Facturas año anterior'!$V$8:$V$86)*(100%+$AA$5),0),-3)</f>
        <v>363000</v>
      </c>
      <c r="R64" s="239"/>
      <c r="S64" s="114">
        <f t="shared" si="14"/>
        <v>0</v>
      </c>
      <c r="T64" s="240"/>
      <c r="U64" s="115">
        <f t="shared" si="15"/>
        <v>0</v>
      </c>
      <c r="V64" s="884"/>
      <c r="W64" s="874">
        <f t="shared" si="16"/>
        <v>0</v>
      </c>
      <c r="X64" s="884"/>
      <c r="Y64" s="874">
        <f t="shared" si="17"/>
        <v>0</v>
      </c>
      <c r="Z64" s="241"/>
      <c r="AA64" s="116">
        <f t="shared" si="18"/>
        <v>0</v>
      </c>
      <c r="AB64" s="239"/>
      <c r="AC64" s="116">
        <f t="shared" si="19"/>
        <v>0</v>
      </c>
      <c r="AD64" s="242"/>
      <c r="AE64" s="117">
        <f t="shared" si="20"/>
        <v>0</v>
      </c>
      <c r="AF64" s="1228">
        <f>SUMIF('Otras Asesorías y Préstamos'!$B$7:$B$242,B64,'Otras Asesorías y Préstamos'!$F$7:$F$242)</f>
        <v>0</v>
      </c>
      <c r="AG64" s="1228">
        <f>SUMIF('Otras Asesorías y Préstamos'!$B$7:$B$242,B64,'Otras Asesorías y Préstamos'!$V$7:$V$242)</f>
        <v>0</v>
      </c>
      <c r="AH64" s="1229">
        <f t="shared" si="21"/>
        <v>360000</v>
      </c>
      <c r="AI64" s="8"/>
    </row>
    <row r="65" spans="1:35" x14ac:dyDescent="0.2">
      <c r="A65" s="1462">
        <f t="shared" si="22"/>
        <v>56</v>
      </c>
      <c r="B65" s="1097" t="s">
        <v>308</v>
      </c>
      <c r="C65" s="1185">
        <f>_xlfn.XLOOKUP(B65,Códigos!$B$8:$B$406,Códigos!$A$8:$A$406,"Verificar",0)</f>
        <v>287</v>
      </c>
      <c r="D65" s="1114">
        <f>_xlfn.XLOOKUP(B65,'Consolidado Cobros'!$B$10:$B$312,'Consolidado Cobros'!$C$10:$C$312,"Verificar",0)</f>
        <v>98661685</v>
      </c>
      <c r="E65" s="1186">
        <f t="shared" si="50"/>
        <v>7</v>
      </c>
      <c r="F65" s="1463">
        <f t="shared" si="51"/>
        <v>170000</v>
      </c>
      <c r="G65" s="1098"/>
      <c r="H65" s="1099"/>
      <c r="I65" s="1100"/>
      <c r="J65" s="1099"/>
      <c r="K65" s="1099"/>
      <c r="L65" s="1262"/>
      <c r="M65" s="1101"/>
      <c r="N65" s="1706"/>
      <c r="O65" s="8"/>
      <c r="P65" s="239" t="s">
        <v>318</v>
      </c>
      <c r="Q65" s="119">
        <f>ROUND(IF(P65="SI",SUMIF('C de C año anterior'!$B$8:$B$229,B65,'C de C año anterior'!$Q$8:$Q$229)*(100%+$Q$5),0),-3)+ROUND(IF(P65="SI",SUMIF('Facturas año anterior'!$B$8:$B$86,B65,'Facturas año anterior'!$V$8:$V$86)*(100%+$AA$5),0),-3)</f>
        <v>169000</v>
      </c>
      <c r="R65" s="239"/>
      <c r="S65" s="114">
        <f t="shared" si="14"/>
        <v>0</v>
      </c>
      <c r="T65" s="240"/>
      <c r="U65" s="115">
        <f t="shared" si="15"/>
        <v>0</v>
      </c>
      <c r="V65" s="884"/>
      <c r="W65" s="874">
        <f t="shared" si="16"/>
        <v>0</v>
      </c>
      <c r="X65" s="884"/>
      <c r="Y65" s="874">
        <f t="shared" si="17"/>
        <v>0</v>
      </c>
      <c r="Z65" s="241"/>
      <c r="AA65" s="116">
        <f t="shared" si="18"/>
        <v>0</v>
      </c>
      <c r="AB65" s="239"/>
      <c r="AC65" s="116">
        <f t="shared" si="19"/>
        <v>0</v>
      </c>
      <c r="AD65" s="242"/>
      <c r="AE65" s="117">
        <f t="shared" si="20"/>
        <v>0</v>
      </c>
      <c r="AF65" s="1228">
        <f>SUMIF('Otras Asesorías y Préstamos'!$B$7:$B$242,B65,'Otras Asesorías y Préstamos'!$F$7:$F$242)</f>
        <v>0</v>
      </c>
      <c r="AG65" s="1228">
        <f>SUMIF('Otras Asesorías y Préstamos'!$B$7:$B$242,B65,'Otras Asesorías y Préstamos'!$V$7:$V$242)</f>
        <v>0</v>
      </c>
      <c r="AH65" s="1229">
        <f t="shared" si="21"/>
        <v>170000</v>
      </c>
      <c r="AI65" s="8"/>
    </row>
    <row r="66" spans="1:35" x14ac:dyDescent="0.2">
      <c r="A66" s="1462">
        <f t="shared" si="22"/>
        <v>57</v>
      </c>
      <c r="B66" s="1097" t="s">
        <v>55</v>
      </c>
      <c r="C66" s="1185">
        <f>_xlfn.XLOOKUP(B66,Códigos!$B$8:$B$406,Códigos!$A$8:$A$406,"Verificar",0)</f>
        <v>95</v>
      </c>
      <c r="D66" s="1114">
        <f>_xlfn.XLOOKUP(B66,'Consolidado Cobros'!$B$10:$B$312,'Consolidado Cobros'!$C$10:$C$312,"Verificar",0)</f>
        <v>680956579</v>
      </c>
      <c r="E66" s="1186">
        <f t="shared" si="50"/>
        <v>2</v>
      </c>
      <c r="F66" s="1463">
        <f t="shared" si="51"/>
        <v>1120000</v>
      </c>
      <c r="G66" s="1098"/>
      <c r="H66" s="1099"/>
      <c r="I66" s="1100"/>
      <c r="J66" s="1099"/>
      <c r="K66" s="1099"/>
      <c r="L66" s="1100"/>
      <c r="M66" s="1101"/>
      <c r="N66" s="1706"/>
      <c r="O66" s="8"/>
      <c r="P66" s="239" t="s">
        <v>318</v>
      </c>
      <c r="Q66" s="119">
        <f>ROUND(IF(P66="SI",SUMIF('C de C año anterior'!$B$8:$B$229,B66,'C de C año anterior'!$Q$8:$Q$229)*(100%+$Q$5),0),-3)+ROUND(IF(P66="SI",SUMIF('Facturas año anterior'!$B$8:$B$86,B66,'Facturas año anterior'!$V$8:$V$86)*(100%+$AA$5),0),-3)</f>
        <v>858000</v>
      </c>
      <c r="R66" s="239"/>
      <c r="S66" s="114">
        <f t="shared" si="14"/>
        <v>0</v>
      </c>
      <c r="T66" s="240"/>
      <c r="U66" s="115">
        <f t="shared" si="15"/>
        <v>0</v>
      </c>
      <c r="V66" s="884"/>
      <c r="W66" s="874">
        <f t="shared" si="16"/>
        <v>0</v>
      </c>
      <c r="X66" s="884"/>
      <c r="Y66" s="874">
        <f t="shared" si="17"/>
        <v>0</v>
      </c>
      <c r="Z66" s="241"/>
      <c r="AA66" s="116">
        <f t="shared" si="18"/>
        <v>0</v>
      </c>
      <c r="AB66" s="239"/>
      <c r="AC66" s="116">
        <f t="shared" si="19"/>
        <v>0</v>
      </c>
      <c r="AD66" s="242" t="s">
        <v>318</v>
      </c>
      <c r="AE66" s="117">
        <f t="shared" si="20"/>
        <v>257400</v>
      </c>
      <c r="AF66" s="1228">
        <f>SUMIF('Otras Asesorías y Préstamos'!$B$7:$B$242,B66,'Otras Asesorías y Préstamos'!$F$7:$F$242)</f>
        <v>0</v>
      </c>
      <c r="AG66" s="1228">
        <f>SUMIF('Otras Asesorías y Préstamos'!$B$7:$B$242,B66,'Otras Asesorías y Préstamos'!$V$7:$V$242)</f>
        <v>0</v>
      </c>
      <c r="AH66" s="1229">
        <f t="shared" si="21"/>
        <v>1120000</v>
      </c>
      <c r="AI66" s="8"/>
    </row>
    <row r="67" spans="1:35" x14ac:dyDescent="0.2">
      <c r="A67" s="1462">
        <f t="shared" si="22"/>
        <v>58</v>
      </c>
      <c r="B67" s="1097" t="s">
        <v>56</v>
      </c>
      <c r="C67" s="1185">
        <f>_xlfn.XLOOKUP(B67,Códigos!$B$8:$B$406,Códigos!$A$8:$A$406,"Verificar",0)</f>
        <v>96</v>
      </c>
      <c r="D67" s="1114">
        <f>_xlfn.XLOOKUP(B67,'Consolidado Cobros'!$B$10:$B$312,'Consolidado Cobros'!$C$10:$C$312,"Verificar",0)</f>
        <v>43747351</v>
      </c>
      <c r="E67" s="1186">
        <f t="shared" si="50"/>
        <v>3</v>
      </c>
      <c r="F67" s="1463">
        <f t="shared" ref="F67:F128" si="63">+AH67</f>
        <v>1340000</v>
      </c>
      <c r="G67" s="1098"/>
      <c r="H67" s="1099"/>
      <c r="I67" s="1100"/>
      <c r="J67" s="1099"/>
      <c r="K67" s="1099"/>
      <c r="L67" s="1100"/>
      <c r="M67" s="1101"/>
      <c r="N67" s="1706"/>
      <c r="O67" s="8"/>
      <c r="P67" s="239" t="s">
        <v>318</v>
      </c>
      <c r="Q67" s="119">
        <f>ROUND(IF(P67="SI",SUMIF('C de C año anterior'!$B$8:$B$229,B67,'C de C año anterior'!$Q$8:$Q$229)*(100%+$Q$5),0),-3)+ROUND(IF(P67="SI",SUMIF('Facturas año anterior'!$B$8:$B$86,B67,'Facturas año anterior'!$V$8:$V$86)*(100%+$AA$5),0),-3)</f>
        <v>858000</v>
      </c>
      <c r="R67" s="239"/>
      <c r="S67" s="114">
        <f t="shared" si="14"/>
        <v>0</v>
      </c>
      <c r="T67" s="240"/>
      <c r="U67" s="115">
        <f t="shared" si="15"/>
        <v>0</v>
      </c>
      <c r="V67" s="884"/>
      <c r="W67" s="874">
        <f t="shared" si="16"/>
        <v>0</v>
      </c>
      <c r="X67" s="884"/>
      <c r="Y67" s="874">
        <f t="shared" si="17"/>
        <v>0</v>
      </c>
      <c r="Z67" s="241"/>
      <c r="AA67" s="116">
        <f t="shared" si="18"/>
        <v>0</v>
      </c>
      <c r="AB67" s="239"/>
      <c r="AC67" s="116">
        <f t="shared" si="19"/>
        <v>0</v>
      </c>
      <c r="AD67" s="242"/>
      <c r="AE67" s="117">
        <f t="shared" si="20"/>
        <v>0</v>
      </c>
      <c r="AF67" s="1228">
        <f>SUMIF('Otras Asesorías y Préstamos'!$B$7:$B$242,B67,'Otras Asesorías y Préstamos'!$F$7:$F$242)</f>
        <v>484582.99712041923</v>
      </c>
      <c r="AG67" s="1228">
        <f>SUMIF('Otras Asesorías y Préstamos'!$B$7:$B$242,B67,'Otras Asesorías y Préstamos'!$V$7:$V$242)</f>
        <v>0</v>
      </c>
      <c r="AH67" s="1229">
        <f t="shared" si="21"/>
        <v>1340000</v>
      </c>
      <c r="AI67" s="8"/>
    </row>
    <row r="68" spans="1:35" x14ac:dyDescent="0.2">
      <c r="A68" s="1462">
        <f t="shared" si="22"/>
        <v>59</v>
      </c>
      <c r="B68" s="1097" t="s">
        <v>57</v>
      </c>
      <c r="C68" s="1185">
        <f>_xlfn.XLOOKUP(B68,Códigos!$B$8:$B$406,Códigos!$A$8:$A$406,"Verificar",0)</f>
        <v>97</v>
      </c>
      <c r="D68" s="1114">
        <f>_xlfn.XLOOKUP(B68,'Consolidado Cobros'!$B$10:$B$312,'Consolidado Cobros'!$C$10:$C$312,"Verificar",0)</f>
        <v>43628330</v>
      </c>
      <c r="E68" s="1186">
        <f t="shared" si="50"/>
        <v>9</v>
      </c>
      <c r="F68" s="1463">
        <f t="shared" si="63"/>
        <v>1340000</v>
      </c>
      <c r="G68" s="1098"/>
      <c r="H68" s="1099"/>
      <c r="I68" s="1100"/>
      <c r="J68" s="1099"/>
      <c r="K68" s="1099"/>
      <c r="L68" s="1100"/>
      <c r="M68" s="1101"/>
      <c r="N68" s="1706"/>
      <c r="O68" s="8"/>
      <c r="P68" s="239" t="s">
        <v>318</v>
      </c>
      <c r="Q68" s="119">
        <f>ROUND(IF(P68="SI",SUMIF('C de C año anterior'!$B$8:$B$229,B68,'C de C año anterior'!$Q$8:$Q$229)*(100%+$Q$5),0),-3)+ROUND(IF(P68="SI",SUMIF('Facturas año anterior'!$B$8:$B$86,B68,'Facturas año anterior'!$V$8:$V$86)*(100%+$AA$5),0),-3)</f>
        <v>858000</v>
      </c>
      <c r="R68" s="239"/>
      <c r="S68" s="114">
        <f t="shared" si="14"/>
        <v>0</v>
      </c>
      <c r="T68" s="240"/>
      <c r="U68" s="115">
        <f t="shared" si="15"/>
        <v>0</v>
      </c>
      <c r="V68" s="884"/>
      <c r="W68" s="874">
        <f t="shared" si="16"/>
        <v>0</v>
      </c>
      <c r="X68" s="884"/>
      <c r="Y68" s="874">
        <f t="shared" si="17"/>
        <v>0</v>
      </c>
      <c r="Z68" s="241"/>
      <c r="AA68" s="116">
        <f t="shared" si="18"/>
        <v>0</v>
      </c>
      <c r="AB68" s="239"/>
      <c r="AC68" s="116">
        <f t="shared" si="19"/>
        <v>0</v>
      </c>
      <c r="AD68" s="242"/>
      <c r="AE68" s="117">
        <f t="shared" si="20"/>
        <v>0</v>
      </c>
      <c r="AF68" s="1228">
        <f>SUMIF('Otras Asesorías y Préstamos'!$B$7:$B$242,B68,'Otras Asesorías y Préstamos'!$F$7:$F$242)</f>
        <v>484582.99712041923</v>
      </c>
      <c r="AG68" s="1228">
        <f>SUMIF('Otras Asesorías y Préstamos'!$B$7:$B$242,B68,'Otras Asesorías y Préstamos'!$V$7:$V$242)</f>
        <v>0</v>
      </c>
      <c r="AH68" s="1229">
        <f t="shared" si="21"/>
        <v>1340000</v>
      </c>
      <c r="AI68" s="8"/>
    </row>
    <row r="69" spans="1:35" x14ac:dyDescent="0.2">
      <c r="A69" s="1462">
        <f t="shared" si="22"/>
        <v>60</v>
      </c>
      <c r="B69" s="1097" t="s">
        <v>58</v>
      </c>
      <c r="C69" s="1185">
        <f>_xlfn.XLOOKUP(B69,Códigos!$B$8:$B$406,Códigos!$A$8:$A$406,"Verificar",0)</f>
        <v>98</v>
      </c>
      <c r="D69" s="1114">
        <f>_xlfn.XLOOKUP(B69,'Consolidado Cobros'!$B$10:$B$312,'Consolidado Cobros'!$C$10:$C$312,"Verificar",0)</f>
        <v>43739786</v>
      </c>
      <c r="E69" s="1186">
        <f t="shared" si="50"/>
        <v>1</v>
      </c>
      <c r="F69" s="1463">
        <f t="shared" si="63"/>
        <v>860000</v>
      </c>
      <c r="G69" s="1098"/>
      <c r="H69" s="1099"/>
      <c r="I69" s="1100"/>
      <c r="J69" s="1099"/>
      <c r="K69" s="1099"/>
      <c r="L69" s="1100"/>
      <c r="M69" s="1101"/>
      <c r="N69" s="1706"/>
      <c r="O69" s="8"/>
      <c r="P69" s="239" t="s">
        <v>318</v>
      </c>
      <c r="Q69" s="119">
        <f>ROUND(IF(P69="SI",SUMIF('C de C año anterior'!$B$8:$B$229,B69,'C de C año anterior'!$Q$8:$Q$229)*(100%+$Q$5),0),-3)+ROUND(IF(P69="SI",SUMIF('Facturas año anterior'!$B$8:$B$86,B69,'Facturas año anterior'!$V$8:$V$86)*(100%+$AA$5),0),-3)</f>
        <v>858000</v>
      </c>
      <c r="R69" s="239"/>
      <c r="S69" s="114">
        <f t="shared" si="14"/>
        <v>0</v>
      </c>
      <c r="T69" s="240"/>
      <c r="U69" s="115">
        <f t="shared" si="15"/>
        <v>0</v>
      </c>
      <c r="V69" s="884"/>
      <c r="W69" s="874">
        <f t="shared" si="16"/>
        <v>0</v>
      </c>
      <c r="X69" s="884"/>
      <c r="Y69" s="874">
        <f t="shared" si="17"/>
        <v>0</v>
      </c>
      <c r="Z69" s="241"/>
      <c r="AA69" s="116">
        <f t="shared" si="18"/>
        <v>0</v>
      </c>
      <c r="AB69" s="239"/>
      <c r="AC69" s="116">
        <f t="shared" si="19"/>
        <v>0</v>
      </c>
      <c r="AD69" s="242"/>
      <c r="AE69" s="117">
        <f t="shared" si="20"/>
        <v>0</v>
      </c>
      <c r="AF69" s="1228">
        <f>SUMIF('Otras Asesorías y Préstamos'!$B$7:$B$242,B69,'Otras Asesorías y Préstamos'!$F$7:$F$242)</f>
        <v>0</v>
      </c>
      <c r="AG69" s="1228">
        <f>SUMIF('Otras Asesorías y Préstamos'!$B$7:$B$242,B69,'Otras Asesorías y Préstamos'!$V$7:$V$242)</f>
        <v>0</v>
      </c>
      <c r="AH69" s="1229">
        <f t="shared" si="21"/>
        <v>860000</v>
      </c>
      <c r="AI69" s="8"/>
    </row>
    <row r="70" spans="1:35" x14ac:dyDescent="0.2">
      <c r="A70" s="1462">
        <f t="shared" si="22"/>
        <v>61</v>
      </c>
      <c r="B70" s="1097" t="s">
        <v>409</v>
      </c>
      <c r="C70" s="1185">
        <f>_xlfn.XLOOKUP(B70,Códigos!$B$8:$B$406,Códigos!$A$8:$A$406,"Verificar",0)</f>
        <v>46</v>
      </c>
      <c r="D70" s="1114">
        <f>_xlfn.XLOOKUP(B70,'Consolidado Cobros'!$B$10:$B$312,'Consolidado Cobros'!$C$10:$C$312,"Verificar",0)</f>
        <v>43079748</v>
      </c>
      <c r="E70" s="1186">
        <f t="shared" si="50"/>
        <v>7</v>
      </c>
      <c r="F70" s="1463">
        <f>+AH70-10000</f>
        <v>420000</v>
      </c>
      <c r="G70" s="1098"/>
      <c r="H70" s="1099"/>
      <c r="I70" s="1100"/>
      <c r="J70" s="1099"/>
      <c r="K70" s="1099"/>
      <c r="L70" s="1100"/>
      <c r="M70" s="1101"/>
      <c r="N70" s="1706"/>
      <c r="O70" s="8"/>
      <c r="P70" s="239" t="s">
        <v>318</v>
      </c>
      <c r="Q70" s="119">
        <f>ROUND(IF(P70="SI",SUMIF('C de C año anterior'!$B$8:$B$229,B70,'C de C año anterior'!$Q$8:$Q$229)*(100%+$Q$5),0),-3)+ROUND(IF(P70="SI",SUMIF('Facturas año anterior'!$B$8:$B$86,B70,'Facturas año anterior'!$V$8:$V$86)*(100%+$AA$5),0),-3)</f>
        <v>434000</v>
      </c>
      <c r="R70" s="239"/>
      <c r="S70" s="114">
        <f t="shared" si="14"/>
        <v>0</v>
      </c>
      <c r="T70" s="240"/>
      <c r="U70" s="115">
        <f t="shared" si="15"/>
        <v>0</v>
      </c>
      <c r="V70" s="884"/>
      <c r="W70" s="874">
        <f t="shared" si="16"/>
        <v>0</v>
      </c>
      <c r="X70" s="884"/>
      <c r="Y70" s="874">
        <f t="shared" si="17"/>
        <v>0</v>
      </c>
      <c r="Z70" s="241"/>
      <c r="AA70" s="116">
        <f t="shared" si="18"/>
        <v>0</v>
      </c>
      <c r="AB70" s="239"/>
      <c r="AC70" s="116">
        <f t="shared" si="19"/>
        <v>0</v>
      </c>
      <c r="AD70" s="242"/>
      <c r="AE70" s="117">
        <f t="shared" si="20"/>
        <v>0</v>
      </c>
      <c r="AF70" s="1228">
        <f>SUMIF('Otras Asesorías y Préstamos'!$B$7:$B$242,B70,'Otras Asesorías y Préstamos'!$F$7:$F$242)</f>
        <v>0</v>
      </c>
      <c r="AG70" s="1228">
        <f>SUMIF('Otras Asesorías y Préstamos'!$B$7:$B$242,B70,'Otras Asesorías y Préstamos'!$V$7:$V$242)</f>
        <v>0</v>
      </c>
      <c r="AH70" s="1229">
        <f t="shared" si="21"/>
        <v>430000</v>
      </c>
      <c r="AI70" s="8"/>
    </row>
    <row r="71" spans="1:35" x14ac:dyDescent="0.2">
      <c r="A71" s="1462">
        <f t="shared" si="22"/>
        <v>62</v>
      </c>
      <c r="B71" s="1137" t="s">
        <v>650</v>
      </c>
      <c r="C71" s="1185">
        <f>_xlfn.XLOOKUP(B71,Códigos!$B$8:$B$406,Códigos!$A$8:$A$406,"Verificar",0)</f>
        <v>233</v>
      </c>
      <c r="D71" s="1114">
        <f>_xlfn.XLOOKUP(B71,'Consolidado Cobros'!$B$10:$B$312,'Consolidado Cobros'!$C$10:$C$312,"Verificar",0)</f>
        <v>71274022</v>
      </c>
      <c r="E71" s="1186">
        <f t="shared" si="50"/>
        <v>6</v>
      </c>
      <c r="F71" s="1463">
        <v>400000</v>
      </c>
      <c r="G71" s="1098"/>
      <c r="H71" s="1099"/>
      <c r="I71" s="1100"/>
      <c r="J71" s="1099"/>
      <c r="K71" s="1099"/>
      <c r="L71" s="1100"/>
      <c r="M71" s="1101"/>
      <c r="N71" s="1706"/>
      <c r="O71" s="8"/>
      <c r="P71" s="239" t="s">
        <v>318</v>
      </c>
      <c r="Q71" s="119">
        <f>ROUND(IF(P71="SI",SUMIF('C de C año anterior'!$B$8:$B$229,B71,'C de C año anterior'!$Q$8:$Q$229)*(100%+$Q$5),0),-3)+ROUND(IF(P71="SI",SUMIF('Facturas año anterior'!$B$8:$B$86,B71,'Facturas año anterior'!$V$8:$V$86)*(100%+$AA$5),0),-3)</f>
        <v>363000</v>
      </c>
      <c r="R71" s="239"/>
      <c r="S71" s="114">
        <f t="shared" si="14"/>
        <v>0</v>
      </c>
      <c r="T71" s="240"/>
      <c r="U71" s="115">
        <f t="shared" si="15"/>
        <v>0</v>
      </c>
      <c r="V71" s="884"/>
      <c r="W71" s="874">
        <f t="shared" si="16"/>
        <v>0</v>
      </c>
      <c r="X71" s="884"/>
      <c r="Y71" s="874">
        <f t="shared" si="17"/>
        <v>0</v>
      </c>
      <c r="Z71" s="241"/>
      <c r="AA71" s="116">
        <f t="shared" si="18"/>
        <v>0</v>
      </c>
      <c r="AB71" s="239"/>
      <c r="AC71" s="116">
        <f t="shared" si="19"/>
        <v>0</v>
      </c>
      <c r="AD71" s="242"/>
      <c r="AE71" s="117">
        <f t="shared" si="20"/>
        <v>0</v>
      </c>
      <c r="AF71" s="1228">
        <f>SUMIF('Otras Asesorías y Préstamos'!$B$7:$B$242,B71,'Otras Asesorías y Préstamos'!$F$7:$F$242)</f>
        <v>0</v>
      </c>
      <c r="AG71" s="1228">
        <f>SUMIF('Otras Asesorías y Préstamos'!$B$7:$B$242,B71,'Otras Asesorías y Préstamos'!$V$7:$V$242)</f>
        <v>0</v>
      </c>
      <c r="AH71" s="1229">
        <f t="shared" si="21"/>
        <v>360000</v>
      </c>
      <c r="AI71" s="8"/>
    </row>
    <row r="72" spans="1:35" x14ac:dyDescent="0.2">
      <c r="A72" s="1462">
        <f t="shared" si="22"/>
        <v>63</v>
      </c>
      <c r="B72" s="1097" t="s">
        <v>294</v>
      </c>
      <c r="C72" s="1185">
        <f>_xlfn.XLOOKUP(B72,Códigos!$B$8:$B$406,Códigos!$A$8:$A$406,"Verificar",0)</f>
        <v>330</v>
      </c>
      <c r="D72" s="1114">
        <f>_xlfn.XLOOKUP(B72,'Consolidado Cobros'!$B$10:$B$312,'Consolidado Cobros'!$C$10:$C$312,"Verificar",0)</f>
        <v>3473739</v>
      </c>
      <c r="E72" s="1186">
        <f t="shared" ref="E72:E102" si="64">IF((MOD((VALUE(MID(TEXT(D72,"000000000000000"),15,1))*3+VALUE(MID(TEXT(D72,"000000000000000"),14,1))*7+VALUE(MID(TEXT(D72,"000000000000000"),13,1))*13+VALUE(MID(TEXT(D72,"000000000000000"),12,1))*17+VALUE(MID(TEXT(D72,"000000000000000"),11,1))*19+VALUE(MID(TEXT(D72,"000000000000000"),10,1))*23+VALUE(MID(TEXT(D72,"000000000000000"),9,1))*29+VALUE(MID(TEXT(D72,"000000000000000"),8,1))*37+VALUE(MID(TEXT(D72,"000000000000000"),7,1))*41+VALUE(MID(TEXT(D72,"000000000000000"),6,1))*43+VALUE(MID(TEXT(D72,"000000000000000"),5,1))*47+VALUE(MID(TEXT(D72,"000000000000000"),4,1))*53+VALUE(MID(TEXT(D72,"000000000000000"),3,1))*59+VALUE(MID(TEXT(D72,"000000000000000"),2,1))*67+VALUE(MID(TEXT(D72,"000000000000000"),1,1))*71),11))=0,0,IF((MOD((VALUE(MID(TEXT(D72,"000000000000000"),15,1))*3+VALUE(MID(TEXT(D72,"000000000000000"),14,1))*7+VALUE(MID(TEXT(D72,"000000000000000"),13,1))*13+VALUE(MID(TEXT(D72,"000000000000000"),12,1))*17+VALUE(MID(TEXT(D72,"000000000000000"),11,1))*19+VALUE(MID(TEXT(D72,"000000000000000"),10,1))*23+VALUE(MID(TEXT(D72,"000000000000000"),9,1))*29+VALUE(MID(TEXT(D72,"000000000000000"),8,1))*37+VALUE(MID(TEXT(D72,"000000000000000"),7,1))*41+VALUE(MID(TEXT(D72,"000000000000000"),6,1))*43+VALUE(MID(TEXT(D72,"000000000000000"),5,1))*47+VALUE(MID(TEXT(D72,"000000000000000"),4,1))*53+VALUE(MID(TEXT(D72,"000000000000000"),3,1))*59+VALUE(MID(TEXT(D72,"000000000000000"),2,1))*67+VALUE(MID(TEXT(D72,"000000000000000"),1,1))*71),11))=1,1,11-(MOD((VALUE(MID(TEXT(D72,"000000000000000"),15,1))*3+VALUE(MID(TEXT(D72,"000000000000000"),14,1))*7+VALUE(MID(TEXT(D72,"000000000000000"),13,1))*13+VALUE(MID(TEXT(D72,"000000000000000"),12,1))*17+VALUE(MID(TEXT(D72,"000000000000000"),11,1))*19+VALUE(MID(TEXT(D72,"000000000000000"),10,1))*23+VALUE(MID(TEXT(D72,"000000000000000"),9,1))*29+VALUE(MID(TEXT(D72,"000000000000000"),8,1))*37+VALUE(MID(TEXT(D72,"000000000000000"),7,1))*41+VALUE(MID(TEXT(D72,"000000000000000"),6,1))*43+VALUE(MID(TEXT(D72,"000000000000000"),5,1))*47+VALUE(MID(TEXT(D72,"000000000000000"),4,1))*53+VALUE(MID(TEXT(D72,"000000000000000"),3,1))*59+VALUE(MID(TEXT(D72,"000000000000000"),2,1))*67+VALUE(MID(TEXT(D72,"000000000000000"),1,1))*71),11))))</f>
        <v>4</v>
      </c>
      <c r="F72" s="1463">
        <f>+AH72-50000</f>
        <v>1060000</v>
      </c>
      <c r="G72" s="1098"/>
      <c r="H72" s="1099"/>
      <c r="I72" s="1100"/>
      <c r="J72" s="1099"/>
      <c r="K72" s="1099"/>
      <c r="L72" s="1262"/>
      <c r="M72" s="1101"/>
      <c r="N72" s="1706"/>
      <c r="O72" s="8"/>
      <c r="P72" s="239" t="s">
        <v>318</v>
      </c>
      <c r="Q72" s="119">
        <f>ROUND(IF(P72="SI",SUMIF('C de C año anterior'!$B$8:$B$229,B72,'C de C año anterior'!$Q$8:$Q$229)*(100%+$Q$5),0),-3)+ROUND(IF(P72="SI",SUMIF('Facturas año anterior'!$B$8:$B$86,B72,'Facturas año anterior'!$V$8:$V$86)*(100%+$AA$5),0),-3)</f>
        <v>1105000</v>
      </c>
      <c r="R72" s="239" t="s">
        <v>318</v>
      </c>
      <c r="S72" s="114">
        <f>ROUND(IF(R72="SI",Q72*$S$5,0),-3)*0</f>
        <v>0</v>
      </c>
      <c r="T72" s="240"/>
      <c r="U72" s="115">
        <f t="shared" si="15"/>
        <v>0</v>
      </c>
      <c r="V72" s="884"/>
      <c r="W72" s="874">
        <f t="shared" si="16"/>
        <v>0</v>
      </c>
      <c r="X72" s="884"/>
      <c r="Y72" s="874">
        <f t="shared" si="17"/>
        <v>0</v>
      </c>
      <c r="Z72" s="241"/>
      <c r="AA72" s="116">
        <f t="shared" si="18"/>
        <v>0</v>
      </c>
      <c r="AB72" s="239"/>
      <c r="AC72" s="116">
        <f t="shared" si="19"/>
        <v>0</v>
      </c>
      <c r="AD72" s="242"/>
      <c r="AE72" s="117">
        <f t="shared" si="20"/>
        <v>0</v>
      </c>
      <c r="AF72" s="1228">
        <f>SUMIF('Otras Asesorías y Préstamos'!$B$7:$B$242,B72,'Otras Asesorías y Préstamos'!$F$7:$F$242)</f>
        <v>0</v>
      </c>
      <c r="AG72" s="1228">
        <f>SUMIF('Otras Asesorías y Préstamos'!$B$7:$B$242,B72,'Otras Asesorías y Préstamos'!$V$7:$V$242)</f>
        <v>0</v>
      </c>
      <c r="AH72" s="1229">
        <f t="shared" si="21"/>
        <v>1110000</v>
      </c>
      <c r="AI72" s="8"/>
    </row>
    <row r="73" spans="1:35" x14ac:dyDescent="0.2">
      <c r="A73" s="1462">
        <f t="shared" si="22"/>
        <v>64</v>
      </c>
      <c r="B73" s="1097" t="s">
        <v>62</v>
      </c>
      <c r="C73" s="1185">
        <f>_xlfn.XLOOKUP(B73,Códigos!$B$8:$B$406,Códigos!$A$8:$A$406,"Verificar",0)</f>
        <v>223</v>
      </c>
      <c r="D73" s="1114">
        <f>_xlfn.XLOOKUP(B73,'Consolidado Cobros'!$B$10:$B$312,'Consolidado Cobros'!$C$10:$C$312,"Verificar",0)</f>
        <v>1037601220</v>
      </c>
      <c r="E73" s="1186">
        <f t="shared" si="64"/>
        <v>9</v>
      </c>
      <c r="F73" s="1463">
        <f t="shared" si="63"/>
        <v>450000</v>
      </c>
      <c r="G73" s="1098"/>
      <c r="H73" s="1099"/>
      <c r="I73" s="1100"/>
      <c r="J73" s="1099"/>
      <c r="K73" s="1099"/>
      <c r="L73" s="1262"/>
      <c r="M73" s="1101"/>
      <c r="N73" s="1706"/>
      <c r="O73" s="8"/>
      <c r="P73" s="239" t="s">
        <v>318</v>
      </c>
      <c r="Q73" s="119">
        <f>ROUND(IF(P73="SI",SUMIF('C de C año anterior'!$B$8:$B$229,B73,'C de C año anterior'!$Q$8:$Q$229)*(100%+$Q$5),0),-3)+ROUND(IF(P73="SI",SUMIF('Facturas año anterior'!$B$8:$B$86,B73,'Facturas año anterior'!$V$8:$V$86)*(100%+$AA$5),0),-3)</f>
        <v>453000</v>
      </c>
      <c r="R73" s="239"/>
      <c r="S73" s="114">
        <f t="shared" ref="S73:S133" si="65">ROUND(IF(R73="SI",Q73*$S$5,0),-3)</f>
        <v>0</v>
      </c>
      <c r="T73" s="240"/>
      <c r="U73" s="115">
        <f t="shared" ref="U73:U133" si="66">ROUND(IF(T73="SI",Q73*$U$5,0),-3)</f>
        <v>0</v>
      </c>
      <c r="V73" s="884"/>
      <c r="W73" s="874">
        <f t="shared" ref="W73:W133" si="67">ROUND(IF(V73="SI",Q73*$W$5,0),-3)</f>
        <v>0</v>
      </c>
      <c r="X73" s="884"/>
      <c r="Y73" s="874">
        <f t="shared" ref="Y73:Y133" si="68">ROUND(IF(X73="SI",Q73*$Y$5,0),-3)</f>
        <v>0</v>
      </c>
      <c r="Z73" s="241"/>
      <c r="AA73" s="116">
        <f t="shared" ref="AA73:AA133" si="69">ROUND(IF(Z73="SI",Q73*$AA$5,0),-3)</f>
        <v>0</v>
      </c>
      <c r="AB73" s="239"/>
      <c r="AC73" s="116">
        <f t="shared" ref="AC73:AC133" si="70">ROUND(IF(AB73="SI",Q73*$AC$5,0),-3)</f>
        <v>0</v>
      </c>
      <c r="AD73" s="242"/>
      <c r="AE73" s="117">
        <f t="shared" ref="AE73:AE133" si="71">IF(AD73="SI",Q73*$AE$5,0)</f>
        <v>0</v>
      </c>
      <c r="AF73" s="1228">
        <f>SUMIF('Otras Asesorías y Préstamos'!$B$7:$B$242,B73,'Otras Asesorías y Préstamos'!$F$7:$F$242)</f>
        <v>0</v>
      </c>
      <c r="AG73" s="1228">
        <f>SUMIF('Otras Asesorías y Préstamos'!$B$7:$B$242,B73,'Otras Asesorías y Préstamos'!$V$7:$V$242)</f>
        <v>0</v>
      </c>
      <c r="AH73" s="1229">
        <f t="shared" ref="AH73:AH133" si="72">ROUND(SUM(Q73:AG73),-4)</f>
        <v>450000</v>
      </c>
      <c r="AI73" s="8"/>
    </row>
    <row r="74" spans="1:35" x14ac:dyDescent="0.2">
      <c r="A74" s="1462">
        <f t="shared" si="22"/>
        <v>65</v>
      </c>
      <c r="B74" s="1097" t="s">
        <v>63</v>
      </c>
      <c r="C74" s="1185">
        <f>_xlfn.XLOOKUP(B74,Códigos!$B$8:$B$406,Códigos!$A$8:$A$406,"Verificar",0)</f>
        <v>101</v>
      </c>
      <c r="D74" s="1114">
        <f>_xlfn.XLOOKUP(B74,'Consolidado Cobros'!$B$10:$B$312,'Consolidado Cobros'!$C$10:$C$312,"Verificar",0)</f>
        <v>15502980</v>
      </c>
      <c r="E74" s="1186">
        <f t="shared" si="64"/>
        <v>2</v>
      </c>
      <c r="F74" s="1463">
        <f t="shared" si="63"/>
        <v>1380000</v>
      </c>
      <c r="G74" s="1098"/>
      <c r="H74" s="1099"/>
      <c r="I74" s="1100"/>
      <c r="J74" s="1099"/>
      <c r="K74" s="1099"/>
      <c r="L74" s="1262"/>
      <c r="M74" s="1101"/>
      <c r="N74" s="1706"/>
      <c r="O74" s="8"/>
      <c r="P74" s="239" t="s">
        <v>318</v>
      </c>
      <c r="Q74" s="119">
        <f>ROUND(IF(P74="SI",SUMIF('C de C año anterior'!$B$8:$B$229,B74,'C de C año anterior'!$Q$8:$Q$229)*(100%+$Q$5),0),-3)+ROUND(IF(P74="SI",SUMIF('Facturas año anterior'!$B$8:$B$86,B74,'Facturas año anterior'!$V$8:$V$86)*(100%+$AA$5),0),-3)</f>
        <v>827000</v>
      </c>
      <c r="R74" s="239"/>
      <c r="S74" s="114">
        <f t="shared" si="65"/>
        <v>0</v>
      </c>
      <c r="T74" s="240"/>
      <c r="U74" s="115">
        <f t="shared" si="66"/>
        <v>0</v>
      </c>
      <c r="V74" s="884"/>
      <c r="W74" s="874">
        <f t="shared" si="67"/>
        <v>0</v>
      </c>
      <c r="X74" s="884"/>
      <c r="Y74" s="874">
        <f t="shared" si="68"/>
        <v>0</v>
      </c>
      <c r="Z74" s="241"/>
      <c r="AA74" s="116">
        <f t="shared" si="69"/>
        <v>0</v>
      </c>
      <c r="AB74" s="239"/>
      <c r="AC74" s="116">
        <f t="shared" si="70"/>
        <v>0</v>
      </c>
      <c r="AD74" s="242"/>
      <c r="AE74" s="117">
        <f t="shared" si="71"/>
        <v>0</v>
      </c>
      <c r="AF74" s="1228">
        <f>SUMIF('Otras Asesorías y Préstamos'!$B$7:$B$242,B74,'Otras Asesorías y Préstamos'!$F$7:$F$242)</f>
        <v>548826.8118285829</v>
      </c>
      <c r="AG74" s="1228">
        <f>SUMIF('Otras Asesorías y Préstamos'!$B$7:$B$242,B74,'Otras Asesorías y Préstamos'!$V$7:$V$242)</f>
        <v>0</v>
      </c>
      <c r="AH74" s="1229">
        <f t="shared" si="72"/>
        <v>1380000</v>
      </c>
      <c r="AI74" s="8"/>
    </row>
    <row r="75" spans="1:35" x14ac:dyDescent="0.2">
      <c r="A75" s="1462">
        <f t="shared" si="22"/>
        <v>66</v>
      </c>
      <c r="B75" s="1097" t="s">
        <v>65</v>
      </c>
      <c r="C75" s="1185">
        <f>_xlfn.XLOOKUP(B75,Códigos!$B$8:$B$406,Códigos!$A$8:$A$406,"Verificar",0)</f>
        <v>263</v>
      </c>
      <c r="D75" s="1114">
        <f>_xlfn.XLOOKUP(B75,'Consolidado Cobros'!$B$10:$B$312,'Consolidado Cobros'!$C$10:$C$312,"Verificar",0)</f>
        <v>42681418</v>
      </c>
      <c r="E75" s="1186">
        <f t="shared" si="64"/>
        <v>9</v>
      </c>
      <c r="F75" s="1463">
        <f t="shared" si="63"/>
        <v>360000</v>
      </c>
      <c r="G75" s="1098"/>
      <c r="H75" s="1099"/>
      <c r="I75" s="1100"/>
      <c r="J75" s="1099"/>
      <c r="K75" s="1099"/>
      <c r="L75" s="1262"/>
      <c r="M75" s="1101"/>
      <c r="N75" s="1706"/>
      <c r="O75" s="8"/>
      <c r="P75" s="239" t="s">
        <v>318</v>
      </c>
      <c r="Q75" s="119">
        <f>ROUND(IF(P75="SI",SUMIF('C de C año anterior'!$B$8:$B$229,B75,'C de C año anterior'!$Q$8:$Q$229)*(100%+$Q$5),0),-3)+ROUND(IF(P75="SI",SUMIF('Facturas año anterior'!$B$8:$B$86,B75,'Facturas año anterior'!$V$8:$V$86)*(100%+$AA$5),0),-3)</f>
        <v>363000</v>
      </c>
      <c r="R75" s="239"/>
      <c r="S75" s="114">
        <f t="shared" si="65"/>
        <v>0</v>
      </c>
      <c r="T75" s="240"/>
      <c r="U75" s="115">
        <f t="shared" si="66"/>
        <v>0</v>
      </c>
      <c r="V75" s="884"/>
      <c r="W75" s="874">
        <f t="shared" si="67"/>
        <v>0</v>
      </c>
      <c r="X75" s="884"/>
      <c r="Y75" s="874">
        <f t="shared" si="68"/>
        <v>0</v>
      </c>
      <c r="Z75" s="241"/>
      <c r="AA75" s="116">
        <f t="shared" si="69"/>
        <v>0</v>
      </c>
      <c r="AB75" s="239"/>
      <c r="AC75" s="116">
        <f t="shared" si="70"/>
        <v>0</v>
      </c>
      <c r="AD75" s="242"/>
      <c r="AE75" s="117">
        <f t="shared" si="71"/>
        <v>0</v>
      </c>
      <c r="AF75" s="1228">
        <f>SUMIF('Otras Asesorías y Préstamos'!$B$7:$B$242,B75,'Otras Asesorías y Préstamos'!$F$7:$F$242)</f>
        <v>0</v>
      </c>
      <c r="AG75" s="1228">
        <f>SUMIF('Otras Asesorías y Préstamos'!$B$7:$B$242,B75,'Otras Asesorías y Préstamos'!$V$7:$V$242)</f>
        <v>0</v>
      </c>
      <c r="AH75" s="1229">
        <f t="shared" si="72"/>
        <v>360000</v>
      </c>
      <c r="AI75" s="8"/>
    </row>
    <row r="76" spans="1:35" x14ac:dyDescent="0.2">
      <c r="A76" s="1462">
        <f t="shared" si="22"/>
        <v>67</v>
      </c>
      <c r="B76" s="1097" t="s">
        <v>406</v>
      </c>
      <c r="C76" s="1185">
        <f>_xlfn.XLOOKUP(B76,Códigos!$B$8:$B$406,Códigos!$A$8:$A$406,"Verificar",0)</f>
        <v>57</v>
      </c>
      <c r="D76" s="1114">
        <f>_xlfn.XLOOKUP(B76,'Consolidado Cobros'!$B$10:$B$312,'Consolidado Cobros'!$C$10:$C$312,"Verificar",0)</f>
        <v>32415325</v>
      </c>
      <c r="E76" s="1186">
        <f t="shared" si="64"/>
        <v>7</v>
      </c>
      <c r="F76" s="1463">
        <f t="shared" si="63"/>
        <v>430000</v>
      </c>
      <c r="G76" s="1098"/>
      <c r="H76" s="1099"/>
      <c r="I76" s="1100"/>
      <c r="J76" s="1099"/>
      <c r="K76" s="1099"/>
      <c r="L76" s="1262"/>
      <c r="M76" s="1101"/>
      <c r="N76" s="1706"/>
      <c r="O76" s="8"/>
      <c r="P76" s="239" t="s">
        <v>318</v>
      </c>
      <c r="Q76" s="119">
        <f>ROUND(IF(P76="SI",SUMIF('C de C año anterior'!$B$8:$B$229,B76,'C de C año anterior'!$Q$8:$Q$229)*(100%+$Q$5),0),-3)+ROUND(IF(P76="SI",SUMIF('Facturas año anterior'!$B$8:$B$86,B76,'Facturas año anterior'!$V$8:$V$86)*(100%+$AA$5),0),-3)</f>
        <v>434000</v>
      </c>
      <c r="R76" s="239"/>
      <c r="S76" s="114">
        <f t="shared" si="65"/>
        <v>0</v>
      </c>
      <c r="T76" s="240"/>
      <c r="U76" s="115">
        <f t="shared" si="66"/>
        <v>0</v>
      </c>
      <c r="V76" s="884"/>
      <c r="W76" s="874">
        <f t="shared" si="67"/>
        <v>0</v>
      </c>
      <c r="X76" s="884"/>
      <c r="Y76" s="874">
        <f t="shared" si="68"/>
        <v>0</v>
      </c>
      <c r="Z76" s="241"/>
      <c r="AA76" s="116">
        <f t="shared" si="69"/>
        <v>0</v>
      </c>
      <c r="AB76" s="239"/>
      <c r="AC76" s="116">
        <f t="shared" si="70"/>
        <v>0</v>
      </c>
      <c r="AD76" s="242"/>
      <c r="AE76" s="117">
        <f t="shared" si="71"/>
        <v>0</v>
      </c>
      <c r="AF76" s="1228">
        <f>SUMIF('Otras Asesorías y Préstamos'!$B$7:$B$242,B76,'Otras Asesorías y Préstamos'!$F$7:$F$242)</f>
        <v>0</v>
      </c>
      <c r="AG76" s="1228">
        <f>SUMIF('Otras Asesorías y Préstamos'!$B$7:$B$242,B76,'Otras Asesorías y Préstamos'!$V$7:$V$242)</f>
        <v>0</v>
      </c>
      <c r="AH76" s="1229">
        <f t="shared" si="72"/>
        <v>430000</v>
      </c>
      <c r="AI76" s="8"/>
    </row>
    <row r="77" spans="1:35" x14ac:dyDescent="0.2">
      <c r="A77" s="1462">
        <f t="shared" si="22"/>
        <v>68</v>
      </c>
      <c r="B77" s="1952" t="s">
        <v>384</v>
      </c>
      <c r="C77" s="1263">
        <f>_xlfn.XLOOKUP(B77,Códigos!$B$8:$B$406,Códigos!$A$8:$A$406,"Verificar",0)</f>
        <v>24</v>
      </c>
      <c r="D77" s="1264">
        <f>_xlfn.XLOOKUP(B77,'Consolidado Cobros'!$B$10:$B$312,'Consolidado Cobros'!$C$10:$C$312,"Verificar",0)</f>
        <v>15925921</v>
      </c>
      <c r="E77" s="1820">
        <f t="shared" si="64"/>
        <v>3</v>
      </c>
      <c r="F77" s="1736">
        <f t="shared" si="63"/>
        <v>500000</v>
      </c>
      <c r="G77" s="1098"/>
      <c r="H77" s="1099"/>
      <c r="I77" s="1100"/>
      <c r="J77" s="1099"/>
      <c r="K77" s="1099"/>
      <c r="L77" s="1100"/>
      <c r="M77" s="1101"/>
      <c r="N77" s="1706"/>
      <c r="O77" s="8"/>
      <c r="P77" s="239" t="s">
        <v>318</v>
      </c>
      <c r="Q77" s="119">
        <f>ROUND(IF(P77="SI",SUMIF('C de C año anterior'!$B$8:$B$229,B77,'C de C año anterior'!$Q$8:$Q$229)*(100%+$Q$5),0),-3)+ROUND(IF(P77="SI",SUMIF('Facturas año anterior'!$B$8:$B$86,B77,'Facturas año anterior'!$V$8:$V$86)*(100%+$AA$5),0),-3)</f>
        <v>495000</v>
      </c>
      <c r="R77" s="239"/>
      <c r="S77" s="114">
        <f t="shared" si="65"/>
        <v>0</v>
      </c>
      <c r="T77" s="240"/>
      <c r="U77" s="115">
        <f t="shared" si="66"/>
        <v>0</v>
      </c>
      <c r="V77" s="884"/>
      <c r="W77" s="874">
        <f t="shared" si="67"/>
        <v>0</v>
      </c>
      <c r="X77" s="884"/>
      <c r="Y77" s="874">
        <f t="shared" si="68"/>
        <v>0</v>
      </c>
      <c r="Z77" s="241"/>
      <c r="AA77" s="116">
        <f t="shared" si="69"/>
        <v>0</v>
      </c>
      <c r="AB77" s="239"/>
      <c r="AC77" s="116">
        <f t="shared" si="70"/>
        <v>0</v>
      </c>
      <c r="AD77" s="242"/>
      <c r="AE77" s="117">
        <f t="shared" si="71"/>
        <v>0</v>
      </c>
      <c r="AF77" s="1228">
        <f>SUMIF('Otras Asesorías y Préstamos'!$B$7:$B$242,B77,'Otras Asesorías y Préstamos'!$F$7:$F$242)</f>
        <v>0</v>
      </c>
      <c r="AG77" s="1228">
        <f>SUMIF('Otras Asesorías y Préstamos'!$B$7:$B$242,B77,'Otras Asesorías y Préstamos'!$V$7:$V$242)</f>
        <v>0</v>
      </c>
      <c r="AH77" s="1229">
        <f t="shared" si="72"/>
        <v>500000</v>
      </c>
      <c r="AI77" s="8"/>
    </row>
    <row r="78" spans="1:35" x14ac:dyDescent="0.2">
      <c r="A78" s="1462">
        <f t="shared" si="22"/>
        <v>69</v>
      </c>
      <c r="B78" s="1097" t="s">
        <v>67</v>
      </c>
      <c r="C78" s="1185">
        <f>_xlfn.XLOOKUP(B78,Códigos!$B$8:$B$406,Códigos!$A$8:$A$406,"Verificar",0)</f>
        <v>110</v>
      </c>
      <c r="D78" s="1114">
        <f>_xlfn.XLOOKUP(B78,'Consolidado Cobros'!$B$10:$B$312,'Consolidado Cobros'!$C$10:$C$312,"Verificar",0)</f>
        <v>98619761</v>
      </c>
      <c r="E78" s="1186">
        <f t="shared" si="64"/>
        <v>1</v>
      </c>
      <c r="F78" s="1463">
        <f t="shared" si="63"/>
        <v>1850000</v>
      </c>
      <c r="G78" s="1098"/>
      <c r="H78" s="1099"/>
      <c r="I78" s="1100"/>
      <c r="J78" s="1099"/>
      <c r="K78" s="1099"/>
      <c r="L78" s="1100"/>
      <c r="M78" s="1101"/>
      <c r="N78" s="1706"/>
      <c r="O78" s="8"/>
      <c r="P78" s="239" t="s">
        <v>318</v>
      </c>
      <c r="Q78" s="119">
        <f>ROUND(IF(P78="SI",SUMIF('C de C año anterior'!$B$8:$B$229,B78,'C de C año anterior'!$Q$8:$Q$229)*(100%+$Q$5),0),-3)+ROUND(IF(P78="SI",SUMIF('Facturas año anterior'!$B$8:$B$86,B78,'Facturas año anterior'!$V$8:$V$86)*(100%+$AA$5),0),-3)</f>
        <v>724000</v>
      </c>
      <c r="R78" s="239" t="s">
        <v>318</v>
      </c>
      <c r="S78" s="114">
        <f t="shared" si="65"/>
        <v>362000</v>
      </c>
      <c r="T78" s="240" t="s">
        <v>318</v>
      </c>
      <c r="U78" s="115">
        <f t="shared" si="66"/>
        <v>543000</v>
      </c>
      <c r="V78" s="884"/>
      <c r="W78" s="874">
        <f t="shared" si="67"/>
        <v>0</v>
      </c>
      <c r="X78" s="884"/>
      <c r="Y78" s="874">
        <f t="shared" si="68"/>
        <v>0</v>
      </c>
      <c r="Z78" s="241"/>
      <c r="AA78" s="116">
        <f t="shared" si="69"/>
        <v>0</v>
      </c>
      <c r="AB78" s="239"/>
      <c r="AC78" s="116">
        <f t="shared" si="70"/>
        <v>0</v>
      </c>
      <c r="AD78" s="242" t="s">
        <v>318</v>
      </c>
      <c r="AE78" s="117">
        <f t="shared" si="71"/>
        <v>217200</v>
      </c>
      <c r="AF78" s="1228">
        <f>SUMIF('Otras Asesorías y Préstamos'!$B$7:$B$242,B78,'Otras Asesorías y Préstamos'!$F$7:$F$242)</f>
        <v>0</v>
      </c>
      <c r="AG78" s="1228">
        <f>SUMIF('Otras Asesorías y Préstamos'!$B$7:$B$242,B78,'Otras Asesorías y Préstamos'!$V$7:$V$242)</f>
        <v>0</v>
      </c>
      <c r="AH78" s="1229">
        <f t="shared" si="72"/>
        <v>1850000</v>
      </c>
      <c r="AI78" s="8"/>
    </row>
    <row r="79" spans="1:35" x14ac:dyDescent="0.2">
      <c r="A79" s="1462">
        <f t="shared" ref="A79:A140" si="73">+A78+1</f>
        <v>70</v>
      </c>
      <c r="B79" s="1097" t="s">
        <v>68</v>
      </c>
      <c r="C79" s="1185">
        <f>_xlfn.XLOOKUP(B79,Códigos!$B$8:$B$406,Códigos!$A$8:$A$406,"Verificar",0)</f>
        <v>111</v>
      </c>
      <c r="D79" s="1114">
        <f>_xlfn.XLOOKUP(B79,'Consolidado Cobros'!$B$10:$B$312,'Consolidado Cobros'!$C$10:$C$312,"Verificar",0)</f>
        <v>98570880</v>
      </c>
      <c r="E79" s="1186">
        <f t="shared" si="64"/>
        <v>6</v>
      </c>
      <c r="F79" s="1463">
        <f t="shared" si="63"/>
        <v>1300000</v>
      </c>
      <c r="G79" s="1098"/>
      <c r="H79" s="1099"/>
      <c r="I79" s="1100"/>
      <c r="J79" s="1099"/>
      <c r="K79" s="1099"/>
      <c r="L79" s="1100"/>
      <c r="M79" s="1101"/>
      <c r="N79" s="1706"/>
      <c r="O79" s="8"/>
      <c r="P79" s="239" t="s">
        <v>318</v>
      </c>
      <c r="Q79" s="119">
        <f>ROUND(IF(P79="SI",SUMIF('C de C año anterior'!$B$8:$B$229,B79,'C de C año anterior'!$Q$8:$Q$229)*(100%+$Q$5),0),-3)+ROUND(IF(P79="SI",SUMIF('Facturas año anterior'!$B$8:$B$86,B79,'Facturas año anterior'!$V$8:$V$86)*(100%+$AA$5),0),-3)</f>
        <v>724000</v>
      </c>
      <c r="R79" s="239" t="s">
        <v>318</v>
      </c>
      <c r="S79" s="114">
        <f t="shared" si="65"/>
        <v>362000</v>
      </c>
      <c r="T79" s="240"/>
      <c r="U79" s="115">
        <f t="shared" si="66"/>
        <v>0</v>
      </c>
      <c r="V79" s="884"/>
      <c r="W79" s="874">
        <f t="shared" si="67"/>
        <v>0</v>
      </c>
      <c r="X79" s="884"/>
      <c r="Y79" s="874">
        <f t="shared" si="68"/>
        <v>0</v>
      </c>
      <c r="Z79" s="241"/>
      <c r="AA79" s="116">
        <f t="shared" si="69"/>
        <v>0</v>
      </c>
      <c r="AB79" s="239"/>
      <c r="AC79" s="116">
        <f t="shared" si="70"/>
        <v>0</v>
      </c>
      <c r="AD79" s="242" t="s">
        <v>318</v>
      </c>
      <c r="AE79" s="117">
        <f t="shared" si="71"/>
        <v>217200</v>
      </c>
      <c r="AF79" s="1228">
        <f>SUMIF('Otras Asesorías y Préstamos'!$B$7:$B$242,B79,'Otras Asesorías y Préstamos'!$F$7:$F$242)</f>
        <v>0</v>
      </c>
      <c r="AG79" s="1228">
        <f>SUMIF('Otras Asesorías y Préstamos'!$B$7:$B$242,B79,'Otras Asesorías y Préstamos'!$V$7:$V$242)</f>
        <v>0</v>
      </c>
      <c r="AH79" s="1229">
        <f t="shared" si="72"/>
        <v>1300000</v>
      </c>
      <c r="AI79" s="8"/>
    </row>
    <row r="80" spans="1:35" x14ac:dyDescent="0.2">
      <c r="A80" s="1462">
        <f t="shared" si="73"/>
        <v>71</v>
      </c>
      <c r="B80" s="1097" t="s">
        <v>332</v>
      </c>
      <c r="C80" s="1185">
        <f>_xlfn.XLOOKUP(B80,Códigos!$B$8:$B$406,Códigos!$A$8:$A$406,"Verificar",0)</f>
        <v>343</v>
      </c>
      <c r="D80" s="1114">
        <f>_xlfn.XLOOKUP(B80,'Consolidado Cobros'!$B$10:$B$312,'Consolidado Cobros'!$C$10:$C$312,"Verificar",0)</f>
        <v>98570881</v>
      </c>
      <c r="E80" s="1186">
        <f t="shared" si="64"/>
        <v>3</v>
      </c>
      <c r="F80" s="1463">
        <f t="shared" si="63"/>
        <v>270000</v>
      </c>
      <c r="G80" s="1098"/>
      <c r="H80" s="1099"/>
      <c r="I80" s="1100"/>
      <c r="J80" s="1099"/>
      <c r="K80" s="1099"/>
      <c r="L80" s="1100"/>
      <c r="M80" s="1101"/>
      <c r="N80" s="1706"/>
      <c r="O80" s="8"/>
      <c r="P80" s="239" t="s">
        <v>318</v>
      </c>
      <c r="Q80" s="119">
        <f>ROUND(IF(P80="SI",SUMIF('C de C año anterior'!$B$8:$B$229,B80,'C de C año anterior'!$Q$8:$Q$229)*(100%+$Q$5),0),-3)+ROUND(IF(P80="SI",SUMIF('Facturas año anterior'!$B$8:$B$86,B80,'Facturas año anterior'!$V$8:$V$86)*(100%+$AA$5),0),-3)</f>
        <v>272000</v>
      </c>
      <c r="R80" s="239"/>
      <c r="S80" s="114">
        <f t="shared" si="65"/>
        <v>0</v>
      </c>
      <c r="T80" s="240"/>
      <c r="U80" s="115">
        <f t="shared" si="66"/>
        <v>0</v>
      </c>
      <c r="V80" s="884"/>
      <c r="W80" s="874">
        <f t="shared" si="67"/>
        <v>0</v>
      </c>
      <c r="X80" s="884"/>
      <c r="Y80" s="874">
        <f t="shared" si="68"/>
        <v>0</v>
      </c>
      <c r="Z80" s="241"/>
      <c r="AA80" s="116">
        <f t="shared" si="69"/>
        <v>0</v>
      </c>
      <c r="AB80" s="239"/>
      <c r="AC80" s="116">
        <f t="shared" si="70"/>
        <v>0</v>
      </c>
      <c r="AD80" s="242"/>
      <c r="AE80" s="117">
        <f t="shared" si="71"/>
        <v>0</v>
      </c>
      <c r="AF80" s="1228">
        <f>SUMIF('Otras Asesorías y Préstamos'!$B$7:$B$242,B80,'Otras Asesorías y Préstamos'!$F$7:$F$242)</f>
        <v>0</v>
      </c>
      <c r="AG80" s="1228">
        <f>SUMIF('Otras Asesorías y Préstamos'!$B$7:$B$242,B80,'Otras Asesorías y Préstamos'!$V$7:$V$242)</f>
        <v>0</v>
      </c>
      <c r="AH80" s="1229">
        <f t="shared" si="72"/>
        <v>270000</v>
      </c>
      <c r="AI80" s="8"/>
    </row>
    <row r="81" spans="1:35" x14ac:dyDescent="0.2">
      <c r="A81" s="1462">
        <f t="shared" si="73"/>
        <v>72</v>
      </c>
      <c r="B81" s="1097" t="s">
        <v>69</v>
      </c>
      <c r="C81" s="1185">
        <f>_xlfn.XLOOKUP(B81,Códigos!$B$8:$B$406,Códigos!$A$8:$A$406,"Verificar",0)</f>
        <v>305</v>
      </c>
      <c r="D81" s="1114">
        <f>_xlfn.XLOOKUP(B81,'Consolidado Cobros'!$B$10:$B$312,'Consolidado Cobros'!$C$10:$C$312,"Verificar",0)</f>
        <v>98549455</v>
      </c>
      <c r="E81" s="1186">
        <f t="shared" si="64"/>
        <v>1</v>
      </c>
      <c r="F81" s="1463">
        <f t="shared" si="63"/>
        <v>390000</v>
      </c>
      <c r="G81" s="1098"/>
      <c r="H81" s="1099"/>
      <c r="I81" s="1100"/>
      <c r="J81" s="1099"/>
      <c r="K81" s="1099"/>
      <c r="L81" s="1100"/>
      <c r="M81" s="1101"/>
      <c r="N81" s="1706"/>
      <c r="O81" s="8"/>
      <c r="P81" s="239" t="s">
        <v>318</v>
      </c>
      <c r="Q81" s="119">
        <f>ROUND(IF(P81="SI",SUMIF('C de C año anterior'!$B$8:$B$229,B81,'C de C año anterior'!$Q$8:$Q$229)*(100%+$Q$5),0),-3)+ROUND(IF(P81="SI",SUMIF('Facturas año anterior'!$B$8:$B$86,B81,'Facturas año anterior'!$V$8:$V$86)*(100%+$AA$5),0),-3)</f>
        <v>387000</v>
      </c>
      <c r="R81" s="239"/>
      <c r="S81" s="114">
        <f t="shared" si="65"/>
        <v>0</v>
      </c>
      <c r="T81" s="240"/>
      <c r="U81" s="115">
        <f t="shared" si="66"/>
        <v>0</v>
      </c>
      <c r="V81" s="884"/>
      <c r="W81" s="874">
        <f t="shared" si="67"/>
        <v>0</v>
      </c>
      <c r="X81" s="884"/>
      <c r="Y81" s="874">
        <f t="shared" si="68"/>
        <v>0</v>
      </c>
      <c r="Z81" s="241"/>
      <c r="AA81" s="116">
        <f t="shared" si="69"/>
        <v>0</v>
      </c>
      <c r="AB81" s="239"/>
      <c r="AC81" s="116">
        <f t="shared" si="70"/>
        <v>0</v>
      </c>
      <c r="AD81" s="242"/>
      <c r="AE81" s="117">
        <f t="shared" si="71"/>
        <v>0</v>
      </c>
      <c r="AF81" s="1228">
        <f>SUMIF('Otras Asesorías y Préstamos'!$B$7:$B$242,B81,'Otras Asesorías y Préstamos'!$F$7:$F$242)</f>
        <v>0</v>
      </c>
      <c r="AG81" s="1228">
        <f>SUMIF('Otras Asesorías y Préstamos'!$B$7:$B$242,B81,'Otras Asesorías y Préstamos'!$V$7:$V$242)</f>
        <v>0</v>
      </c>
      <c r="AH81" s="1229">
        <f t="shared" si="72"/>
        <v>390000</v>
      </c>
      <c r="AI81" s="8"/>
    </row>
    <row r="82" spans="1:35" x14ac:dyDescent="0.2">
      <c r="A82" s="1462">
        <f t="shared" si="73"/>
        <v>73</v>
      </c>
      <c r="B82" s="1137" t="s">
        <v>659</v>
      </c>
      <c r="C82" s="1185">
        <v>224</v>
      </c>
      <c r="D82" s="1114">
        <f>_xlfn.XLOOKUP(B82,'Consolidado Cobros'!$B$10:$B$312,'Consolidado Cobros'!$C$10:$C$312,"Verificar",0)</f>
        <v>1034995481</v>
      </c>
      <c r="E82" s="1186">
        <f t="shared" si="64"/>
        <v>3</v>
      </c>
      <c r="F82" s="1463">
        <f t="shared" si="63"/>
        <v>360000</v>
      </c>
      <c r="G82" s="1098"/>
      <c r="H82" s="1099"/>
      <c r="I82" s="1100"/>
      <c r="J82" s="1099"/>
      <c r="K82" s="1099"/>
      <c r="L82" s="1100"/>
      <c r="M82" s="1101"/>
      <c r="N82" s="1706"/>
      <c r="O82" s="8"/>
      <c r="P82" s="239" t="s">
        <v>318</v>
      </c>
      <c r="Q82" s="119">
        <f>ROUND(IF(P82="SI",SUMIF('C de C año anterior'!$B$8:$B$229,B82,'C de C año anterior'!$Q$8:$Q$229)*(100%+$Q$5),0),-3)+ROUND(IF(P82="SI",SUMIF('Facturas año anterior'!$B$8:$B$86,B82,'Facturas año anterior'!$V$8:$V$86)*(100%+$AA$5),0),-3)</f>
        <v>363000</v>
      </c>
      <c r="R82" s="239"/>
      <c r="S82" s="114">
        <f t="shared" si="65"/>
        <v>0</v>
      </c>
      <c r="T82" s="240"/>
      <c r="U82" s="115">
        <f t="shared" si="66"/>
        <v>0</v>
      </c>
      <c r="V82" s="884"/>
      <c r="W82" s="874">
        <f t="shared" si="67"/>
        <v>0</v>
      </c>
      <c r="X82" s="884"/>
      <c r="Y82" s="874">
        <f t="shared" si="68"/>
        <v>0</v>
      </c>
      <c r="Z82" s="241"/>
      <c r="AA82" s="116">
        <f t="shared" si="69"/>
        <v>0</v>
      </c>
      <c r="AB82" s="239"/>
      <c r="AC82" s="116">
        <f t="shared" si="70"/>
        <v>0</v>
      </c>
      <c r="AD82" s="242"/>
      <c r="AE82" s="117">
        <f t="shared" si="71"/>
        <v>0</v>
      </c>
      <c r="AF82" s="1228">
        <f>SUMIF('Otras Asesorías y Préstamos'!$B$7:$B$242,B82,'Otras Asesorías y Préstamos'!$F$7:$F$242)</f>
        <v>0</v>
      </c>
      <c r="AG82" s="1228">
        <f>SUMIF('Otras Asesorías y Préstamos'!$B$7:$B$242,B82,'Otras Asesorías y Préstamos'!$V$7:$V$242)</f>
        <v>0</v>
      </c>
      <c r="AH82" s="1229">
        <f t="shared" si="72"/>
        <v>360000</v>
      </c>
      <c r="AI82" s="8"/>
    </row>
    <row r="83" spans="1:35" x14ac:dyDescent="0.2">
      <c r="A83" s="1462">
        <f t="shared" si="73"/>
        <v>74</v>
      </c>
      <c r="B83" s="1137" t="s">
        <v>646</v>
      </c>
      <c r="C83" s="1185">
        <v>228</v>
      </c>
      <c r="D83" s="1114">
        <f>_xlfn.XLOOKUP(B83,'Consolidado Cobros'!$B$10:$B$312,'Consolidado Cobros'!$C$10:$C$312,"Verificar",0)</f>
        <v>1034991081</v>
      </c>
      <c r="E83" s="1186">
        <f t="shared" si="64"/>
        <v>2</v>
      </c>
      <c r="F83" s="1463">
        <f t="shared" si="63"/>
        <v>360000</v>
      </c>
      <c r="G83" s="1098"/>
      <c r="H83" s="1099"/>
      <c r="I83" s="1100"/>
      <c r="J83" s="1099"/>
      <c r="K83" s="1099"/>
      <c r="L83" s="1100"/>
      <c r="M83" s="1101"/>
      <c r="N83" s="1706"/>
      <c r="O83" s="8"/>
      <c r="P83" s="239" t="s">
        <v>318</v>
      </c>
      <c r="Q83" s="119">
        <f>ROUND(IF(P83="SI",SUMIF('C de C año anterior'!$B$8:$B$229,B83,'C de C año anterior'!$Q$8:$Q$229)*(100%+$Q$5),0),-3)+ROUND(IF(P83="SI",SUMIF('Facturas año anterior'!$B$8:$B$86,B83,'Facturas año anterior'!$V$8:$V$86)*(100%+$AA$5),0),-3)</f>
        <v>363000</v>
      </c>
      <c r="R83" s="239"/>
      <c r="S83" s="114">
        <f t="shared" si="65"/>
        <v>0</v>
      </c>
      <c r="T83" s="240"/>
      <c r="U83" s="115">
        <f t="shared" si="66"/>
        <v>0</v>
      </c>
      <c r="V83" s="884"/>
      <c r="W83" s="874">
        <f t="shared" si="67"/>
        <v>0</v>
      </c>
      <c r="X83" s="884"/>
      <c r="Y83" s="874">
        <f t="shared" si="68"/>
        <v>0</v>
      </c>
      <c r="Z83" s="241"/>
      <c r="AA83" s="116">
        <f t="shared" si="69"/>
        <v>0</v>
      </c>
      <c r="AB83" s="239"/>
      <c r="AC83" s="116">
        <f t="shared" si="70"/>
        <v>0</v>
      </c>
      <c r="AD83" s="242"/>
      <c r="AE83" s="117">
        <f t="shared" si="71"/>
        <v>0</v>
      </c>
      <c r="AF83" s="1228">
        <f>SUMIF('Otras Asesorías y Préstamos'!$B$7:$B$242,B83,'Otras Asesorías y Préstamos'!$F$7:$F$242)</f>
        <v>0</v>
      </c>
      <c r="AG83" s="1228">
        <f>SUMIF('Otras Asesorías y Préstamos'!$B$7:$B$242,B83,'Otras Asesorías y Préstamos'!$V$7:$V$242)</f>
        <v>0</v>
      </c>
      <c r="AH83" s="1229">
        <f t="shared" si="72"/>
        <v>360000</v>
      </c>
      <c r="AI83" s="8"/>
    </row>
    <row r="84" spans="1:35" x14ac:dyDescent="0.2">
      <c r="A84" s="1462">
        <f t="shared" si="73"/>
        <v>75</v>
      </c>
      <c r="B84" s="1097" t="s">
        <v>70</v>
      </c>
      <c r="C84" s="1185">
        <f>_xlfn.XLOOKUP(B84,Códigos!$B$8:$B$406,Códigos!$A$8:$A$406,"Verificar",0)</f>
        <v>289</v>
      </c>
      <c r="D84" s="1114">
        <f>_xlfn.XLOOKUP(B84,'Consolidado Cobros'!$B$10:$B$312,'Consolidado Cobros'!$C$10:$C$312,"Verificar",0)</f>
        <v>32517259</v>
      </c>
      <c r="E84" s="1186">
        <f t="shared" si="64"/>
        <v>7</v>
      </c>
      <c r="F84" s="1463">
        <f t="shared" si="63"/>
        <v>470000</v>
      </c>
      <c r="G84" s="1098"/>
      <c r="H84" s="1099"/>
      <c r="I84" s="1100"/>
      <c r="J84" s="1099"/>
      <c r="K84" s="1099"/>
      <c r="L84" s="1100"/>
      <c r="M84" s="1101"/>
      <c r="N84" s="1706"/>
      <c r="O84" s="8"/>
      <c r="P84" s="239" t="s">
        <v>318</v>
      </c>
      <c r="Q84" s="119">
        <f>ROUND(IF(P84="SI",SUMIF('C de C año anterior'!$B$8:$B$229,B84,'C de C año anterior'!$Q$8:$Q$229)*(100%+$Q$5),0),-3)+ROUND(IF(P84="SI",SUMIF('Facturas año anterior'!$B$8:$B$86,B84,'Facturas año anterior'!$V$8:$V$86)*(100%+$AA$5),0),-3)</f>
        <v>471000</v>
      </c>
      <c r="R84" s="239"/>
      <c r="S84" s="114">
        <f t="shared" si="65"/>
        <v>0</v>
      </c>
      <c r="T84" s="240"/>
      <c r="U84" s="115">
        <f t="shared" si="66"/>
        <v>0</v>
      </c>
      <c r="V84" s="884"/>
      <c r="W84" s="874">
        <f t="shared" si="67"/>
        <v>0</v>
      </c>
      <c r="X84" s="884"/>
      <c r="Y84" s="874">
        <f t="shared" si="68"/>
        <v>0</v>
      </c>
      <c r="Z84" s="241"/>
      <c r="AA84" s="116">
        <f t="shared" si="69"/>
        <v>0</v>
      </c>
      <c r="AB84" s="239"/>
      <c r="AC84" s="116">
        <f t="shared" si="70"/>
        <v>0</v>
      </c>
      <c r="AD84" s="242"/>
      <c r="AE84" s="117">
        <f t="shared" si="71"/>
        <v>0</v>
      </c>
      <c r="AF84" s="1228">
        <f>SUMIF('Otras Asesorías y Préstamos'!$B$7:$B$242,B84,'Otras Asesorías y Préstamos'!$F$7:$F$242)</f>
        <v>0</v>
      </c>
      <c r="AG84" s="1228">
        <f>SUMIF('Otras Asesorías y Préstamos'!$B$7:$B$242,B84,'Otras Asesorías y Préstamos'!$V$7:$V$242)</f>
        <v>0</v>
      </c>
      <c r="AH84" s="1229">
        <f t="shared" si="72"/>
        <v>470000</v>
      </c>
      <c r="AI84" s="8"/>
    </row>
    <row r="85" spans="1:35" x14ac:dyDescent="0.2">
      <c r="A85" s="1462">
        <f t="shared" si="73"/>
        <v>76</v>
      </c>
      <c r="B85" s="1097" t="s">
        <v>71</v>
      </c>
      <c r="C85" s="1185">
        <f>_xlfn.XLOOKUP(B85,Códigos!$B$8:$B$406,Códigos!$A$8:$A$406,"Verificar",0)</f>
        <v>112</v>
      </c>
      <c r="D85" s="1114">
        <f>_xlfn.XLOOKUP(B85,'Consolidado Cobros'!$B$10:$B$312,'Consolidado Cobros'!$C$10:$C$312,"Verificar",0)</f>
        <v>32476412</v>
      </c>
      <c r="E85" s="1186">
        <f t="shared" si="64"/>
        <v>0</v>
      </c>
      <c r="F85" s="1866">
        <f>+AH85*0+410000</f>
        <v>410000</v>
      </c>
      <c r="G85" s="1098" t="s">
        <v>1137</v>
      </c>
      <c r="H85" s="1099" t="s">
        <v>760</v>
      </c>
      <c r="I85" s="1100">
        <v>46273</v>
      </c>
      <c r="J85" s="1099" t="s">
        <v>1133</v>
      </c>
      <c r="K85" s="1099" t="s">
        <v>763</v>
      </c>
      <c r="L85" s="1100">
        <v>46273</v>
      </c>
      <c r="M85" s="1101" t="s">
        <v>1138</v>
      </c>
      <c r="N85" s="1706"/>
      <c r="O85" s="8"/>
      <c r="P85" s="239" t="s">
        <v>318</v>
      </c>
      <c r="Q85" s="119">
        <f>ROUND(IF(P85="SI",SUMIF('C de C año anterior'!$B$8:$B$229,B85,'C de C año anterior'!$Q$8:$Q$229)*(100%+$Q$5),0),-3)+ROUND(IF(P85="SI",SUMIF('Facturas año anterior'!$B$8:$B$86,B85,'Facturas año anterior'!$V$8:$V$86)*(100%+$AA$5),0),-3)</f>
        <v>434000</v>
      </c>
      <c r="R85" s="239"/>
      <c r="S85" s="114">
        <f t="shared" si="65"/>
        <v>0</v>
      </c>
      <c r="T85" s="240"/>
      <c r="U85" s="115">
        <f t="shared" si="66"/>
        <v>0</v>
      </c>
      <c r="V85" s="884"/>
      <c r="W85" s="874">
        <f t="shared" si="67"/>
        <v>0</v>
      </c>
      <c r="X85" s="884"/>
      <c r="Y85" s="874">
        <f t="shared" si="68"/>
        <v>0</v>
      </c>
      <c r="Z85" s="241"/>
      <c r="AA85" s="116">
        <f t="shared" si="69"/>
        <v>0</v>
      </c>
      <c r="AB85" s="239"/>
      <c r="AC85" s="116">
        <f t="shared" si="70"/>
        <v>0</v>
      </c>
      <c r="AD85" s="242"/>
      <c r="AE85" s="117">
        <f t="shared" si="71"/>
        <v>0</v>
      </c>
      <c r="AF85" s="1228">
        <f>SUMIF('Otras Asesorías y Préstamos'!$B$7:$B$242,B85,'Otras Asesorías y Préstamos'!$F$7:$F$242)</f>
        <v>0</v>
      </c>
      <c r="AG85" s="1228">
        <f>SUMIF('Otras Asesorías y Préstamos'!$B$7:$B$242,B85,'Otras Asesorías y Préstamos'!$V$7:$V$242)</f>
        <v>0</v>
      </c>
      <c r="AH85" s="1229">
        <f t="shared" si="72"/>
        <v>430000</v>
      </c>
      <c r="AI85" s="8"/>
    </row>
    <row r="86" spans="1:35" x14ac:dyDescent="0.2">
      <c r="A86" s="1462">
        <f t="shared" si="73"/>
        <v>77</v>
      </c>
      <c r="B86" s="1097" t="s">
        <v>73</v>
      </c>
      <c r="C86" s="1185">
        <f>_xlfn.XLOOKUP(B86,Códigos!$B$8:$B$406,Códigos!$A$8:$A$406,"Verificar",0)</f>
        <v>116</v>
      </c>
      <c r="D86" s="1114">
        <f>_xlfn.XLOOKUP(B86,'Consolidado Cobros'!$B$10:$B$312,'Consolidado Cobros'!$C$10:$C$312,"Verificar",0)</f>
        <v>33166790</v>
      </c>
      <c r="E86" s="1186">
        <f t="shared" si="64"/>
        <v>3</v>
      </c>
      <c r="F86" s="1463">
        <f t="shared" si="63"/>
        <v>470000</v>
      </c>
      <c r="G86" s="1098"/>
      <c r="H86" s="1099"/>
      <c r="I86" s="1100"/>
      <c r="J86" s="1099"/>
      <c r="K86" s="1099"/>
      <c r="L86" s="1262"/>
      <c r="M86" s="1101"/>
      <c r="N86" s="1706"/>
      <c r="O86" s="8"/>
      <c r="P86" s="239" t="s">
        <v>318</v>
      </c>
      <c r="Q86" s="119">
        <f>ROUND(IF(P86="SI",SUMIF('C de C año anterior'!$B$8:$B$229,B86,'C de C año anterior'!$Q$8:$Q$229)*(100%+$Q$5),0),-3)+ROUND(IF(P86="SI",SUMIF('Facturas año anterior'!$B$8:$B$86,B86,'Facturas año anterior'!$V$8:$V$86)*(100%+$AA$5),0),-3)</f>
        <v>471000</v>
      </c>
      <c r="R86" s="239"/>
      <c r="S86" s="114">
        <f t="shared" si="65"/>
        <v>0</v>
      </c>
      <c r="T86" s="240"/>
      <c r="U86" s="115">
        <f t="shared" si="66"/>
        <v>0</v>
      </c>
      <c r="V86" s="884"/>
      <c r="W86" s="874">
        <f t="shared" si="67"/>
        <v>0</v>
      </c>
      <c r="X86" s="884"/>
      <c r="Y86" s="874">
        <f t="shared" si="68"/>
        <v>0</v>
      </c>
      <c r="Z86" s="241"/>
      <c r="AA86" s="116">
        <f t="shared" si="69"/>
        <v>0</v>
      </c>
      <c r="AB86" s="239"/>
      <c r="AC86" s="116">
        <f t="shared" si="70"/>
        <v>0</v>
      </c>
      <c r="AD86" s="242"/>
      <c r="AE86" s="117">
        <f t="shared" si="71"/>
        <v>0</v>
      </c>
      <c r="AF86" s="1228">
        <f>SUMIF('Otras Asesorías y Préstamos'!$B$7:$B$242,B86,'Otras Asesorías y Préstamos'!$F$7:$F$242)</f>
        <v>0</v>
      </c>
      <c r="AG86" s="1228">
        <f>SUMIF('Otras Asesorías y Préstamos'!$B$7:$B$242,B86,'Otras Asesorías y Préstamos'!$V$7:$V$242)</f>
        <v>0</v>
      </c>
      <c r="AH86" s="1229">
        <f t="shared" si="72"/>
        <v>470000</v>
      </c>
      <c r="AI86" s="8"/>
    </row>
    <row r="87" spans="1:35" x14ac:dyDescent="0.2">
      <c r="A87" s="1462">
        <f t="shared" si="73"/>
        <v>78</v>
      </c>
      <c r="B87" s="1097" t="s">
        <v>295</v>
      </c>
      <c r="C87" s="1185">
        <f>_xlfn.XLOOKUP(B87,Códigos!$B$8:$B$406,Códigos!$A$8:$A$406,"Verificar",0)</f>
        <v>331</v>
      </c>
      <c r="D87" s="1114">
        <f>_xlfn.XLOOKUP(B87,'Consolidado Cobros'!$B$10:$B$312,'Consolidado Cobros'!$C$10:$C$312,"Verificar",0)</f>
        <v>21350229</v>
      </c>
      <c r="E87" s="1186">
        <f t="shared" si="64"/>
        <v>7</v>
      </c>
      <c r="F87" s="1463">
        <f>+AH87-50000</f>
        <v>1060000</v>
      </c>
      <c r="G87" s="1098"/>
      <c r="H87" s="1099"/>
      <c r="I87" s="1100"/>
      <c r="J87" s="1099"/>
      <c r="K87" s="1099"/>
      <c r="L87" s="1262"/>
      <c r="M87" s="1101"/>
      <c r="N87" s="1706"/>
      <c r="O87" s="8"/>
      <c r="P87" s="239" t="s">
        <v>318</v>
      </c>
      <c r="Q87" s="119">
        <f>ROUND(IF(P87="SI",SUMIF('C de C año anterior'!$B$8:$B$229,B87,'C de C año anterior'!$Q$8:$Q$229)*(100%+$Q$5),0),-3)+ROUND(IF(P87="SI",SUMIF('Facturas año anterior'!$B$8:$B$86,B87,'Facturas año anterior'!$V$8:$V$86)*(100%+$AA$5),0),-3)</f>
        <v>1105000</v>
      </c>
      <c r="R87" s="239" t="s">
        <v>318</v>
      </c>
      <c r="S87" s="114">
        <f>ROUND(IF(R87="SI",Q87*$S$5,0),-3)*0</f>
        <v>0</v>
      </c>
      <c r="T87" s="240"/>
      <c r="U87" s="115">
        <f t="shared" si="66"/>
        <v>0</v>
      </c>
      <c r="V87" s="884"/>
      <c r="W87" s="874">
        <f t="shared" si="67"/>
        <v>0</v>
      </c>
      <c r="X87" s="884"/>
      <c r="Y87" s="874">
        <f t="shared" si="68"/>
        <v>0</v>
      </c>
      <c r="Z87" s="241"/>
      <c r="AA87" s="116">
        <f t="shared" si="69"/>
        <v>0</v>
      </c>
      <c r="AB87" s="239"/>
      <c r="AC87" s="116">
        <f t="shared" si="70"/>
        <v>0</v>
      </c>
      <c r="AD87" s="242"/>
      <c r="AE87" s="117">
        <f t="shared" si="71"/>
        <v>0</v>
      </c>
      <c r="AF87" s="1228">
        <f>SUMIF('Otras Asesorías y Préstamos'!$B$7:$B$242,B87,'Otras Asesorías y Préstamos'!$F$7:$F$242)</f>
        <v>0</v>
      </c>
      <c r="AG87" s="1228">
        <f>SUMIF('Otras Asesorías y Préstamos'!$B$7:$B$242,B87,'Otras Asesorías y Préstamos'!$V$7:$V$242)</f>
        <v>0</v>
      </c>
      <c r="AH87" s="1229">
        <f t="shared" si="72"/>
        <v>1110000</v>
      </c>
      <c r="AI87" s="8"/>
    </row>
    <row r="88" spans="1:35" x14ac:dyDescent="0.2">
      <c r="A88" s="1462">
        <f t="shared" si="73"/>
        <v>79</v>
      </c>
      <c r="B88" s="1097" t="s">
        <v>74</v>
      </c>
      <c r="C88" s="1185">
        <f>_xlfn.XLOOKUP(B88,Códigos!$B$8:$B$406,Códigos!$A$8:$A$406,"Verificar",0)</f>
        <v>242</v>
      </c>
      <c r="D88" s="1114">
        <f>_xlfn.XLOOKUP(B88,'Consolidado Cobros'!$B$10:$B$312,'Consolidado Cobros'!$C$10:$C$312,"Verificar",0)</f>
        <v>71776283</v>
      </c>
      <c r="E88" s="1186">
        <f t="shared" si="64"/>
        <v>6</v>
      </c>
      <c r="F88" s="1463">
        <f t="shared" si="63"/>
        <v>470000</v>
      </c>
      <c r="G88" s="1098"/>
      <c r="H88" s="1099"/>
      <c r="I88" s="1100"/>
      <c r="J88" s="1099"/>
      <c r="K88" s="1099"/>
      <c r="L88" s="1100"/>
      <c r="M88" s="1101"/>
      <c r="N88" s="1706"/>
      <c r="O88" s="8"/>
      <c r="P88" s="239" t="s">
        <v>318</v>
      </c>
      <c r="Q88" s="119">
        <f>ROUND(IF(P88="SI",SUMIF('C de C año anterior'!$B$8:$B$229,B88,'C de C año anterior'!$Q$8:$Q$229)*(100%+$Q$5),0),-3)+ROUND(IF(P88="SI",SUMIF('Facturas año anterior'!$B$8:$B$86,B88,'Facturas año anterior'!$V$8:$V$86)*(100%+$AA$5),0),-3)</f>
        <v>471000</v>
      </c>
      <c r="R88" s="239"/>
      <c r="S88" s="114">
        <f t="shared" si="65"/>
        <v>0</v>
      </c>
      <c r="T88" s="240"/>
      <c r="U88" s="115">
        <f t="shared" si="66"/>
        <v>0</v>
      </c>
      <c r="V88" s="884"/>
      <c r="W88" s="874">
        <f t="shared" si="67"/>
        <v>0</v>
      </c>
      <c r="X88" s="884"/>
      <c r="Y88" s="874">
        <f t="shared" si="68"/>
        <v>0</v>
      </c>
      <c r="Z88" s="241"/>
      <c r="AA88" s="116">
        <f t="shared" si="69"/>
        <v>0</v>
      </c>
      <c r="AB88" s="239"/>
      <c r="AC88" s="116">
        <f t="shared" si="70"/>
        <v>0</v>
      </c>
      <c r="AD88" s="242"/>
      <c r="AE88" s="117">
        <f t="shared" si="71"/>
        <v>0</v>
      </c>
      <c r="AF88" s="1228">
        <f>SUMIF('Otras Asesorías y Préstamos'!$B$7:$B$242,B88,'Otras Asesorías y Préstamos'!$F$7:$F$242)</f>
        <v>0</v>
      </c>
      <c r="AG88" s="1228">
        <f>SUMIF('Otras Asesorías y Préstamos'!$B$7:$B$242,B88,'Otras Asesorías y Préstamos'!$V$7:$V$242)</f>
        <v>0</v>
      </c>
      <c r="AH88" s="1229">
        <f t="shared" si="72"/>
        <v>470000</v>
      </c>
      <c r="AI88" s="8"/>
    </row>
    <row r="89" spans="1:35" x14ac:dyDescent="0.2">
      <c r="A89" s="1462">
        <f t="shared" si="73"/>
        <v>80</v>
      </c>
      <c r="B89" s="1201" t="s">
        <v>75</v>
      </c>
      <c r="C89" s="1199">
        <f>_xlfn.XLOOKUP(B89,Códigos!$B$8:$B$406,Códigos!$A$8:$A$406,"Verificar",0)</f>
        <v>248</v>
      </c>
      <c r="D89" s="1709">
        <f>_xlfn.XLOOKUP(B89,'Consolidado Cobros'!$B$10:$B$312,'Consolidado Cobros'!$C$10:$C$312,"Verificar",0)</f>
        <v>32408192</v>
      </c>
      <c r="E89" s="1186">
        <f t="shared" si="64"/>
        <v>5</v>
      </c>
      <c r="F89" s="1463">
        <f t="shared" si="63"/>
        <v>260000</v>
      </c>
      <c r="G89" s="1098"/>
      <c r="H89" s="1099"/>
      <c r="I89" s="1100"/>
      <c r="J89" s="1099"/>
      <c r="K89" s="1099"/>
      <c r="L89" s="1100"/>
      <c r="M89" s="1101"/>
      <c r="N89" s="1706"/>
      <c r="O89" s="8"/>
      <c r="P89" s="239" t="s">
        <v>266</v>
      </c>
      <c r="Q89" s="119">
        <f>ROUND(IF(P89="SI",SUMIF('C de C año anterior'!$B$8:$B$229,B89,'C de C año anterior'!$Q$8:$Q$229)*(100%+$Q$5),0),-3)+ROUND(IF(P89="SI",SUMIF('Facturas año anterior'!$B$8:$B$86,B89,'Facturas año anterior'!$V$8:$V$86)*(100%+$AA$5),0),-3)</f>
        <v>0</v>
      </c>
      <c r="R89" s="239"/>
      <c r="S89" s="114">
        <f t="shared" si="65"/>
        <v>0</v>
      </c>
      <c r="T89" s="240"/>
      <c r="U89" s="115">
        <f t="shared" si="66"/>
        <v>0</v>
      </c>
      <c r="V89" s="884"/>
      <c r="W89" s="874">
        <f t="shared" si="67"/>
        <v>0</v>
      </c>
      <c r="X89" s="884"/>
      <c r="Y89" s="874">
        <f t="shared" si="68"/>
        <v>0</v>
      </c>
      <c r="Z89" s="241"/>
      <c r="AA89" s="116">
        <f t="shared" si="69"/>
        <v>0</v>
      </c>
      <c r="AB89" s="239"/>
      <c r="AC89" s="116">
        <f t="shared" si="70"/>
        <v>0</v>
      </c>
      <c r="AD89" s="242"/>
      <c r="AE89" s="117">
        <f t="shared" si="71"/>
        <v>0</v>
      </c>
      <c r="AF89" s="1228">
        <f>SUMIF('Otras Asesorías y Préstamos'!$B$7:$B$242,B89,'Otras Asesorías y Préstamos'!$F$7:$F$242)</f>
        <v>256388.66474694616</v>
      </c>
      <c r="AG89" s="1228">
        <f>SUMIF('Otras Asesorías y Préstamos'!$B$7:$B$242,B89,'Otras Asesorías y Préstamos'!$V$7:$V$242)</f>
        <v>0</v>
      </c>
      <c r="AH89" s="1229">
        <f t="shared" si="72"/>
        <v>260000</v>
      </c>
      <c r="AI89" s="8"/>
    </row>
    <row r="90" spans="1:35" x14ac:dyDescent="0.2">
      <c r="A90" s="1462">
        <f t="shared" si="73"/>
        <v>81</v>
      </c>
      <c r="B90" s="1097" t="s">
        <v>76</v>
      </c>
      <c r="C90" s="1185">
        <f>_xlfn.XLOOKUP(B90,Códigos!$B$8:$B$406,Códigos!$A$8:$A$406,"Verificar",0)</f>
        <v>118</v>
      </c>
      <c r="D90" s="1114">
        <f>_xlfn.XLOOKUP(B90,'Consolidado Cobros'!$B$10:$B$312,'Consolidado Cobros'!$C$10:$C$312,"Verificar",0)</f>
        <v>1040182444</v>
      </c>
      <c r="E90" s="1186">
        <f t="shared" si="64"/>
        <v>3</v>
      </c>
      <c r="F90" s="1463">
        <f t="shared" si="63"/>
        <v>360000</v>
      </c>
      <c r="G90" s="1098"/>
      <c r="H90" s="1099"/>
      <c r="I90" s="1100"/>
      <c r="J90" s="1099"/>
      <c r="K90" s="1099"/>
      <c r="L90" s="1100"/>
      <c r="M90" s="1101"/>
      <c r="N90" s="1706"/>
      <c r="O90" s="8"/>
      <c r="P90" s="239" t="s">
        <v>318</v>
      </c>
      <c r="Q90" s="119">
        <f>ROUND(IF(P90="SI",SUMIF('C de C año anterior'!$B$8:$B$229,B90,'C de C año anterior'!$Q$8:$Q$229)*(100%+$Q$5),0),-3)+ROUND(IF(P90="SI",SUMIF('Facturas año anterior'!$B$8:$B$86,B90,'Facturas año anterior'!$V$8:$V$86)*(100%+$AA$5),0),-3)</f>
        <v>363000</v>
      </c>
      <c r="R90" s="239"/>
      <c r="S90" s="114">
        <f t="shared" si="65"/>
        <v>0</v>
      </c>
      <c r="T90" s="240"/>
      <c r="U90" s="115">
        <f t="shared" si="66"/>
        <v>0</v>
      </c>
      <c r="V90" s="884"/>
      <c r="W90" s="874">
        <f t="shared" si="67"/>
        <v>0</v>
      </c>
      <c r="X90" s="884"/>
      <c r="Y90" s="874">
        <f t="shared" si="68"/>
        <v>0</v>
      </c>
      <c r="Z90" s="241"/>
      <c r="AA90" s="116">
        <f t="shared" si="69"/>
        <v>0</v>
      </c>
      <c r="AB90" s="239"/>
      <c r="AC90" s="116">
        <f t="shared" si="70"/>
        <v>0</v>
      </c>
      <c r="AD90" s="242"/>
      <c r="AE90" s="117">
        <f t="shared" si="71"/>
        <v>0</v>
      </c>
      <c r="AF90" s="1228">
        <f>SUMIF('Otras Asesorías y Préstamos'!$B$7:$B$242,B90,'Otras Asesorías y Préstamos'!$F$7:$F$242)</f>
        <v>0</v>
      </c>
      <c r="AG90" s="1228">
        <f>SUMIF('Otras Asesorías y Préstamos'!$B$7:$B$242,B90,'Otras Asesorías y Préstamos'!$V$7:$V$242)</f>
        <v>0</v>
      </c>
      <c r="AH90" s="1229">
        <f t="shared" si="72"/>
        <v>360000</v>
      </c>
      <c r="AI90" s="8"/>
    </row>
    <row r="91" spans="1:35" x14ac:dyDescent="0.2">
      <c r="A91" s="1462">
        <f t="shared" si="73"/>
        <v>82</v>
      </c>
      <c r="B91" s="1097" t="s">
        <v>77</v>
      </c>
      <c r="C91" s="1185">
        <f>_xlfn.XLOOKUP(B91,Códigos!$B$8:$B$406,Códigos!$A$8:$A$406,"Verificar",0)</f>
        <v>275</v>
      </c>
      <c r="D91" s="1114">
        <f>_xlfn.XLOOKUP(B91,'Consolidado Cobros'!$B$10:$B$312,'Consolidado Cobros'!$C$10:$C$312,"Verificar",0)</f>
        <v>71557380</v>
      </c>
      <c r="E91" s="1186">
        <f t="shared" si="64"/>
        <v>3</v>
      </c>
      <c r="F91" s="1463">
        <f t="shared" si="63"/>
        <v>360000</v>
      </c>
      <c r="G91" s="1098"/>
      <c r="H91" s="1099"/>
      <c r="I91" s="1100"/>
      <c r="J91" s="1099"/>
      <c r="K91" s="1099"/>
      <c r="L91" s="1100"/>
      <c r="M91" s="1101"/>
      <c r="N91" s="1706"/>
      <c r="O91" s="8"/>
      <c r="P91" s="239" t="s">
        <v>318</v>
      </c>
      <c r="Q91" s="119">
        <f>ROUND(IF(P91="SI",SUMIF('C de C año anterior'!$B$8:$B$229,B91,'C de C año anterior'!$Q$8:$Q$229)*(100%+$Q$5),0),-3)+ROUND(IF(P91="SI",SUMIF('Facturas año anterior'!$B$8:$B$86,B91,'Facturas año anterior'!$V$8:$V$86)*(100%+$AA$5),0),-3)</f>
        <v>363000</v>
      </c>
      <c r="R91" s="239"/>
      <c r="S91" s="114">
        <f t="shared" si="65"/>
        <v>0</v>
      </c>
      <c r="T91" s="240"/>
      <c r="U91" s="115">
        <f t="shared" si="66"/>
        <v>0</v>
      </c>
      <c r="V91" s="884"/>
      <c r="W91" s="874">
        <f t="shared" si="67"/>
        <v>0</v>
      </c>
      <c r="X91" s="884"/>
      <c r="Y91" s="874">
        <f t="shared" si="68"/>
        <v>0</v>
      </c>
      <c r="Z91" s="241"/>
      <c r="AA91" s="116">
        <f t="shared" si="69"/>
        <v>0</v>
      </c>
      <c r="AB91" s="239"/>
      <c r="AC91" s="116">
        <f t="shared" si="70"/>
        <v>0</v>
      </c>
      <c r="AD91" s="242"/>
      <c r="AE91" s="117">
        <f t="shared" si="71"/>
        <v>0</v>
      </c>
      <c r="AF91" s="1228">
        <f>SUMIF('Otras Asesorías y Préstamos'!$B$7:$B$242,B91,'Otras Asesorías y Préstamos'!$F$7:$F$242)</f>
        <v>0</v>
      </c>
      <c r="AG91" s="1228">
        <f>SUMIF('Otras Asesorías y Préstamos'!$B$7:$B$242,B91,'Otras Asesorías y Préstamos'!$V$7:$V$242)</f>
        <v>0</v>
      </c>
      <c r="AH91" s="1229">
        <f t="shared" si="72"/>
        <v>360000</v>
      </c>
      <c r="AI91" s="8"/>
    </row>
    <row r="92" spans="1:35" x14ac:dyDescent="0.2">
      <c r="A92" s="1462">
        <f t="shared" si="73"/>
        <v>83</v>
      </c>
      <c r="B92" s="1097" t="s">
        <v>79</v>
      </c>
      <c r="C92" s="1185">
        <f>_xlfn.XLOOKUP(B92,Códigos!$B$8:$B$406,Códigos!$A$8:$A$406,"Verificar",0)</f>
        <v>119</v>
      </c>
      <c r="D92" s="1114">
        <f>_xlfn.XLOOKUP(B92,'Consolidado Cobros'!$B$10:$B$312,'Consolidado Cobros'!$C$10:$C$312,"Verificar",0)</f>
        <v>43166841</v>
      </c>
      <c r="E92" s="1186">
        <f t="shared" si="64"/>
        <v>7</v>
      </c>
      <c r="F92" s="1463">
        <f t="shared" si="63"/>
        <v>330000</v>
      </c>
      <c r="G92" s="1098"/>
      <c r="H92" s="1099"/>
      <c r="I92" s="1100"/>
      <c r="J92" s="1099"/>
      <c r="K92" s="1099"/>
      <c r="L92" s="1100"/>
      <c r="M92" s="1101"/>
      <c r="N92" s="1706"/>
      <c r="O92" s="8"/>
      <c r="P92" s="239" t="s">
        <v>318</v>
      </c>
      <c r="Q92" s="119">
        <f>ROUND(IF(P92="SI",SUMIF('C de C año anterior'!$B$8:$B$229,B92,'C de C año anterior'!$Q$8:$Q$229)*(100%+$Q$5),0),-3)+ROUND(IF(P92="SI",SUMIF('Facturas año anterior'!$B$8:$B$86,B92,'Facturas año anterior'!$V$8:$V$86)*(100%+$AA$5),0),-3)</f>
        <v>332000</v>
      </c>
      <c r="R92" s="239"/>
      <c r="S92" s="114">
        <f t="shared" si="65"/>
        <v>0</v>
      </c>
      <c r="T92" s="240"/>
      <c r="U92" s="115">
        <f t="shared" si="66"/>
        <v>0</v>
      </c>
      <c r="V92" s="884"/>
      <c r="W92" s="874">
        <f t="shared" si="67"/>
        <v>0</v>
      </c>
      <c r="X92" s="884"/>
      <c r="Y92" s="874">
        <f t="shared" si="68"/>
        <v>0</v>
      </c>
      <c r="Z92" s="241"/>
      <c r="AA92" s="116">
        <f t="shared" si="69"/>
        <v>0</v>
      </c>
      <c r="AB92" s="239"/>
      <c r="AC92" s="116">
        <f t="shared" si="70"/>
        <v>0</v>
      </c>
      <c r="AD92" s="242"/>
      <c r="AE92" s="117">
        <f t="shared" si="71"/>
        <v>0</v>
      </c>
      <c r="AF92" s="1228">
        <f>SUMIF('Otras Asesorías y Préstamos'!$B$7:$B$242,B92,'Otras Asesorías y Préstamos'!$F$7:$F$242)</f>
        <v>0</v>
      </c>
      <c r="AG92" s="1228">
        <f>SUMIF('Otras Asesorías y Préstamos'!$B$7:$B$242,B92,'Otras Asesorías y Préstamos'!$V$7:$V$242)</f>
        <v>0</v>
      </c>
      <c r="AH92" s="1229">
        <f t="shared" si="72"/>
        <v>330000</v>
      </c>
      <c r="AI92" s="8"/>
    </row>
    <row r="93" spans="1:35" x14ac:dyDescent="0.2">
      <c r="A93" s="1462">
        <f t="shared" si="73"/>
        <v>84</v>
      </c>
      <c r="B93" s="1491" t="s">
        <v>242</v>
      </c>
      <c r="C93" s="1678">
        <f>_xlfn.XLOOKUP(B93,Códigos!$B$8:$B$406,Códigos!$A$8:$A$406,"Verificar",0)</f>
        <v>315</v>
      </c>
      <c r="D93" s="1114">
        <f>_xlfn.XLOOKUP(B93,'Consolidado Cobros'!$B$10:$B$312,'Consolidado Cobros'!$C$10:$C$312,"Verificar",0)</f>
        <v>20270143</v>
      </c>
      <c r="E93" s="1186">
        <f t="shared" si="64"/>
        <v>5</v>
      </c>
      <c r="F93" s="1463">
        <f t="shared" si="63"/>
        <v>500000</v>
      </c>
      <c r="G93" s="1098"/>
      <c r="H93" s="1099"/>
      <c r="I93" s="1100"/>
      <c r="J93" s="1099"/>
      <c r="K93" s="1099"/>
      <c r="L93" s="1100"/>
      <c r="M93" s="1101"/>
      <c r="N93" s="1706"/>
      <c r="O93" s="8"/>
      <c r="P93" s="239" t="s">
        <v>318</v>
      </c>
      <c r="Q93" s="119">
        <f>ROUND(IF(P93="SI",SUMIF('C de C año anterior'!$B$8:$B$229,B93,'C de C año anterior'!$Q$8:$Q$229)*(100%+$Q$5),0),-3)+ROUND(IF(P93="SI",SUMIF('Facturas año anterior'!$B$8:$B$86,B93,'Facturas año anterior'!$V$8:$V$86)*(100%+$AA$5),0),-3)</f>
        <v>495000</v>
      </c>
      <c r="R93" s="239"/>
      <c r="S93" s="114">
        <f t="shared" si="65"/>
        <v>0</v>
      </c>
      <c r="T93" s="240"/>
      <c r="U93" s="115">
        <f t="shared" si="66"/>
        <v>0</v>
      </c>
      <c r="V93" s="884"/>
      <c r="W93" s="874">
        <f t="shared" si="67"/>
        <v>0</v>
      </c>
      <c r="X93" s="884"/>
      <c r="Y93" s="874">
        <f t="shared" si="68"/>
        <v>0</v>
      </c>
      <c r="Z93" s="241"/>
      <c r="AA93" s="116">
        <f t="shared" si="69"/>
        <v>0</v>
      </c>
      <c r="AB93" s="239"/>
      <c r="AC93" s="116">
        <f t="shared" si="70"/>
        <v>0</v>
      </c>
      <c r="AD93" s="242"/>
      <c r="AE93" s="117">
        <f t="shared" si="71"/>
        <v>0</v>
      </c>
      <c r="AF93" s="1228">
        <f>SUMIF('Otras Asesorías y Préstamos'!$B$7:$B$242,B93,'Otras Asesorías y Préstamos'!$F$7:$F$242)</f>
        <v>0</v>
      </c>
      <c r="AG93" s="1228">
        <f>SUMIF('Otras Asesorías y Préstamos'!$B$7:$B$242,B93,'Otras Asesorías y Préstamos'!$V$7:$V$242)</f>
        <v>0</v>
      </c>
      <c r="AH93" s="1229">
        <f t="shared" si="72"/>
        <v>500000</v>
      </c>
      <c r="AI93" s="8"/>
    </row>
    <row r="94" spans="1:35" x14ac:dyDescent="0.2">
      <c r="A94" s="1462">
        <f t="shared" si="73"/>
        <v>85</v>
      </c>
      <c r="B94" s="1137" t="s">
        <v>649</v>
      </c>
      <c r="C94" s="1678">
        <f>_xlfn.XLOOKUP(B94,Códigos!$B$8:$B$406,Códigos!$A$8:$A$406,"Verificar",0)</f>
        <v>230</v>
      </c>
      <c r="D94" s="1114">
        <f>_xlfn.XLOOKUP(B94,'Consolidado Cobros'!$B$10:$B$312,'Consolidado Cobros'!$C$10:$C$312,"Verificar",0)</f>
        <v>1036958916</v>
      </c>
      <c r="E94" s="1186">
        <f t="shared" si="64"/>
        <v>5</v>
      </c>
      <c r="F94" s="1463">
        <f t="shared" ref="F94" si="74">+AH94</f>
        <v>300000</v>
      </c>
      <c r="G94" s="1098"/>
      <c r="H94" s="1099"/>
      <c r="I94" s="1100"/>
      <c r="J94" s="1099"/>
      <c r="K94" s="1099"/>
      <c r="L94" s="1100"/>
      <c r="M94" s="1101"/>
      <c r="N94" s="1706"/>
      <c r="O94" s="8"/>
      <c r="P94" s="239" t="s">
        <v>318</v>
      </c>
      <c r="Q94" s="119">
        <f>ROUND(IF(P94="SI",SUMIF('C de C año anterior'!$B$8:$B$229,B94,'C de C año anterior'!$Q$8:$Q$229)*(100%+$Q$5),0),-3)+ROUND(IF(P94="SI",SUMIF('Facturas año anterior'!$B$8:$B$86,B94,'Facturas año anterior'!$V$8:$V$86)*(100%+$AA$5),0),-3)</f>
        <v>302000</v>
      </c>
      <c r="R94" s="239"/>
      <c r="S94" s="114">
        <f t="shared" si="65"/>
        <v>0</v>
      </c>
      <c r="T94" s="240"/>
      <c r="U94" s="115">
        <f t="shared" si="66"/>
        <v>0</v>
      </c>
      <c r="V94" s="884"/>
      <c r="W94" s="874">
        <f t="shared" si="67"/>
        <v>0</v>
      </c>
      <c r="X94" s="884"/>
      <c r="Y94" s="874">
        <f t="shared" si="68"/>
        <v>0</v>
      </c>
      <c r="Z94" s="241"/>
      <c r="AA94" s="116">
        <f t="shared" si="69"/>
        <v>0</v>
      </c>
      <c r="AB94" s="239"/>
      <c r="AC94" s="116">
        <f t="shared" si="70"/>
        <v>0</v>
      </c>
      <c r="AD94" s="242"/>
      <c r="AE94" s="117">
        <f t="shared" si="71"/>
        <v>0</v>
      </c>
      <c r="AF94" s="1228">
        <f>SUMIF('Otras Asesorías y Préstamos'!$B$7:$B$242,B94,'Otras Asesorías y Préstamos'!$F$7:$F$242)</f>
        <v>0</v>
      </c>
      <c r="AG94" s="1228">
        <f>SUMIF('Otras Asesorías y Préstamos'!$B$7:$B$242,B94,'Otras Asesorías y Préstamos'!$V$7:$V$242)</f>
        <v>0</v>
      </c>
      <c r="AH94" s="1229">
        <f t="shared" si="72"/>
        <v>300000</v>
      </c>
      <c r="AI94" s="8"/>
    </row>
    <row r="95" spans="1:35" x14ac:dyDescent="0.2">
      <c r="A95" s="1462">
        <f t="shared" si="73"/>
        <v>86</v>
      </c>
      <c r="B95" s="1097" t="s">
        <v>243</v>
      </c>
      <c r="C95" s="1185">
        <f>_xlfn.XLOOKUP(B95,Códigos!$B$8:$B$406,Códigos!$A$8:$A$406,"Verificar",0)</f>
        <v>259</v>
      </c>
      <c r="D95" s="1114">
        <f>_xlfn.XLOOKUP(B95,'Consolidado Cobros'!$B$10:$B$312,'Consolidado Cobros'!$C$10:$C$312,"Verificar",0)</f>
        <v>42872098</v>
      </c>
      <c r="E95" s="1186">
        <f t="shared" si="64"/>
        <v>5</v>
      </c>
      <c r="F95" s="1463">
        <f t="shared" si="63"/>
        <v>500000</v>
      </c>
      <c r="G95" s="1098"/>
      <c r="H95" s="1099"/>
      <c r="I95" s="1100"/>
      <c r="J95" s="1099"/>
      <c r="K95" s="1099"/>
      <c r="L95" s="1100"/>
      <c r="M95" s="1101"/>
      <c r="N95" s="1706"/>
      <c r="O95" s="8"/>
      <c r="P95" s="239" t="s">
        <v>318</v>
      </c>
      <c r="Q95" s="119">
        <f>ROUND(IF(P95="SI",SUMIF('C de C año anterior'!$B$8:$B$229,B95,'C de C año anterior'!$Q$8:$Q$229)*(100%+$Q$5),0),-3)+ROUND(IF(P95="SI",SUMIF('Facturas año anterior'!$B$8:$B$86,B95,'Facturas año anterior'!$V$8:$V$86)*(100%+$AA$5),0),-3)</f>
        <v>495000</v>
      </c>
      <c r="R95" s="239"/>
      <c r="S95" s="114">
        <f t="shared" si="65"/>
        <v>0</v>
      </c>
      <c r="T95" s="240"/>
      <c r="U95" s="115">
        <f t="shared" si="66"/>
        <v>0</v>
      </c>
      <c r="V95" s="884"/>
      <c r="W95" s="874">
        <f t="shared" si="67"/>
        <v>0</v>
      </c>
      <c r="X95" s="884"/>
      <c r="Y95" s="874">
        <f t="shared" si="68"/>
        <v>0</v>
      </c>
      <c r="Z95" s="241"/>
      <c r="AA95" s="116">
        <f t="shared" si="69"/>
        <v>0</v>
      </c>
      <c r="AB95" s="239"/>
      <c r="AC95" s="116">
        <f t="shared" si="70"/>
        <v>0</v>
      </c>
      <c r="AD95" s="242"/>
      <c r="AE95" s="117">
        <f t="shared" si="71"/>
        <v>0</v>
      </c>
      <c r="AF95" s="1228">
        <f>SUMIF('Otras Asesorías y Préstamos'!$B$7:$B$242,B95,'Otras Asesorías y Préstamos'!$F$7:$F$242)</f>
        <v>0</v>
      </c>
      <c r="AG95" s="1228">
        <f>SUMIF('Otras Asesorías y Préstamos'!$B$7:$B$242,B95,'Otras Asesorías y Préstamos'!$V$7:$V$242)</f>
        <v>0</v>
      </c>
      <c r="AH95" s="1229">
        <f t="shared" si="72"/>
        <v>500000</v>
      </c>
      <c r="AI95" s="8"/>
    </row>
    <row r="96" spans="1:35" x14ac:dyDescent="0.2">
      <c r="A96" s="1462">
        <f t="shared" si="73"/>
        <v>87</v>
      </c>
      <c r="B96" s="1097" t="s">
        <v>83</v>
      </c>
      <c r="C96" s="1185">
        <f>_xlfn.XLOOKUP(B96,Códigos!$B$8:$B$406,Códigos!$A$8:$A$406,"Verificar",0)</f>
        <v>122</v>
      </c>
      <c r="D96" s="1114">
        <f>_xlfn.XLOOKUP(B96,'Consolidado Cobros'!$B$10:$B$312,'Consolidado Cobros'!$C$10:$C$312,"Verificar",0)</f>
        <v>21331840</v>
      </c>
      <c r="E96" s="1186">
        <f t="shared" si="64"/>
        <v>7</v>
      </c>
      <c r="F96" s="1463">
        <f t="shared" si="63"/>
        <v>720000</v>
      </c>
      <c r="G96" s="1098"/>
      <c r="H96" s="1099"/>
      <c r="I96" s="1100"/>
      <c r="J96" s="1099"/>
      <c r="K96" s="1099"/>
      <c r="L96" s="1100"/>
      <c r="M96" s="1101"/>
      <c r="N96" s="1706"/>
      <c r="O96" s="8"/>
      <c r="P96" s="239" t="s">
        <v>318</v>
      </c>
      <c r="Q96" s="119">
        <f>ROUND(IF(P96="SI",SUMIF('C de C año anterior'!$B$8:$B$229,B96,'C de C año anterior'!$Q$8:$Q$229)*(100%+$Q$5),0),-3)+ROUND(IF(P96="SI",SUMIF('Facturas año anterior'!$B$8:$B$86,B96,'Facturas año anterior'!$V$8:$V$86)*(100%+$AA$5),0),-3)</f>
        <v>724000</v>
      </c>
      <c r="R96" s="239"/>
      <c r="S96" s="114">
        <f t="shared" si="65"/>
        <v>0</v>
      </c>
      <c r="T96" s="240"/>
      <c r="U96" s="115">
        <f t="shared" si="66"/>
        <v>0</v>
      </c>
      <c r="V96" s="884"/>
      <c r="W96" s="874">
        <f t="shared" si="67"/>
        <v>0</v>
      </c>
      <c r="X96" s="884"/>
      <c r="Y96" s="874">
        <f t="shared" si="68"/>
        <v>0</v>
      </c>
      <c r="Z96" s="241"/>
      <c r="AA96" s="116">
        <f t="shared" si="69"/>
        <v>0</v>
      </c>
      <c r="AB96" s="239"/>
      <c r="AC96" s="116">
        <f t="shared" si="70"/>
        <v>0</v>
      </c>
      <c r="AD96" s="242"/>
      <c r="AE96" s="117">
        <f t="shared" si="71"/>
        <v>0</v>
      </c>
      <c r="AF96" s="1228">
        <f>SUMIF('Otras Asesorías y Préstamos'!$B$7:$B$242,B96,'Otras Asesorías y Préstamos'!$F$7:$F$242)</f>
        <v>0</v>
      </c>
      <c r="AG96" s="1228">
        <f>SUMIF('Otras Asesorías y Préstamos'!$B$7:$B$242,B96,'Otras Asesorías y Préstamos'!$V$7:$V$242)</f>
        <v>0</v>
      </c>
      <c r="AH96" s="1229">
        <f t="shared" si="72"/>
        <v>720000</v>
      </c>
      <c r="AI96" s="8"/>
    </row>
    <row r="97" spans="1:35" x14ac:dyDescent="0.2">
      <c r="A97" s="1462">
        <f t="shared" si="73"/>
        <v>88</v>
      </c>
      <c r="B97" s="1097" t="s">
        <v>400</v>
      </c>
      <c r="C97" s="1185">
        <f>_xlfn.XLOOKUP(B97,Códigos!$B$8:$B$406,Códigos!$A$8:$A$406,"Verificar",0)</f>
        <v>58</v>
      </c>
      <c r="D97" s="1114">
        <f>_xlfn.XLOOKUP(B97,'Consolidado Cobros'!$B$10:$B$312,'Consolidado Cobros'!$C$10:$C$312,"Verificar",0)</f>
        <v>1036609920</v>
      </c>
      <c r="E97" s="1186">
        <f t="shared" si="64"/>
        <v>9</v>
      </c>
      <c r="F97" s="1463">
        <f t="shared" si="63"/>
        <v>0</v>
      </c>
      <c r="G97" s="1098"/>
      <c r="H97" s="1867"/>
      <c r="I97" s="1100"/>
      <c r="J97" s="1099"/>
      <c r="K97" s="1099"/>
      <c r="L97" s="1100"/>
      <c r="M97" s="1101"/>
      <c r="N97" s="1706"/>
      <c r="O97" s="8"/>
      <c r="P97" s="239" t="s">
        <v>266</v>
      </c>
      <c r="Q97" s="119">
        <f>ROUND(IF(P97="SI",SUMIF('C de C año anterior'!$B$8:$B$229,B97,'C de C año anterior'!$Q$8:$Q$229)*(100%+$Q$5),0),-3)+ROUND(IF(P97="SI",SUMIF('Facturas año anterior'!$B$8:$B$86,B97,'Facturas año anterior'!$V$8:$V$86)*(100%+$AA$5),0),-3)</f>
        <v>0</v>
      </c>
      <c r="R97" s="239"/>
      <c r="S97" s="114">
        <f t="shared" si="65"/>
        <v>0</v>
      </c>
      <c r="T97" s="240"/>
      <c r="U97" s="115">
        <f t="shared" si="66"/>
        <v>0</v>
      </c>
      <c r="V97" s="884"/>
      <c r="W97" s="874">
        <f t="shared" si="67"/>
        <v>0</v>
      </c>
      <c r="X97" s="884"/>
      <c r="Y97" s="874">
        <f t="shared" si="68"/>
        <v>0</v>
      </c>
      <c r="Z97" s="241"/>
      <c r="AA97" s="116">
        <f t="shared" si="69"/>
        <v>0</v>
      </c>
      <c r="AB97" s="239"/>
      <c r="AC97" s="116">
        <f t="shared" si="70"/>
        <v>0</v>
      </c>
      <c r="AD97" s="242"/>
      <c r="AE97" s="117">
        <f t="shared" si="71"/>
        <v>0</v>
      </c>
      <c r="AF97" s="1228">
        <f>SUMIF('Otras Asesorías y Préstamos'!$B$7:$B$242,B97,'Otras Asesorías y Préstamos'!$F$7:$F$242)</f>
        <v>0</v>
      </c>
      <c r="AG97" s="1228">
        <f>SUMIF('Otras Asesorías y Préstamos'!$B$7:$B$242,B97,'Otras Asesorías y Préstamos'!$V$7:$V$242)</f>
        <v>0</v>
      </c>
      <c r="AH97" s="1229">
        <f t="shared" si="72"/>
        <v>0</v>
      </c>
      <c r="AI97" s="8"/>
    </row>
    <row r="98" spans="1:35" x14ac:dyDescent="0.2">
      <c r="A98" s="1462">
        <f t="shared" si="73"/>
        <v>89</v>
      </c>
      <c r="B98" s="1433" t="s">
        <v>486</v>
      </c>
      <c r="C98" s="1185">
        <f>_xlfn.XLOOKUP(B98,Códigos!$B$8:$B$406,Códigos!$A$8:$A$406,"Verificar",0)</f>
        <v>162</v>
      </c>
      <c r="D98" s="1114">
        <f>_xlfn.XLOOKUP(B98,'Consolidado Cobros'!$B$10:$B$312,'Consolidado Cobros'!$C$10:$C$312,"Verificar",0)</f>
        <v>1040746114</v>
      </c>
      <c r="E98" s="1186">
        <f t="shared" si="64"/>
        <v>1</v>
      </c>
      <c r="F98" s="1463">
        <f t="shared" si="63"/>
        <v>240000</v>
      </c>
      <c r="G98" s="1098"/>
      <c r="H98" s="1099"/>
      <c r="I98" s="1100"/>
      <c r="J98" s="1099"/>
      <c r="K98" s="1099"/>
      <c r="L98" s="1100"/>
      <c r="M98" s="1101"/>
      <c r="N98" s="1706"/>
      <c r="O98" s="8"/>
      <c r="P98" s="239" t="s">
        <v>318</v>
      </c>
      <c r="Q98" s="119">
        <f>ROUND(IF(P98="SI",SUMIF('C de C año anterior'!$B$8:$B$229,B98,'C de C año anterior'!$Q$8:$Q$229)*(100%+$Q$5),0),-3)+ROUND(IF(P98="SI",SUMIF('Facturas año anterior'!$B$8:$B$86,B98,'Facturas año anterior'!$V$8:$V$86)*(100%+$AA$5),0),-3)</f>
        <v>242000</v>
      </c>
      <c r="R98" s="239"/>
      <c r="S98" s="114">
        <f t="shared" si="65"/>
        <v>0</v>
      </c>
      <c r="T98" s="240"/>
      <c r="U98" s="115">
        <f t="shared" si="66"/>
        <v>0</v>
      </c>
      <c r="V98" s="884"/>
      <c r="W98" s="874">
        <f t="shared" si="67"/>
        <v>0</v>
      </c>
      <c r="X98" s="884"/>
      <c r="Y98" s="874">
        <f t="shared" si="68"/>
        <v>0</v>
      </c>
      <c r="Z98" s="241"/>
      <c r="AA98" s="116">
        <f t="shared" si="69"/>
        <v>0</v>
      </c>
      <c r="AB98" s="239"/>
      <c r="AC98" s="116">
        <f t="shared" si="70"/>
        <v>0</v>
      </c>
      <c r="AD98" s="242"/>
      <c r="AE98" s="117">
        <f t="shared" si="71"/>
        <v>0</v>
      </c>
      <c r="AF98" s="1228">
        <f>SUMIF('Otras Asesorías y Préstamos'!$B$7:$B$242,B98,'Otras Asesorías y Préstamos'!$F$7:$F$242)</f>
        <v>0</v>
      </c>
      <c r="AG98" s="1228">
        <f>SUMIF('Otras Asesorías y Préstamos'!$B$7:$B$242,B98,'Otras Asesorías y Préstamos'!$V$7:$V$242)</f>
        <v>0</v>
      </c>
      <c r="AH98" s="1229">
        <f t="shared" si="72"/>
        <v>240000</v>
      </c>
      <c r="AI98" s="8"/>
    </row>
    <row r="99" spans="1:35" x14ac:dyDescent="0.2">
      <c r="A99" s="1462">
        <f t="shared" si="73"/>
        <v>90</v>
      </c>
      <c r="B99" s="1491" t="s">
        <v>354</v>
      </c>
      <c r="C99" s="1678">
        <f>_xlfn.XLOOKUP(B99,Códigos!$B$8:$B$406,Códigos!$A$8:$A$406,"Verificar",0)</f>
        <v>123</v>
      </c>
      <c r="D99" s="1114">
        <f>_xlfn.XLOOKUP(B99,'Consolidado Cobros'!$B$10:$B$312,'Consolidado Cobros'!$C$10:$C$312,"Verificar",0)</f>
        <v>71587495</v>
      </c>
      <c r="E99" s="1186">
        <f t="shared" si="64"/>
        <v>1</v>
      </c>
      <c r="F99" s="1463">
        <f t="shared" si="63"/>
        <v>6000000</v>
      </c>
      <c r="G99" s="1098"/>
      <c r="H99" s="1099"/>
      <c r="I99" s="1100"/>
      <c r="J99" s="1099"/>
      <c r="K99" s="1099"/>
      <c r="L99" s="1100"/>
      <c r="M99" s="1101"/>
      <c r="N99" s="1706"/>
      <c r="O99" s="8"/>
      <c r="P99" s="239" t="s">
        <v>318</v>
      </c>
      <c r="Q99" s="119">
        <f>ROUND(IF(P99="SI",SUMIF('C de C año anterior'!$B$8:$B$229,B99,'C de C año anterior'!$Q$8:$Q$229)*(100%+$Q$5),0),-3)+ROUND(IF(P99="SI",SUMIF('Facturas año anterior'!$B$8:$B$86,B99,'Facturas año anterior'!$V$8:$V$86)*(100%+$AA$5),0),-3)</f>
        <v>2354000</v>
      </c>
      <c r="R99" s="239" t="s">
        <v>318</v>
      </c>
      <c r="S99" s="114">
        <f t="shared" si="65"/>
        <v>1177000</v>
      </c>
      <c r="T99" s="240" t="s">
        <v>318</v>
      </c>
      <c r="U99" s="115">
        <f t="shared" si="66"/>
        <v>1766000</v>
      </c>
      <c r="V99" s="884"/>
      <c r="W99" s="874">
        <f t="shared" si="67"/>
        <v>0</v>
      </c>
      <c r="X99" s="884"/>
      <c r="Y99" s="874">
        <f t="shared" si="68"/>
        <v>0</v>
      </c>
      <c r="Z99" s="241"/>
      <c r="AA99" s="116">
        <f t="shared" si="69"/>
        <v>0</v>
      </c>
      <c r="AB99" s="239"/>
      <c r="AC99" s="116">
        <f t="shared" si="70"/>
        <v>0</v>
      </c>
      <c r="AD99" s="242" t="s">
        <v>318</v>
      </c>
      <c r="AE99" s="117">
        <f t="shared" si="71"/>
        <v>706200</v>
      </c>
      <c r="AF99" s="1228">
        <f>SUMIF('Otras Asesorías y Préstamos'!$B$7:$B$242,B99,'Otras Asesorías y Préstamos'!$F$7:$F$242)</f>
        <v>0</v>
      </c>
      <c r="AG99" s="1228">
        <f>SUMIF('Otras Asesorías y Préstamos'!$B$7:$B$242,B99,'Otras Asesorías y Préstamos'!$V$7:$V$242)</f>
        <v>0</v>
      </c>
      <c r="AH99" s="1229">
        <f t="shared" si="72"/>
        <v>6000000</v>
      </c>
      <c r="AI99" s="8"/>
    </row>
    <row r="100" spans="1:35" x14ac:dyDescent="0.2">
      <c r="A100" s="1462">
        <f t="shared" si="73"/>
        <v>91</v>
      </c>
      <c r="B100" s="1097" t="s">
        <v>323</v>
      </c>
      <c r="C100" s="1185">
        <f>_xlfn.XLOOKUP(B100,Códigos!$B$8:$B$406,Códigos!$A$8:$A$406,"Verificar",0)</f>
        <v>345</v>
      </c>
      <c r="D100" s="1114">
        <f>_xlfn.XLOOKUP(B100,'Consolidado Cobros'!$B$10:$B$312,'Consolidado Cobros'!$C$10:$C$312,"Verificar",0)</f>
        <v>32409980</v>
      </c>
      <c r="E100" s="1186">
        <f t="shared" si="64"/>
        <v>7</v>
      </c>
      <c r="F100" s="1463">
        <f t="shared" si="63"/>
        <v>240000</v>
      </c>
      <c r="G100" s="1098"/>
      <c r="H100" s="1099"/>
      <c r="I100" s="1100"/>
      <c r="J100" s="1099"/>
      <c r="K100" s="1099"/>
      <c r="L100" s="1100"/>
      <c r="M100" s="1101"/>
      <c r="N100" s="1706"/>
      <c r="O100" s="8"/>
      <c r="P100" s="239" t="s">
        <v>318</v>
      </c>
      <c r="Q100" s="119">
        <f>ROUND(IF(P100="SI",SUMIF('C de C año anterior'!$B$8:$B$229,B100,'C de C año anterior'!$Q$8:$Q$229)*(100%+$Q$5),0),-3)+ROUND(IF(P100="SI",SUMIF('Facturas año anterior'!$B$8:$B$86,B100,'Facturas año anterior'!$V$8:$V$86)*(100%+$AA$5),0),-3)</f>
        <v>242000</v>
      </c>
      <c r="R100" s="239"/>
      <c r="S100" s="114">
        <f t="shared" si="65"/>
        <v>0</v>
      </c>
      <c r="T100" s="240"/>
      <c r="U100" s="115">
        <f t="shared" si="66"/>
        <v>0</v>
      </c>
      <c r="V100" s="884"/>
      <c r="W100" s="874">
        <f t="shared" si="67"/>
        <v>0</v>
      </c>
      <c r="X100" s="884"/>
      <c r="Y100" s="874">
        <f t="shared" si="68"/>
        <v>0</v>
      </c>
      <c r="Z100" s="241"/>
      <c r="AA100" s="116">
        <f t="shared" si="69"/>
        <v>0</v>
      </c>
      <c r="AB100" s="239"/>
      <c r="AC100" s="116">
        <f t="shared" si="70"/>
        <v>0</v>
      </c>
      <c r="AD100" s="242"/>
      <c r="AE100" s="117">
        <f t="shared" si="71"/>
        <v>0</v>
      </c>
      <c r="AF100" s="1228">
        <f>SUMIF('Otras Asesorías y Préstamos'!$B$7:$B$242,B100,'Otras Asesorías y Préstamos'!$F$7:$F$242)</f>
        <v>0</v>
      </c>
      <c r="AG100" s="1228">
        <f>SUMIF('Otras Asesorías y Préstamos'!$B$7:$B$242,B100,'Otras Asesorías y Préstamos'!$V$7:$V$242)</f>
        <v>0</v>
      </c>
      <c r="AH100" s="1229">
        <f t="shared" si="72"/>
        <v>240000</v>
      </c>
      <c r="AI100" s="8"/>
    </row>
    <row r="101" spans="1:35" x14ac:dyDescent="0.2">
      <c r="A101" s="1462">
        <f t="shared" si="73"/>
        <v>92</v>
      </c>
      <c r="B101" s="1097" t="s">
        <v>327</v>
      </c>
      <c r="C101" s="1185">
        <f>_xlfn.XLOOKUP(B101,Códigos!$B$8:$B$406,Códigos!$A$8:$A$406,"Verificar",0)</f>
        <v>350</v>
      </c>
      <c r="D101" s="1114">
        <f>_xlfn.XLOOKUP(B101,'Consolidado Cobros'!$B$10:$B$312,'Consolidado Cobros'!$C$10:$C$312,"Verificar",0)</f>
        <v>8162809</v>
      </c>
      <c r="E101" s="1186">
        <f t="shared" si="64"/>
        <v>5</v>
      </c>
      <c r="F101" s="1463">
        <f t="shared" si="63"/>
        <v>2090000</v>
      </c>
      <c r="G101" s="1098"/>
      <c r="H101" s="1099"/>
      <c r="I101" s="1100"/>
      <c r="J101" s="1099"/>
      <c r="K101" s="1099"/>
      <c r="L101" s="1100"/>
      <c r="M101" s="1101"/>
      <c r="N101" s="1706"/>
      <c r="O101" s="8"/>
      <c r="P101" s="239" t="s">
        <v>318</v>
      </c>
      <c r="Q101" s="119">
        <f>ROUND(IF(P101="SI",SUMIF('C de C año anterior'!$B$8:$B$229,B101,'C de C año anterior'!$Q$8:$Q$229)*(100%+$Q$5),0),-3)+ROUND(IF(P101="SI",SUMIF('Facturas año anterior'!$B$8:$B$86,B101,'Facturas año anterior'!$V$8:$V$86)*(100%+$AA$5),0),-3)</f>
        <v>2021000</v>
      </c>
      <c r="R101" s="239"/>
      <c r="S101" s="114">
        <f t="shared" si="65"/>
        <v>0</v>
      </c>
      <c r="T101" s="240"/>
      <c r="U101" s="115">
        <f t="shared" si="66"/>
        <v>0</v>
      </c>
      <c r="V101" s="884"/>
      <c r="W101" s="874">
        <f t="shared" si="67"/>
        <v>0</v>
      </c>
      <c r="X101" s="884"/>
      <c r="Y101" s="874">
        <f t="shared" si="68"/>
        <v>0</v>
      </c>
      <c r="Z101" s="241"/>
      <c r="AA101" s="116">
        <f t="shared" si="69"/>
        <v>0</v>
      </c>
      <c r="AB101" s="239"/>
      <c r="AC101" s="116">
        <f t="shared" si="70"/>
        <v>0</v>
      </c>
      <c r="AD101" s="242"/>
      <c r="AE101" s="117">
        <f t="shared" si="71"/>
        <v>0</v>
      </c>
      <c r="AF101" s="1228">
        <f>SUMIF('Otras Asesorías y Préstamos'!$B$7:$B$242,B101,'Otras Asesorías y Préstamos'!$F$7:$F$242)</f>
        <v>70000</v>
      </c>
      <c r="AG101" s="1228">
        <f>SUMIF('Otras Asesorías y Préstamos'!$B$7:$B$242,B101,'Otras Asesorías y Préstamos'!$V$7:$V$242)</f>
        <v>0</v>
      </c>
      <c r="AH101" s="1229">
        <f t="shared" si="72"/>
        <v>2090000</v>
      </c>
      <c r="AI101" s="8"/>
    </row>
    <row r="102" spans="1:35" x14ac:dyDescent="0.2">
      <c r="A102" s="1462">
        <f t="shared" si="73"/>
        <v>93</v>
      </c>
      <c r="B102" s="1097" t="s">
        <v>325</v>
      </c>
      <c r="C102" s="1185">
        <f>_xlfn.XLOOKUP(B102,Códigos!$B$8:$B$406,Códigos!$A$8:$A$406,"Verificar",0)</f>
        <v>351</v>
      </c>
      <c r="D102" s="1114">
        <f>_xlfn.XLOOKUP(B102,'Consolidado Cobros'!$B$10:$B$312,'Consolidado Cobros'!$C$10:$C$312,"Verificar",0)</f>
        <v>43220534</v>
      </c>
      <c r="E102" s="1186">
        <f t="shared" si="64"/>
        <v>1</v>
      </c>
      <c r="F102" s="1463">
        <f t="shared" si="63"/>
        <v>930000</v>
      </c>
      <c r="G102" s="1098"/>
      <c r="H102" s="1099"/>
      <c r="I102" s="1100"/>
      <c r="J102" s="1099"/>
      <c r="K102" s="1099"/>
      <c r="L102" s="1100"/>
      <c r="M102" s="1101"/>
      <c r="N102" s="1706"/>
      <c r="O102" s="8"/>
      <c r="P102" s="239" t="s">
        <v>318</v>
      </c>
      <c r="Q102" s="119">
        <f>ROUND(IF(P102="SI",SUMIF('C de C año anterior'!$B$8:$B$229,B102,'C de C año anterior'!$Q$8:$Q$229)*(100%+$Q$5),0),-3)+ROUND(IF(P102="SI",SUMIF('Facturas año anterior'!$B$8:$B$86,B102,'Facturas año anterior'!$V$8:$V$86)*(100%+$AA$5),0),-3)</f>
        <v>929000</v>
      </c>
      <c r="R102" s="239"/>
      <c r="S102" s="114">
        <f t="shared" si="65"/>
        <v>0</v>
      </c>
      <c r="T102" s="240"/>
      <c r="U102" s="115">
        <f t="shared" si="66"/>
        <v>0</v>
      </c>
      <c r="V102" s="884"/>
      <c r="W102" s="874">
        <f t="shared" si="67"/>
        <v>0</v>
      </c>
      <c r="X102" s="884"/>
      <c r="Y102" s="874">
        <f t="shared" si="68"/>
        <v>0</v>
      </c>
      <c r="Z102" s="241"/>
      <c r="AA102" s="116">
        <f t="shared" si="69"/>
        <v>0</v>
      </c>
      <c r="AB102" s="239"/>
      <c r="AC102" s="116">
        <f t="shared" si="70"/>
        <v>0</v>
      </c>
      <c r="AD102" s="242"/>
      <c r="AE102" s="117">
        <f t="shared" si="71"/>
        <v>0</v>
      </c>
      <c r="AF102" s="1228">
        <f>SUMIF('Otras Asesorías y Préstamos'!$B$7:$B$242,B102,'Otras Asesorías y Préstamos'!$F$7:$F$242)</f>
        <v>0</v>
      </c>
      <c r="AG102" s="1228">
        <f>SUMIF('Otras Asesorías y Préstamos'!$B$7:$B$242,B102,'Otras Asesorías y Préstamos'!$V$7:$V$242)</f>
        <v>0</v>
      </c>
      <c r="AH102" s="1229">
        <f t="shared" si="72"/>
        <v>930000</v>
      </c>
      <c r="AI102" s="8"/>
    </row>
    <row r="103" spans="1:35" x14ac:dyDescent="0.2">
      <c r="A103" s="1462">
        <f t="shared" si="73"/>
        <v>94</v>
      </c>
      <c r="B103" s="1097" t="s">
        <v>326</v>
      </c>
      <c r="C103" s="1185">
        <f>_xlfn.XLOOKUP(B103,Códigos!$B$8:$B$406,Códigos!$A$8:$A$406,"Verificar",0)</f>
        <v>26</v>
      </c>
      <c r="D103" s="1114">
        <f>_xlfn.XLOOKUP(B103,'Consolidado Cobros'!$B$10:$B$312,'Consolidado Cobros'!$C$10:$C$312,"Verificar",0)</f>
        <v>1000717826</v>
      </c>
      <c r="E103" s="1186">
        <f t="shared" ref="E103" si="75">IF((MOD((VALUE(MID(TEXT(D103,"000000000000000"),15,1))*3+VALUE(MID(TEXT(D103,"000000000000000"),14,1))*7+VALUE(MID(TEXT(D103,"000000000000000"),13,1))*13+VALUE(MID(TEXT(D103,"000000000000000"),12,1))*17+VALUE(MID(TEXT(D103,"000000000000000"),11,1))*19+VALUE(MID(TEXT(D103,"000000000000000"),10,1))*23+VALUE(MID(TEXT(D103,"000000000000000"),9,1))*29+VALUE(MID(TEXT(D103,"000000000000000"),8,1))*37+VALUE(MID(TEXT(D103,"000000000000000"),7,1))*41+VALUE(MID(TEXT(D103,"000000000000000"),6,1))*43+VALUE(MID(TEXT(D103,"000000000000000"),5,1))*47+VALUE(MID(TEXT(D103,"000000000000000"),4,1))*53+VALUE(MID(TEXT(D103,"000000000000000"),3,1))*59+VALUE(MID(TEXT(D103,"000000000000000"),2,1))*67+VALUE(MID(TEXT(D103,"000000000000000"),1,1))*71),11))=0,0,IF((MOD((VALUE(MID(TEXT(D103,"000000000000000"),15,1))*3+VALUE(MID(TEXT(D103,"000000000000000"),14,1))*7+VALUE(MID(TEXT(D103,"000000000000000"),13,1))*13+VALUE(MID(TEXT(D103,"000000000000000"),12,1))*17+VALUE(MID(TEXT(D103,"000000000000000"),11,1))*19+VALUE(MID(TEXT(D103,"000000000000000"),10,1))*23+VALUE(MID(TEXT(D103,"000000000000000"),9,1))*29+VALUE(MID(TEXT(D103,"000000000000000"),8,1))*37+VALUE(MID(TEXT(D103,"000000000000000"),7,1))*41+VALUE(MID(TEXT(D103,"000000000000000"),6,1))*43+VALUE(MID(TEXT(D103,"000000000000000"),5,1))*47+VALUE(MID(TEXT(D103,"000000000000000"),4,1))*53+VALUE(MID(TEXT(D103,"000000000000000"),3,1))*59+VALUE(MID(TEXT(D103,"000000000000000"),2,1))*67+VALUE(MID(TEXT(D103,"000000000000000"),1,1))*71),11))=1,1,11-(MOD((VALUE(MID(TEXT(D103,"000000000000000"),15,1))*3+VALUE(MID(TEXT(D103,"000000000000000"),14,1))*7+VALUE(MID(TEXT(D103,"000000000000000"),13,1))*13+VALUE(MID(TEXT(D103,"000000000000000"),12,1))*17+VALUE(MID(TEXT(D103,"000000000000000"),11,1))*19+VALUE(MID(TEXT(D103,"000000000000000"),10,1))*23+VALUE(MID(TEXT(D103,"000000000000000"),9,1))*29+VALUE(MID(TEXT(D103,"000000000000000"),8,1))*37+VALUE(MID(TEXT(D103,"000000000000000"),7,1))*41+VALUE(MID(TEXT(D103,"000000000000000"),6,1))*43+VALUE(MID(TEXT(D103,"000000000000000"),5,1))*47+VALUE(MID(TEXT(D103,"000000000000000"),4,1))*53+VALUE(MID(TEXT(D103,"000000000000000"),3,1))*59+VALUE(MID(TEXT(D103,"000000000000000"),2,1))*67+VALUE(MID(TEXT(D103,"000000000000000"),1,1))*71),11))))</f>
        <v>6</v>
      </c>
      <c r="F103" s="1463">
        <f t="shared" si="63"/>
        <v>270000</v>
      </c>
      <c r="G103" s="1098"/>
      <c r="H103" s="1099"/>
      <c r="I103" s="1100"/>
      <c r="J103" s="1099"/>
      <c r="K103" s="1099"/>
      <c r="L103" s="1100"/>
      <c r="M103" s="1101"/>
      <c r="N103" s="1706"/>
      <c r="O103" s="8"/>
      <c r="P103" s="239" t="s">
        <v>318</v>
      </c>
      <c r="Q103" s="119">
        <f>ROUND(IF(P103="SI",SUMIF('C de C año anterior'!$B$8:$B$229,B103,'C de C año anterior'!$Q$8:$Q$229)*(100%+$Q$5),0),-3)+ROUND(IF(P103="SI",SUMIF('Facturas año anterior'!$B$8:$B$86,B103,'Facturas año anterior'!$V$8:$V$86)*(100%+$AA$5),0),-3)</f>
        <v>272000</v>
      </c>
      <c r="R103" s="239"/>
      <c r="S103" s="114">
        <f t="shared" si="65"/>
        <v>0</v>
      </c>
      <c r="T103" s="240"/>
      <c r="U103" s="115">
        <f t="shared" si="66"/>
        <v>0</v>
      </c>
      <c r="V103" s="884"/>
      <c r="W103" s="874">
        <f t="shared" si="67"/>
        <v>0</v>
      </c>
      <c r="X103" s="884"/>
      <c r="Y103" s="874">
        <f t="shared" si="68"/>
        <v>0</v>
      </c>
      <c r="Z103" s="241"/>
      <c r="AA103" s="116">
        <f t="shared" si="69"/>
        <v>0</v>
      </c>
      <c r="AB103" s="239"/>
      <c r="AC103" s="116">
        <f t="shared" si="70"/>
        <v>0</v>
      </c>
      <c r="AD103" s="242"/>
      <c r="AE103" s="117">
        <f t="shared" si="71"/>
        <v>0</v>
      </c>
      <c r="AF103" s="1228">
        <f>SUMIF('Otras Asesorías y Préstamos'!$B$7:$B$242,B103,'Otras Asesorías y Préstamos'!$F$7:$F$242)</f>
        <v>0</v>
      </c>
      <c r="AG103" s="1228">
        <f>SUMIF('Otras Asesorías y Préstamos'!$B$7:$B$242,B103,'Otras Asesorías y Préstamos'!$V$7:$V$242)</f>
        <v>0</v>
      </c>
      <c r="AH103" s="1229">
        <f t="shared" si="72"/>
        <v>270000</v>
      </c>
      <c r="AI103" s="8"/>
    </row>
    <row r="104" spans="1:35" x14ac:dyDescent="0.2">
      <c r="A104" s="1462">
        <f t="shared" si="73"/>
        <v>95</v>
      </c>
      <c r="B104" s="1137" t="s">
        <v>664</v>
      </c>
      <c r="C104" s="1185">
        <f>_xlfn.XLOOKUP(B104,Códigos!$B$8:$B$406,Códigos!$A$8:$A$406,"Verificar",0)</f>
        <v>247</v>
      </c>
      <c r="D104" s="1114">
        <f>_xlfn.XLOOKUP(B104,'Consolidado Cobros'!$B$10:$B$312,'Consolidado Cobros'!$C$10:$C$312,"Verificar",0)</f>
        <v>1023302299</v>
      </c>
      <c r="E104" s="1186">
        <f t="shared" ref="E104" si="76">IF((MOD((VALUE(MID(TEXT(D104,"000000000000000"),15,1))*3+VALUE(MID(TEXT(D104,"000000000000000"),14,1))*7+VALUE(MID(TEXT(D104,"000000000000000"),13,1))*13+VALUE(MID(TEXT(D104,"000000000000000"),12,1))*17+VALUE(MID(TEXT(D104,"000000000000000"),11,1))*19+VALUE(MID(TEXT(D104,"000000000000000"),10,1))*23+VALUE(MID(TEXT(D104,"000000000000000"),9,1))*29+VALUE(MID(TEXT(D104,"000000000000000"),8,1))*37+VALUE(MID(TEXT(D104,"000000000000000"),7,1))*41+VALUE(MID(TEXT(D104,"000000000000000"),6,1))*43+VALUE(MID(TEXT(D104,"000000000000000"),5,1))*47+VALUE(MID(TEXT(D104,"000000000000000"),4,1))*53+VALUE(MID(TEXT(D104,"000000000000000"),3,1))*59+VALUE(MID(TEXT(D104,"000000000000000"),2,1))*67+VALUE(MID(TEXT(D104,"000000000000000"),1,1))*71),11))=0,0,IF((MOD((VALUE(MID(TEXT(D104,"000000000000000"),15,1))*3+VALUE(MID(TEXT(D104,"000000000000000"),14,1))*7+VALUE(MID(TEXT(D104,"000000000000000"),13,1))*13+VALUE(MID(TEXT(D104,"000000000000000"),12,1))*17+VALUE(MID(TEXT(D104,"000000000000000"),11,1))*19+VALUE(MID(TEXT(D104,"000000000000000"),10,1))*23+VALUE(MID(TEXT(D104,"000000000000000"),9,1))*29+VALUE(MID(TEXT(D104,"000000000000000"),8,1))*37+VALUE(MID(TEXT(D104,"000000000000000"),7,1))*41+VALUE(MID(TEXT(D104,"000000000000000"),6,1))*43+VALUE(MID(TEXT(D104,"000000000000000"),5,1))*47+VALUE(MID(TEXT(D104,"000000000000000"),4,1))*53+VALUE(MID(TEXT(D104,"000000000000000"),3,1))*59+VALUE(MID(TEXT(D104,"000000000000000"),2,1))*67+VALUE(MID(TEXT(D104,"000000000000000"),1,1))*71),11))=1,1,11-(MOD((VALUE(MID(TEXT(D104,"000000000000000"),15,1))*3+VALUE(MID(TEXT(D104,"000000000000000"),14,1))*7+VALUE(MID(TEXT(D104,"000000000000000"),13,1))*13+VALUE(MID(TEXT(D104,"000000000000000"),12,1))*17+VALUE(MID(TEXT(D104,"000000000000000"),11,1))*19+VALUE(MID(TEXT(D104,"000000000000000"),10,1))*23+VALUE(MID(TEXT(D104,"000000000000000"),9,1))*29+VALUE(MID(TEXT(D104,"000000000000000"),8,1))*37+VALUE(MID(TEXT(D104,"000000000000000"),7,1))*41+VALUE(MID(TEXT(D104,"000000000000000"),6,1))*43+VALUE(MID(TEXT(D104,"000000000000000"),5,1))*47+VALUE(MID(TEXT(D104,"000000000000000"),4,1))*53+VALUE(MID(TEXT(D104,"000000000000000"),3,1))*59+VALUE(MID(TEXT(D104,"000000000000000"),2,1))*67+VALUE(MID(TEXT(D104,"000000000000000"),1,1))*71),11))))</f>
        <v>6</v>
      </c>
      <c r="F104" s="1463">
        <f>+AH104</f>
        <v>270000</v>
      </c>
      <c r="G104" s="1098"/>
      <c r="H104" s="1099"/>
      <c r="I104" s="1100"/>
      <c r="J104" s="1099"/>
      <c r="K104" s="1099"/>
      <c r="L104" s="1100"/>
      <c r="M104" s="1101"/>
      <c r="N104" s="1706"/>
      <c r="O104" s="8"/>
      <c r="P104" s="239" t="s">
        <v>318</v>
      </c>
      <c r="Q104" s="119">
        <f>ROUND(IF(P104="SI",SUMIF('C de C año anterior'!$B$8:$B$229,B104,'C de C año anterior'!$Q$8:$Q$229)*(100%+$Q$5),0),-3)+ROUND(IF(P104="SI",SUMIF('Facturas año anterior'!$B$8:$B$86,B104,'Facturas año anterior'!$V$8:$V$86)*(100%+$AA$5),0),-3)</f>
        <v>272000</v>
      </c>
      <c r="R104" s="239"/>
      <c r="S104" s="114">
        <f t="shared" si="65"/>
        <v>0</v>
      </c>
      <c r="T104" s="240"/>
      <c r="U104" s="115">
        <f t="shared" si="66"/>
        <v>0</v>
      </c>
      <c r="V104" s="884"/>
      <c r="W104" s="874">
        <f t="shared" si="67"/>
        <v>0</v>
      </c>
      <c r="X104" s="884"/>
      <c r="Y104" s="874">
        <f t="shared" si="68"/>
        <v>0</v>
      </c>
      <c r="Z104" s="241"/>
      <c r="AA104" s="116">
        <f t="shared" si="69"/>
        <v>0</v>
      </c>
      <c r="AB104" s="239"/>
      <c r="AC104" s="116">
        <f t="shared" si="70"/>
        <v>0</v>
      </c>
      <c r="AD104" s="242"/>
      <c r="AE104" s="117">
        <f t="shared" si="71"/>
        <v>0</v>
      </c>
      <c r="AF104" s="1228">
        <f>SUMIF('Otras Asesorías y Préstamos'!$B$7:$B$242,B104,'Otras Asesorías y Préstamos'!$F$7:$F$242)</f>
        <v>0</v>
      </c>
      <c r="AG104" s="1228">
        <f>SUMIF('Otras Asesorías y Préstamos'!$B$7:$B$242,B104,'Otras Asesorías y Préstamos'!$V$7:$V$242)</f>
        <v>0</v>
      </c>
      <c r="AH104" s="1229">
        <f t="shared" si="72"/>
        <v>270000</v>
      </c>
      <c r="AI104" s="8"/>
    </row>
    <row r="105" spans="1:35" x14ac:dyDescent="0.2">
      <c r="A105" s="1462">
        <f t="shared" si="73"/>
        <v>96</v>
      </c>
      <c r="B105" s="1097" t="s">
        <v>405</v>
      </c>
      <c r="C105" s="1185">
        <f>_xlfn.XLOOKUP(B105,Códigos!$B$8:$B$406,Códigos!$A$8:$A$406,"Verificar",0)</f>
        <v>64</v>
      </c>
      <c r="D105" s="1114">
        <f>_xlfn.XLOOKUP(B105,'Consolidado Cobros'!$B$10:$B$312,'Consolidado Cobros'!$C$10:$C$312,"Verificar",0)</f>
        <v>98549908</v>
      </c>
      <c r="E105" s="1186">
        <f t="shared" ref="E105:E127" si="77">IF((MOD((VALUE(MID(TEXT(D105,"000000000000000"),15,1))*3+VALUE(MID(TEXT(D105,"000000000000000"),14,1))*7+VALUE(MID(TEXT(D105,"000000000000000"),13,1))*13+VALUE(MID(TEXT(D105,"000000000000000"),12,1))*17+VALUE(MID(TEXT(D105,"000000000000000"),11,1))*19+VALUE(MID(TEXT(D105,"000000000000000"),10,1))*23+VALUE(MID(TEXT(D105,"000000000000000"),9,1))*29+VALUE(MID(TEXT(D105,"000000000000000"),8,1))*37+VALUE(MID(TEXT(D105,"000000000000000"),7,1))*41+VALUE(MID(TEXT(D105,"000000000000000"),6,1))*43+VALUE(MID(TEXT(D105,"000000000000000"),5,1))*47+VALUE(MID(TEXT(D105,"000000000000000"),4,1))*53+VALUE(MID(TEXT(D105,"000000000000000"),3,1))*59+VALUE(MID(TEXT(D105,"000000000000000"),2,1))*67+VALUE(MID(TEXT(D105,"000000000000000"),1,1))*71),11))=0,0,IF((MOD((VALUE(MID(TEXT(D105,"000000000000000"),15,1))*3+VALUE(MID(TEXT(D105,"000000000000000"),14,1))*7+VALUE(MID(TEXT(D105,"000000000000000"),13,1))*13+VALUE(MID(TEXT(D105,"000000000000000"),12,1))*17+VALUE(MID(TEXT(D105,"000000000000000"),11,1))*19+VALUE(MID(TEXT(D105,"000000000000000"),10,1))*23+VALUE(MID(TEXT(D105,"000000000000000"),9,1))*29+VALUE(MID(TEXT(D105,"000000000000000"),8,1))*37+VALUE(MID(TEXT(D105,"000000000000000"),7,1))*41+VALUE(MID(TEXT(D105,"000000000000000"),6,1))*43+VALUE(MID(TEXT(D105,"000000000000000"),5,1))*47+VALUE(MID(TEXT(D105,"000000000000000"),4,1))*53+VALUE(MID(TEXT(D105,"000000000000000"),3,1))*59+VALUE(MID(TEXT(D105,"000000000000000"),2,1))*67+VALUE(MID(TEXT(D105,"000000000000000"),1,1))*71),11))=1,1,11-(MOD((VALUE(MID(TEXT(D105,"000000000000000"),15,1))*3+VALUE(MID(TEXT(D105,"000000000000000"),14,1))*7+VALUE(MID(TEXT(D105,"000000000000000"),13,1))*13+VALUE(MID(TEXT(D105,"000000000000000"),12,1))*17+VALUE(MID(TEXT(D105,"000000000000000"),11,1))*19+VALUE(MID(TEXT(D105,"000000000000000"),10,1))*23+VALUE(MID(TEXT(D105,"000000000000000"),9,1))*29+VALUE(MID(TEXT(D105,"000000000000000"),8,1))*37+VALUE(MID(TEXT(D105,"000000000000000"),7,1))*41+VALUE(MID(TEXT(D105,"000000000000000"),6,1))*43+VALUE(MID(TEXT(D105,"000000000000000"),5,1))*47+VALUE(MID(TEXT(D105,"000000000000000"),4,1))*53+VALUE(MID(TEXT(D105,"000000000000000"),3,1))*59+VALUE(MID(TEXT(D105,"000000000000000"),2,1))*67+VALUE(MID(TEXT(D105,"000000000000000"),1,1))*71),11))))</f>
        <v>6</v>
      </c>
      <c r="F105" s="1463">
        <f t="shared" si="63"/>
        <v>170000</v>
      </c>
      <c r="G105" s="1098"/>
      <c r="H105" s="1099"/>
      <c r="I105" s="1100"/>
      <c r="J105" s="1099"/>
      <c r="K105" s="1099"/>
      <c r="L105" s="1100"/>
      <c r="M105" s="1101"/>
      <c r="N105" s="1706"/>
      <c r="O105" s="8"/>
      <c r="P105" s="239" t="s">
        <v>318</v>
      </c>
      <c r="Q105" s="119">
        <f>ROUND(IF(P105="SI",SUMIF('C de C año anterior'!$B$8:$B$229,B105,'C de C año anterior'!$Q$8:$Q$229)*(100%+$Q$5),0),-3)+ROUND(IF(P105="SI",SUMIF('Facturas año anterior'!$B$8:$B$86,B105,'Facturas año anterior'!$V$8:$V$86)*(100%+$AA$5),0),-3)</f>
        <v>169000</v>
      </c>
      <c r="R105" s="239"/>
      <c r="S105" s="114">
        <f t="shared" si="65"/>
        <v>0</v>
      </c>
      <c r="T105" s="240"/>
      <c r="U105" s="115">
        <f t="shared" si="66"/>
        <v>0</v>
      </c>
      <c r="V105" s="884"/>
      <c r="W105" s="874">
        <f t="shared" si="67"/>
        <v>0</v>
      </c>
      <c r="X105" s="884"/>
      <c r="Y105" s="874">
        <f t="shared" si="68"/>
        <v>0</v>
      </c>
      <c r="Z105" s="241"/>
      <c r="AA105" s="116">
        <f t="shared" si="69"/>
        <v>0</v>
      </c>
      <c r="AB105" s="239"/>
      <c r="AC105" s="116">
        <f t="shared" si="70"/>
        <v>0</v>
      </c>
      <c r="AD105" s="242"/>
      <c r="AE105" s="117">
        <f t="shared" si="71"/>
        <v>0</v>
      </c>
      <c r="AF105" s="1228">
        <f>SUMIF('Otras Asesorías y Préstamos'!$B$7:$B$242,B105,'Otras Asesorías y Préstamos'!$F$7:$F$242)</f>
        <v>0</v>
      </c>
      <c r="AG105" s="1228">
        <f>SUMIF('Otras Asesorías y Préstamos'!$B$7:$B$242,B105,'Otras Asesorías y Préstamos'!$V$7:$V$242)</f>
        <v>0</v>
      </c>
      <c r="AH105" s="1229">
        <f t="shared" si="72"/>
        <v>170000</v>
      </c>
      <c r="AI105" s="8"/>
    </row>
    <row r="106" spans="1:35" x14ac:dyDescent="0.2">
      <c r="A106" s="1462">
        <f t="shared" si="73"/>
        <v>97</v>
      </c>
      <c r="B106" s="1097" t="s">
        <v>247</v>
      </c>
      <c r="C106" s="1185">
        <f>_xlfn.XLOOKUP(B106,Códigos!$B$8:$B$406,Códigos!$A$8:$A$406,"Verificar",0)</f>
        <v>333</v>
      </c>
      <c r="D106" s="1114">
        <f>_xlfn.XLOOKUP(B106,'Consolidado Cobros'!$B$10:$B$312,'Consolidado Cobros'!$C$10:$C$312,"Verificar",0)</f>
        <v>39183561</v>
      </c>
      <c r="E106" s="1186">
        <f t="shared" si="77"/>
        <v>7</v>
      </c>
      <c r="F106" s="1463">
        <f t="shared" si="63"/>
        <v>170000</v>
      </c>
      <c r="G106" s="1098"/>
      <c r="H106" s="1867"/>
      <c r="I106" s="1100"/>
      <c r="J106" s="1099"/>
      <c r="K106" s="1099"/>
      <c r="L106" s="1100"/>
      <c r="M106" s="1101"/>
      <c r="N106" s="1706"/>
      <c r="O106" s="8"/>
      <c r="P106" s="239" t="s">
        <v>318</v>
      </c>
      <c r="Q106" s="119">
        <f>ROUND(IF(P106="SI",SUMIF('C de C año anterior'!$B$8:$B$229,B106,'C de C año anterior'!$Q$8:$Q$229)*(100%+$Q$5),0),-3)+ROUND(IF(P106="SI",SUMIF('Facturas año anterior'!$B$8:$B$86,B106,'Facturas año anterior'!$V$8:$V$86)*(100%+$AA$5),0),-3)</f>
        <v>169000</v>
      </c>
      <c r="R106" s="239"/>
      <c r="S106" s="114">
        <f t="shared" si="65"/>
        <v>0</v>
      </c>
      <c r="T106" s="240"/>
      <c r="U106" s="115">
        <f t="shared" si="66"/>
        <v>0</v>
      </c>
      <c r="V106" s="884"/>
      <c r="W106" s="874">
        <f t="shared" si="67"/>
        <v>0</v>
      </c>
      <c r="X106" s="884"/>
      <c r="Y106" s="874">
        <f t="shared" si="68"/>
        <v>0</v>
      </c>
      <c r="Z106" s="241"/>
      <c r="AA106" s="116">
        <f t="shared" si="69"/>
        <v>0</v>
      </c>
      <c r="AB106" s="239"/>
      <c r="AC106" s="116">
        <f t="shared" si="70"/>
        <v>0</v>
      </c>
      <c r="AD106" s="242"/>
      <c r="AE106" s="117">
        <f t="shared" si="71"/>
        <v>0</v>
      </c>
      <c r="AF106" s="1228">
        <f>SUMIF('Otras Asesorías y Préstamos'!$B$7:$B$242,B106,'Otras Asesorías y Préstamos'!$F$7:$F$242)</f>
        <v>0</v>
      </c>
      <c r="AG106" s="1228">
        <f>SUMIF('Otras Asesorías y Préstamos'!$B$7:$B$242,B106,'Otras Asesorías y Préstamos'!$V$7:$V$242)</f>
        <v>0</v>
      </c>
      <c r="AH106" s="1229">
        <f t="shared" si="72"/>
        <v>170000</v>
      </c>
      <c r="AI106" s="8"/>
    </row>
    <row r="107" spans="1:35" x14ac:dyDescent="0.2">
      <c r="A107" s="1462">
        <f t="shared" si="73"/>
        <v>98</v>
      </c>
      <c r="B107" s="1097" t="s">
        <v>328</v>
      </c>
      <c r="C107" s="1185">
        <f>_xlfn.XLOOKUP(B107,Códigos!$B$8:$B$406,Códigos!$A$8:$A$406,"Verificar",0)</f>
        <v>344</v>
      </c>
      <c r="D107" s="1114">
        <f>_xlfn.XLOOKUP(B107,'Consolidado Cobros'!$B$10:$B$312,'Consolidado Cobros'!$C$10:$C$312,"Verificar",0)</f>
        <v>8269485</v>
      </c>
      <c r="E107" s="1186">
        <f t="shared" si="77"/>
        <v>3</v>
      </c>
      <c r="F107" s="1463">
        <f t="shared" si="63"/>
        <v>240000</v>
      </c>
      <c r="G107" s="1098"/>
      <c r="H107" s="1099"/>
      <c r="I107" s="1100"/>
      <c r="J107" s="1099"/>
      <c r="K107" s="1099"/>
      <c r="L107" s="1100"/>
      <c r="M107" s="1101"/>
      <c r="N107" s="1706"/>
      <c r="O107" s="8"/>
      <c r="P107" s="239" t="s">
        <v>318</v>
      </c>
      <c r="Q107" s="119">
        <f>ROUND(IF(P107="SI",SUMIF('C de C año anterior'!$B$8:$B$229,B107,'C de C año anterior'!$Q$8:$Q$229)*(100%+$Q$5),0),-3)+ROUND(IF(P107="SI",SUMIF('Facturas año anterior'!$B$8:$B$86,B107,'Facturas año anterior'!$V$8:$V$86)*(100%+$AA$5),0),-3)</f>
        <v>242000</v>
      </c>
      <c r="R107" s="239"/>
      <c r="S107" s="114">
        <f t="shared" si="65"/>
        <v>0</v>
      </c>
      <c r="T107" s="240"/>
      <c r="U107" s="115">
        <f t="shared" si="66"/>
        <v>0</v>
      </c>
      <c r="V107" s="884"/>
      <c r="W107" s="874">
        <f t="shared" si="67"/>
        <v>0</v>
      </c>
      <c r="X107" s="884"/>
      <c r="Y107" s="874">
        <f t="shared" si="68"/>
        <v>0</v>
      </c>
      <c r="Z107" s="241"/>
      <c r="AA107" s="116">
        <f t="shared" si="69"/>
        <v>0</v>
      </c>
      <c r="AB107" s="239"/>
      <c r="AC107" s="116">
        <f t="shared" si="70"/>
        <v>0</v>
      </c>
      <c r="AD107" s="242"/>
      <c r="AE107" s="117">
        <f t="shared" si="71"/>
        <v>0</v>
      </c>
      <c r="AF107" s="1228">
        <f>SUMIF('Otras Asesorías y Préstamos'!$B$7:$B$242,B107,'Otras Asesorías y Préstamos'!$F$7:$F$242)</f>
        <v>0</v>
      </c>
      <c r="AG107" s="1228">
        <f>SUMIF('Otras Asesorías y Préstamos'!$B$7:$B$242,B107,'Otras Asesorías y Préstamos'!$V$7:$V$242)</f>
        <v>0</v>
      </c>
      <c r="AH107" s="1229">
        <f t="shared" si="72"/>
        <v>240000</v>
      </c>
      <c r="AI107" s="8"/>
    </row>
    <row r="108" spans="1:35" x14ac:dyDescent="0.2">
      <c r="A108" s="1462">
        <f t="shared" si="73"/>
        <v>99</v>
      </c>
      <c r="B108" s="631" t="s">
        <v>483</v>
      </c>
      <c r="C108" s="1185">
        <f>_xlfn.XLOOKUP(B108,Códigos!$B$8:$B$406,Códigos!$A$8:$A$406,"Verificar",0)</f>
        <v>186</v>
      </c>
      <c r="D108" s="1114">
        <f>_xlfn.XLOOKUP(B108,'Consolidado Cobros'!$B$10:$B$312,'Consolidado Cobros'!$C$10:$C$312,"Verificar",0)</f>
        <v>71680954</v>
      </c>
      <c r="E108" s="1186">
        <f t="shared" si="77"/>
        <v>6</v>
      </c>
      <c r="F108" s="1463">
        <f t="shared" si="63"/>
        <v>170000</v>
      </c>
      <c r="G108" s="1098"/>
      <c r="H108" s="1099"/>
      <c r="I108" s="1100"/>
      <c r="J108" s="1099"/>
      <c r="K108" s="1099"/>
      <c r="L108" s="1100"/>
      <c r="M108" s="1101"/>
      <c r="N108" s="1706"/>
      <c r="O108" s="8"/>
      <c r="P108" s="239" t="s">
        <v>318</v>
      </c>
      <c r="Q108" s="119">
        <f>ROUND(IF(P108="SI",SUMIF('C de C año anterior'!$B$8:$B$229,B108,'C de C año anterior'!$Q$8:$Q$229)*(100%+$Q$5),0),-3)+ROUND(IF(P108="SI",SUMIF('Facturas año anterior'!$B$8:$B$86,B108,'Facturas año anterior'!$V$8:$V$86)*(100%+$AA$5),0),-3)</f>
        <v>169000</v>
      </c>
      <c r="R108" s="239"/>
      <c r="S108" s="114">
        <f t="shared" si="65"/>
        <v>0</v>
      </c>
      <c r="T108" s="240"/>
      <c r="U108" s="115">
        <f t="shared" si="66"/>
        <v>0</v>
      </c>
      <c r="V108" s="884"/>
      <c r="W108" s="874">
        <f t="shared" si="67"/>
        <v>0</v>
      </c>
      <c r="X108" s="884"/>
      <c r="Y108" s="874">
        <f t="shared" si="68"/>
        <v>0</v>
      </c>
      <c r="Z108" s="241"/>
      <c r="AA108" s="116">
        <f t="shared" si="69"/>
        <v>0</v>
      </c>
      <c r="AB108" s="239"/>
      <c r="AC108" s="116">
        <f t="shared" si="70"/>
        <v>0</v>
      </c>
      <c r="AD108" s="242"/>
      <c r="AE108" s="117">
        <f t="shared" si="71"/>
        <v>0</v>
      </c>
      <c r="AF108" s="1228">
        <f>SUMIF('Otras Asesorías y Préstamos'!$B$7:$B$242,B108,'Otras Asesorías y Préstamos'!$F$7:$F$242)</f>
        <v>0</v>
      </c>
      <c r="AG108" s="1228">
        <f>SUMIF('Otras Asesorías y Préstamos'!$B$7:$B$242,B108,'Otras Asesorías y Préstamos'!$V$7:$V$242)</f>
        <v>0</v>
      </c>
      <c r="AH108" s="1229">
        <f t="shared" si="72"/>
        <v>170000</v>
      </c>
      <c r="AI108" s="8"/>
    </row>
    <row r="109" spans="1:35" x14ac:dyDescent="0.2">
      <c r="A109" s="1462">
        <f t="shared" si="73"/>
        <v>100</v>
      </c>
      <c r="B109" s="1097" t="s">
        <v>84</v>
      </c>
      <c r="C109" s="1185">
        <f>_xlfn.XLOOKUP(B109,Códigos!$B$8:$B$406,Códigos!$A$8:$A$406,"Verificar",0)</f>
        <v>126</v>
      </c>
      <c r="D109" s="1114">
        <f>_xlfn.XLOOKUP(B109,'Consolidado Cobros'!$B$10:$B$312,'Consolidado Cobros'!$C$10:$C$312,"Verificar",0)</f>
        <v>52009137</v>
      </c>
      <c r="E109" s="1186">
        <f t="shared" si="77"/>
        <v>0</v>
      </c>
      <c r="F109" s="1463">
        <f>+AH109*0+360000</f>
        <v>360000</v>
      </c>
      <c r="G109" s="1098"/>
      <c r="H109" s="1099"/>
      <c r="I109" s="1100"/>
      <c r="J109" s="1099"/>
      <c r="K109" s="1099"/>
      <c r="L109" s="1100"/>
      <c r="M109" s="1101"/>
      <c r="N109" s="1706"/>
      <c r="O109" s="8"/>
      <c r="P109" s="239" t="s">
        <v>318</v>
      </c>
      <c r="Q109" s="119">
        <f>ROUND(IF(P109="SI",SUMIF('C de C año anterior'!$B$8:$B$229,B109,'C de C año anterior'!$Q$8:$Q$229)*(100%+$Q$5),0),-3)+ROUND(IF(P109="SI",SUMIF('Facturas año anterior'!$B$8:$B$86,B109,'Facturas año anterior'!$V$8:$V$86)*(100%+$AA$5),0),-3)</f>
        <v>568000</v>
      </c>
      <c r="R109" s="239"/>
      <c r="S109" s="114">
        <f t="shared" si="65"/>
        <v>0</v>
      </c>
      <c r="T109" s="240"/>
      <c r="U109" s="115">
        <f t="shared" si="66"/>
        <v>0</v>
      </c>
      <c r="V109" s="884"/>
      <c r="W109" s="874">
        <f t="shared" si="67"/>
        <v>0</v>
      </c>
      <c r="X109" s="884"/>
      <c r="Y109" s="874">
        <f t="shared" si="68"/>
        <v>0</v>
      </c>
      <c r="Z109" s="241"/>
      <c r="AA109" s="116">
        <f t="shared" si="69"/>
        <v>0</v>
      </c>
      <c r="AB109" s="239"/>
      <c r="AC109" s="116">
        <f t="shared" si="70"/>
        <v>0</v>
      </c>
      <c r="AD109" s="242"/>
      <c r="AE109" s="117">
        <f t="shared" si="71"/>
        <v>0</v>
      </c>
      <c r="AF109" s="1228">
        <f>SUMIF('Otras Asesorías y Préstamos'!$B$7:$B$242,B109,'Otras Asesorías y Préstamos'!$F$7:$F$242)</f>
        <v>0</v>
      </c>
      <c r="AG109" s="1228">
        <f>SUMIF('Otras Asesorías y Préstamos'!$B$7:$B$242,B109,'Otras Asesorías y Préstamos'!$V$7:$V$242)</f>
        <v>0</v>
      </c>
      <c r="AH109" s="1229">
        <f t="shared" si="72"/>
        <v>570000</v>
      </c>
      <c r="AI109" s="8"/>
    </row>
    <row r="110" spans="1:35" x14ac:dyDescent="0.2">
      <c r="A110" s="1462">
        <f t="shared" si="73"/>
        <v>101</v>
      </c>
      <c r="B110" s="1097" t="s">
        <v>86</v>
      </c>
      <c r="C110" s="1185">
        <f>_xlfn.XLOOKUP(B110,Códigos!$B$8:$B$406,Códigos!$A$8:$A$406,"Verificar",0)</f>
        <v>127</v>
      </c>
      <c r="D110" s="1114">
        <f>_xlfn.XLOOKUP(B110,'Consolidado Cobros'!$B$10:$B$312,'Consolidado Cobros'!$C$10:$C$312,"Verificar",0)</f>
        <v>32416024</v>
      </c>
      <c r="E110" s="1186">
        <f t="shared" si="77"/>
        <v>1</v>
      </c>
      <c r="F110" s="1463">
        <f>+AH110-40000</f>
        <v>760000</v>
      </c>
      <c r="G110" s="1098"/>
      <c r="H110" s="1099"/>
      <c r="I110" s="1100"/>
      <c r="J110" s="1099"/>
      <c r="K110" s="1099"/>
      <c r="L110" s="1100"/>
      <c r="M110" s="1101"/>
      <c r="N110" s="1706"/>
      <c r="O110" s="8"/>
      <c r="P110" s="239" t="s">
        <v>318</v>
      </c>
      <c r="Q110" s="119">
        <f>ROUND(IF(P110="SI",SUMIF('C de C año anterior'!$B$8:$B$229,B110,'C de C año anterior'!$Q$8:$Q$229)*(100%+$Q$5),0),-3)+ROUND(IF(P110="SI",SUMIF('Facturas año anterior'!$B$8:$B$86,B110,'Facturas año anterior'!$V$8:$V$86)*(100%+$AA$5),0),-3)</f>
        <v>797000</v>
      </c>
      <c r="R110" s="239"/>
      <c r="S110" s="114">
        <f t="shared" si="65"/>
        <v>0</v>
      </c>
      <c r="T110" s="240"/>
      <c r="U110" s="115">
        <f t="shared" si="66"/>
        <v>0</v>
      </c>
      <c r="V110" s="884"/>
      <c r="W110" s="874">
        <f t="shared" si="67"/>
        <v>0</v>
      </c>
      <c r="X110" s="884"/>
      <c r="Y110" s="874">
        <f t="shared" si="68"/>
        <v>0</v>
      </c>
      <c r="Z110" s="241"/>
      <c r="AA110" s="116">
        <f t="shared" si="69"/>
        <v>0</v>
      </c>
      <c r="AB110" s="239"/>
      <c r="AC110" s="116">
        <f t="shared" si="70"/>
        <v>0</v>
      </c>
      <c r="AD110" s="242"/>
      <c r="AE110" s="117">
        <f t="shared" si="71"/>
        <v>0</v>
      </c>
      <c r="AF110" s="1228">
        <f>SUMIF('Otras Asesorías y Préstamos'!$B$7:$B$242,B110,'Otras Asesorías y Préstamos'!$F$7:$F$242)</f>
        <v>0</v>
      </c>
      <c r="AG110" s="1228">
        <f>SUMIF('Otras Asesorías y Préstamos'!$B$7:$B$242,B110,'Otras Asesorías y Préstamos'!$V$7:$V$242)</f>
        <v>0</v>
      </c>
      <c r="AH110" s="1229">
        <f t="shared" si="72"/>
        <v>800000</v>
      </c>
      <c r="AI110" s="8"/>
    </row>
    <row r="111" spans="1:35" x14ac:dyDescent="0.2">
      <c r="A111" s="1462">
        <f t="shared" si="73"/>
        <v>102</v>
      </c>
      <c r="B111" s="1097" t="s">
        <v>88</v>
      </c>
      <c r="C111" s="1185">
        <f>_xlfn.XLOOKUP(B111,Códigos!$B$8:$B$406,Códigos!$A$8:$A$406,"Verificar",0)</f>
        <v>221</v>
      </c>
      <c r="D111" s="1114">
        <f>_xlfn.XLOOKUP(B111,'Consolidado Cobros'!$B$10:$B$312,'Consolidado Cobros'!$C$10:$C$312,"Verificar",0)</f>
        <v>15502041</v>
      </c>
      <c r="E111" s="1186">
        <f t="shared" si="77"/>
        <v>1</v>
      </c>
      <c r="F111" s="1463">
        <f t="shared" si="63"/>
        <v>360000</v>
      </c>
      <c r="G111" s="1098"/>
      <c r="H111" s="1099"/>
      <c r="I111" s="1100"/>
      <c r="J111" s="1099"/>
      <c r="K111" s="1099"/>
      <c r="L111" s="1100"/>
      <c r="M111" s="1101"/>
      <c r="N111" s="1706"/>
      <c r="O111" s="8"/>
      <c r="P111" s="239" t="s">
        <v>318</v>
      </c>
      <c r="Q111" s="119">
        <f>ROUND(IF(P111="SI",SUMIF('C de C año anterior'!$B$8:$B$229,B111,'C de C año anterior'!$Q$8:$Q$229)*(100%+$Q$5),0),-3)+ROUND(IF(P111="SI",SUMIF('Facturas año anterior'!$B$8:$B$86,B111,'Facturas año anterior'!$V$8:$V$86)*(100%+$AA$5),0),-3)</f>
        <v>363000</v>
      </c>
      <c r="R111" s="239"/>
      <c r="S111" s="114">
        <f t="shared" si="65"/>
        <v>0</v>
      </c>
      <c r="T111" s="240"/>
      <c r="U111" s="115">
        <f t="shared" si="66"/>
        <v>0</v>
      </c>
      <c r="V111" s="884"/>
      <c r="W111" s="874">
        <f t="shared" si="67"/>
        <v>0</v>
      </c>
      <c r="X111" s="884"/>
      <c r="Y111" s="874">
        <f t="shared" si="68"/>
        <v>0</v>
      </c>
      <c r="Z111" s="241"/>
      <c r="AA111" s="116">
        <f t="shared" si="69"/>
        <v>0</v>
      </c>
      <c r="AB111" s="239"/>
      <c r="AC111" s="116">
        <f t="shared" si="70"/>
        <v>0</v>
      </c>
      <c r="AD111" s="242"/>
      <c r="AE111" s="117">
        <f t="shared" si="71"/>
        <v>0</v>
      </c>
      <c r="AF111" s="1228">
        <f>SUMIF('Otras Asesorías y Préstamos'!$B$7:$B$242,B111,'Otras Asesorías y Préstamos'!$F$7:$F$242)</f>
        <v>0</v>
      </c>
      <c r="AG111" s="1228">
        <f>SUMIF('Otras Asesorías y Préstamos'!$B$7:$B$242,B111,'Otras Asesorías y Préstamos'!$V$7:$V$242)</f>
        <v>0</v>
      </c>
      <c r="AH111" s="1229">
        <f t="shared" si="72"/>
        <v>360000</v>
      </c>
      <c r="AI111" s="8"/>
    </row>
    <row r="112" spans="1:35" x14ac:dyDescent="0.2">
      <c r="A112" s="1462">
        <f t="shared" si="73"/>
        <v>103</v>
      </c>
      <c r="B112" s="1791" t="s">
        <v>918</v>
      </c>
      <c r="C112" s="1185">
        <v>369</v>
      </c>
      <c r="D112" s="1114">
        <f>_xlfn.XLOOKUP(B112,'Consolidado Cobros'!$B$10:$B$312,'Consolidado Cobros'!$C$10:$C$312,"Verificar",0)</f>
        <v>1001370893</v>
      </c>
      <c r="E112" s="1186">
        <f t="shared" ref="E112" si="78">IF(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=0,0,IF(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=1,1,11-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))</f>
        <v>1</v>
      </c>
      <c r="F112" s="1463">
        <v>250000</v>
      </c>
      <c r="G112" s="1098"/>
      <c r="H112" s="1099"/>
      <c r="I112" s="1100"/>
      <c r="J112" s="1099"/>
      <c r="K112" s="1099"/>
      <c r="L112" s="1100"/>
      <c r="M112" s="1101"/>
      <c r="N112" s="1706"/>
      <c r="O112" s="8"/>
      <c r="P112" s="239" t="s">
        <v>318</v>
      </c>
      <c r="Q112" s="119">
        <f>ROUND(IF(P112="SI",SUMIF('C de C año anterior'!$B$8:$B$229,B112,'C de C año anterior'!$Q$8:$Q$229)*(100%+$Q$5),0),-3)+ROUND(IF(P112="SI",SUMIF('Facturas año anterior'!$B$8:$B$86,B112,'Facturas año anterior'!$V$8:$V$86)*(100%+$AA$5),0),-3)</f>
        <v>0</v>
      </c>
      <c r="R112" s="239"/>
      <c r="S112" s="114">
        <f t="shared" ref="S112" si="79">ROUND(IF(R112="SI",Q112*$S$5,0),-3)</f>
        <v>0</v>
      </c>
      <c r="T112" s="240"/>
      <c r="U112" s="115">
        <f t="shared" ref="U112" si="80">ROUND(IF(T112="SI",Q112*$U$5,0),-3)</f>
        <v>0</v>
      </c>
      <c r="V112" s="884"/>
      <c r="W112" s="874">
        <f t="shared" ref="W112" si="81">ROUND(IF(V112="SI",Q112*$W$5,0),-3)</f>
        <v>0</v>
      </c>
      <c r="X112" s="884"/>
      <c r="Y112" s="874">
        <f t="shared" ref="Y112" si="82">ROUND(IF(X112="SI",Q112*$Y$5,0),-3)</f>
        <v>0</v>
      </c>
      <c r="Z112" s="241"/>
      <c r="AA112" s="116">
        <f t="shared" ref="AA112" si="83">ROUND(IF(Z112="SI",Q112*$AA$5,0),-3)</f>
        <v>0</v>
      </c>
      <c r="AB112" s="239"/>
      <c r="AC112" s="116">
        <f t="shared" ref="AC112" si="84">ROUND(IF(AB112="SI",Q112*$AC$5,0),-3)</f>
        <v>0</v>
      </c>
      <c r="AD112" s="242"/>
      <c r="AE112" s="117">
        <f t="shared" ref="AE112" si="85">IF(AD112="SI",Q112*$AE$5,0)</f>
        <v>0</v>
      </c>
      <c r="AF112" s="1228">
        <f>SUMIF('Otras Asesorías y Préstamos'!$B$7:$B$242,B112,'Otras Asesorías y Préstamos'!$F$7:$F$242)</f>
        <v>0</v>
      </c>
      <c r="AG112" s="1228">
        <f>SUMIF('Otras Asesorías y Préstamos'!$B$7:$B$242,B112,'Otras Asesorías y Préstamos'!$V$7:$V$242)</f>
        <v>0</v>
      </c>
      <c r="AH112" s="1229">
        <f t="shared" ref="AH112" si="86">ROUND(SUM(Q112:AG112),-4)</f>
        <v>0</v>
      </c>
      <c r="AI112" s="8"/>
    </row>
    <row r="113" spans="1:35" x14ac:dyDescent="0.2">
      <c r="A113" s="1462">
        <f>+A111+1</f>
        <v>103</v>
      </c>
      <c r="B113" s="1097" t="s">
        <v>90</v>
      </c>
      <c r="C113" s="1185">
        <f>_xlfn.XLOOKUP(B113,Códigos!$B$8:$B$406,Códigos!$A$8:$A$406,"Verificar",0)</f>
        <v>129</v>
      </c>
      <c r="D113" s="1114">
        <f>_xlfn.XLOOKUP(B113,'Consolidado Cobros'!$B$10:$B$312,'Consolidado Cobros'!$C$10:$C$312,"Verificar",0)</f>
        <v>43064007</v>
      </c>
      <c r="E113" s="1186">
        <f t="shared" si="77"/>
        <v>2</v>
      </c>
      <c r="F113" s="1463">
        <f t="shared" si="63"/>
        <v>990000</v>
      </c>
      <c r="G113" s="1098"/>
      <c r="H113" s="1099"/>
      <c r="I113" s="1100"/>
      <c r="J113" s="1099"/>
      <c r="K113" s="1099"/>
      <c r="L113" s="1100"/>
      <c r="M113" s="1101"/>
      <c r="N113" s="1706"/>
      <c r="O113" s="8"/>
      <c r="P113" s="239" t="s">
        <v>318</v>
      </c>
      <c r="Q113" s="119">
        <f>ROUND(IF(P113="SI",SUMIF('C de C año anterior'!$B$8:$B$229,B113,'C de C año anterior'!$Q$8:$Q$229)*(100%+$Q$5),0),-3)+ROUND(IF(P113="SI",SUMIF('Facturas año anterior'!$B$8:$B$86,B113,'Facturas año anterior'!$V$8:$V$86)*(100%+$AA$5),0),-3)</f>
        <v>990000</v>
      </c>
      <c r="R113" s="239"/>
      <c r="S113" s="114">
        <f t="shared" si="65"/>
        <v>0</v>
      </c>
      <c r="T113" s="240"/>
      <c r="U113" s="115">
        <f t="shared" si="66"/>
        <v>0</v>
      </c>
      <c r="V113" s="884"/>
      <c r="W113" s="874">
        <f t="shared" si="67"/>
        <v>0</v>
      </c>
      <c r="X113" s="884"/>
      <c r="Y113" s="874">
        <f t="shared" si="68"/>
        <v>0</v>
      </c>
      <c r="Z113" s="241"/>
      <c r="AA113" s="116">
        <f t="shared" si="69"/>
        <v>0</v>
      </c>
      <c r="AB113" s="239"/>
      <c r="AC113" s="116">
        <f t="shared" si="70"/>
        <v>0</v>
      </c>
      <c r="AD113" s="242"/>
      <c r="AE113" s="117">
        <f t="shared" si="71"/>
        <v>0</v>
      </c>
      <c r="AF113" s="1228">
        <f>SUMIF('Otras Asesorías y Préstamos'!$B$7:$B$242,B113,'Otras Asesorías y Préstamos'!$F$7:$F$242)</f>
        <v>0</v>
      </c>
      <c r="AG113" s="1228">
        <f>SUMIF('Otras Asesorías y Préstamos'!$B$7:$B$242,B113,'Otras Asesorías y Préstamos'!$V$7:$V$242)</f>
        <v>0</v>
      </c>
      <c r="AH113" s="1229">
        <f t="shared" si="72"/>
        <v>990000</v>
      </c>
      <c r="AI113" s="8"/>
    </row>
    <row r="114" spans="1:35" x14ac:dyDescent="0.2">
      <c r="A114" s="1462">
        <f t="shared" si="73"/>
        <v>104</v>
      </c>
      <c r="B114" s="1097" t="s">
        <v>94</v>
      </c>
      <c r="C114" s="1185">
        <f>_xlfn.XLOOKUP(B114,Códigos!$B$8:$B$406,Códigos!$A$8:$A$406,"Verificar",0)</f>
        <v>269</v>
      </c>
      <c r="D114" s="1114">
        <f>_xlfn.XLOOKUP(B114,'Consolidado Cobros'!$B$10:$B$312,'Consolidado Cobros'!$C$10:$C$312,"Verificar",0)</f>
        <v>71780372</v>
      </c>
      <c r="E114" s="1186">
        <f t="shared" si="77"/>
        <v>9</v>
      </c>
      <c r="F114" s="1463">
        <f t="shared" si="63"/>
        <v>330000</v>
      </c>
      <c r="G114" s="1098"/>
      <c r="H114" s="1099"/>
      <c r="I114" s="1100"/>
      <c r="J114" s="1099"/>
      <c r="K114" s="1099"/>
      <c r="L114" s="1100"/>
      <c r="M114" s="1101"/>
      <c r="N114" s="1706"/>
      <c r="O114" s="8"/>
      <c r="P114" s="239" t="s">
        <v>318</v>
      </c>
      <c r="Q114" s="119">
        <f>ROUND(IF(P114="SI",SUMIF('C de C año anterior'!$B$8:$B$229,B114,'C de C año anterior'!$Q$8:$Q$229)*(100%+$Q$5),0),-3)+ROUND(IF(P114="SI",SUMIF('Facturas año anterior'!$B$8:$B$86,B114,'Facturas año anterior'!$V$8:$V$86)*(100%+$AA$5),0),-3)</f>
        <v>332000</v>
      </c>
      <c r="R114" s="239"/>
      <c r="S114" s="114">
        <f t="shared" si="65"/>
        <v>0</v>
      </c>
      <c r="T114" s="240"/>
      <c r="U114" s="115">
        <f t="shared" si="66"/>
        <v>0</v>
      </c>
      <c r="V114" s="884"/>
      <c r="W114" s="874">
        <f t="shared" si="67"/>
        <v>0</v>
      </c>
      <c r="X114" s="884"/>
      <c r="Y114" s="874">
        <f t="shared" si="68"/>
        <v>0</v>
      </c>
      <c r="Z114" s="241"/>
      <c r="AA114" s="116">
        <f t="shared" si="69"/>
        <v>0</v>
      </c>
      <c r="AB114" s="239"/>
      <c r="AC114" s="116">
        <f t="shared" si="70"/>
        <v>0</v>
      </c>
      <c r="AD114" s="242"/>
      <c r="AE114" s="117">
        <f t="shared" si="71"/>
        <v>0</v>
      </c>
      <c r="AF114" s="1228">
        <f>SUMIF('Otras Asesorías y Préstamos'!$B$7:$B$242,B114,'Otras Asesorías y Préstamos'!$F$7:$F$242)</f>
        <v>0</v>
      </c>
      <c r="AG114" s="1228">
        <f>SUMIF('Otras Asesorías y Préstamos'!$B$7:$B$242,B114,'Otras Asesorías y Préstamos'!$V$7:$V$242)</f>
        <v>0</v>
      </c>
      <c r="AH114" s="1229">
        <f t="shared" si="72"/>
        <v>330000</v>
      </c>
      <c r="AI114" s="8"/>
    </row>
    <row r="115" spans="1:35" x14ac:dyDescent="0.2">
      <c r="A115" s="1462">
        <f t="shared" si="73"/>
        <v>105</v>
      </c>
      <c r="B115" s="1097" t="s">
        <v>309</v>
      </c>
      <c r="C115" s="1185">
        <f>_xlfn.XLOOKUP(B115,Códigos!$B$8:$B$406,Códigos!$A$8:$A$406,"Verificar",0)</f>
        <v>252</v>
      </c>
      <c r="D115" s="1114">
        <f>_xlfn.XLOOKUP(B115,'Consolidado Cobros'!$B$10:$B$312,'Consolidado Cobros'!$C$10:$C$312,"Verificar",0)</f>
        <v>73097181</v>
      </c>
      <c r="E115" s="1186">
        <f t="shared" si="77"/>
        <v>7</v>
      </c>
      <c r="F115" s="1463">
        <f t="shared" si="63"/>
        <v>170000</v>
      </c>
      <c r="G115" s="1098"/>
      <c r="H115" s="1099"/>
      <c r="I115" s="1100"/>
      <c r="J115" s="1099"/>
      <c r="K115" s="1099"/>
      <c r="L115" s="1100"/>
      <c r="M115" s="1101"/>
      <c r="N115" s="1706"/>
      <c r="O115" s="8"/>
      <c r="P115" s="239" t="s">
        <v>318</v>
      </c>
      <c r="Q115" s="119">
        <f>ROUND(IF(P115="SI",SUMIF('C de C año anterior'!$B$8:$B$229,B115,'C de C año anterior'!$Q$8:$Q$229)*(100%+$Q$5),0),-3)+ROUND(IF(P115="SI",SUMIF('Facturas año anterior'!$B$8:$B$86,B115,'Facturas año anterior'!$V$8:$V$86)*(100%+$AA$5),0),-3)</f>
        <v>169000</v>
      </c>
      <c r="R115" s="239"/>
      <c r="S115" s="114">
        <f t="shared" si="65"/>
        <v>0</v>
      </c>
      <c r="T115" s="240"/>
      <c r="U115" s="115">
        <f t="shared" si="66"/>
        <v>0</v>
      </c>
      <c r="V115" s="884"/>
      <c r="W115" s="874">
        <f t="shared" si="67"/>
        <v>0</v>
      </c>
      <c r="X115" s="884"/>
      <c r="Y115" s="874">
        <f t="shared" si="68"/>
        <v>0</v>
      </c>
      <c r="Z115" s="241"/>
      <c r="AA115" s="116">
        <f t="shared" si="69"/>
        <v>0</v>
      </c>
      <c r="AB115" s="239"/>
      <c r="AC115" s="116">
        <f t="shared" si="70"/>
        <v>0</v>
      </c>
      <c r="AD115" s="242"/>
      <c r="AE115" s="117">
        <f t="shared" si="71"/>
        <v>0</v>
      </c>
      <c r="AF115" s="1228">
        <f>SUMIF('Otras Asesorías y Préstamos'!$B$7:$B$242,B115,'Otras Asesorías y Préstamos'!$F$7:$F$242)</f>
        <v>0</v>
      </c>
      <c r="AG115" s="1228">
        <f>SUMIF('Otras Asesorías y Préstamos'!$B$7:$B$242,B115,'Otras Asesorías y Préstamos'!$V$7:$V$242)</f>
        <v>0</v>
      </c>
      <c r="AH115" s="1229">
        <f t="shared" si="72"/>
        <v>170000</v>
      </c>
      <c r="AI115" s="8"/>
    </row>
    <row r="116" spans="1:35" x14ac:dyDescent="0.2">
      <c r="A116" s="1462">
        <f t="shared" si="73"/>
        <v>106</v>
      </c>
      <c r="B116" s="1097" t="s">
        <v>98</v>
      </c>
      <c r="C116" s="1185">
        <f>_xlfn.XLOOKUP(B116,Códigos!$B$8:$B$406,Códigos!$A$8:$A$406,"Verificar",0)</f>
        <v>136</v>
      </c>
      <c r="D116" s="1114">
        <f>_xlfn.XLOOKUP(B116,'Consolidado Cobros'!$B$10:$B$312,'Consolidado Cobros'!$C$10:$C$312,"Verificar",0)</f>
        <v>43628064</v>
      </c>
      <c r="E116" s="1186">
        <f t="shared" si="77"/>
        <v>4</v>
      </c>
      <c r="F116" s="1463">
        <f t="shared" si="63"/>
        <v>940000</v>
      </c>
      <c r="G116" s="1098"/>
      <c r="H116" s="1099"/>
      <c r="I116" s="1100"/>
      <c r="J116" s="1099"/>
      <c r="K116" s="1099"/>
      <c r="L116" s="1100"/>
      <c r="M116" s="1101"/>
      <c r="N116" s="1706"/>
      <c r="O116" s="8"/>
      <c r="P116" s="239" t="s">
        <v>318</v>
      </c>
      <c r="Q116" s="119">
        <f>ROUND(IF(P116="SI",SUMIF('C de C año anterior'!$B$8:$B$229,B116,'C de C año anterior'!$Q$8:$Q$229)*(100%+$Q$5),0),-3)+ROUND(IF(P116="SI",SUMIF('Facturas año anterior'!$B$8:$B$86,B116,'Facturas año anterior'!$V$8:$V$86)*(100%+$AA$5),0),-3)</f>
        <v>724000</v>
      </c>
      <c r="R116" s="239"/>
      <c r="S116" s="114">
        <f t="shared" si="65"/>
        <v>0</v>
      </c>
      <c r="T116" s="240"/>
      <c r="U116" s="115">
        <f t="shared" si="66"/>
        <v>0</v>
      </c>
      <c r="V116" s="884"/>
      <c r="W116" s="874">
        <f t="shared" si="67"/>
        <v>0</v>
      </c>
      <c r="X116" s="884"/>
      <c r="Y116" s="874">
        <f t="shared" si="68"/>
        <v>0</v>
      </c>
      <c r="Z116" s="241"/>
      <c r="AA116" s="116">
        <f t="shared" si="69"/>
        <v>0</v>
      </c>
      <c r="AB116" s="239"/>
      <c r="AC116" s="116">
        <f t="shared" si="70"/>
        <v>0</v>
      </c>
      <c r="AD116" s="242" t="s">
        <v>318</v>
      </c>
      <c r="AE116" s="117">
        <f t="shared" si="71"/>
        <v>217200</v>
      </c>
      <c r="AF116" s="1228">
        <f>SUMIF('Otras Asesorías y Préstamos'!$B$7:$B$242,B116,'Otras Asesorías y Préstamos'!$F$7:$F$242)</f>
        <v>0</v>
      </c>
      <c r="AG116" s="1228">
        <f>SUMIF('Otras Asesorías y Préstamos'!$B$7:$B$242,B116,'Otras Asesorías y Préstamos'!$V$7:$V$242)</f>
        <v>0</v>
      </c>
      <c r="AH116" s="1229">
        <f t="shared" si="72"/>
        <v>940000</v>
      </c>
      <c r="AI116" s="8"/>
    </row>
    <row r="117" spans="1:35" x14ac:dyDescent="0.2">
      <c r="A117" s="1462">
        <f t="shared" si="73"/>
        <v>107</v>
      </c>
      <c r="B117" s="1097" t="s">
        <v>99</v>
      </c>
      <c r="C117" s="1185">
        <f>_xlfn.XLOOKUP(B117,Códigos!$B$8:$B$406,Códigos!$A$8:$A$406,"Verificar",0)</f>
        <v>137</v>
      </c>
      <c r="D117" s="1114">
        <f>_xlfn.XLOOKUP(B117,'Consolidado Cobros'!$B$10:$B$312,'Consolidado Cobros'!$C$10:$C$312,"Verificar",0)</f>
        <v>32330774</v>
      </c>
      <c r="E117" s="1186">
        <f t="shared" si="77"/>
        <v>4</v>
      </c>
      <c r="F117" s="1463">
        <f t="shared" si="63"/>
        <v>520000</v>
      </c>
      <c r="G117" s="1098"/>
      <c r="H117" s="1099"/>
      <c r="I117" s="1100"/>
      <c r="J117" s="1099"/>
      <c r="K117" s="1099"/>
      <c r="L117" s="1100"/>
      <c r="M117" s="1101"/>
      <c r="N117" s="1706"/>
      <c r="O117" s="8"/>
      <c r="P117" s="239" t="s">
        <v>318</v>
      </c>
      <c r="Q117" s="119">
        <f>ROUND(IF(P117="SI",SUMIF('C de C año anterior'!$B$8:$B$229,B117,'C de C año anterior'!$Q$8:$Q$229)*(100%+$Q$5),0),-3)+ROUND(IF(P117="SI",SUMIF('Facturas año anterior'!$B$8:$B$86,B117,'Facturas año anterior'!$V$8:$V$86)*(100%+$AA$5),0),-3)</f>
        <v>519000</v>
      </c>
      <c r="R117" s="239"/>
      <c r="S117" s="114">
        <f t="shared" si="65"/>
        <v>0</v>
      </c>
      <c r="T117" s="240"/>
      <c r="U117" s="115">
        <f t="shared" si="66"/>
        <v>0</v>
      </c>
      <c r="V117" s="884"/>
      <c r="W117" s="874">
        <f t="shared" si="67"/>
        <v>0</v>
      </c>
      <c r="X117" s="884"/>
      <c r="Y117" s="874">
        <f t="shared" si="68"/>
        <v>0</v>
      </c>
      <c r="Z117" s="241"/>
      <c r="AA117" s="116">
        <f t="shared" si="69"/>
        <v>0</v>
      </c>
      <c r="AB117" s="239"/>
      <c r="AC117" s="116">
        <f t="shared" si="70"/>
        <v>0</v>
      </c>
      <c r="AD117" s="242"/>
      <c r="AE117" s="117">
        <f t="shared" si="71"/>
        <v>0</v>
      </c>
      <c r="AF117" s="1228">
        <f>SUMIF('Otras Asesorías y Préstamos'!$B$7:$B$242,B117,'Otras Asesorías y Préstamos'!$F$7:$F$242)</f>
        <v>0</v>
      </c>
      <c r="AG117" s="1228">
        <f>SUMIF('Otras Asesorías y Préstamos'!$B$7:$B$242,B117,'Otras Asesorías y Préstamos'!$V$7:$V$242)</f>
        <v>0</v>
      </c>
      <c r="AH117" s="1229">
        <f t="shared" si="72"/>
        <v>520000</v>
      </c>
      <c r="AI117" s="8"/>
    </row>
    <row r="118" spans="1:35" x14ac:dyDescent="0.2">
      <c r="A118" s="1462">
        <f t="shared" si="73"/>
        <v>108</v>
      </c>
      <c r="B118" s="1097" t="s">
        <v>100</v>
      </c>
      <c r="C118" s="1185">
        <f>_xlfn.XLOOKUP(B118,Códigos!$B$8:$B$406,Códigos!$A$8:$A$406,"Verificar",0)</f>
        <v>267</v>
      </c>
      <c r="D118" s="1114">
        <f>_xlfn.XLOOKUP(B118,'Consolidado Cobros'!$B$10:$B$312,'Consolidado Cobros'!$C$10:$C$312,"Verificar",0)</f>
        <v>71769178</v>
      </c>
      <c r="E118" s="1186">
        <f t="shared" si="77"/>
        <v>1</v>
      </c>
      <c r="F118" s="1463">
        <f t="shared" si="63"/>
        <v>330000</v>
      </c>
      <c r="G118" s="1098"/>
      <c r="H118" s="1099"/>
      <c r="I118" s="1100"/>
      <c r="J118" s="1099"/>
      <c r="K118" s="1099"/>
      <c r="L118" s="1262"/>
      <c r="M118" s="1101"/>
      <c r="N118" s="1706"/>
      <c r="O118" s="8"/>
      <c r="P118" s="239" t="s">
        <v>318</v>
      </c>
      <c r="Q118" s="119">
        <f>ROUND(IF(P118="SI",SUMIF('C de C año anterior'!$B$8:$B$229,B118,'C de C año anterior'!$Q$8:$Q$229)*(100%+$Q$5),0),-3)+ROUND(IF(P118="SI",SUMIF('Facturas año anterior'!$B$8:$B$86,B118,'Facturas año anterior'!$V$8:$V$86)*(100%+$AA$5),0),-3)</f>
        <v>326000</v>
      </c>
      <c r="R118" s="239"/>
      <c r="S118" s="114">
        <f t="shared" si="65"/>
        <v>0</v>
      </c>
      <c r="T118" s="240"/>
      <c r="U118" s="115">
        <f t="shared" si="66"/>
        <v>0</v>
      </c>
      <c r="V118" s="884"/>
      <c r="W118" s="874">
        <f t="shared" si="67"/>
        <v>0</v>
      </c>
      <c r="X118" s="884"/>
      <c r="Y118" s="874">
        <f t="shared" si="68"/>
        <v>0</v>
      </c>
      <c r="Z118" s="241"/>
      <c r="AA118" s="116">
        <f t="shared" si="69"/>
        <v>0</v>
      </c>
      <c r="AB118" s="239"/>
      <c r="AC118" s="116">
        <f t="shared" si="70"/>
        <v>0</v>
      </c>
      <c r="AD118" s="242"/>
      <c r="AE118" s="117">
        <f t="shared" si="71"/>
        <v>0</v>
      </c>
      <c r="AF118" s="1228">
        <f>SUMIF('Otras Asesorías y Préstamos'!$B$7:$B$242,B118,'Otras Asesorías y Préstamos'!$F$7:$F$242)</f>
        <v>0</v>
      </c>
      <c r="AG118" s="1228">
        <f>SUMIF('Otras Asesorías y Préstamos'!$B$7:$B$242,B118,'Otras Asesorías y Préstamos'!$V$7:$V$242)</f>
        <v>0</v>
      </c>
      <c r="AH118" s="1229">
        <f t="shared" si="72"/>
        <v>330000</v>
      </c>
      <c r="AI118" s="8"/>
    </row>
    <row r="119" spans="1:35" x14ac:dyDescent="0.2">
      <c r="A119" s="1462">
        <f t="shared" si="73"/>
        <v>109</v>
      </c>
      <c r="B119" s="1097" t="s">
        <v>101</v>
      </c>
      <c r="C119" s="1185">
        <f>_xlfn.XLOOKUP(B119,Códigos!$B$8:$B$406,Códigos!$A$8:$A$406,"Verificar",0)</f>
        <v>280</v>
      </c>
      <c r="D119" s="1114">
        <f>_xlfn.XLOOKUP(B119,'Consolidado Cobros'!$B$10:$B$312,'Consolidado Cobros'!$C$10:$C$312,"Verificar",0)</f>
        <v>98514541</v>
      </c>
      <c r="E119" s="1186">
        <f t="shared" si="77"/>
        <v>6</v>
      </c>
      <c r="F119" s="1463">
        <f t="shared" si="63"/>
        <v>0</v>
      </c>
      <c r="G119" s="1098"/>
      <c r="H119" s="1867"/>
      <c r="I119" s="1100"/>
      <c r="J119" s="1099"/>
      <c r="K119" s="1099"/>
      <c r="L119" s="1262"/>
      <c r="M119" s="1101"/>
      <c r="N119" s="1706"/>
      <c r="O119" s="8"/>
      <c r="P119" s="239" t="s">
        <v>266</v>
      </c>
      <c r="Q119" s="119">
        <f>ROUND(IF(P119="SI",SUMIF('C de C año anterior'!$B$8:$B$229,B119,'C de C año anterior'!$Q$8:$Q$229)*(100%+$Q$5),0),-3)+ROUND(IF(P119="SI",SUMIF('Facturas año anterior'!$B$8:$B$86,B119,'Facturas año anterior'!$V$8:$V$86)*(100%+$AA$5),0),-3)</f>
        <v>0</v>
      </c>
      <c r="R119" s="239"/>
      <c r="S119" s="114">
        <f t="shared" si="65"/>
        <v>0</v>
      </c>
      <c r="T119" s="240"/>
      <c r="U119" s="115">
        <f t="shared" si="66"/>
        <v>0</v>
      </c>
      <c r="V119" s="884"/>
      <c r="W119" s="874">
        <f t="shared" si="67"/>
        <v>0</v>
      </c>
      <c r="X119" s="884"/>
      <c r="Y119" s="874">
        <f t="shared" si="68"/>
        <v>0</v>
      </c>
      <c r="Z119" s="241"/>
      <c r="AA119" s="116">
        <f t="shared" si="69"/>
        <v>0</v>
      </c>
      <c r="AB119" s="239"/>
      <c r="AC119" s="116">
        <f t="shared" si="70"/>
        <v>0</v>
      </c>
      <c r="AD119" s="242"/>
      <c r="AE119" s="117">
        <f t="shared" si="71"/>
        <v>0</v>
      </c>
      <c r="AF119" s="1228">
        <f>SUMIF('Otras Asesorías y Préstamos'!$B$7:$B$242,B119,'Otras Asesorías y Préstamos'!$F$7:$F$242)</f>
        <v>0</v>
      </c>
      <c r="AG119" s="1228">
        <f>SUMIF('Otras Asesorías y Préstamos'!$B$7:$B$242,B119,'Otras Asesorías y Préstamos'!$V$7:$V$242)</f>
        <v>0</v>
      </c>
      <c r="AH119" s="1229">
        <f t="shared" si="72"/>
        <v>0</v>
      </c>
      <c r="AI119" s="8"/>
    </row>
    <row r="120" spans="1:35" x14ac:dyDescent="0.2">
      <c r="A120" s="1462">
        <f t="shared" si="73"/>
        <v>110</v>
      </c>
      <c r="B120" s="1097" t="s">
        <v>408</v>
      </c>
      <c r="C120" s="1185">
        <f>_xlfn.XLOOKUP(B120,Códigos!$B$8:$B$406,Códigos!$A$8:$A$406,"Verificar",0)</f>
        <v>89</v>
      </c>
      <c r="D120" s="1114">
        <f>_xlfn.XLOOKUP(B120,'Consolidado Cobros'!$B$10:$B$312,'Consolidado Cobros'!$C$10:$C$312,"Verificar",0)</f>
        <v>21831445</v>
      </c>
      <c r="E120" s="1186">
        <f t="shared" si="77"/>
        <v>6</v>
      </c>
      <c r="F120" s="1463">
        <f>+AH120-10000</f>
        <v>420000</v>
      </c>
      <c r="G120" s="1098"/>
      <c r="H120" s="1099"/>
      <c r="I120" s="1100"/>
      <c r="J120" s="1099"/>
      <c r="K120" s="1099"/>
      <c r="L120" s="1100"/>
      <c r="M120" s="1101"/>
      <c r="N120" s="1706"/>
      <c r="O120" s="8"/>
      <c r="P120" s="239" t="s">
        <v>318</v>
      </c>
      <c r="Q120" s="119">
        <f>ROUND(IF(P120="SI",SUMIF('C de C año anterior'!$B$8:$B$229,B120,'C de C año anterior'!$Q$8:$Q$229)*(100%+$Q$5),0),-3)+ROUND(IF(P120="SI",SUMIF('Facturas año anterior'!$B$8:$B$86,B120,'Facturas año anterior'!$V$8:$V$86)*(100%+$AA$5),0),-3)</f>
        <v>434000</v>
      </c>
      <c r="R120" s="239"/>
      <c r="S120" s="114">
        <f t="shared" si="65"/>
        <v>0</v>
      </c>
      <c r="T120" s="240"/>
      <c r="U120" s="115">
        <f t="shared" si="66"/>
        <v>0</v>
      </c>
      <c r="V120" s="884"/>
      <c r="W120" s="874">
        <f t="shared" si="67"/>
        <v>0</v>
      </c>
      <c r="X120" s="884"/>
      <c r="Y120" s="874">
        <f t="shared" si="68"/>
        <v>0</v>
      </c>
      <c r="Z120" s="241"/>
      <c r="AA120" s="116">
        <f t="shared" si="69"/>
        <v>0</v>
      </c>
      <c r="AB120" s="239"/>
      <c r="AC120" s="116">
        <f t="shared" si="70"/>
        <v>0</v>
      </c>
      <c r="AD120" s="242"/>
      <c r="AE120" s="117">
        <f t="shared" si="71"/>
        <v>0</v>
      </c>
      <c r="AF120" s="1228">
        <f>SUMIF('Otras Asesorías y Préstamos'!$B$7:$B$242,B120,'Otras Asesorías y Préstamos'!$F$7:$F$242)</f>
        <v>0</v>
      </c>
      <c r="AG120" s="1228">
        <f>SUMIF('Otras Asesorías y Préstamos'!$B$7:$B$242,B120,'Otras Asesorías y Préstamos'!$V$7:$V$242)</f>
        <v>0</v>
      </c>
      <c r="AH120" s="1229">
        <f t="shared" si="72"/>
        <v>430000</v>
      </c>
      <c r="AI120" s="8"/>
    </row>
    <row r="121" spans="1:35" x14ac:dyDescent="0.2">
      <c r="A121" s="1462">
        <f t="shared" si="73"/>
        <v>111</v>
      </c>
      <c r="B121" s="1097" t="s">
        <v>783</v>
      </c>
      <c r="C121" s="1185">
        <f>_xlfn.XLOOKUP(B121,Códigos!$B$8:$B$406,Códigos!$A$8:$A$406,"Verificar",0)</f>
        <v>141</v>
      </c>
      <c r="D121" s="1185">
        <v>1038869450</v>
      </c>
      <c r="E121" s="1186">
        <f t="shared" ref="E121" si="87">IF((MOD((VALUE(MID(TEXT(D121,"000000000000000"),15,1))*3+VALUE(MID(TEXT(D121,"000000000000000"),14,1))*7+VALUE(MID(TEXT(D121,"000000000000000"),13,1))*13+VALUE(MID(TEXT(D121,"000000000000000"),12,1))*17+VALUE(MID(TEXT(D121,"000000000000000"),11,1))*19+VALUE(MID(TEXT(D121,"000000000000000"),10,1))*23+VALUE(MID(TEXT(D121,"000000000000000"),9,1))*29+VALUE(MID(TEXT(D121,"000000000000000"),8,1))*37+VALUE(MID(TEXT(D121,"000000000000000"),7,1))*41+VALUE(MID(TEXT(D121,"000000000000000"),6,1))*43+VALUE(MID(TEXT(D121,"000000000000000"),5,1))*47+VALUE(MID(TEXT(D121,"000000000000000"),4,1))*53+VALUE(MID(TEXT(D121,"000000000000000"),3,1))*59+VALUE(MID(TEXT(D121,"000000000000000"),2,1))*67+VALUE(MID(TEXT(D121,"000000000000000"),1,1))*71),11))=0,0,IF((MOD((VALUE(MID(TEXT(D121,"000000000000000"),15,1))*3+VALUE(MID(TEXT(D121,"000000000000000"),14,1))*7+VALUE(MID(TEXT(D121,"000000000000000"),13,1))*13+VALUE(MID(TEXT(D121,"000000000000000"),12,1))*17+VALUE(MID(TEXT(D121,"000000000000000"),11,1))*19+VALUE(MID(TEXT(D121,"000000000000000"),10,1))*23+VALUE(MID(TEXT(D121,"000000000000000"),9,1))*29+VALUE(MID(TEXT(D121,"000000000000000"),8,1))*37+VALUE(MID(TEXT(D121,"000000000000000"),7,1))*41+VALUE(MID(TEXT(D121,"000000000000000"),6,1))*43+VALUE(MID(TEXT(D121,"000000000000000"),5,1))*47+VALUE(MID(TEXT(D121,"000000000000000"),4,1))*53+VALUE(MID(TEXT(D121,"000000000000000"),3,1))*59+VALUE(MID(TEXT(D121,"000000000000000"),2,1))*67+VALUE(MID(TEXT(D121,"000000000000000"),1,1))*71),11))=1,1,11-(MOD((VALUE(MID(TEXT(D121,"000000000000000"),15,1))*3+VALUE(MID(TEXT(D121,"000000000000000"),14,1))*7+VALUE(MID(TEXT(D121,"000000000000000"),13,1))*13+VALUE(MID(TEXT(D121,"000000000000000"),12,1))*17+VALUE(MID(TEXT(D121,"000000000000000"),11,1))*19+VALUE(MID(TEXT(D121,"000000000000000"),10,1))*23+VALUE(MID(TEXT(D121,"000000000000000"),9,1))*29+VALUE(MID(TEXT(D121,"000000000000000"),8,1))*37+VALUE(MID(TEXT(D121,"000000000000000"),7,1))*41+VALUE(MID(TEXT(D121,"000000000000000"),6,1))*43+VALUE(MID(TEXT(D121,"000000000000000"),5,1))*47+VALUE(MID(TEXT(D121,"000000000000000"),4,1))*53+VALUE(MID(TEXT(D121,"000000000000000"),3,1))*59+VALUE(MID(TEXT(D121,"000000000000000"),2,1))*67+VALUE(MID(TEXT(D121,"000000000000000"),1,1))*71),11))))</f>
        <v>0</v>
      </c>
      <c r="F121" s="1463">
        <f t="shared" ref="F121" si="88">+AH121</f>
        <v>170000</v>
      </c>
      <c r="G121" s="1098"/>
      <c r="H121" s="1099"/>
      <c r="I121" s="1100"/>
      <c r="J121" s="1099"/>
      <c r="K121" s="1099"/>
      <c r="L121" s="1100"/>
      <c r="M121" s="1101"/>
      <c r="N121" s="1706"/>
      <c r="O121" s="8"/>
      <c r="P121" s="239" t="s">
        <v>318</v>
      </c>
      <c r="Q121" s="119">
        <f>ROUND(IF(P121="SI",SUMIF('C de C año anterior'!$B$8:$B$229,B121,'C de C año anterior'!$Q$8:$Q$229)*(100%+$Q$5),0),-3)+ROUND(IF(P121="SI",SUMIF('Facturas año anterior'!$B$8:$B$86,B121,'Facturas año anterior'!$V$8:$V$86)*(100%+$AA$5),0),-3)</f>
        <v>166000</v>
      </c>
      <c r="R121" s="239"/>
      <c r="S121" s="114">
        <f t="shared" ref="S121" si="89">ROUND(IF(R121="SI",Q121*$S$5,0),-3)</f>
        <v>0</v>
      </c>
      <c r="T121" s="240"/>
      <c r="U121" s="115">
        <f t="shared" ref="U121" si="90">ROUND(IF(T121="SI",Q121*$U$5,0),-3)</f>
        <v>0</v>
      </c>
      <c r="V121" s="884"/>
      <c r="W121" s="874">
        <f t="shared" ref="W121" si="91">ROUND(IF(V121="SI",Q121*$W$5,0),-3)</f>
        <v>0</v>
      </c>
      <c r="X121" s="884"/>
      <c r="Y121" s="874">
        <f t="shared" ref="Y121" si="92">ROUND(IF(X121="SI",Q121*$Y$5,0),-3)</f>
        <v>0</v>
      </c>
      <c r="Z121" s="241"/>
      <c r="AA121" s="116">
        <f t="shared" ref="AA121" si="93">ROUND(IF(Z121="SI",Q121*$AA$5,0),-3)</f>
        <v>0</v>
      </c>
      <c r="AB121" s="239"/>
      <c r="AC121" s="116">
        <f t="shared" ref="AC121" si="94">ROUND(IF(AB121="SI",Q121*$AC$5,0),-3)</f>
        <v>0</v>
      </c>
      <c r="AD121" s="242"/>
      <c r="AE121" s="117">
        <f t="shared" ref="AE121" si="95">IF(AD121="SI",Q121*$AE$5,0)</f>
        <v>0</v>
      </c>
      <c r="AF121" s="1228">
        <f>SUMIF('Otras Asesorías y Préstamos'!$B$7:$B$242,B121,'Otras Asesorías y Préstamos'!$F$7:$F$242)</f>
        <v>0</v>
      </c>
      <c r="AG121" s="1228">
        <f>SUMIF('Otras Asesorías y Préstamos'!$B$7:$B$242,B121,'Otras Asesorías y Préstamos'!$V$7:$V$242)</f>
        <v>0</v>
      </c>
      <c r="AH121" s="1229">
        <f t="shared" ref="AH121" si="96">ROUND(SUM(Q121:AG121),-4)</f>
        <v>170000</v>
      </c>
      <c r="AI121" s="8"/>
    </row>
    <row r="122" spans="1:35" x14ac:dyDescent="0.2">
      <c r="A122" s="1462">
        <f t="shared" si="73"/>
        <v>112</v>
      </c>
      <c r="B122" s="1097" t="s">
        <v>102</v>
      </c>
      <c r="C122" s="1185">
        <f>_xlfn.XLOOKUP(B122,Códigos!$B$8:$B$406,Códigos!$A$8:$A$406,"Verificar",0)</f>
        <v>138</v>
      </c>
      <c r="D122" s="1114">
        <f>_xlfn.XLOOKUP(B122,'Consolidado Cobros'!$B$10:$B$312,'Consolidado Cobros'!$C$10:$C$312,"Verificar",0)</f>
        <v>3306009</v>
      </c>
      <c r="E122" s="1186">
        <f t="shared" si="77"/>
        <v>1</v>
      </c>
      <c r="F122" s="1463">
        <f t="shared" si="63"/>
        <v>470000</v>
      </c>
      <c r="G122" s="1098"/>
      <c r="H122" s="1099"/>
      <c r="I122" s="1100"/>
      <c r="J122" s="1099"/>
      <c r="K122" s="1099"/>
      <c r="L122" s="1100"/>
      <c r="M122" s="1101"/>
      <c r="N122" s="1706"/>
      <c r="O122" s="8"/>
      <c r="P122" s="239" t="s">
        <v>318</v>
      </c>
      <c r="Q122" s="119">
        <f>ROUND(IF(P122="SI",SUMIF('C de C año anterior'!$B$8:$B$229,B122,'C de C año anterior'!$Q$8:$Q$229)*(100%+$Q$5),0),-3)+ROUND(IF(P122="SI",SUMIF('Facturas año anterior'!$B$8:$B$86,B122,'Facturas año anterior'!$V$8:$V$86)*(100%+$AA$5),0),-3)</f>
        <v>471000</v>
      </c>
      <c r="R122" s="239"/>
      <c r="S122" s="114">
        <f t="shared" si="65"/>
        <v>0</v>
      </c>
      <c r="T122" s="240"/>
      <c r="U122" s="115">
        <f t="shared" si="66"/>
        <v>0</v>
      </c>
      <c r="V122" s="884"/>
      <c r="W122" s="874">
        <f t="shared" si="67"/>
        <v>0</v>
      </c>
      <c r="X122" s="884"/>
      <c r="Y122" s="874">
        <f t="shared" si="68"/>
        <v>0</v>
      </c>
      <c r="Z122" s="241"/>
      <c r="AA122" s="116">
        <f t="shared" si="69"/>
        <v>0</v>
      </c>
      <c r="AB122" s="239"/>
      <c r="AC122" s="116">
        <f t="shared" si="70"/>
        <v>0</v>
      </c>
      <c r="AD122" s="242"/>
      <c r="AE122" s="117">
        <f t="shared" si="71"/>
        <v>0</v>
      </c>
      <c r="AF122" s="1228">
        <f>SUMIF('Otras Asesorías y Préstamos'!$B$7:$B$242,B122,'Otras Asesorías y Préstamos'!$F$7:$F$242)</f>
        <v>0</v>
      </c>
      <c r="AG122" s="1228">
        <f>SUMIF('Otras Asesorías y Préstamos'!$B$7:$B$242,B122,'Otras Asesorías y Préstamos'!$V$7:$V$242)</f>
        <v>0</v>
      </c>
      <c r="AH122" s="1229">
        <f t="shared" si="72"/>
        <v>470000</v>
      </c>
      <c r="AI122" s="8"/>
    </row>
    <row r="123" spans="1:35" x14ac:dyDescent="0.2">
      <c r="A123" s="1462">
        <f t="shared" si="73"/>
        <v>113</v>
      </c>
      <c r="B123" s="1097" t="s">
        <v>103</v>
      </c>
      <c r="C123" s="1185">
        <f>_xlfn.XLOOKUP(B123,Códigos!$B$8:$B$406,Códigos!$A$8:$A$406,"Verificar",0)</f>
        <v>139</v>
      </c>
      <c r="D123" s="1114">
        <f>_xlfn.XLOOKUP(B123,'Consolidado Cobros'!$B$10:$B$312,'Consolidado Cobros'!$C$10:$C$312,"Verificar",0)</f>
        <v>21668232</v>
      </c>
      <c r="E123" s="1186">
        <f t="shared" si="77"/>
        <v>6</v>
      </c>
      <c r="F123" s="1463">
        <f t="shared" si="63"/>
        <v>470000</v>
      </c>
      <c r="G123" s="1098"/>
      <c r="H123" s="1099"/>
      <c r="I123" s="1100"/>
      <c r="J123" s="1099"/>
      <c r="K123" s="1099"/>
      <c r="L123" s="1100"/>
      <c r="M123" s="1101"/>
      <c r="N123" s="1706"/>
      <c r="O123" s="8"/>
      <c r="P123" s="239" t="s">
        <v>318</v>
      </c>
      <c r="Q123" s="119">
        <f>ROUND(IF(P123="SI",SUMIF('C de C año anterior'!$B$8:$B$229,B123,'C de C año anterior'!$Q$8:$Q$229)*(100%+$Q$5),0),-3)+ROUND(IF(P123="SI",SUMIF('Facturas año anterior'!$B$8:$B$86,B123,'Facturas año anterior'!$V$8:$V$86)*(100%+$AA$5),0),-3)</f>
        <v>471000</v>
      </c>
      <c r="R123" s="239"/>
      <c r="S123" s="114">
        <f t="shared" si="65"/>
        <v>0</v>
      </c>
      <c r="T123" s="240"/>
      <c r="U123" s="115">
        <f t="shared" si="66"/>
        <v>0</v>
      </c>
      <c r="V123" s="884"/>
      <c r="W123" s="874">
        <f t="shared" si="67"/>
        <v>0</v>
      </c>
      <c r="X123" s="884"/>
      <c r="Y123" s="874">
        <f t="shared" si="68"/>
        <v>0</v>
      </c>
      <c r="Z123" s="241"/>
      <c r="AA123" s="116">
        <f t="shared" si="69"/>
        <v>0</v>
      </c>
      <c r="AB123" s="239"/>
      <c r="AC123" s="116">
        <f t="shared" si="70"/>
        <v>0</v>
      </c>
      <c r="AD123" s="242"/>
      <c r="AE123" s="117">
        <f t="shared" si="71"/>
        <v>0</v>
      </c>
      <c r="AF123" s="1228">
        <f>SUMIF('Otras Asesorías y Préstamos'!$B$7:$B$242,B123,'Otras Asesorías y Préstamos'!$F$7:$F$242)</f>
        <v>0</v>
      </c>
      <c r="AG123" s="1228">
        <f>SUMIF('Otras Asesorías y Préstamos'!$B$7:$B$242,B123,'Otras Asesorías y Préstamos'!$V$7:$V$242)</f>
        <v>0</v>
      </c>
      <c r="AH123" s="1229">
        <f t="shared" si="72"/>
        <v>470000</v>
      </c>
      <c r="AI123" s="8"/>
    </row>
    <row r="124" spans="1:35" x14ac:dyDescent="0.2">
      <c r="A124" s="1462">
        <f t="shared" si="73"/>
        <v>114</v>
      </c>
      <c r="B124" s="1097" t="s">
        <v>104</v>
      </c>
      <c r="C124" s="1185">
        <f>_xlfn.XLOOKUP(B124,Códigos!$B$8:$B$406,Códigos!$A$8:$A$406,"Verificar",0)</f>
        <v>140</v>
      </c>
      <c r="D124" s="1114">
        <f>_xlfn.XLOOKUP(B124,'Consolidado Cobros'!$B$10:$B$312,'Consolidado Cobros'!$C$10:$C$312,"Verificar",0)</f>
        <v>98473805</v>
      </c>
      <c r="E124" s="1186">
        <f t="shared" si="77"/>
        <v>8</v>
      </c>
      <c r="F124" s="1865">
        <f t="shared" si="63"/>
        <v>470000</v>
      </c>
      <c r="G124" s="1098" t="s">
        <v>1131</v>
      </c>
      <c r="H124" s="1099" t="s">
        <v>761</v>
      </c>
      <c r="I124" s="1100">
        <v>46266</v>
      </c>
      <c r="J124" s="1099" t="s">
        <v>1133</v>
      </c>
      <c r="K124" s="1099" t="s">
        <v>762</v>
      </c>
      <c r="L124" s="1100">
        <v>46267</v>
      </c>
      <c r="M124" s="1101"/>
      <c r="N124" s="1706"/>
      <c r="O124" s="8"/>
      <c r="P124" s="239" t="s">
        <v>318</v>
      </c>
      <c r="Q124" s="119">
        <f>ROUND(IF(P124="SI",SUMIF('C de C año anterior'!$B$8:$B$229,B124,'C de C año anterior'!$Q$8:$Q$229)*(100%+$Q$5),0),-3)+ROUND(IF(P124="SI",SUMIF('Facturas año anterior'!$B$8:$B$86,B124,'Facturas año anterior'!$V$8:$V$86)*(100%+$AA$5),0),-3)</f>
        <v>471000</v>
      </c>
      <c r="R124" s="239"/>
      <c r="S124" s="114">
        <f t="shared" si="65"/>
        <v>0</v>
      </c>
      <c r="T124" s="240"/>
      <c r="U124" s="115">
        <f t="shared" si="66"/>
        <v>0</v>
      </c>
      <c r="V124" s="884"/>
      <c r="W124" s="874">
        <f t="shared" si="67"/>
        <v>0</v>
      </c>
      <c r="X124" s="884"/>
      <c r="Y124" s="874">
        <f t="shared" si="68"/>
        <v>0</v>
      </c>
      <c r="Z124" s="241"/>
      <c r="AA124" s="116">
        <f t="shared" si="69"/>
        <v>0</v>
      </c>
      <c r="AB124" s="239"/>
      <c r="AC124" s="116">
        <f t="shared" si="70"/>
        <v>0</v>
      </c>
      <c r="AD124" s="242"/>
      <c r="AE124" s="117">
        <f t="shared" si="71"/>
        <v>0</v>
      </c>
      <c r="AF124" s="1228">
        <f>SUMIF('Otras Asesorías y Préstamos'!$B$7:$B$242,B124,'Otras Asesorías y Préstamos'!$F$7:$F$242)</f>
        <v>0</v>
      </c>
      <c r="AG124" s="1228">
        <f>SUMIF('Otras Asesorías y Préstamos'!$B$7:$B$242,B124,'Otras Asesorías y Préstamos'!$V$7:$V$242)</f>
        <v>0</v>
      </c>
      <c r="AH124" s="1229">
        <f t="shared" si="72"/>
        <v>470000</v>
      </c>
      <c r="AI124" s="8"/>
    </row>
    <row r="125" spans="1:35" x14ac:dyDescent="0.2">
      <c r="A125" s="1462">
        <f t="shared" si="73"/>
        <v>115</v>
      </c>
      <c r="B125" s="631" t="s">
        <v>482</v>
      </c>
      <c r="C125" s="1185">
        <f>_xlfn.XLOOKUP(B125,Códigos!$B$8:$B$406,Códigos!$A$8:$A$406,"Verificar",0)</f>
        <v>195</v>
      </c>
      <c r="D125" s="1114">
        <f>_xlfn.XLOOKUP(B125,'Consolidado Cobros'!$B$10:$B$312,'Consolidado Cobros'!$C$10:$C$312,"Verificar",0)</f>
        <v>1037606586</v>
      </c>
      <c r="E125" s="1186">
        <f t="shared" si="77"/>
        <v>1</v>
      </c>
      <c r="F125" s="1463">
        <f t="shared" si="63"/>
        <v>500000</v>
      </c>
      <c r="G125" s="1098"/>
      <c r="H125" s="1099"/>
      <c r="I125" s="1100"/>
      <c r="J125" s="1099"/>
      <c r="K125" s="1099"/>
      <c r="L125" s="1100"/>
      <c r="M125" s="1101"/>
      <c r="N125" s="1706"/>
      <c r="O125" s="8"/>
      <c r="P125" s="239" t="s">
        <v>318</v>
      </c>
      <c r="Q125" s="119">
        <f>ROUND(IF(P125="SI",SUMIF('C de C año anterior'!$B$8:$B$229,B125,'C de C año anterior'!$Q$8:$Q$229)*(100%+$Q$5),0),-3)+ROUND(IF(P125="SI",SUMIF('Facturas año anterior'!$B$8:$B$86,B125,'Facturas año anterior'!$V$8:$V$86)*(100%+$AA$5),0),-3)</f>
        <v>495000</v>
      </c>
      <c r="R125" s="239"/>
      <c r="S125" s="114">
        <f t="shared" si="65"/>
        <v>0</v>
      </c>
      <c r="T125" s="240"/>
      <c r="U125" s="115">
        <f t="shared" si="66"/>
        <v>0</v>
      </c>
      <c r="V125" s="884"/>
      <c r="W125" s="874">
        <f t="shared" si="67"/>
        <v>0</v>
      </c>
      <c r="X125" s="884"/>
      <c r="Y125" s="874">
        <f t="shared" si="68"/>
        <v>0</v>
      </c>
      <c r="Z125" s="241"/>
      <c r="AA125" s="116">
        <f t="shared" si="69"/>
        <v>0</v>
      </c>
      <c r="AB125" s="239"/>
      <c r="AC125" s="116">
        <f t="shared" si="70"/>
        <v>0</v>
      </c>
      <c r="AD125" s="242"/>
      <c r="AE125" s="117">
        <f t="shared" si="71"/>
        <v>0</v>
      </c>
      <c r="AF125" s="1228">
        <f>SUMIF('Otras Asesorías y Préstamos'!$B$7:$B$242,B125,'Otras Asesorías y Préstamos'!$F$7:$F$242)</f>
        <v>0</v>
      </c>
      <c r="AG125" s="1228">
        <f>SUMIF('Otras Asesorías y Préstamos'!$B$7:$B$242,B125,'Otras Asesorías y Préstamos'!$V$7:$V$242)</f>
        <v>0</v>
      </c>
      <c r="AH125" s="1229">
        <f t="shared" si="72"/>
        <v>500000</v>
      </c>
      <c r="AI125" s="8"/>
    </row>
    <row r="126" spans="1:35" x14ac:dyDescent="0.2">
      <c r="A126" s="1462">
        <f t="shared" si="73"/>
        <v>116</v>
      </c>
      <c r="B126" s="1201" t="s">
        <v>474</v>
      </c>
      <c r="C126" s="1185">
        <f>_xlfn.XLOOKUP(B126,Códigos!$B$8:$B$406,Códigos!$A$8:$A$406,"Verificar",0)</f>
        <v>170</v>
      </c>
      <c r="D126" s="1114">
        <f>_xlfn.XLOOKUP(B126,'Consolidado Cobros'!$B$10:$B$312,'Consolidado Cobros'!$C$10:$C$312,"Verificar",0)</f>
        <v>32459508</v>
      </c>
      <c r="E126" s="1186">
        <f t="shared" si="77"/>
        <v>7</v>
      </c>
      <c r="F126" s="1463">
        <f t="shared" si="63"/>
        <v>410000</v>
      </c>
      <c r="G126" s="1098"/>
      <c r="H126" s="1099"/>
      <c r="I126" s="1100"/>
      <c r="J126" s="1099"/>
      <c r="K126" s="1099"/>
      <c r="L126" s="1100"/>
      <c r="M126" s="1101"/>
      <c r="N126" s="1706"/>
      <c r="O126" s="8"/>
      <c r="P126" s="239" t="s">
        <v>318</v>
      </c>
      <c r="Q126" s="119">
        <f>ROUND(IF(P126="SI",SUMIF('C de C año anterior'!$B$8:$B$229,B126,'C de C año anterior'!$Q$8:$Q$229)*(100%+$Q$5),0),-3)+ROUND(IF(P126="SI",SUMIF('Facturas año anterior'!$B$8:$B$86,B126,'Facturas año anterior'!$V$8:$V$86)*(100%+$AA$5),0),-3)</f>
        <v>411000</v>
      </c>
      <c r="R126" s="239"/>
      <c r="S126" s="114">
        <f t="shared" si="65"/>
        <v>0</v>
      </c>
      <c r="T126" s="240"/>
      <c r="U126" s="115">
        <f t="shared" si="66"/>
        <v>0</v>
      </c>
      <c r="V126" s="884"/>
      <c r="W126" s="874">
        <f t="shared" si="67"/>
        <v>0</v>
      </c>
      <c r="X126" s="884"/>
      <c r="Y126" s="874">
        <f t="shared" si="68"/>
        <v>0</v>
      </c>
      <c r="Z126" s="241"/>
      <c r="AA126" s="116">
        <f t="shared" si="69"/>
        <v>0</v>
      </c>
      <c r="AB126" s="239"/>
      <c r="AC126" s="116">
        <f t="shared" si="70"/>
        <v>0</v>
      </c>
      <c r="AD126" s="242"/>
      <c r="AE126" s="117">
        <f t="shared" si="71"/>
        <v>0</v>
      </c>
      <c r="AF126" s="1228">
        <f>SUMIF('Otras Asesorías y Préstamos'!$B$7:$B$242,B126,'Otras Asesorías y Préstamos'!$F$7:$F$242)</f>
        <v>0</v>
      </c>
      <c r="AG126" s="1228">
        <f>SUMIF('Otras Asesorías y Préstamos'!$B$7:$B$242,B126,'Otras Asesorías y Préstamos'!$V$7:$V$242)</f>
        <v>0</v>
      </c>
      <c r="AH126" s="1229">
        <f t="shared" si="72"/>
        <v>410000</v>
      </c>
      <c r="AI126" s="8"/>
    </row>
    <row r="127" spans="1:35" x14ac:dyDescent="0.2">
      <c r="A127" s="1462">
        <f t="shared" si="73"/>
        <v>117</v>
      </c>
      <c r="B127" s="1097" t="s">
        <v>105</v>
      </c>
      <c r="C127" s="1185">
        <f>_xlfn.XLOOKUP(B127,Códigos!$B$8:$B$406,Códigos!$A$8:$A$406,"Verificar",0)</f>
        <v>142</v>
      </c>
      <c r="D127" s="1114">
        <f>_xlfn.XLOOKUP(B127,'Consolidado Cobros'!$B$10:$B$312,'Consolidado Cobros'!$C$10:$C$312,"Verificar",0)</f>
        <v>3305848</v>
      </c>
      <c r="E127" s="1186">
        <f t="shared" si="77"/>
        <v>1</v>
      </c>
      <c r="F127" s="1463">
        <f t="shared" si="63"/>
        <v>1000000</v>
      </c>
      <c r="G127" s="1098"/>
      <c r="H127" s="1099"/>
      <c r="I127" s="1100"/>
      <c r="J127" s="1099"/>
      <c r="K127" s="1099"/>
      <c r="L127" s="1100"/>
      <c r="M127" s="1101"/>
      <c r="N127" s="1706"/>
      <c r="O127" s="8"/>
      <c r="P127" s="239" t="s">
        <v>318</v>
      </c>
      <c r="Q127" s="119">
        <f>ROUND(IF(P127="SI",SUMIF('C de C año anterior'!$B$8:$B$229,B127,'C de C año anterior'!$Q$8:$Q$229)*(100%+$Q$5),0),-3)+ROUND(IF(P127="SI",SUMIF('Facturas año anterior'!$B$8:$B$86,B127,'Facturas año anterior'!$V$8:$V$86)*(100%+$AA$5),0),-3)</f>
        <v>1002000</v>
      </c>
      <c r="R127" s="239"/>
      <c r="S127" s="114">
        <f t="shared" si="65"/>
        <v>0</v>
      </c>
      <c r="T127" s="240"/>
      <c r="U127" s="115">
        <f t="shared" si="66"/>
        <v>0</v>
      </c>
      <c r="V127" s="884"/>
      <c r="W127" s="874">
        <f t="shared" si="67"/>
        <v>0</v>
      </c>
      <c r="X127" s="884"/>
      <c r="Y127" s="874">
        <f t="shared" si="68"/>
        <v>0</v>
      </c>
      <c r="Z127" s="241"/>
      <c r="AA127" s="116">
        <f t="shared" si="69"/>
        <v>0</v>
      </c>
      <c r="AB127" s="239"/>
      <c r="AC127" s="116">
        <f t="shared" si="70"/>
        <v>0</v>
      </c>
      <c r="AD127" s="242"/>
      <c r="AE127" s="117">
        <f t="shared" si="71"/>
        <v>0</v>
      </c>
      <c r="AF127" s="1228">
        <f>SUMIF('Otras Asesorías y Préstamos'!$B$7:$B$242,B127,'Otras Asesorías y Préstamos'!$F$7:$F$242)</f>
        <v>0</v>
      </c>
      <c r="AG127" s="1228">
        <f>SUMIF('Otras Asesorías y Préstamos'!$B$7:$B$242,B127,'Otras Asesorías y Préstamos'!$V$7:$V$242)</f>
        <v>0</v>
      </c>
      <c r="AH127" s="1229">
        <f t="shared" si="72"/>
        <v>1000000</v>
      </c>
      <c r="AI127" s="8"/>
    </row>
    <row r="128" spans="1:35" x14ac:dyDescent="0.2">
      <c r="A128" s="1462">
        <f t="shared" si="73"/>
        <v>118</v>
      </c>
      <c r="B128" s="1097" t="s">
        <v>106</v>
      </c>
      <c r="C128" s="1185">
        <f>_xlfn.XLOOKUP(B128,Códigos!$B$8:$B$406,Códigos!$A$8:$A$406,"Verificar",0)</f>
        <v>143</v>
      </c>
      <c r="D128" s="1114">
        <f>_xlfn.XLOOKUP(B128,'Consolidado Cobros'!$B$10:$B$312,'Consolidado Cobros'!$C$10:$C$312,"Verificar",0)</f>
        <v>98581002</v>
      </c>
      <c r="E128" s="1186">
        <f t="shared" ref="E128:E170" si="97">IF((MOD((VALUE(MID(TEXT(D128,"000000000000000"),15,1))*3+VALUE(MID(TEXT(D128,"000000000000000"),14,1))*7+VALUE(MID(TEXT(D128,"000000000000000"),13,1))*13+VALUE(MID(TEXT(D128,"000000000000000"),12,1))*17+VALUE(MID(TEXT(D128,"000000000000000"),11,1))*19+VALUE(MID(TEXT(D128,"000000000000000"),10,1))*23+VALUE(MID(TEXT(D128,"000000000000000"),9,1))*29+VALUE(MID(TEXT(D128,"000000000000000"),8,1))*37+VALUE(MID(TEXT(D128,"000000000000000"),7,1))*41+VALUE(MID(TEXT(D128,"000000000000000"),6,1))*43+VALUE(MID(TEXT(D128,"000000000000000"),5,1))*47+VALUE(MID(TEXT(D128,"000000000000000"),4,1))*53+VALUE(MID(TEXT(D128,"000000000000000"),3,1))*59+VALUE(MID(TEXT(D128,"000000000000000"),2,1))*67+VALUE(MID(TEXT(D128,"000000000000000"),1,1))*71),11))=0,0,IF((MOD((VALUE(MID(TEXT(D128,"000000000000000"),15,1))*3+VALUE(MID(TEXT(D128,"000000000000000"),14,1))*7+VALUE(MID(TEXT(D128,"000000000000000"),13,1))*13+VALUE(MID(TEXT(D128,"000000000000000"),12,1))*17+VALUE(MID(TEXT(D128,"000000000000000"),11,1))*19+VALUE(MID(TEXT(D128,"000000000000000"),10,1))*23+VALUE(MID(TEXT(D128,"000000000000000"),9,1))*29+VALUE(MID(TEXT(D128,"000000000000000"),8,1))*37+VALUE(MID(TEXT(D128,"000000000000000"),7,1))*41+VALUE(MID(TEXT(D128,"000000000000000"),6,1))*43+VALUE(MID(TEXT(D128,"000000000000000"),5,1))*47+VALUE(MID(TEXT(D128,"000000000000000"),4,1))*53+VALUE(MID(TEXT(D128,"000000000000000"),3,1))*59+VALUE(MID(TEXT(D128,"000000000000000"),2,1))*67+VALUE(MID(TEXT(D128,"000000000000000"),1,1))*71),11))=1,1,11-(MOD((VALUE(MID(TEXT(D128,"000000000000000"),15,1))*3+VALUE(MID(TEXT(D128,"000000000000000"),14,1))*7+VALUE(MID(TEXT(D128,"000000000000000"),13,1))*13+VALUE(MID(TEXT(D128,"000000000000000"),12,1))*17+VALUE(MID(TEXT(D128,"000000000000000"),11,1))*19+VALUE(MID(TEXT(D128,"000000000000000"),10,1))*23+VALUE(MID(TEXT(D128,"000000000000000"),9,1))*29+VALUE(MID(TEXT(D128,"000000000000000"),8,1))*37+VALUE(MID(TEXT(D128,"000000000000000"),7,1))*41+VALUE(MID(TEXT(D128,"000000000000000"),6,1))*43+VALUE(MID(TEXT(D128,"000000000000000"),5,1))*47+VALUE(MID(TEXT(D128,"000000000000000"),4,1))*53+VALUE(MID(TEXT(D128,"000000000000000"),3,1))*59+VALUE(MID(TEXT(D128,"000000000000000"),2,1))*67+VALUE(MID(TEXT(D128,"000000000000000"),1,1))*71),11))))</f>
        <v>3</v>
      </c>
      <c r="F128" s="1463">
        <f t="shared" si="63"/>
        <v>1410000</v>
      </c>
      <c r="G128" s="1362"/>
      <c r="H128" s="1099"/>
      <c r="I128" s="1100"/>
      <c r="J128" s="1099"/>
      <c r="K128" s="1099"/>
      <c r="L128" s="1100"/>
      <c r="M128" s="1101"/>
      <c r="N128" s="1706"/>
      <c r="O128" s="8"/>
      <c r="P128" s="239" t="s">
        <v>318</v>
      </c>
      <c r="Q128" s="119">
        <f>ROUND(IF(P128="SI",SUMIF('C de C año anterior'!$B$8:$B$229,B128,'C de C año anterior'!$Q$8:$Q$229)*(100%+$Q$5),0),-3)+ROUND(IF(P128="SI",SUMIF('Facturas año anterior'!$B$8:$B$86,B128,'Facturas año anterior'!$V$8:$V$86)*(100%+$AA$5),0),-3)</f>
        <v>808000</v>
      </c>
      <c r="R128" s="239"/>
      <c r="S128" s="114">
        <f t="shared" si="65"/>
        <v>0</v>
      </c>
      <c r="T128" s="240" t="s">
        <v>318</v>
      </c>
      <c r="U128" s="115">
        <f t="shared" si="66"/>
        <v>606000</v>
      </c>
      <c r="V128" s="884"/>
      <c r="W128" s="874">
        <f t="shared" si="67"/>
        <v>0</v>
      </c>
      <c r="X128" s="884"/>
      <c r="Y128" s="874">
        <f t="shared" si="68"/>
        <v>0</v>
      </c>
      <c r="Z128" s="241"/>
      <c r="AA128" s="116">
        <f t="shared" si="69"/>
        <v>0</v>
      </c>
      <c r="AB128" s="239"/>
      <c r="AC128" s="116">
        <f t="shared" si="70"/>
        <v>0</v>
      </c>
      <c r="AD128" s="242"/>
      <c r="AE128" s="117">
        <f t="shared" si="71"/>
        <v>0</v>
      </c>
      <c r="AF128" s="1228">
        <f>SUMIF('Otras Asesorías y Préstamos'!$B$7:$B$242,B128,'Otras Asesorías y Préstamos'!$F$7:$F$242)</f>
        <v>0</v>
      </c>
      <c r="AG128" s="1228">
        <f>SUMIF('Otras Asesorías y Préstamos'!$B$7:$B$242,B128,'Otras Asesorías y Préstamos'!$V$7:$V$242)</f>
        <v>0</v>
      </c>
      <c r="AH128" s="1229">
        <f t="shared" si="72"/>
        <v>1410000</v>
      </c>
      <c r="AI128" s="8"/>
    </row>
    <row r="129" spans="1:35" x14ac:dyDescent="0.2">
      <c r="A129" s="1462">
        <f t="shared" si="73"/>
        <v>119</v>
      </c>
      <c r="B129" s="1097" t="s">
        <v>107</v>
      </c>
      <c r="C129" s="1185">
        <f>_xlfn.XLOOKUP(B129,Códigos!$B$8:$B$406,Códigos!$A$8:$A$406,"Verificar",0)</f>
        <v>144</v>
      </c>
      <c r="D129" s="1114">
        <f>_xlfn.XLOOKUP(B129,'Consolidado Cobros'!$B$10:$B$312,'Consolidado Cobros'!$C$10:$C$312,"Verificar",0)</f>
        <v>43075419</v>
      </c>
      <c r="E129" s="1186">
        <f t="shared" si="97"/>
        <v>0</v>
      </c>
      <c r="F129" s="1463">
        <f t="shared" ref="F129" si="98">+AH129</f>
        <v>470000</v>
      </c>
      <c r="G129" s="1098"/>
      <c r="H129" s="1099"/>
      <c r="I129" s="1100"/>
      <c r="J129" s="1099"/>
      <c r="K129" s="1099"/>
      <c r="L129" s="1100"/>
      <c r="M129" s="1101"/>
      <c r="N129" s="1706"/>
      <c r="O129" s="8"/>
      <c r="P129" s="239" t="s">
        <v>318</v>
      </c>
      <c r="Q129" s="119">
        <f>ROUND(IF(P129="SI",SUMIF('C de C año anterior'!$B$8:$B$229,B129,'C de C año anterior'!$Q$8:$Q$229)*(100%+$Q$5),0),-3)+ROUND(IF(P129="SI",SUMIF('Facturas año anterior'!$B$8:$B$86,B129,'Facturas año anterior'!$V$8:$V$86)*(100%+$AA$5),0),-3)</f>
        <v>471000</v>
      </c>
      <c r="R129" s="239"/>
      <c r="S129" s="114">
        <f t="shared" si="65"/>
        <v>0</v>
      </c>
      <c r="T129" s="240"/>
      <c r="U129" s="115">
        <f t="shared" si="66"/>
        <v>0</v>
      </c>
      <c r="V129" s="884"/>
      <c r="W129" s="874">
        <f t="shared" si="67"/>
        <v>0</v>
      </c>
      <c r="X129" s="884"/>
      <c r="Y129" s="874">
        <f t="shared" si="68"/>
        <v>0</v>
      </c>
      <c r="Z129" s="241"/>
      <c r="AA129" s="116">
        <f t="shared" si="69"/>
        <v>0</v>
      </c>
      <c r="AB129" s="239"/>
      <c r="AC129" s="116">
        <f t="shared" si="70"/>
        <v>0</v>
      </c>
      <c r="AD129" s="242"/>
      <c r="AE129" s="117">
        <f t="shared" si="71"/>
        <v>0</v>
      </c>
      <c r="AF129" s="1228">
        <f>SUMIF('Otras Asesorías y Préstamos'!$B$7:$B$242,B129,'Otras Asesorías y Préstamos'!$F$7:$F$242)</f>
        <v>0</v>
      </c>
      <c r="AG129" s="1228">
        <f>SUMIF('Otras Asesorías y Préstamos'!$B$7:$B$242,B129,'Otras Asesorías y Préstamos'!$V$7:$V$242)</f>
        <v>0</v>
      </c>
      <c r="AH129" s="1229">
        <f t="shared" si="72"/>
        <v>470000</v>
      </c>
      <c r="AI129" s="8"/>
    </row>
    <row r="130" spans="1:35" x14ac:dyDescent="0.2">
      <c r="A130" s="1462">
        <f t="shared" si="73"/>
        <v>120</v>
      </c>
      <c r="B130" s="1097" t="s">
        <v>109</v>
      </c>
      <c r="C130" s="1185">
        <f>_xlfn.XLOOKUP(B130,Códigos!$B$8:$B$406,Códigos!$A$8:$A$406,"Verificar",0)</f>
        <v>146</v>
      </c>
      <c r="D130" s="1114">
        <f>_xlfn.XLOOKUP(B130,'Consolidado Cobros'!$B$10:$B$312,'Consolidado Cobros'!$C$10:$C$312,"Verificar",0)</f>
        <v>549095</v>
      </c>
      <c r="E130" s="1186">
        <f t="shared" si="97"/>
        <v>7</v>
      </c>
      <c r="F130" s="1463">
        <f t="shared" ref="F130:F171" si="99">+AH130</f>
        <v>0</v>
      </c>
      <c r="G130" s="1098"/>
      <c r="H130" s="1867"/>
      <c r="I130" s="1100"/>
      <c r="J130" s="1099"/>
      <c r="K130" s="1099"/>
      <c r="L130" s="1100"/>
      <c r="M130" s="1101"/>
      <c r="N130" s="1706"/>
      <c r="O130" s="8"/>
      <c r="P130" s="239" t="s">
        <v>266</v>
      </c>
      <c r="Q130" s="119">
        <f>ROUND(IF(P130="SI",SUMIF('C de C año anterior'!$B$8:$B$229,B130,'C de C año anterior'!$Q$8:$Q$229)*(100%+$Q$5),0),-3)+ROUND(IF(P130="SI",SUMIF('Facturas año anterior'!$B$8:$B$86,B130,'Facturas año anterior'!$V$8:$V$86)*(100%+$AA$5),0),-3)</f>
        <v>0</v>
      </c>
      <c r="R130" s="239"/>
      <c r="S130" s="114">
        <f t="shared" si="65"/>
        <v>0</v>
      </c>
      <c r="T130" s="240"/>
      <c r="U130" s="115">
        <f t="shared" si="66"/>
        <v>0</v>
      </c>
      <c r="V130" s="884"/>
      <c r="W130" s="874">
        <f t="shared" si="67"/>
        <v>0</v>
      </c>
      <c r="X130" s="884"/>
      <c r="Y130" s="874">
        <f t="shared" si="68"/>
        <v>0</v>
      </c>
      <c r="Z130" s="241"/>
      <c r="AA130" s="116">
        <f t="shared" si="69"/>
        <v>0</v>
      </c>
      <c r="AB130" s="239"/>
      <c r="AC130" s="116">
        <f t="shared" si="70"/>
        <v>0</v>
      </c>
      <c r="AD130" s="242"/>
      <c r="AE130" s="117">
        <f t="shared" si="71"/>
        <v>0</v>
      </c>
      <c r="AF130" s="1228">
        <f>SUMIF('Otras Asesorías y Préstamos'!$B$7:$B$242,B130,'Otras Asesorías y Préstamos'!$F$7:$F$242)</f>
        <v>0</v>
      </c>
      <c r="AG130" s="1228">
        <f>SUMIF('Otras Asesorías y Préstamos'!$B$7:$B$242,B130,'Otras Asesorías y Préstamos'!$V$7:$V$242)</f>
        <v>0</v>
      </c>
      <c r="AH130" s="1229">
        <f t="shared" si="72"/>
        <v>0</v>
      </c>
      <c r="AI130" s="8"/>
    </row>
    <row r="131" spans="1:35" x14ac:dyDescent="0.2">
      <c r="A131" s="1462">
        <f t="shared" si="73"/>
        <v>121</v>
      </c>
      <c r="B131" s="1870" t="s">
        <v>110</v>
      </c>
      <c r="C131" s="1185">
        <f>_xlfn.XLOOKUP(B131,Códigos!$B$8:$B$406,Códigos!$A$8:$A$406,"Verificar",0)</f>
        <v>147</v>
      </c>
      <c r="D131" s="1114">
        <f>_xlfn.XLOOKUP(B131,'Consolidado Cobros'!$B$10:$B$312,'Consolidado Cobros'!$C$10:$C$312,"Verificar",0)</f>
        <v>42995829</v>
      </c>
      <c r="E131" s="1186">
        <f t="shared" si="97"/>
        <v>0</v>
      </c>
      <c r="F131" s="1866">
        <f>+AH131-20000</f>
        <v>860000</v>
      </c>
      <c r="G131" s="1098" t="s">
        <v>1139</v>
      </c>
      <c r="H131" s="1099" t="s">
        <v>760</v>
      </c>
      <c r="I131" s="1100">
        <v>46273</v>
      </c>
      <c r="J131" s="1099" t="s">
        <v>839</v>
      </c>
      <c r="K131" s="1099"/>
      <c r="L131" s="1100"/>
      <c r="M131" s="1101"/>
      <c r="N131" s="1706"/>
      <c r="O131" s="8"/>
      <c r="P131" s="239" t="s">
        <v>318</v>
      </c>
      <c r="Q131" s="119">
        <f>ROUND(IF(P131="SI",SUMIF('C de C año anterior'!$B$8:$B$229,B131,'C de C año anterior'!$Q$8:$Q$229)*(100%+$Q$5),0),-3)+ROUND(IF(P131="SI",SUMIF('Facturas año anterior'!$B$8:$B$86,B131,'Facturas año anterior'!$V$8:$V$86)*(100%+$AA$5),0),-3)</f>
        <v>882000</v>
      </c>
      <c r="R131" s="239"/>
      <c r="S131" s="114">
        <f t="shared" si="65"/>
        <v>0</v>
      </c>
      <c r="T131" s="240"/>
      <c r="U131" s="115">
        <f t="shared" si="66"/>
        <v>0</v>
      </c>
      <c r="V131" s="884"/>
      <c r="W131" s="874">
        <f t="shared" si="67"/>
        <v>0</v>
      </c>
      <c r="X131" s="884"/>
      <c r="Y131" s="874">
        <f t="shared" si="68"/>
        <v>0</v>
      </c>
      <c r="Z131" s="241"/>
      <c r="AA131" s="116">
        <f t="shared" si="69"/>
        <v>0</v>
      </c>
      <c r="AB131" s="239"/>
      <c r="AC131" s="116">
        <f t="shared" si="70"/>
        <v>0</v>
      </c>
      <c r="AD131" s="242"/>
      <c r="AE131" s="117">
        <f t="shared" si="71"/>
        <v>0</v>
      </c>
      <c r="AF131" s="1228">
        <f>SUMIF('Otras Asesorías y Préstamos'!$B$7:$B$242,B131,'Otras Asesorías y Préstamos'!$F$7:$F$242)</f>
        <v>0</v>
      </c>
      <c r="AG131" s="1228">
        <f>SUMIF('Otras Asesorías y Préstamos'!$B$7:$B$242,B131,'Otras Asesorías y Préstamos'!$V$7:$V$242)</f>
        <v>0</v>
      </c>
      <c r="AH131" s="1229">
        <f t="shared" si="72"/>
        <v>880000</v>
      </c>
      <c r="AI131" s="8"/>
    </row>
    <row r="132" spans="1:35" x14ac:dyDescent="0.2">
      <c r="A132" s="1462">
        <f t="shared" si="73"/>
        <v>122</v>
      </c>
      <c r="B132" s="1097" t="s">
        <v>244</v>
      </c>
      <c r="C132" s="1185">
        <f>_xlfn.XLOOKUP(B132,Códigos!$B$8:$B$406,Códigos!$A$8:$A$406,"Verificar",0)</f>
        <v>320</v>
      </c>
      <c r="D132" s="1114">
        <f>_xlfn.XLOOKUP(B132,'Consolidado Cobros'!$B$10:$B$312,'Consolidado Cobros'!$C$10:$C$312,"Verificar",0)</f>
        <v>33069779</v>
      </c>
      <c r="E132" s="1186">
        <f t="shared" si="97"/>
        <v>6</v>
      </c>
      <c r="F132" s="1463">
        <f t="shared" si="99"/>
        <v>360000</v>
      </c>
      <c r="G132" s="1098"/>
      <c r="H132" s="1099"/>
      <c r="I132" s="1100"/>
      <c r="J132" s="1099"/>
      <c r="K132" s="1099"/>
      <c r="L132" s="1262"/>
      <c r="M132" s="1101"/>
      <c r="N132" s="1706"/>
      <c r="O132" s="8"/>
      <c r="P132" s="239" t="s">
        <v>318</v>
      </c>
      <c r="Q132" s="119">
        <f>ROUND(IF(P132="SI",SUMIF('C de C año anterior'!$B$8:$B$229,B132,'C de C año anterior'!$Q$8:$Q$229)*(100%+$Q$5),0),-3)+ROUND(IF(P132="SI",SUMIF('Facturas año anterior'!$B$8:$B$86,B132,'Facturas año anterior'!$V$8:$V$86)*(100%+$AA$5),0),-3)</f>
        <v>363000</v>
      </c>
      <c r="R132" s="239"/>
      <c r="S132" s="114">
        <f t="shared" si="65"/>
        <v>0</v>
      </c>
      <c r="T132" s="240"/>
      <c r="U132" s="115">
        <f t="shared" si="66"/>
        <v>0</v>
      </c>
      <c r="V132" s="884"/>
      <c r="W132" s="874">
        <f t="shared" si="67"/>
        <v>0</v>
      </c>
      <c r="X132" s="884"/>
      <c r="Y132" s="874">
        <f t="shared" si="68"/>
        <v>0</v>
      </c>
      <c r="Z132" s="241"/>
      <c r="AA132" s="116">
        <f t="shared" si="69"/>
        <v>0</v>
      </c>
      <c r="AB132" s="239"/>
      <c r="AC132" s="116">
        <f t="shared" si="70"/>
        <v>0</v>
      </c>
      <c r="AD132" s="242"/>
      <c r="AE132" s="117">
        <f t="shared" si="71"/>
        <v>0</v>
      </c>
      <c r="AF132" s="1228">
        <f>SUMIF('Otras Asesorías y Préstamos'!$B$7:$B$242,B132,'Otras Asesorías y Préstamos'!$F$7:$F$242)</f>
        <v>0</v>
      </c>
      <c r="AG132" s="1228">
        <f>SUMIF('Otras Asesorías y Préstamos'!$B$7:$B$242,B132,'Otras Asesorías y Préstamos'!$V$7:$V$242)</f>
        <v>0</v>
      </c>
      <c r="AH132" s="1229">
        <f t="shared" si="72"/>
        <v>360000</v>
      </c>
      <c r="AI132" s="8"/>
    </row>
    <row r="133" spans="1:35" x14ac:dyDescent="0.2">
      <c r="A133" s="1462">
        <f t="shared" si="73"/>
        <v>123</v>
      </c>
      <c r="B133" s="1097" t="s">
        <v>312</v>
      </c>
      <c r="C133" s="1185">
        <f>_xlfn.XLOOKUP(B133,Códigos!$B$8:$B$406,Códigos!$A$8:$A$406,"Verificar",0)</f>
        <v>93</v>
      </c>
      <c r="D133" s="1114">
        <f>_xlfn.XLOOKUP(B133,'Consolidado Cobros'!$B$10:$B$312,'Consolidado Cobros'!$C$10:$C$312,"Verificar",0)</f>
        <v>43865562</v>
      </c>
      <c r="E133" s="1186">
        <f t="shared" si="97"/>
        <v>6</v>
      </c>
      <c r="F133" s="1463">
        <f t="shared" si="99"/>
        <v>120000</v>
      </c>
      <c r="G133" s="1098"/>
      <c r="H133" s="1099"/>
      <c r="I133" s="1100"/>
      <c r="J133" s="1099"/>
      <c r="K133" s="1099"/>
      <c r="L133" s="1100"/>
      <c r="M133" s="1101"/>
      <c r="N133" s="1706"/>
      <c r="O133" s="8"/>
      <c r="P133" s="239" t="s">
        <v>318</v>
      </c>
      <c r="Q133" s="119">
        <f>ROUND(IF(P133="SI",SUMIF('C de C año anterior'!$B$8:$B$229,B133,'C de C año anterior'!$Q$8:$Q$229)*(100%+$Q$5),0),-3)+ROUND(IF(P133="SI",SUMIF('Facturas año anterior'!$B$8:$B$86,B133,'Facturas año anterior'!$V$8:$V$86)*(100%+$AA$5),0),-3)</f>
        <v>121000</v>
      </c>
      <c r="R133" s="239"/>
      <c r="S133" s="114">
        <f t="shared" si="65"/>
        <v>0</v>
      </c>
      <c r="T133" s="240"/>
      <c r="U133" s="115">
        <f t="shared" si="66"/>
        <v>0</v>
      </c>
      <c r="V133" s="884"/>
      <c r="W133" s="874">
        <f t="shared" si="67"/>
        <v>0</v>
      </c>
      <c r="X133" s="884"/>
      <c r="Y133" s="874">
        <f t="shared" si="68"/>
        <v>0</v>
      </c>
      <c r="Z133" s="241"/>
      <c r="AA133" s="116">
        <f t="shared" si="69"/>
        <v>0</v>
      </c>
      <c r="AB133" s="239"/>
      <c r="AC133" s="116">
        <f t="shared" si="70"/>
        <v>0</v>
      </c>
      <c r="AD133" s="242"/>
      <c r="AE133" s="117">
        <f t="shared" si="71"/>
        <v>0</v>
      </c>
      <c r="AF133" s="1228">
        <f>SUMIF('Otras Asesorías y Préstamos'!$B$7:$B$242,B133,'Otras Asesorías y Préstamos'!$F$7:$F$242)</f>
        <v>0</v>
      </c>
      <c r="AG133" s="1228">
        <f>SUMIF('Otras Asesorías y Préstamos'!$B$7:$B$242,B133,'Otras Asesorías y Préstamos'!$V$7:$V$242)</f>
        <v>0</v>
      </c>
      <c r="AH133" s="1229">
        <f t="shared" si="72"/>
        <v>120000</v>
      </c>
      <c r="AI133" s="8"/>
    </row>
    <row r="134" spans="1:35" x14ac:dyDescent="0.2">
      <c r="A134" s="1462">
        <f t="shared" si="73"/>
        <v>124</v>
      </c>
      <c r="B134" s="1097" t="s">
        <v>111</v>
      </c>
      <c r="C134" s="1185">
        <f>_xlfn.XLOOKUP(B134,Códigos!$B$8:$B$406,Códigos!$A$8:$A$406,"Verificar",0)</f>
        <v>149</v>
      </c>
      <c r="D134" s="1114">
        <f>_xlfn.XLOOKUP(B134,'Consolidado Cobros'!$B$10:$B$312,'Consolidado Cobros'!$C$10:$C$312,"Verificar",0)</f>
        <v>43152033</v>
      </c>
      <c r="E134" s="1186">
        <f t="shared" si="97"/>
        <v>1</v>
      </c>
      <c r="F134" s="1463">
        <f t="shared" si="99"/>
        <v>720000</v>
      </c>
      <c r="G134" s="1098"/>
      <c r="H134" s="1099"/>
      <c r="I134" s="1100"/>
      <c r="J134" s="1099"/>
      <c r="K134" s="1099"/>
      <c r="L134" s="1100"/>
      <c r="M134" s="1101"/>
      <c r="N134" s="1706"/>
      <c r="O134" s="8"/>
      <c r="P134" s="239" t="s">
        <v>318</v>
      </c>
      <c r="Q134" s="119">
        <f>ROUND(IF(P134="SI",SUMIF('C de C año anterior'!$B$8:$B$229,B134,'C de C año anterior'!$Q$8:$Q$229)*(100%+$Q$5),0),-3)+ROUND(IF(P134="SI",SUMIF('Facturas año anterior'!$B$8:$B$86,B134,'Facturas año anterior'!$V$8:$V$86)*(100%+$AA$5),0),-3)</f>
        <v>724000</v>
      </c>
      <c r="R134" s="239"/>
      <c r="S134" s="114">
        <f t="shared" ref="S134:S188" si="100">ROUND(IF(R134="SI",Q134*$S$5,0),-3)</f>
        <v>0</v>
      </c>
      <c r="T134" s="240"/>
      <c r="U134" s="115">
        <f t="shared" ref="U134:U188" si="101">ROUND(IF(T134="SI",Q134*$U$5,0),-3)</f>
        <v>0</v>
      </c>
      <c r="V134" s="884"/>
      <c r="W134" s="874">
        <f t="shared" ref="W134:W188" si="102">ROUND(IF(V134="SI",Q134*$W$5,0),-3)</f>
        <v>0</v>
      </c>
      <c r="X134" s="884"/>
      <c r="Y134" s="874">
        <f t="shared" ref="Y134:Y188" si="103">ROUND(IF(X134="SI",Q134*$Y$5,0),-3)</f>
        <v>0</v>
      </c>
      <c r="Z134" s="241"/>
      <c r="AA134" s="116">
        <f t="shared" ref="AA134:AA188" si="104">ROUND(IF(Z134="SI",Q134*$AA$5,0),-3)</f>
        <v>0</v>
      </c>
      <c r="AB134" s="239"/>
      <c r="AC134" s="116">
        <f t="shared" ref="AC134:AC188" si="105">ROUND(IF(AB134="SI",Q134*$AC$5,0),-3)</f>
        <v>0</v>
      </c>
      <c r="AD134" s="242"/>
      <c r="AE134" s="117">
        <f t="shared" ref="AE134:AE188" si="106">IF(AD134="SI",Q134*$AE$5,0)</f>
        <v>0</v>
      </c>
      <c r="AF134" s="1228">
        <f>SUMIF('Otras Asesorías y Préstamos'!$B$7:$B$242,B134,'Otras Asesorías y Préstamos'!$F$7:$F$242)</f>
        <v>0</v>
      </c>
      <c r="AG134" s="1228">
        <f>SUMIF('Otras Asesorías y Préstamos'!$B$7:$B$242,B134,'Otras Asesorías y Préstamos'!$V$7:$V$242)</f>
        <v>0</v>
      </c>
      <c r="AH134" s="1229">
        <f t="shared" ref="AH134:AH188" si="107">ROUND(SUM(Q134:AG134),-4)</f>
        <v>720000</v>
      </c>
      <c r="AI134" s="8"/>
    </row>
    <row r="135" spans="1:35" x14ac:dyDescent="0.2">
      <c r="A135" s="1462">
        <f t="shared" si="73"/>
        <v>125</v>
      </c>
      <c r="B135" s="1097" t="s">
        <v>112</v>
      </c>
      <c r="C135" s="1185">
        <f>_xlfn.XLOOKUP(B135,Códigos!$B$8:$B$406,Códigos!$A$8:$A$406,"Verificar",0)</f>
        <v>265</v>
      </c>
      <c r="D135" s="1114">
        <f>_xlfn.XLOOKUP(B135,'Consolidado Cobros'!$B$10:$B$312,'Consolidado Cobros'!$C$10:$C$312,"Verificar",0)</f>
        <v>42975259</v>
      </c>
      <c r="E135" s="1186">
        <f t="shared" si="97"/>
        <v>7</v>
      </c>
      <c r="F135" s="1463">
        <f t="shared" si="99"/>
        <v>390000</v>
      </c>
      <c r="G135" s="1098"/>
      <c r="H135" s="1099"/>
      <c r="I135" s="1100"/>
      <c r="J135" s="1099"/>
      <c r="K135" s="1099"/>
      <c r="L135" s="1100"/>
      <c r="M135" s="1101"/>
      <c r="N135" s="1706"/>
      <c r="O135" s="8"/>
      <c r="P135" s="239" t="s">
        <v>318</v>
      </c>
      <c r="Q135" s="119">
        <f>ROUND(IF(P135="SI",SUMIF('C de C año anterior'!$B$8:$B$229,B135,'C de C año anterior'!$Q$8:$Q$229)*(100%+$Q$5),0),-3)+ROUND(IF(P135="SI",SUMIF('Facturas año anterior'!$B$8:$B$86,B135,'Facturas año anterior'!$V$8:$V$86)*(100%+$AA$5),0),-3)</f>
        <v>387000</v>
      </c>
      <c r="R135" s="239"/>
      <c r="S135" s="114">
        <f t="shared" si="100"/>
        <v>0</v>
      </c>
      <c r="T135" s="240"/>
      <c r="U135" s="115">
        <f t="shared" si="101"/>
        <v>0</v>
      </c>
      <c r="V135" s="884"/>
      <c r="W135" s="874">
        <f t="shared" si="102"/>
        <v>0</v>
      </c>
      <c r="X135" s="884"/>
      <c r="Y135" s="874">
        <f t="shared" si="103"/>
        <v>0</v>
      </c>
      <c r="Z135" s="241"/>
      <c r="AA135" s="116">
        <f t="shared" si="104"/>
        <v>0</v>
      </c>
      <c r="AB135" s="239"/>
      <c r="AC135" s="116">
        <f t="shared" si="105"/>
        <v>0</v>
      </c>
      <c r="AD135" s="242"/>
      <c r="AE135" s="117">
        <f t="shared" si="106"/>
        <v>0</v>
      </c>
      <c r="AF135" s="1228">
        <f>SUMIF('Otras Asesorías y Préstamos'!$B$7:$B$242,B135,'Otras Asesorías y Préstamos'!$F$7:$F$242)</f>
        <v>0</v>
      </c>
      <c r="AG135" s="1228">
        <f>SUMIF('Otras Asesorías y Préstamos'!$B$7:$B$242,B135,'Otras Asesorías y Préstamos'!$V$7:$V$242)</f>
        <v>0</v>
      </c>
      <c r="AH135" s="1229">
        <f t="shared" si="107"/>
        <v>390000</v>
      </c>
      <c r="AI135" s="8"/>
    </row>
    <row r="136" spans="1:35" x14ac:dyDescent="0.2">
      <c r="A136" s="1462">
        <f t="shared" si="73"/>
        <v>126</v>
      </c>
      <c r="B136" s="1097" t="s">
        <v>113</v>
      </c>
      <c r="C136" s="1185">
        <f>_xlfn.XLOOKUP(B136,Códigos!$B$8:$B$406,Códigos!$A$8:$A$406,"Verificar",0)</f>
        <v>151</v>
      </c>
      <c r="D136" s="1114">
        <f>_xlfn.XLOOKUP(B136,'Consolidado Cobros'!$B$10:$B$312,'Consolidado Cobros'!$C$10:$C$312,"Verificar",0)</f>
        <v>32439160</v>
      </c>
      <c r="E136" s="1186">
        <f t="shared" si="97"/>
        <v>2</v>
      </c>
      <c r="F136" s="1463">
        <f t="shared" si="99"/>
        <v>3860000</v>
      </c>
      <c r="G136" s="1098"/>
      <c r="H136" s="1099"/>
      <c r="I136" s="1100"/>
      <c r="J136" s="1099"/>
      <c r="K136" s="1099"/>
      <c r="L136" s="1100"/>
      <c r="M136" s="1101"/>
      <c r="N136" s="1706"/>
      <c r="O136" s="8"/>
      <c r="P136" s="239" t="s">
        <v>318</v>
      </c>
      <c r="Q136" s="119">
        <f>ROUND(IF(P136="SI",SUMIF('C de C año anterior'!$B$8:$B$229,B136,'C de C año anterior'!$Q$8:$Q$229)*(100%+$Q$5),0),-3)+ROUND(IF(P136="SI",SUMIF('Facturas año anterior'!$B$8:$B$86,B136,'Facturas año anterior'!$V$8:$V$86)*(100%+$AA$5),0),-3)</f>
        <v>2143000</v>
      </c>
      <c r="R136" s="239" t="s">
        <v>318</v>
      </c>
      <c r="S136" s="114">
        <f t="shared" si="100"/>
        <v>1072000</v>
      </c>
      <c r="T136" s="240"/>
      <c r="U136" s="115">
        <f t="shared" si="101"/>
        <v>0</v>
      </c>
      <c r="V136" s="884"/>
      <c r="W136" s="874">
        <f t="shared" si="102"/>
        <v>0</v>
      </c>
      <c r="X136" s="884"/>
      <c r="Y136" s="874">
        <f t="shared" si="103"/>
        <v>0</v>
      </c>
      <c r="Z136" s="241"/>
      <c r="AA136" s="116">
        <f t="shared" si="104"/>
        <v>0</v>
      </c>
      <c r="AB136" s="239"/>
      <c r="AC136" s="116">
        <f t="shared" si="105"/>
        <v>0</v>
      </c>
      <c r="AD136" s="242" t="s">
        <v>318</v>
      </c>
      <c r="AE136" s="117">
        <f t="shared" si="106"/>
        <v>642900</v>
      </c>
      <c r="AF136" s="1228">
        <f>SUMIF('Otras Asesorías y Préstamos'!$B$7:$B$242,B136,'Otras Asesorías y Préstamos'!$F$7:$F$242)</f>
        <v>0</v>
      </c>
      <c r="AG136" s="1228">
        <f>SUMIF('Otras Asesorías y Préstamos'!$B$7:$B$242,B136,'Otras Asesorías y Préstamos'!$V$7:$V$242)</f>
        <v>0</v>
      </c>
      <c r="AH136" s="1229">
        <f t="shared" si="107"/>
        <v>3860000</v>
      </c>
      <c r="AI136" s="8"/>
    </row>
    <row r="137" spans="1:35" x14ac:dyDescent="0.2">
      <c r="A137" s="1462">
        <f t="shared" si="73"/>
        <v>127</v>
      </c>
      <c r="B137" s="1871" t="s">
        <v>114</v>
      </c>
      <c r="C137" s="1185">
        <f>_xlfn.XLOOKUP(B137,Códigos!$B$8:$B$406,Códigos!$A$8:$A$406,"Verificar",0)</f>
        <v>152</v>
      </c>
      <c r="D137" s="1114">
        <f>_xlfn.XLOOKUP(B137,'Consolidado Cobros'!$B$10:$B$312,'Consolidado Cobros'!$C$10:$C$312,"Verificar",0)</f>
        <v>70547628</v>
      </c>
      <c r="E137" s="1186">
        <f t="shared" si="97"/>
        <v>8</v>
      </c>
      <c r="F137" s="1463">
        <f t="shared" si="99"/>
        <v>2310000</v>
      </c>
      <c r="G137" s="1098" t="s">
        <v>1139</v>
      </c>
      <c r="H137" s="1099" t="s">
        <v>760</v>
      </c>
      <c r="I137" s="1100">
        <v>46273</v>
      </c>
      <c r="J137" s="1099" t="s">
        <v>839</v>
      </c>
      <c r="K137" s="1099"/>
      <c r="L137" s="1100"/>
      <c r="M137" s="1101"/>
      <c r="N137" s="1706"/>
      <c r="O137" s="8"/>
      <c r="P137" s="239" t="s">
        <v>318</v>
      </c>
      <c r="Q137" s="119">
        <f>ROUND(IF(P137="SI",SUMIF('C de C año anterior'!$B$8:$B$229,B137,'C de C año anterior'!$Q$8:$Q$229)*(100%+$Q$5),0),-3)+ROUND(IF(P137="SI",SUMIF('Facturas año anterior'!$B$8:$B$86,B137,'Facturas año anterior'!$V$8:$V$86)*(100%+$AA$5),0),-3)</f>
        <v>2312000</v>
      </c>
      <c r="R137" s="239"/>
      <c r="S137" s="114">
        <f t="shared" si="100"/>
        <v>0</v>
      </c>
      <c r="T137" s="240"/>
      <c r="U137" s="115">
        <f t="shared" si="101"/>
        <v>0</v>
      </c>
      <c r="V137" s="884"/>
      <c r="W137" s="874">
        <f t="shared" si="102"/>
        <v>0</v>
      </c>
      <c r="X137" s="884"/>
      <c r="Y137" s="874">
        <f t="shared" si="103"/>
        <v>0</v>
      </c>
      <c r="Z137" s="241"/>
      <c r="AA137" s="116">
        <f t="shared" si="104"/>
        <v>0</v>
      </c>
      <c r="AB137" s="239"/>
      <c r="AC137" s="116">
        <f t="shared" si="105"/>
        <v>0</v>
      </c>
      <c r="AD137" s="242"/>
      <c r="AE137" s="117">
        <f t="shared" si="106"/>
        <v>0</v>
      </c>
      <c r="AF137" s="1228">
        <f>SUMIF('Otras Asesorías y Préstamos'!$B$7:$B$242,B137,'Otras Asesorías y Préstamos'!$F$7:$F$242)</f>
        <v>0</v>
      </c>
      <c r="AG137" s="1228">
        <f>SUMIF('Otras Asesorías y Préstamos'!$B$7:$B$242,B137,'Otras Asesorías y Préstamos'!$V$7:$V$242)</f>
        <v>0</v>
      </c>
      <c r="AH137" s="1229">
        <f t="shared" si="107"/>
        <v>2310000</v>
      </c>
      <c r="AI137" s="8"/>
    </row>
    <row r="138" spans="1:35" x14ac:dyDescent="0.2">
      <c r="A138" s="1462">
        <f t="shared" si="73"/>
        <v>128</v>
      </c>
      <c r="B138" s="1137" t="s">
        <v>413</v>
      </c>
      <c r="C138" s="1185">
        <f>_xlfn.XLOOKUP(B138,Códigos!$B$8:$B$406,Códigos!$A$8:$A$406,"Verificar",0)</f>
        <v>94</v>
      </c>
      <c r="D138" s="1114">
        <v>1037639929</v>
      </c>
      <c r="E138" s="1186">
        <f t="shared" ref="E138" si="108">IF((MOD((VALUE(MID(TEXT(D138,"000000000000000"),15,1))*3+VALUE(MID(TEXT(D138,"000000000000000"),14,1))*7+VALUE(MID(TEXT(D138,"000000000000000"),13,1))*13+VALUE(MID(TEXT(D138,"000000000000000"),12,1))*17+VALUE(MID(TEXT(D138,"000000000000000"),11,1))*19+VALUE(MID(TEXT(D138,"000000000000000"),10,1))*23+VALUE(MID(TEXT(D138,"000000000000000"),9,1))*29+VALUE(MID(TEXT(D138,"000000000000000"),8,1))*37+VALUE(MID(TEXT(D138,"000000000000000"),7,1))*41+VALUE(MID(TEXT(D138,"000000000000000"),6,1))*43+VALUE(MID(TEXT(D138,"000000000000000"),5,1))*47+VALUE(MID(TEXT(D138,"000000000000000"),4,1))*53+VALUE(MID(TEXT(D138,"000000000000000"),3,1))*59+VALUE(MID(TEXT(D138,"000000000000000"),2,1))*67+VALUE(MID(TEXT(D138,"000000000000000"),1,1))*71),11))=0,0,IF((MOD((VALUE(MID(TEXT(D138,"000000000000000"),15,1))*3+VALUE(MID(TEXT(D138,"000000000000000"),14,1))*7+VALUE(MID(TEXT(D138,"000000000000000"),13,1))*13+VALUE(MID(TEXT(D138,"000000000000000"),12,1))*17+VALUE(MID(TEXT(D138,"000000000000000"),11,1))*19+VALUE(MID(TEXT(D138,"000000000000000"),10,1))*23+VALUE(MID(TEXT(D138,"000000000000000"),9,1))*29+VALUE(MID(TEXT(D138,"000000000000000"),8,1))*37+VALUE(MID(TEXT(D138,"000000000000000"),7,1))*41+VALUE(MID(TEXT(D138,"000000000000000"),6,1))*43+VALUE(MID(TEXT(D138,"000000000000000"),5,1))*47+VALUE(MID(TEXT(D138,"000000000000000"),4,1))*53+VALUE(MID(TEXT(D138,"000000000000000"),3,1))*59+VALUE(MID(TEXT(D138,"000000000000000"),2,1))*67+VALUE(MID(TEXT(D138,"000000000000000"),1,1))*71),11))=1,1,11-(MOD((VALUE(MID(TEXT(D138,"000000000000000"),15,1))*3+VALUE(MID(TEXT(D138,"000000000000000"),14,1))*7+VALUE(MID(TEXT(D138,"000000000000000"),13,1))*13+VALUE(MID(TEXT(D138,"000000000000000"),12,1))*17+VALUE(MID(TEXT(D138,"000000000000000"),11,1))*19+VALUE(MID(TEXT(D138,"000000000000000"),10,1))*23+VALUE(MID(TEXT(D138,"000000000000000"),9,1))*29+VALUE(MID(TEXT(D138,"000000000000000"),8,1))*37+VALUE(MID(TEXT(D138,"000000000000000"),7,1))*41+VALUE(MID(TEXT(D138,"000000000000000"),6,1))*43+VALUE(MID(TEXT(D138,"000000000000000"),5,1))*47+VALUE(MID(TEXT(D138,"000000000000000"),4,1))*53+VALUE(MID(TEXT(D138,"000000000000000"),3,1))*59+VALUE(MID(TEXT(D138,"000000000000000"),2,1))*67+VALUE(MID(TEXT(D138,"000000000000000"),1,1))*71),11))))</f>
        <v>6</v>
      </c>
      <c r="F138" s="1463">
        <f t="shared" ref="F138" si="109">+AH138</f>
        <v>390000</v>
      </c>
      <c r="G138" s="1362"/>
      <c r="H138" s="1099"/>
      <c r="I138" s="1100"/>
      <c r="J138" s="1099"/>
      <c r="K138" s="1099"/>
      <c r="L138" s="1100"/>
      <c r="M138" s="349"/>
      <c r="N138" s="1706"/>
      <c r="O138" s="8"/>
      <c r="P138" s="239" t="s">
        <v>318</v>
      </c>
      <c r="Q138" s="119">
        <f>ROUND(IF(P138="SI",SUMIF('C de C año anterior'!$B$8:$B$229,B138,'C de C año anterior'!$Q$8:$Q$229)*(100%+$Q$5),0),-3)+ROUND(IF(P138="SI",SUMIF('Facturas año anterior'!$B$8:$B$86,B138,'Facturas año anterior'!$V$8:$V$86)*(100%+$AA$5),0),-3)</f>
        <v>387000</v>
      </c>
      <c r="R138" s="239"/>
      <c r="S138" s="114">
        <f t="shared" ref="S138" si="110">ROUND(IF(R138="SI",Q138*$S$5,0),-3)</f>
        <v>0</v>
      </c>
      <c r="T138" s="240"/>
      <c r="U138" s="115">
        <f t="shared" ref="U138" si="111">ROUND(IF(T138="SI",Q138*$U$5,0),-3)</f>
        <v>0</v>
      </c>
      <c r="V138" s="884"/>
      <c r="W138" s="874">
        <f t="shared" ref="W138" si="112">ROUND(IF(V138="SI",Q138*$W$5,0),-3)</f>
        <v>0</v>
      </c>
      <c r="X138" s="884"/>
      <c r="Y138" s="874">
        <f t="shared" ref="Y138" si="113">ROUND(IF(X138="SI",Q138*$Y$5,0),-3)</f>
        <v>0</v>
      </c>
      <c r="Z138" s="241"/>
      <c r="AA138" s="116">
        <f t="shared" ref="AA138" si="114">ROUND(IF(Z138="SI",Q138*$AA$5,0),-3)</f>
        <v>0</v>
      </c>
      <c r="AB138" s="239"/>
      <c r="AC138" s="116">
        <f t="shared" ref="AC138" si="115">ROUND(IF(AB138="SI",Q138*$AC$5,0),-3)</f>
        <v>0</v>
      </c>
      <c r="AD138" s="242"/>
      <c r="AE138" s="117">
        <f t="shared" ref="AE138" si="116">IF(AD138="SI",Q138*$AE$5,0)</f>
        <v>0</v>
      </c>
      <c r="AF138" s="1228">
        <f>SUMIF('Otras Asesorías y Préstamos'!$B$7:$B$242,B138,'Otras Asesorías y Préstamos'!$F$7:$F$242)</f>
        <v>0</v>
      </c>
      <c r="AG138" s="1228">
        <f>SUMIF('Otras Asesorías y Préstamos'!$B$7:$B$242,B138,'Otras Asesorías y Préstamos'!$V$7:$V$242)</f>
        <v>0</v>
      </c>
      <c r="AH138" s="1229">
        <f t="shared" ref="AH138" si="117">ROUND(SUM(Q138:AG138),-4)</f>
        <v>390000</v>
      </c>
      <c r="AI138" s="8"/>
    </row>
    <row r="139" spans="1:35" x14ac:dyDescent="0.2">
      <c r="A139" s="1462">
        <f t="shared" si="73"/>
        <v>129</v>
      </c>
      <c r="B139" s="1097" t="s">
        <v>116</v>
      </c>
      <c r="C139" s="1185">
        <f>_xlfn.XLOOKUP(B139,Códigos!$B$8:$B$406,Códigos!$A$8:$A$406,"Verificar",0)</f>
        <v>277</v>
      </c>
      <c r="D139" s="1114">
        <f>_xlfn.XLOOKUP(B139,'Consolidado Cobros'!$B$10:$B$312,'Consolidado Cobros'!$C$10:$C$312,"Verificar",0)</f>
        <v>9094854</v>
      </c>
      <c r="E139" s="1186">
        <f t="shared" si="97"/>
        <v>9</v>
      </c>
      <c r="F139" s="1463">
        <f t="shared" si="99"/>
        <v>330000</v>
      </c>
      <c r="G139" s="1098"/>
      <c r="H139" s="1099"/>
      <c r="I139" s="1100"/>
      <c r="J139" s="1099"/>
      <c r="K139" s="1099"/>
      <c r="L139" s="1100"/>
      <c r="M139" s="1101"/>
      <c r="N139" s="1706"/>
      <c r="O139" s="8"/>
      <c r="P139" s="239" t="s">
        <v>318</v>
      </c>
      <c r="Q139" s="119">
        <f>ROUND(IF(P139="SI",SUMIF('C de C año anterior'!$B$8:$B$229,B139,'C de C año anterior'!$Q$8:$Q$229)*(100%+$Q$5),0),-3)+ROUND(IF(P139="SI",SUMIF('Facturas año anterior'!$B$8:$B$86,B139,'Facturas año anterior'!$V$8:$V$86)*(100%+$AA$5),0),-3)</f>
        <v>326000</v>
      </c>
      <c r="R139" s="239"/>
      <c r="S139" s="114">
        <f t="shared" si="100"/>
        <v>0</v>
      </c>
      <c r="T139" s="240"/>
      <c r="U139" s="115">
        <f t="shared" si="101"/>
        <v>0</v>
      </c>
      <c r="V139" s="884"/>
      <c r="W139" s="874">
        <f t="shared" si="102"/>
        <v>0</v>
      </c>
      <c r="X139" s="884"/>
      <c r="Y139" s="874">
        <f t="shared" si="103"/>
        <v>0</v>
      </c>
      <c r="Z139" s="241"/>
      <c r="AA139" s="116">
        <f t="shared" si="104"/>
        <v>0</v>
      </c>
      <c r="AB139" s="239"/>
      <c r="AC139" s="116">
        <f t="shared" si="105"/>
        <v>0</v>
      </c>
      <c r="AD139" s="242"/>
      <c r="AE139" s="117">
        <f t="shared" si="106"/>
        <v>0</v>
      </c>
      <c r="AF139" s="1228">
        <f>SUMIF('Otras Asesorías y Préstamos'!$B$7:$B$242,B139,'Otras Asesorías y Préstamos'!$F$7:$F$242)</f>
        <v>0</v>
      </c>
      <c r="AG139" s="1228">
        <f>SUMIF('Otras Asesorías y Préstamos'!$B$7:$B$242,B139,'Otras Asesorías y Préstamos'!$V$7:$V$242)</f>
        <v>0</v>
      </c>
      <c r="AH139" s="1229">
        <f t="shared" si="107"/>
        <v>330000</v>
      </c>
      <c r="AI139" s="8"/>
    </row>
    <row r="140" spans="1:35" x14ac:dyDescent="0.2">
      <c r="A140" s="1462">
        <f t="shared" si="73"/>
        <v>130</v>
      </c>
      <c r="B140" s="1097" t="s">
        <v>310</v>
      </c>
      <c r="C140" s="1185">
        <f>_xlfn.XLOOKUP(B140,Códigos!$B$8:$B$406,Códigos!$A$8:$A$406,"Verificar",0)</f>
        <v>334</v>
      </c>
      <c r="D140" s="1114">
        <f>_xlfn.XLOOKUP(B140,'Consolidado Cobros'!$B$10:$B$312,'Consolidado Cobros'!$C$10:$C$312,"Verificar",0)</f>
        <v>15256982</v>
      </c>
      <c r="E140" s="1186">
        <f t="shared" si="97"/>
        <v>1</v>
      </c>
      <c r="F140" s="1463">
        <f t="shared" si="99"/>
        <v>120000</v>
      </c>
      <c r="G140" s="1098"/>
      <c r="H140" s="1099"/>
      <c r="I140" s="1100"/>
      <c r="J140" s="1099"/>
      <c r="K140" s="1099"/>
      <c r="L140" s="1100"/>
      <c r="M140" s="1101"/>
      <c r="N140" s="1706"/>
      <c r="O140" s="8"/>
      <c r="P140" s="239" t="s">
        <v>318</v>
      </c>
      <c r="Q140" s="119">
        <f>ROUND(IF(P140="SI",SUMIF('C de C año anterior'!$B$8:$B$229,B140,'C de C año anterior'!$Q$8:$Q$229)*(100%+$Q$5),0),-3)+ROUND(IF(P140="SI",SUMIF('Facturas año anterior'!$B$8:$B$86,B140,'Facturas año anterior'!$V$8:$V$86)*(100%+$AA$5),0),-3)</f>
        <v>121000</v>
      </c>
      <c r="R140" s="239"/>
      <c r="S140" s="114">
        <f t="shared" si="100"/>
        <v>0</v>
      </c>
      <c r="T140" s="240"/>
      <c r="U140" s="115">
        <f t="shared" si="101"/>
        <v>0</v>
      </c>
      <c r="V140" s="884"/>
      <c r="W140" s="874">
        <f t="shared" si="102"/>
        <v>0</v>
      </c>
      <c r="X140" s="884"/>
      <c r="Y140" s="874">
        <f t="shared" si="103"/>
        <v>0</v>
      </c>
      <c r="Z140" s="241"/>
      <c r="AA140" s="116">
        <f t="shared" si="104"/>
        <v>0</v>
      </c>
      <c r="AB140" s="239"/>
      <c r="AC140" s="116">
        <f t="shared" si="105"/>
        <v>0</v>
      </c>
      <c r="AD140" s="242"/>
      <c r="AE140" s="117">
        <f t="shared" si="106"/>
        <v>0</v>
      </c>
      <c r="AF140" s="1228">
        <f>SUMIF('Otras Asesorías y Préstamos'!$B$7:$B$242,B140,'Otras Asesorías y Préstamos'!$F$7:$F$242)</f>
        <v>0</v>
      </c>
      <c r="AG140" s="1228">
        <f>SUMIF('Otras Asesorías y Préstamos'!$B$7:$B$242,B140,'Otras Asesorías y Préstamos'!$V$7:$V$242)</f>
        <v>0</v>
      </c>
      <c r="AH140" s="1229">
        <f t="shared" si="107"/>
        <v>120000</v>
      </c>
      <c r="AI140" s="8"/>
    </row>
    <row r="141" spans="1:35" x14ac:dyDescent="0.2">
      <c r="A141" s="1462">
        <f t="shared" ref="A141:A180" si="118">+A140+1</f>
        <v>131</v>
      </c>
      <c r="B141" s="1097" t="s">
        <v>320</v>
      </c>
      <c r="C141" s="1185">
        <f>_xlfn.XLOOKUP(B141,Códigos!$B$8:$B$406,Códigos!$A$8:$A$406,"Verificar",0)</f>
        <v>342</v>
      </c>
      <c r="D141" s="1114">
        <f>_xlfn.XLOOKUP(B141,'Consolidado Cobros'!$B$10:$B$312,'Consolidado Cobros'!$C$10:$C$312,"Verificar",0)</f>
        <v>71642392</v>
      </c>
      <c r="E141" s="1186">
        <f t="shared" si="97"/>
        <v>5</v>
      </c>
      <c r="F141" s="1463">
        <f t="shared" si="99"/>
        <v>120000</v>
      </c>
      <c r="G141" s="1098"/>
      <c r="H141" s="1099"/>
      <c r="I141" s="1100"/>
      <c r="J141" s="1099"/>
      <c r="K141" s="1099"/>
      <c r="L141" s="1100"/>
      <c r="M141" s="1101"/>
      <c r="N141" s="1706"/>
      <c r="O141" s="8"/>
      <c r="P141" s="239" t="s">
        <v>318</v>
      </c>
      <c r="Q141" s="119">
        <f>ROUND(IF(P141="SI",SUMIF('C de C año anterior'!$B$8:$B$229,B141,'C de C año anterior'!$Q$8:$Q$229)*(100%+$Q$5),0),-3)+ROUND(IF(P141="SI",SUMIF('Facturas año anterior'!$B$8:$B$86,B141,'Facturas año anterior'!$V$8:$V$86)*(100%+$AA$5),0),-3)</f>
        <v>121000</v>
      </c>
      <c r="R141" s="239"/>
      <c r="S141" s="114">
        <f t="shared" si="100"/>
        <v>0</v>
      </c>
      <c r="T141" s="240"/>
      <c r="U141" s="115">
        <f t="shared" si="101"/>
        <v>0</v>
      </c>
      <c r="V141" s="884"/>
      <c r="W141" s="874">
        <f t="shared" si="102"/>
        <v>0</v>
      </c>
      <c r="X141" s="884"/>
      <c r="Y141" s="874">
        <f t="shared" si="103"/>
        <v>0</v>
      </c>
      <c r="Z141" s="241"/>
      <c r="AA141" s="116">
        <f t="shared" si="104"/>
        <v>0</v>
      </c>
      <c r="AB141" s="239"/>
      <c r="AC141" s="116">
        <f t="shared" si="105"/>
        <v>0</v>
      </c>
      <c r="AD141" s="242"/>
      <c r="AE141" s="117">
        <f t="shared" si="106"/>
        <v>0</v>
      </c>
      <c r="AF141" s="1228">
        <f>SUMIF('Otras Asesorías y Préstamos'!$B$7:$B$242,B141,'Otras Asesorías y Préstamos'!$F$7:$F$242)</f>
        <v>0</v>
      </c>
      <c r="AG141" s="1228">
        <f>SUMIF('Otras Asesorías y Préstamos'!$B$7:$B$242,B141,'Otras Asesorías y Préstamos'!$V$7:$V$242)</f>
        <v>0</v>
      </c>
      <c r="AH141" s="1229">
        <f t="shared" si="107"/>
        <v>120000</v>
      </c>
      <c r="AI141" s="8"/>
    </row>
    <row r="142" spans="1:35" x14ac:dyDescent="0.2">
      <c r="A142" s="1462">
        <f t="shared" si="118"/>
        <v>132</v>
      </c>
      <c r="B142" s="1097" t="s">
        <v>767</v>
      </c>
      <c r="C142" s="1185">
        <f>_xlfn.XLOOKUP(B142,Códigos!$B$8:$B$406,Códigos!$A$8:$A$406,"Verificar",0)</f>
        <v>308</v>
      </c>
      <c r="D142" s="1114">
        <v>39295015</v>
      </c>
      <c r="E142" s="1186">
        <f t="shared" si="97"/>
        <v>8</v>
      </c>
      <c r="F142" s="1463">
        <f t="shared" si="99"/>
        <v>240000</v>
      </c>
      <c r="G142" s="1362"/>
      <c r="H142" s="1099"/>
      <c r="I142" s="1100"/>
      <c r="J142" s="1099"/>
      <c r="K142" s="1099"/>
      <c r="L142" s="1100"/>
      <c r="M142" s="1266"/>
      <c r="N142" s="1706"/>
      <c r="O142" s="8"/>
      <c r="P142" s="239" t="s">
        <v>318</v>
      </c>
      <c r="Q142" s="119">
        <f>ROUND(IF(P142="SI",SUMIF('C de C año anterior'!$B$8:$B$229,B142,'C de C año anterior'!$Q$8:$Q$229)*(100%+$Q$5),0),-3)+ROUND(IF(P142="SI",SUMIF('Facturas año anterior'!$B$8:$B$86,B142,'Facturas año anterior'!$V$8:$V$86)*(100%+$AA$5),0),-3)</f>
        <v>243000</v>
      </c>
      <c r="R142" s="239"/>
      <c r="S142" s="114">
        <f t="shared" ref="S142" si="119">ROUND(IF(R142="SI",Q142*$S$5,0),-3)</f>
        <v>0</v>
      </c>
      <c r="T142" s="240"/>
      <c r="U142" s="115">
        <f t="shared" ref="U142" si="120">ROUND(IF(T142="SI",Q142*$U$5,0),-3)</f>
        <v>0</v>
      </c>
      <c r="V142" s="884"/>
      <c r="W142" s="874">
        <f t="shared" ref="W142" si="121">ROUND(IF(V142="SI",Q142*$W$5,0),-3)</f>
        <v>0</v>
      </c>
      <c r="X142" s="884"/>
      <c r="Y142" s="874">
        <f t="shared" ref="Y142" si="122">ROUND(IF(X142="SI",Q142*$Y$5,0),-3)</f>
        <v>0</v>
      </c>
      <c r="Z142" s="241"/>
      <c r="AA142" s="116">
        <f t="shared" ref="AA142" si="123">ROUND(IF(Z142="SI",Q142*$AA$5,0),-3)</f>
        <v>0</v>
      </c>
      <c r="AB142" s="239"/>
      <c r="AC142" s="116">
        <f t="shared" ref="AC142" si="124">ROUND(IF(AB142="SI",Q142*$AC$5,0),-3)</f>
        <v>0</v>
      </c>
      <c r="AD142" s="242"/>
      <c r="AE142" s="117">
        <f t="shared" ref="AE142" si="125">IF(AD142="SI",Q142*$AE$5,0)</f>
        <v>0</v>
      </c>
      <c r="AF142" s="1228">
        <f>SUMIF('Otras Asesorías y Préstamos'!$B$7:$B$242,B142,'Otras Asesorías y Préstamos'!$F$7:$F$242)</f>
        <v>0</v>
      </c>
      <c r="AG142" s="1228">
        <f>SUMIF('Otras Asesorías y Préstamos'!$B$7:$B$242,B142,'Otras Asesorías y Préstamos'!$V$7:$V$242)</f>
        <v>0</v>
      </c>
      <c r="AH142" s="1229">
        <f t="shared" ref="AH142" si="126">ROUND(SUM(Q142:AG142),-4)</f>
        <v>240000</v>
      </c>
      <c r="AI142" s="8"/>
    </row>
    <row r="143" spans="1:35" x14ac:dyDescent="0.2">
      <c r="A143" s="1462">
        <f t="shared" si="118"/>
        <v>133</v>
      </c>
      <c r="B143" s="1097" t="s">
        <v>607</v>
      </c>
      <c r="C143" s="1185">
        <f>_xlfn.XLOOKUP(B143,Códigos!$B$8:$B$406,Códigos!$A$8:$A$406,"Verificar",0)</f>
        <v>237</v>
      </c>
      <c r="D143" s="1114">
        <f>_xlfn.XLOOKUP(B143,'Consolidado Cobros'!$B$10:$B$312,'Consolidado Cobros'!$C$10:$C$312,"Verificar",0)</f>
        <v>1128457837</v>
      </c>
      <c r="E143" s="1186">
        <f t="shared" si="97"/>
        <v>5</v>
      </c>
      <c r="F143" s="1463">
        <f t="shared" si="99"/>
        <v>300000</v>
      </c>
      <c r="G143" s="1098"/>
      <c r="H143" s="1867"/>
      <c r="I143" s="1100"/>
      <c r="J143" s="1099"/>
      <c r="K143" s="1099"/>
      <c r="L143" s="1100"/>
      <c r="M143" s="1101"/>
      <c r="N143" s="1706"/>
      <c r="O143" s="8"/>
      <c r="P143" s="239" t="s">
        <v>318</v>
      </c>
      <c r="Q143" s="119">
        <f>ROUND(IF(P143="SI",SUMIF('C de C año anterior'!$B$8:$B$229,B143,'C de C año anterior'!$Q$8:$Q$229)*(100%+$Q$5),0),-3)+ROUND(IF(P143="SI",SUMIF('Facturas año anterior'!$B$8:$B$86,B143,'Facturas año anterior'!$V$8:$V$86)*(100%+$AA$5),0),-3)</f>
        <v>302000</v>
      </c>
      <c r="R143" s="239"/>
      <c r="S143" s="114">
        <f t="shared" si="100"/>
        <v>0</v>
      </c>
      <c r="T143" s="240"/>
      <c r="U143" s="115">
        <f t="shared" si="101"/>
        <v>0</v>
      </c>
      <c r="V143" s="884"/>
      <c r="W143" s="874">
        <f t="shared" si="102"/>
        <v>0</v>
      </c>
      <c r="X143" s="884"/>
      <c r="Y143" s="874">
        <f t="shared" si="103"/>
        <v>0</v>
      </c>
      <c r="Z143" s="241"/>
      <c r="AA143" s="116">
        <f t="shared" si="104"/>
        <v>0</v>
      </c>
      <c r="AB143" s="239"/>
      <c r="AC143" s="116">
        <f t="shared" si="105"/>
        <v>0</v>
      </c>
      <c r="AD143" s="242"/>
      <c r="AE143" s="117">
        <f t="shared" si="106"/>
        <v>0</v>
      </c>
      <c r="AF143" s="1228">
        <f>SUMIF('Otras Asesorías y Préstamos'!$B$7:$B$242,B143,'Otras Asesorías y Préstamos'!$F$7:$F$242)</f>
        <v>0</v>
      </c>
      <c r="AG143" s="1228">
        <f>SUMIF('Otras Asesorías y Préstamos'!$B$7:$B$242,B143,'Otras Asesorías y Préstamos'!$V$7:$V$242)</f>
        <v>0</v>
      </c>
      <c r="AH143" s="1229">
        <f t="shared" si="107"/>
        <v>300000</v>
      </c>
      <c r="AI143" s="8"/>
    </row>
    <row r="144" spans="1:35" x14ac:dyDescent="0.2">
      <c r="A144" s="1462">
        <f t="shared" si="118"/>
        <v>134</v>
      </c>
      <c r="B144" s="1137" t="s">
        <v>130</v>
      </c>
      <c r="C144" s="1185">
        <f>_xlfn.XLOOKUP(B144,Códigos!$B$8:$B$406,Códigos!$A$8:$A$406,"Verificar",0)</f>
        <v>298</v>
      </c>
      <c r="D144" s="1114">
        <f>_xlfn.XLOOKUP(B144,'Consolidado Cobros'!$B$10:$B$312,'Consolidado Cobros'!$C$10:$C$312,"Verificar",0)</f>
        <v>71728652</v>
      </c>
      <c r="E144" s="1186">
        <f t="shared" si="97"/>
        <v>6</v>
      </c>
      <c r="F144" s="1463">
        <f t="shared" si="99"/>
        <v>1500000</v>
      </c>
      <c r="G144" s="1098"/>
      <c r="H144" s="1099"/>
      <c r="I144" s="1100"/>
      <c r="J144" s="1099"/>
      <c r="K144" s="1099"/>
      <c r="L144" s="1100"/>
      <c r="M144" s="1101"/>
      <c r="N144" s="1840"/>
      <c r="O144" s="8"/>
      <c r="P144" s="854" t="s">
        <v>318</v>
      </c>
      <c r="Q144" s="1488">
        <f>(ROUND(IF(P144="SI",SUMIF('C de C año anterior'!$B$8:$B$229,B144,'C de C año anterior'!$Q$8:$Q$229)*(100%+$Q$5),0),-3)+ROUND(IF(P144="SI",SUMIF('Facturas año anterior'!$B$8:$B$86,B144,'Facturas año anterior'!$V$8:$V$86)*(100%+$AA$5),0),-3))*0+995000</f>
        <v>995000</v>
      </c>
      <c r="R144" s="239"/>
      <c r="S144" s="114">
        <f t="shared" si="100"/>
        <v>0</v>
      </c>
      <c r="T144" s="240"/>
      <c r="U144" s="115">
        <f t="shared" si="101"/>
        <v>0</v>
      </c>
      <c r="V144" s="884"/>
      <c r="W144" s="874">
        <f t="shared" si="102"/>
        <v>0</v>
      </c>
      <c r="X144" s="884"/>
      <c r="Y144" s="874">
        <f t="shared" si="103"/>
        <v>0</v>
      </c>
      <c r="Z144" s="241"/>
      <c r="AA144" s="116">
        <f t="shared" si="104"/>
        <v>0</v>
      </c>
      <c r="AB144" s="239"/>
      <c r="AC144" s="116">
        <f t="shared" si="105"/>
        <v>0</v>
      </c>
      <c r="AD144" s="242"/>
      <c r="AE144" s="117">
        <f t="shared" si="106"/>
        <v>0</v>
      </c>
      <c r="AF144" s="1228">
        <f>SUMIF('Otras Asesorías y Préstamos'!$B$7:$B$242,B144,'Otras Asesorías y Préstamos'!$F$7:$F$242)</f>
        <v>500000</v>
      </c>
      <c r="AG144" s="1228">
        <f>SUMIF('Otras Asesorías y Préstamos'!$B$7:$B$242,B144,'Otras Asesorías y Préstamos'!$V$7:$V$242)</f>
        <v>0</v>
      </c>
      <c r="AH144" s="1229">
        <f t="shared" si="107"/>
        <v>1500000</v>
      </c>
      <c r="AI144" s="8"/>
    </row>
    <row r="145" spans="1:35" x14ac:dyDescent="0.2">
      <c r="A145" s="1462">
        <f t="shared" si="118"/>
        <v>135</v>
      </c>
      <c r="B145" s="1097" t="s">
        <v>132</v>
      </c>
      <c r="C145" s="1185">
        <f>_xlfn.XLOOKUP(B145,Códigos!$B$8:$B$406,Códigos!$A$8:$A$406,"Verificar",0)</f>
        <v>238</v>
      </c>
      <c r="D145" s="1114">
        <f>_xlfn.XLOOKUP(B145,'Consolidado Cobros'!$B$10:$B$312,'Consolidado Cobros'!$C$10:$C$312,"Verificar",0)</f>
        <v>39456473</v>
      </c>
      <c r="E145" s="1186">
        <f t="shared" si="97"/>
        <v>1</v>
      </c>
      <c r="F145" s="1463">
        <f t="shared" si="99"/>
        <v>720000</v>
      </c>
      <c r="G145" s="1098"/>
      <c r="H145" s="1099"/>
      <c r="I145" s="1100"/>
      <c r="J145" s="1099"/>
      <c r="K145" s="1099"/>
      <c r="L145" s="1100"/>
      <c r="M145" s="1101"/>
      <c r="N145" s="1706"/>
      <c r="O145" s="8"/>
      <c r="P145" s="239" t="s">
        <v>318</v>
      </c>
      <c r="Q145" s="119">
        <f>ROUND(IF(P145="SI",SUMIF('C de C año anterior'!$B$8:$B$229,B145,'C de C año anterior'!$Q$8:$Q$229)*(100%+$Q$5),0),-3)+ROUND(IF(P145="SI",SUMIF('Facturas año anterior'!$B$8:$B$86,B145,'Facturas año anterior'!$V$8:$V$86)*(100%+$AA$5),0),-3)</f>
        <v>553000</v>
      </c>
      <c r="R145" s="239"/>
      <c r="S145" s="114">
        <f t="shared" si="100"/>
        <v>0</v>
      </c>
      <c r="T145" s="240"/>
      <c r="U145" s="115">
        <f t="shared" si="101"/>
        <v>0</v>
      </c>
      <c r="V145" s="884"/>
      <c r="W145" s="874">
        <f t="shared" si="102"/>
        <v>0</v>
      </c>
      <c r="X145" s="884"/>
      <c r="Y145" s="874">
        <f t="shared" si="103"/>
        <v>0</v>
      </c>
      <c r="Z145" s="241"/>
      <c r="AA145" s="116">
        <f t="shared" si="104"/>
        <v>0</v>
      </c>
      <c r="AB145" s="239"/>
      <c r="AC145" s="116">
        <f t="shared" si="105"/>
        <v>0</v>
      </c>
      <c r="AD145" s="242" t="s">
        <v>318</v>
      </c>
      <c r="AE145" s="117">
        <f t="shared" si="106"/>
        <v>165900</v>
      </c>
      <c r="AF145" s="1228">
        <f>SUMIF('Otras Asesorías y Préstamos'!$B$7:$B$242,B145,'Otras Asesorías y Préstamos'!$F$7:$F$242)</f>
        <v>0</v>
      </c>
      <c r="AG145" s="1228">
        <f>SUMIF('Otras Asesorías y Préstamos'!$B$7:$B$242,B145,'Otras Asesorías y Préstamos'!$V$7:$V$242)</f>
        <v>0</v>
      </c>
      <c r="AH145" s="1229">
        <f t="shared" si="107"/>
        <v>720000</v>
      </c>
      <c r="AI145" s="8"/>
    </row>
    <row r="146" spans="1:35" x14ac:dyDescent="0.2">
      <c r="A146" s="1462">
        <f t="shared" si="118"/>
        <v>136</v>
      </c>
      <c r="B146" s="1097" t="s">
        <v>133</v>
      </c>
      <c r="C146" s="1185">
        <f>_xlfn.XLOOKUP(B146,Códigos!$B$8:$B$406,Códigos!$A$8:$A$406,"Verificar",0)</f>
        <v>282</v>
      </c>
      <c r="D146" s="1114">
        <f>_xlfn.XLOOKUP(B146,'Consolidado Cobros'!$B$10:$B$312,'Consolidado Cobros'!$C$10:$C$312,"Verificar",0)</f>
        <v>1128268578</v>
      </c>
      <c r="E146" s="1186">
        <f t="shared" si="97"/>
        <v>1</v>
      </c>
      <c r="F146" s="1463">
        <f t="shared" si="99"/>
        <v>720000</v>
      </c>
      <c r="G146" s="1098"/>
      <c r="H146" s="1099"/>
      <c r="I146" s="1100"/>
      <c r="J146" s="1099"/>
      <c r="K146" s="1099"/>
      <c r="L146" s="1100"/>
      <c r="M146" s="1101"/>
      <c r="N146" s="1706"/>
      <c r="O146" s="8"/>
      <c r="P146" s="239" t="s">
        <v>318</v>
      </c>
      <c r="Q146" s="119">
        <f>ROUND(IF(P146="SI",SUMIF('C de C año anterior'!$B$8:$B$229,B146,'C de C año anterior'!$Q$8:$Q$229)*(100%+$Q$5),0),-3)+ROUND(IF(P146="SI",SUMIF('Facturas año anterior'!$B$8:$B$86,B146,'Facturas año anterior'!$V$8:$V$86)*(100%+$AA$5),0),-3)</f>
        <v>553000</v>
      </c>
      <c r="R146" s="239"/>
      <c r="S146" s="114">
        <f t="shared" si="100"/>
        <v>0</v>
      </c>
      <c r="T146" s="240"/>
      <c r="U146" s="115">
        <f t="shared" si="101"/>
        <v>0</v>
      </c>
      <c r="V146" s="884"/>
      <c r="W146" s="874">
        <f t="shared" si="102"/>
        <v>0</v>
      </c>
      <c r="X146" s="884"/>
      <c r="Y146" s="874">
        <f t="shared" si="103"/>
        <v>0</v>
      </c>
      <c r="Z146" s="241"/>
      <c r="AA146" s="116">
        <f t="shared" si="104"/>
        <v>0</v>
      </c>
      <c r="AB146" s="239"/>
      <c r="AC146" s="116">
        <f t="shared" si="105"/>
        <v>0</v>
      </c>
      <c r="AD146" s="242" t="s">
        <v>318</v>
      </c>
      <c r="AE146" s="117">
        <f t="shared" si="106"/>
        <v>165900</v>
      </c>
      <c r="AF146" s="1228">
        <f>SUMIF('Otras Asesorías y Préstamos'!$B$7:$B$242,B146,'Otras Asesorías y Préstamos'!$F$7:$F$242)</f>
        <v>0</v>
      </c>
      <c r="AG146" s="1228">
        <f>SUMIF('Otras Asesorías y Préstamos'!$B$7:$B$242,B146,'Otras Asesorías y Préstamos'!$V$7:$V$242)</f>
        <v>0</v>
      </c>
      <c r="AH146" s="1229">
        <f t="shared" si="107"/>
        <v>720000</v>
      </c>
      <c r="AI146" s="8"/>
    </row>
    <row r="147" spans="1:35" x14ac:dyDescent="0.2">
      <c r="A147" s="1462">
        <f t="shared" si="118"/>
        <v>137</v>
      </c>
      <c r="B147" s="1097" t="s">
        <v>135</v>
      </c>
      <c r="C147" s="1185">
        <f>_xlfn.XLOOKUP(B147,Códigos!$B$8:$B$406,Códigos!$A$8:$A$406,"Verificar",0)</f>
        <v>173</v>
      </c>
      <c r="D147" s="1114">
        <f>_xlfn.XLOOKUP(B147,'Consolidado Cobros'!$B$10:$B$312,'Consolidado Cobros'!$C$10:$C$312,"Verificar",0)</f>
        <v>32413027</v>
      </c>
      <c r="E147" s="1186">
        <f t="shared" si="97"/>
        <v>8</v>
      </c>
      <c r="F147" s="1463">
        <f t="shared" si="99"/>
        <v>4260000</v>
      </c>
      <c r="G147" s="1098"/>
      <c r="H147" s="1099"/>
      <c r="I147" s="1100"/>
      <c r="J147" s="1099"/>
      <c r="K147" s="1099"/>
      <c r="L147" s="1100"/>
      <c r="M147" s="1101"/>
      <c r="N147" s="1706"/>
      <c r="O147" s="8"/>
      <c r="P147" s="239" t="s">
        <v>318</v>
      </c>
      <c r="Q147" s="119">
        <f>ROUND(IF(P147="SI",SUMIF('C de C año anterior'!$B$8:$B$229,B147,'C de C año anterior'!$Q$8:$Q$229)*(100%+$Q$5),0),-3)+ROUND(IF(P147="SI",SUMIF('Facturas año anterior'!$B$8:$B$86,B147,'Facturas año anterior'!$V$8:$V$86)*(100%+$AA$5),0),-3)</f>
        <v>1514000</v>
      </c>
      <c r="R147" s="239" t="s">
        <v>318</v>
      </c>
      <c r="S147" s="114">
        <f t="shared" si="100"/>
        <v>757000</v>
      </c>
      <c r="T147" s="240" t="s">
        <v>318</v>
      </c>
      <c r="U147" s="115">
        <f t="shared" si="101"/>
        <v>1136000</v>
      </c>
      <c r="V147" s="884"/>
      <c r="W147" s="874">
        <f t="shared" si="102"/>
        <v>0</v>
      </c>
      <c r="X147" s="884"/>
      <c r="Y147" s="874">
        <f t="shared" si="103"/>
        <v>0</v>
      </c>
      <c r="Z147" s="241"/>
      <c r="AA147" s="116">
        <f t="shared" si="104"/>
        <v>0</v>
      </c>
      <c r="AB147" s="239"/>
      <c r="AC147" s="116">
        <f t="shared" si="105"/>
        <v>0</v>
      </c>
      <c r="AD147" s="242" t="s">
        <v>318</v>
      </c>
      <c r="AE147" s="117">
        <f t="shared" si="106"/>
        <v>454200</v>
      </c>
      <c r="AF147" s="1228">
        <f>SUMIF('Otras Asesorías y Préstamos'!$B$7:$B$242,B147,'Otras Asesorías y Préstamos'!$F$7:$F$242)</f>
        <v>396388.66474694619</v>
      </c>
      <c r="AG147" s="1228">
        <f>SUMIF('Otras Asesorías y Préstamos'!$B$7:$B$242,B147,'Otras Asesorías y Préstamos'!$V$7:$V$242)</f>
        <v>0</v>
      </c>
      <c r="AH147" s="1229">
        <f t="shared" si="107"/>
        <v>4260000</v>
      </c>
      <c r="AI147" s="8"/>
    </row>
    <row r="148" spans="1:35" x14ac:dyDescent="0.2">
      <c r="A148" s="1462">
        <f t="shared" si="118"/>
        <v>138</v>
      </c>
      <c r="B148" s="1097" t="s">
        <v>136</v>
      </c>
      <c r="C148" s="1185">
        <f>_xlfn.XLOOKUP(B148,Códigos!$B$8:$B$406,Códigos!$A$8:$A$406,"Verificar",0)</f>
        <v>243</v>
      </c>
      <c r="D148" s="1114">
        <f>_xlfn.XLOOKUP(B148,'Consolidado Cobros'!$B$10:$B$312,'Consolidado Cobros'!$C$10:$C$312,"Verificar",0)</f>
        <v>43978133</v>
      </c>
      <c r="E148" s="1186">
        <f t="shared" si="97"/>
        <v>5</v>
      </c>
      <c r="F148" s="1463">
        <f t="shared" si="99"/>
        <v>470000</v>
      </c>
      <c r="G148" s="1098"/>
      <c r="H148" s="1099"/>
      <c r="I148" s="1100"/>
      <c r="J148" s="1099"/>
      <c r="K148" s="1099"/>
      <c r="L148" s="1100"/>
      <c r="M148" s="1101"/>
      <c r="N148" s="1706"/>
      <c r="O148" s="8"/>
      <c r="P148" s="239" t="s">
        <v>318</v>
      </c>
      <c r="Q148" s="119">
        <f>ROUND(IF(P148="SI",SUMIF('C de C año anterior'!$B$8:$B$229,B148,'C de C año anterior'!$Q$8:$Q$229)*(100%+$Q$5),0),-3)+ROUND(IF(P148="SI",SUMIF('Facturas año anterior'!$B$8:$B$86,B148,'Facturas año anterior'!$V$8:$V$86)*(100%+$AA$5),0),-3)</f>
        <v>471000</v>
      </c>
      <c r="R148" s="239"/>
      <c r="S148" s="114">
        <f t="shared" si="100"/>
        <v>0</v>
      </c>
      <c r="T148" s="240"/>
      <c r="U148" s="115">
        <f t="shared" si="101"/>
        <v>0</v>
      </c>
      <c r="V148" s="884"/>
      <c r="W148" s="874">
        <f t="shared" si="102"/>
        <v>0</v>
      </c>
      <c r="X148" s="884"/>
      <c r="Y148" s="874">
        <f t="shared" si="103"/>
        <v>0</v>
      </c>
      <c r="Z148" s="241"/>
      <c r="AA148" s="116">
        <f t="shared" si="104"/>
        <v>0</v>
      </c>
      <c r="AB148" s="239"/>
      <c r="AC148" s="116">
        <f t="shared" si="105"/>
        <v>0</v>
      </c>
      <c r="AD148" s="242"/>
      <c r="AE148" s="117">
        <f t="shared" si="106"/>
        <v>0</v>
      </c>
      <c r="AF148" s="1228">
        <f>SUMIF('Otras Asesorías y Préstamos'!$B$7:$B$242,B148,'Otras Asesorías y Préstamos'!$F$7:$F$242)</f>
        <v>0</v>
      </c>
      <c r="AG148" s="1228">
        <f>SUMIF('Otras Asesorías y Préstamos'!$B$7:$B$242,B148,'Otras Asesorías y Préstamos'!$V$7:$V$242)</f>
        <v>0</v>
      </c>
      <c r="AH148" s="1229">
        <f t="shared" si="107"/>
        <v>470000</v>
      </c>
      <c r="AI148" s="8"/>
    </row>
    <row r="149" spans="1:35" x14ac:dyDescent="0.2">
      <c r="A149" s="1462">
        <f>+A148+1</f>
        <v>139</v>
      </c>
      <c r="B149" s="1097" t="s">
        <v>141</v>
      </c>
      <c r="C149" s="1185">
        <f>_xlfn.XLOOKUP(B149,Códigos!$B$8:$B$406,Códigos!$A$8:$A$406,"Verificar",0)</f>
        <v>234</v>
      </c>
      <c r="D149" s="1114">
        <f>_xlfn.XLOOKUP(B149,'Consolidado Cobros'!$B$10:$B$312,'Consolidado Cobros'!$C$10:$C$312,"Verificar",0)</f>
        <v>43103382</v>
      </c>
      <c r="E149" s="1186">
        <f t="shared" si="97"/>
        <v>8</v>
      </c>
      <c r="F149" s="1463">
        <f t="shared" si="99"/>
        <v>330000</v>
      </c>
      <c r="G149" s="1098"/>
      <c r="H149" s="1099"/>
      <c r="I149" s="1100"/>
      <c r="J149" s="1099"/>
      <c r="K149" s="1099"/>
      <c r="L149" s="1100"/>
      <c r="M149" s="1101"/>
      <c r="N149" s="1706"/>
      <c r="O149" s="8"/>
      <c r="P149" s="239" t="s">
        <v>318</v>
      </c>
      <c r="Q149" s="119">
        <f>ROUND(IF(P149="SI",SUMIF('C de C año anterior'!$B$8:$B$229,B149,'C de C año anterior'!$Q$8:$Q$229)*(100%+$Q$5),0),-3)+ROUND(IF(P149="SI",SUMIF('Facturas año anterior'!$B$8:$B$86,B149,'Facturas año anterior'!$V$8:$V$86)*(100%+$AA$5),0),-3)</f>
        <v>326000</v>
      </c>
      <c r="R149" s="239"/>
      <c r="S149" s="114">
        <f t="shared" si="100"/>
        <v>0</v>
      </c>
      <c r="T149" s="240"/>
      <c r="U149" s="115">
        <f t="shared" si="101"/>
        <v>0</v>
      </c>
      <c r="V149" s="884"/>
      <c r="W149" s="874">
        <f t="shared" si="102"/>
        <v>0</v>
      </c>
      <c r="X149" s="884"/>
      <c r="Y149" s="874">
        <f t="shared" si="103"/>
        <v>0</v>
      </c>
      <c r="Z149" s="241"/>
      <c r="AA149" s="116">
        <f t="shared" si="104"/>
        <v>0</v>
      </c>
      <c r="AB149" s="239"/>
      <c r="AC149" s="116">
        <f t="shared" si="105"/>
        <v>0</v>
      </c>
      <c r="AD149" s="242"/>
      <c r="AE149" s="117">
        <f t="shared" si="106"/>
        <v>0</v>
      </c>
      <c r="AF149" s="1228">
        <f>SUMIF('Otras Asesorías y Préstamos'!$B$7:$B$242,B149,'Otras Asesorías y Préstamos'!$F$7:$F$242)</f>
        <v>0</v>
      </c>
      <c r="AG149" s="1228">
        <f>SUMIF('Otras Asesorías y Préstamos'!$B$7:$B$242,B149,'Otras Asesorías y Préstamos'!$V$7:$V$242)</f>
        <v>0</v>
      </c>
      <c r="AH149" s="1229">
        <f t="shared" si="107"/>
        <v>330000</v>
      </c>
      <c r="AI149" s="8"/>
    </row>
    <row r="150" spans="1:35" x14ac:dyDescent="0.2">
      <c r="A150" s="1462">
        <f t="shared" si="118"/>
        <v>140</v>
      </c>
      <c r="B150" s="1097" t="s">
        <v>142</v>
      </c>
      <c r="C150" s="1185">
        <f>_xlfn.XLOOKUP(B150,Códigos!$B$8:$B$406,Códigos!$A$8:$A$406,"Verificar",0)</f>
        <v>266</v>
      </c>
      <c r="D150" s="1114">
        <f>_xlfn.XLOOKUP(B150,'Consolidado Cobros'!$B$10:$B$312,'Consolidado Cobros'!$C$10:$C$312,"Verificar",0)</f>
        <v>3520885</v>
      </c>
      <c r="E150" s="1186">
        <f t="shared" si="97"/>
        <v>3</v>
      </c>
      <c r="F150" s="1463">
        <f t="shared" si="99"/>
        <v>330000</v>
      </c>
      <c r="G150" s="1098"/>
      <c r="H150" s="1099"/>
      <c r="I150" s="1100"/>
      <c r="J150" s="1099"/>
      <c r="K150" s="1099"/>
      <c r="L150" s="1100"/>
      <c r="M150" s="1101"/>
      <c r="N150" s="1706"/>
      <c r="O150" s="8"/>
      <c r="P150" s="239" t="s">
        <v>318</v>
      </c>
      <c r="Q150" s="119">
        <f>ROUND(IF(P150="SI",SUMIF('C de C año anterior'!$B$8:$B$229,B150,'C de C año anterior'!$Q$8:$Q$229)*(100%+$Q$5),0),-3)+ROUND(IF(P150="SI",SUMIF('Facturas año anterior'!$B$8:$B$86,B150,'Facturas año anterior'!$V$8:$V$86)*(100%+$AA$5),0),-3)</f>
        <v>326000</v>
      </c>
      <c r="R150" s="239"/>
      <c r="S150" s="114">
        <f t="shared" si="100"/>
        <v>0</v>
      </c>
      <c r="T150" s="240"/>
      <c r="U150" s="115">
        <f t="shared" si="101"/>
        <v>0</v>
      </c>
      <c r="V150" s="884"/>
      <c r="W150" s="874">
        <f t="shared" si="102"/>
        <v>0</v>
      </c>
      <c r="X150" s="884"/>
      <c r="Y150" s="874">
        <f t="shared" si="103"/>
        <v>0</v>
      </c>
      <c r="Z150" s="241"/>
      <c r="AA150" s="116">
        <f t="shared" si="104"/>
        <v>0</v>
      </c>
      <c r="AB150" s="239"/>
      <c r="AC150" s="116">
        <f t="shared" si="105"/>
        <v>0</v>
      </c>
      <c r="AD150" s="242"/>
      <c r="AE150" s="117">
        <f t="shared" si="106"/>
        <v>0</v>
      </c>
      <c r="AF150" s="1228">
        <f>SUMIF('Otras Asesorías y Préstamos'!$B$7:$B$242,B150,'Otras Asesorías y Préstamos'!$F$7:$F$242)</f>
        <v>0</v>
      </c>
      <c r="AG150" s="1228">
        <f>SUMIF('Otras Asesorías y Préstamos'!$B$7:$B$242,B150,'Otras Asesorías y Préstamos'!$V$7:$V$242)</f>
        <v>0</v>
      </c>
      <c r="AH150" s="1229">
        <f t="shared" si="107"/>
        <v>330000</v>
      </c>
      <c r="AI150" s="8"/>
    </row>
    <row r="151" spans="1:35" x14ac:dyDescent="0.2">
      <c r="A151" s="1462">
        <f t="shared" si="118"/>
        <v>141</v>
      </c>
      <c r="B151" s="1097" t="s">
        <v>199</v>
      </c>
      <c r="C151" s="1185">
        <f>_xlfn.XLOOKUP(B151,Códigos!$B$8:$B$406,Códigos!$A$8:$A$406,"Verificar",0)</f>
        <v>317</v>
      </c>
      <c r="D151" s="1114">
        <f>_xlfn.XLOOKUP(B151,'Consolidado Cobros'!$B$10:$B$312,'Consolidado Cobros'!$C$10:$C$312,"Verificar",0)</f>
        <v>70049729</v>
      </c>
      <c r="E151" s="1186">
        <f t="shared" si="97"/>
        <v>7</v>
      </c>
      <c r="F151" s="1463">
        <f t="shared" si="99"/>
        <v>500000</v>
      </c>
      <c r="G151" s="1098"/>
      <c r="H151" s="1099"/>
      <c r="I151" s="1100"/>
      <c r="J151" s="1099"/>
      <c r="K151" s="1099"/>
      <c r="L151" s="1100"/>
      <c r="M151" s="1101"/>
      <c r="N151" s="1706"/>
      <c r="O151" s="8"/>
      <c r="P151" s="239" t="s">
        <v>318</v>
      </c>
      <c r="Q151" s="119">
        <f>ROUND(IF(P151="SI",SUMIF('C de C año anterior'!$B$8:$B$229,B151,'C de C año anterior'!$Q$8:$Q$229)*(100%+$Q$5),0),-3)+ROUND(IF(P151="SI",SUMIF('Facturas año anterior'!$B$8:$B$86,B151,'Facturas año anterior'!$V$8:$V$86)*(100%+$AA$5),0),-3)</f>
        <v>495000</v>
      </c>
      <c r="R151" s="239"/>
      <c r="S151" s="114">
        <f t="shared" si="100"/>
        <v>0</v>
      </c>
      <c r="T151" s="240"/>
      <c r="U151" s="115">
        <f t="shared" si="101"/>
        <v>0</v>
      </c>
      <c r="V151" s="884"/>
      <c r="W151" s="874">
        <f t="shared" si="102"/>
        <v>0</v>
      </c>
      <c r="X151" s="884"/>
      <c r="Y151" s="874">
        <f t="shared" si="103"/>
        <v>0</v>
      </c>
      <c r="Z151" s="241"/>
      <c r="AA151" s="116">
        <f t="shared" si="104"/>
        <v>0</v>
      </c>
      <c r="AB151" s="239"/>
      <c r="AC151" s="116">
        <f t="shared" si="105"/>
        <v>0</v>
      </c>
      <c r="AD151" s="242"/>
      <c r="AE151" s="117">
        <f t="shared" si="106"/>
        <v>0</v>
      </c>
      <c r="AF151" s="1228">
        <f>SUMIF('Otras Asesorías y Préstamos'!$B$7:$B$242,B151,'Otras Asesorías y Préstamos'!$F$7:$F$242)</f>
        <v>0</v>
      </c>
      <c r="AG151" s="1228">
        <f>SUMIF('Otras Asesorías y Préstamos'!$B$7:$B$242,B151,'Otras Asesorías y Préstamos'!$V$7:$V$242)</f>
        <v>0</v>
      </c>
      <c r="AH151" s="1229">
        <f t="shared" si="107"/>
        <v>500000</v>
      </c>
      <c r="AI151" s="8"/>
    </row>
    <row r="152" spans="1:35" x14ac:dyDescent="0.2">
      <c r="A152" s="1462">
        <f t="shared" si="118"/>
        <v>142</v>
      </c>
      <c r="B152" s="1201" t="s">
        <v>1060</v>
      </c>
      <c r="C152" s="1185">
        <f>_xlfn.XLOOKUP(B152,Códigos!$B$8:$B$406,Códigos!$A$8:$A$406,"Verificar",0)</f>
        <v>368</v>
      </c>
      <c r="D152" s="1114">
        <f>_xlfn.XLOOKUP(B152,'Consolidado Cobros'!$B$10:$B$312,'Consolidado Cobros'!$C$10:$C$312,"Verificar",0)</f>
        <v>1001018099</v>
      </c>
      <c r="E152" s="1186">
        <f t="shared" si="97"/>
        <v>2</v>
      </c>
      <c r="F152" s="1463">
        <v>230000</v>
      </c>
      <c r="G152" s="1098"/>
      <c r="H152" s="1099"/>
      <c r="I152" s="1100"/>
      <c r="J152" s="1099"/>
      <c r="K152" s="1099"/>
      <c r="L152" s="1100"/>
      <c r="M152" s="1101"/>
      <c r="N152" s="1706"/>
      <c r="O152" s="8"/>
      <c r="P152" s="239" t="s">
        <v>318</v>
      </c>
      <c r="Q152" s="119">
        <f>ROUND(IF(P152="SI",SUMIF('C de C año anterior'!$B$8:$B$229,B152,'C de C año anterior'!$Q$8:$Q$229)*(100%+$Q$5),0),-3)+ROUND(IF(P152="SI",SUMIF('Facturas año anterior'!$B$8:$B$86,B152,'Facturas año anterior'!$V$8:$V$86)*(100%+$AA$5),0),-3)</f>
        <v>0</v>
      </c>
      <c r="R152" s="239"/>
      <c r="S152" s="114">
        <f t="shared" ref="S152" si="127">ROUND(IF(R152="SI",Q152*$S$5,0),-3)</f>
        <v>0</v>
      </c>
      <c r="T152" s="240"/>
      <c r="U152" s="115">
        <f t="shared" ref="U152" si="128">ROUND(IF(T152="SI",Q152*$U$5,0),-3)</f>
        <v>0</v>
      </c>
      <c r="V152" s="884"/>
      <c r="W152" s="874">
        <f t="shared" ref="W152" si="129">ROUND(IF(V152="SI",Q152*$W$5,0),-3)</f>
        <v>0</v>
      </c>
      <c r="X152" s="884"/>
      <c r="Y152" s="874">
        <f t="shared" ref="Y152" si="130">ROUND(IF(X152="SI",Q152*$Y$5,0),-3)</f>
        <v>0</v>
      </c>
      <c r="Z152" s="241"/>
      <c r="AA152" s="116">
        <f t="shared" ref="AA152" si="131">ROUND(IF(Z152="SI",Q152*$AA$5,0),-3)</f>
        <v>0</v>
      </c>
      <c r="AB152" s="239"/>
      <c r="AC152" s="116">
        <f t="shared" ref="AC152" si="132">ROUND(IF(AB152="SI",Q152*$AC$5,0),-3)</f>
        <v>0</v>
      </c>
      <c r="AD152" s="242"/>
      <c r="AE152" s="117">
        <f t="shared" ref="AE152" si="133">IF(AD152="SI",Q152*$AE$5,0)</f>
        <v>0</v>
      </c>
      <c r="AF152" s="1228">
        <f>SUMIF('Otras Asesorías y Préstamos'!$B$7:$B$242,B152,'Otras Asesorías y Préstamos'!$F$7:$F$242)</f>
        <v>0</v>
      </c>
      <c r="AG152" s="1228">
        <f>SUMIF('Otras Asesorías y Préstamos'!$B$7:$B$242,B152,'Otras Asesorías y Préstamos'!$V$7:$V$242)</f>
        <v>0</v>
      </c>
      <c r="AH152" s="1229">
        <f t="shared" ref="AH152" si="134">ROUND(SUM(Q152:AG152),-4)</f>
        <v>0</v>
      </c>
      <c r="AI152" s="8"/>
    </row>
    <row r="153" spans="1:35" x14ac:dyDescent="0.2">
      <c r="A153" s="1462">
        <f t="shared" si="118"/>
        <v>143</v>
      </c>
      <c r="B153" s="1097" t="s">
        <v>143</v>
      </c>
      <c r="C153" s="1185">
        <f>_xlfn.XLOOKUP(B153,Códigos!$B$8:$B$406,Códigos!$A$8:$A$406,"Verificar",0)</f>
        <v>264</v>
      </c>
      <c r="D153" s="1114">
        <f>_xlfn.XLOOKUP(B153,'Consolidado Cobros'!$B$10:$B$312,'Consolidado Cobros'!$C$10:$C$312,"Verificar",0)</f>
        <v>32504732</v>
      </c>
      <c r="E153" s="1186">
        <f t="shared" si="97"/>
        <v>3</v>
      </c>
      <c r="F153" s="1463">
        <f t="shared" si="99"/>
        <v>360000</v>
      </c>
      <c r="G153" s="1098"/>
      <c r="H153" s="1099"/>
      <c r="I153" s="1100"/>
      <c r="J153" s="1099"/>
      <c r="K153" s="1099"/>
      <c r="L153" s="1100"/>
      <c r="M153" s="1101"/>
      <c r="N153" s="1706"/>
      <c r="O153" s="8"/>
      <c r="P153" s="239" t="s">
        <v>318</v>
      </c>
      <c r="Q153" s="119">
        <f>ROUND(IF(P153="SI",SUMIF('C de C año anterior'!$B$8:$B$229,B153,'C de C año anterior'!$Q$8:$Q$229)*(100%+$Q$5),0),-3)+ROUND(IF(P153="SI",SUMIF('Facturas año anterior'!$B$8:$B$86,B153,'Facturas año anterior'!$V$8:$V$86)*(100%+$AA$5),0),-3)</f>
        <v>363000</v>
      </c>
      <c r="R153" s="239"/>
      <c r="S153" s="114">
        <f t="shared" si="100"/>
        <v>0</v>
      </c>
      <c r="T153" s="240"/>
      <c r="U153" s="115">
        <f t="shared" si="101"/>
        <v>0</v>
      </c>
      <c r="V153" s="884"/>
      <c r="W153" s="874">
        <f t="shared" si="102"/>
        <v>0</v>
      </c>
      <c r="X153" s="884"/>
      <c r="Y153" s="874">
        <f t="shared" si="103"/>
        <v>0</v>
      </c>
      <c r="Z153" s="241"/>
      <c r="AA153" s="116">
        <f t="shared" si="104"/>
        <v>0</v>
      </c>
      <c r="AB153" s="239"/>
      <c r="AC153" s="116">
        <f t="shared" si="105"/>
        <v>0</v>
      </c>
      <c r="AD153" s="242"/>
      <c r="AE153" s="117">
        <f t="shared" si="106"/>
        <v>0</v>
      </c>
      <c r="AF153" s="1228">
        <f>SUMIF('Otras Asesorías y Préstamos'!$B$7:$B$242,B153,'Otras Asesorías y Préstamos'!$F$7:$F$242)</f>
        <v>0</v>
      </c>
      <c r="AG153" s="1228">
        <f>SUMIF('Otras Asesorías y Préstamos'!$B$7:$B$242,B153,'Otras Asesorías y Préstamos'!$V$7:$V$242)</f>
        <v>0</v>
      </c>
      <c r="AH153" s="1229">
        <f t="shared" si="107"/>
        <v>360000</v>
      </c>
      <c r="AI153" s="8"/>
    </row>
    <row r="154" spans="1:35" x14ac:dyDescent="0.2">
      <c r="A154" s="1462">
        <f t="shared" si="118"/>
        <v>144</v>
      </c>
      <c r="B154" s="1097" t="s">
        <v>785</v>
      </c>
      <c r="C154" s="1185">
        <f>_xlfn.XLOOKUP(B154,Códigos!$B$8:$B$406,Códigos!$A$8:$A$406,"Verificar",0)</f>
        <v>281</v>
      </c>
      <c r="D154" s="1114">
        <v>32403951</v>
      </c>
      <c r="E154" s="1186">
        <f t="shared" si="97"/>
        <v>6</v>
      </c>
      <c r="F154" s="1463">
        <f t="shared" si="99"/>
        <v>280000</v>
      </c>
      <c r="G154" s="1098"/>
      <c r="H154" s="1099"/>
      <c r="I154" s="1100"/>
      <c r="J154" s="1099"/>
      <c r="K154" s="1099"/>
      <c r="L154" s="1100"/>
      <c r="M154" s="349"/>
      <c r="N154" s="1710"/>
      <c r="O154" s="8"/>
      <c r="P154" s="239" t="s">
        <v>318</v>
      </c>
      <c r="Q154" s="119">
        <f>ROUND(IF(P154="SI",SUMIF('C de C año anterior'!$B$8:$B$229,B154,'C de C año anterior'!$Q$8:$Q$229)*(100%+$Q$5),0),-3)+ROUND(IF(P154="SI",SUMIF('Facturas año anterior'!$B$8:$B$86,B154,'Facturas año anterior'!$V$8:$V$86)*(100%+$AA$5),0),-3)</f>
        <v>276000</v>
      </c>
      <c r="R154" s="239"/>
      <c r="S154" s="114">
        <f t="shared" ref="S154" si="135">ROUND(IF(R154="SI",Q154*$S$5,0),-3)</f>
        <v>0</v>
      </c>
      <c r="T154" s="240"/>
      <c r="U154" s="115">
        <f t="shared" ref="U154" si="136">ROUND(IF(T154="SI",Q154*$U$5,0),-3)</f>
        <v>0</v>
      </c>
      <c r="V154" s="884"/>
      <c r="W154" s="874">
        <f t="shared" ref="W154" si="137">ROUND(IF(V154="SI",Q154*$W$5,0),-3)</f>
        <v>0</v>
      </c>
      <c r="X154" s="884"/>
      <c r="Y154" s="874">
        <f t="shared" ref="Y154" si="138">ROUND(IF(X154="SI",Q154*$Y$5,0),-3)</f>
        <v>0</v>
      </c>
      <c r="Z154" s="241"/>
      <c r="AA154" s="116">
        <f t="shared" ref="AA154" si="139">ROUND(IF(Z154="SI",Q154*$AA$5,0),-3)</f>
        <v>0</v>
      </c>
      <c r="AB154" s="239"/>
      <c r="AC154" s="116">
        <f t="shared" ref="AC154" si="140">ROUND(IF(AB154="SI",Q154*$AC$5,0),-3)</f>
        <v>0</v>
      </c>
      <c r="AD154" s="242"/>
      <c r="AE154" s="117">
        <f t="shared" ref="AE154" si="141">IF(AD154="SI",Q154*$AE$5,0)</f>
        <v>0</v>
      </c>
      <c r="AF154" s="1228">
        <f>SUMIF('Otras Asesorías y Préstamos'!$B$7:$B$242,B154,'Otras Asesorías y Préstamos'!$F$7:$F$242)</f>
        <v>0</v>
      </c>
      <c r="AG154" s="1228">
        <f>SUMIF('Otras Asesorías y Préstamos'!$B$7:$B$242,B154,'Otras Asesorías y Préstamos'!$V$7:$V$242)</f>
        <v>0</v>
      </c>
      <c r="AH154" s="1229">
        <f t="shared" ref="AH154" si="142">ROUND(SUM(Q154:AG154),-4)</f>
        <v>280000</v>
      </c>
      <c r="AI154" s="8"/>
    </row>
    <row r="155" spans="1:35" x14ac:dyDescent="0.2">
      <c r="A155" s="1462">
        <f t="shared" si="118"/>
        <v>145</v>
      </c>
      <c r="B155" s="1097" t="s">
        <v>144</v>
      </c>
      <c r="C155" s="1185">
        <f>_xlfn.XLOOKUP(B155,Códigos!$B$8:$B$406,Códigos!$A$8:$A$406,"Verificar",0)</f>
        <v>180</v>
      </c>
      <c r="D155" s="1114">
        <f>_xlfn.XLOOKUP(B155,'Consolidado Cobros'!$B$10:$B$312,'Consolidado Cobros'!$C$10:$C$312,"Verificar",0)</f>
        <v>42871237</v>
      </c>
      <c r="E155" s="1186">
        <f t="shared" si="97"/>
        <v>8</v>
      </c>
      <c r="F155" s="1463">
        <f t="shared" si="99"/>
        <v>780000</v>
      </c>
      <c r="G155" s="1098"/>
      <c r="H155" s="1099"/>
      <c r="I155" s="1100"/>
      <c r="J155" s="1099"/>
      <c r="K155" s="1099"/>
      <c r="L155" s="1100"/>
      <c r="M155" s="349"/>
      <c r="N155" s="1710"/>
      <c r="O155" s="8"/>
      <c r="P155" s="239" t="s">
        <v>318</v>
      </c>
      <c r="Q155" s="119">
        <f>ROUND(IF(P155="SI",SUMIF('C de C año anterior'!$B$8:$B$229,B155,'C de C año anterior'!$Q$8:$Q$229)*(100%+$Q$5),0),-3)+ROUND(IF(P155="SI",SUMIF('Facturas año anterior'!$B$8:$B$86,B155,'Facturas año anterior'!$V$8:$V$86)*(100%+$AA$5),0),-3)</f>
        <v>784000</v>
      </c>
      <c r="R155" s="239"/>
      <c r="S155" s="114">
        <f t="shared" si="100"/>
        <v>0</v>
      </c>
      <c r="T155" s="240"/>
      <c r="U155" s="115">
        <f t="shared" si="101"/>
        <v>0</v>
      </c>
      <c r="V155" s="884"/>
      <c r="W155" s="874">
        <f t="shared" si="102"/>
        <v>0</v>
      </c>
      <c r="X155" s="884"/>
      <c r="Y155" s="874">
        <f t="shared" si="103"/>
        <v>0</v>
      </c>
      <c r="Z155" s="241"/>
      <c r="AA155" s="116">
        <f t="shared" si="104"/>
        <v>0</v>
      </c>
      <c r="AB155" s="239"/>
      <c r="AC155" s="116">
        <f t="shared" si="105"/>
        <v>0</v>
      </c>
      <c r="AD155" s="242"/>
      <c r="AE155" s="117">
        <f t="shared" si="106"/>
        <v>0</v>
      </c>
      <c r="AF155" s="1228">
        <f>SUMIF('Otras Asesorías y Préstamos'!$B$7:$B$242,B155,'Otras Asesorías y Préstamos'!$F$7:$F$242)</f>
        <v>0</v>
      </c>
      <c r="AG155" s="1228">
        <f>SUMIF('Otras Asesorías y Préstamos'!$B$7:$B$242,B155,'Otras Asesorías y Préstamos'!$V$7:$V$242)</f>
        <v>0</v>
      </c>
      <c r="AH155" s="1229">
        <f t="shared" si="107"/>
        <v>780000</v>
      </c>
      <c r="AI155" s="8"/>
    </row>
    <row r="156" spans="1:35" x14ac:dyDescent="0.2">
      <c r="A156" s="1462">
        <f t="shared" si="118"/>
        <v>146</v>
      </c>
      <c r="B156" s="1097" t="s">
        <v>249</v>
      </c>
      <c r="C156" s="1185">
        <f>_xlfn.XLOOKUP(B156,Códigos!$B$8:$B$406,Códigos!$A$8:$A$406,"Verificar",0)</f>
        <v>311</v>
      </c>
      <c r="D156" s="1114">
        <f>_xlfn.XLOOKUP(B156,'Consolidado Cobros'!$B$10:$B$312,'Consolidado Cobros'!$C$10:$C$312,"Verificar",0)</f>
        <v>21378911</v>
      </c>
      <c r="E156" s="1186">
        <f t="shared" si="97"/>
        <v>4</v>
      </c>
      <c r="F156" s="1463">
        <f t="shared" si="99"/>
        <v>520000</v>
      </c>
      <c r="G156" s="1362"/>
      <c r="H156" s="1099"/>
      <c r="I156" s="1100"/>
      <c r="J156" s="1099"/>
      <c r="K156" s="1099"/>
      <c r="L156" s="1100"/>
      <c r="M156" s="349"/>
      <c r="N156" s="1100"/>
      <c r="O156" s="8"/>
      <c r="P156" s="239" t="s">
        <v>318</v>
      </c>
      <c r="Q156" s="119">
        <f>ROUND(IF(P156="SI",SUMIF('C de C año anterior'!$B$8:$B$229,B156,'C de C año anterior'!$Q$8:$Q$229)*(100%+$Q$5),0),-3)+ROUND(IF(P156="SI",SUMIF('Facturas año anterior'!$B$8:$B$86,B156,'Facturas año anterior'!$V$8:$V$86)*(100%+$AA$5),0),-3)</f>
        <v>524000</v>
      </c>
      <c r="R156" s="239"/>
      <c r="S156" s="114">
        <f t="shared" si="100"/>
        <v>0</v>
      </c>
      <c r="T156" s="240"/>
      <c r="U156" s="115">
        <f t="shared" si="101"/>
        <v>0</v>
      </c>
      <c r="V156" s="884"/>
      <c r="W156" s="874">
        <f t="shared" si="102"/>
        <v>0</v>
      </c>
      <c r="X156" s="884"/>
      <c r="Y156" s="874">
        <f t="shared" si="103"/>
        <v>0</v>
      </c>
      <c r="Z156" s="241"/>
      <c r="AA156" s="116">
        <f t="shared" si="104"/>
        <v>0</v>
      </c>
      <c r="AB156" s="239"/>
      <c r="AC156" s="116">
        <f t="shared" si="105"/>
        <v>0</v>
      </c>
      <c r="AD156" s="242"/>
      <c r="AE156" s="117">
        <f t="shared" si="106"/>
        <v>0</v>
      </c>
      <c r="AF156" s="1228">
        <f>SUMIF('Otras Asesorías y Préstamos'!$B$7:$B$242,B156,'Otras Asesorías y Préstamos'!$F$7:$F$242)</f>
        <v>0</v>
      </c>
      <c r="AG156" s="1228">
        <f>SUMIF('Otras Asesorías y Préstamos'!$B$7:$B$242,B156,'Otras Asesorías y Préstamos'!$V$7:$V$242)</f>
        <v>0</v>
      </c>
      <c r="AH156" s="1229">
        <f t="shared" si="107"/>
        <v>520000</v>
      </c>
      <c r="AI156" s="8"/>
    </row>
    <row r="157" spans="1:35" x14ac:dyDescent="0.2">
      <c r="A157" s="1462">
        <f t="shared" si="118"/>
        <v>147</v>
      </c>
      <c r="B157" s="1097" t="s">
        <v>145</v>
      </c>
      <c r="C157" s="1185">
        <f>_xlfn.XLOOKUP(B157,Códigos!$B$8:$B$406,Códigos!$A$8:$A$406,"Verificar",0)</f>
        <v>241</v>
      </c>
      <c r="D157" s="1114">
        <f>_xlfn.XLOOKUP(B157,'Consolidado Cobros'!$B$10:$B$312,'Consolidado Cobros'!$C$10:$C$312,"Verificar",0)</f>
        <v>43073222</v>
      </c>
      <c r="E157" s="1186">
        <f t="shared" si="97"/>
        <v>8</v>
      </c>
      <c r="F157" s="1463">
        <f t="shared" si="99"/>
        <v>520000</v>
      </c>
      <c r="G157" s="1362"/>
      <c r="H157" s="1099"/>
      <c r="I157" s="1100"/>
      <c r="J157" s="1099"/>
      <c r="K157" s="1099"/>
      <c r="L157" s="1100"/>
      <c r="M157" s="349"/>
      <c r="N157" s="1100"/>
      <c r="O157" s="8"/>
      <c r="P157" s="239" t="s">
        <v>318</v>
      </c>
      <c r="Q157" s="119">
        <f>ROUND(IF(P157="SI",SUMIF('C de C año anterior'!$B$8:$B$229,B157,'C de C año anterior'!$Q$8:$Q$229)*(100%+$Q$5),0),-3)+ROUND(IF(P157="SI",SUMIF('Facturas año anterior'!$B$8:$B$86,B157,'Facturas año anterior'!$V$8:$V$86)*(100%+$AA$5),0),-3)</f>
        <v>524000</v>
      </c>
      <c r="R157" s="239"/>
      <c r="S157" s="114">
        <f t="shared" si="100"/>
        <v>0</v>
      </c>
      <c r="T157" s="240"/>
      <c r="U157" s="115">
        <f t="shared" si="101"/>
        <v>0</v>
      </c>
      <c r="V157" s="884"/>
      <c r="W157" s="874">
        <f t="shared" si="102"/>
        <v>0</v>
      </c>
      <c r="X157" s="884"/>
      <c r="Y157" s="874">
        <f t="shared" si="103"/>
        <v>0</v>
      </c>
      <c r="Z157" s="241"/>
      <c r="AA157" s="116">
        <f t="shared" si="104"/>
        <v>0</v>
      </c>
      <c r="AB157" s="239"/>
      <c r="AC157" s="116">
        <f t="shared" si="105"/>
        <v>0</v>
      </c>
      <c r="AD157" s="242"/>
      <c r="AE157" s="117">
        <f t="shared" si="106"/>
        <v>0</v>
      </c>
      <c r="AF157" s="1228">
        <f>SUMIF('Otras Asesorías y Préstamos'!$B$7:$B$242,B157,'Otras Asesorías y Préstamos'!$F$7:$F$242)</f>
        <v>0</v>
      </c>
      <c r="AG157" s="1228">
        <f>SUMIF('Otras Asesorías y Préstamos'!$B$7:$B$242,B157,'Otras Asesorías y Préstamos'!$V$7:$V$242)</f>
        <v>0</v>
      </c>
      <c r="AH157" s="1229">
        <f t="shared" si="107"/>
        <v>520000</v>
      </c>
      <c r="AI157" s="8"/>
    </row>
    <row r="158" spans="1:35" x14ac:dyDescent="0.2">
      <c r="A158" s="1462">
        <f t="shared" si="118"/>
        <v>148</v>
      </c>
      <c r="B158" s="1097" t="s">
        <v>146</v>
      </c>
      <c r="C158" s="1185">
        <f>_xlfn.XLOOKUP(B158,Códigos!$B$8:$B$406,Códigos!$A$8:$A$406,"Verificar",0)</f>
        <v>182</v>
      </c>
      <c r="D158" s="1114">
        <f>_xlfn.XLOOKUP(B158,'Consolidado Cobros'!$B$10:$B$312,'Consolidado Cobros'!$C$10:$C$312,"Verificar",0)</f>
        <v>21371978</v>
      </c>
      <c r="E158" s="1186">
        <f t="shared" si="97"/>
        <v>5</v>
      </c>
      <c r="F158" s="1463">
        <f t="shared" si="99"/>
        <v>1440000</v>
      </c>
      <c r="G158" s="1098"/>
      <c r="H158" s="1099"/>
      <c r="I158" s="1100"/>
      <c r="J158" s="1099"/>
      <c r="K158" s="1099"/>
      <c r="L158" s="1100"/>
      <c r="M158" s="349"/>
      <c r="N158" s="1710"/>
      <c r="O158" s="8"/>
      <c r="P158" s="239" t="s">
        <v>318</v>
      </c>
      <c r="Q158" s="119">
        <f>ROUND(IF(P158="SI",SUMIF('C de C año anterior'!$B$8:$B$229,B158,'C de C año anterior'!$Q$8:$Q$229)*(100%+$Q$5),0),-3)+ROUND(IF(P158="SI",SUMIF('Facturas año anterior'!$B$8:$B$86,B158,'Facturas año anterior'!$V$8:$V$86)*(100%+$AA$5),0),-3)</f>
        <v>1436000</v>
      </c>
      <c r="R158" s="239"/>
      <c r="S158" s="114">
        <f t="shared" si="100"/>
        <v>0</v>
      </c>
      <c r="T158" s="240"/>
      <c r="U158" s="115">
        <f t="shared" si="101"/>
        <v>0</v>
      </c>
      <c r="V158" s="884"/>
      <c r="W158" s="874">
        <f t="shared" si="102"/>
        <v>0</v>
      </c>
      <c r="X158" s="884"/>
      <c r="Y158" s="874">
        <f t="shared" si="103"/>
        <v>0</v>
      </c>
      <c r="Z158" s="241"/>
      <c r="AA158" s="116">
        <f t="shared" si="104"/>
        <v>0</v>
      </c>
      <c r="AB158" s="239"/>
      <c r="AC158" s="116">
        <f t="shared" si="105"/>
        <v>0</v>
      </c>
      <c r="AD158" s="242"/>
      <c r="AE158" s="117">
        <f t="shared" si="106"/>
        <v>0</v>
      </c>
      <c r="AF158" s="1228">
        <f>SUMIF('Otras Asesorías y Préstamos'!$B$7:$B$242,B158,'Otras Asesorías y Préstamos'!$F$7:$F$242)</f>
        <v>0</v>
      </c>
      <c r="AG158" s="1228">
        <f>SUMIF('Otras Asesorías y Préstamos'!$B$7:$B$242,B158,'Otras Asesorías y Préstamos'!$V$7:$V$242)</f>
        <v>0</v>
      </c>
      <c r="AH158" s="1229">
        <f t="shared" si="107"/>
        <v>1440000</v>
      </c>
      <c r="AI158" s="8"/>
    </row>
    <row r="159" spans="1:35" x14ac:dyDescent="0.2">
      <c r="A159" s="1462">
        <f t="shared" si="118"/>
        <v>149</v>
      </c>
      <c r="B159" s="1097" t="s">
        <v>361</v>
      </c>
      <c r="C159" s="1185">
        <f>_xlfn.XLOOKUP(B159,Códigos!$B$8:$B$406,Códigos!$A$8:$A$406,"Verificar",0)</f>
        <v>183</v>
      </c>
      <c r="D159" s="1114">
        <f>_xlfn.XLOOKUP(B159,'Consolidado Cobros'!$B$10:$B$312,'Consolidado Cobros'!$C$10:$C$312,"Verificar",0)</f>
        <v>8226721</v>
      </c>
      <c r="E159" s="1186">
        <f t="shared" si="97"/>
        <v>2</v>
      </c>
      <c r="F159" s="1463">
        <f t="shared" si="99"/>
        <v>240000</v>
      </c>
      <c r="G159" s="1362"/>
      <c r="H159" s="1099"/>
      <c r="I159" s="1100"/>
      <c r="J159" s="1099"/>
      <c r="K159" s="1099"/>
      <c r="L159" s="1100"/>
      <c r="M159" s="349"/>
      <c r="N159" s="1710"/>
      <c r="O159" s="8"/>
      <c r="P159" s="239" t="s">
        <v>318</v>
      </c>
      <c r="Q159" s="119">
        <f>ROUND(IF(P159="SI",SUMIF('C de C año anterior'!$B$8:$B$229,B159,'C de C año anterior'!$Q$8:$Q$229)*(100%+$Q$5),0),-3)+ROUND(IF(P159="SI",SUMIF('Facturas año anterior'!$B$8:$B$86,B159,'Facturas año anterior'!$V$8:$V$86)*(100%+$AA$5),0),-3)</f>
        <v>242000</v>
      </c>
      <c r="R159" s="239"/>
      <c r="S159" s="114">
        <f t="shared" si="100"/>
        <v>0</v>
      </c>
      <c r="T159" s="240"/>
      <c r="U159" s="115">
        <f t="shared" si="101"/>
        <v>0</v>
      </c>
      <c r="V159" s="884"/>
      <c r="W159" s="874">
        <f t="shared" si="102"/>
        <v>0</v>
      </c>
      <c r="X159" s="884"/>
      <c r="Y159" s="874">
        <f t="shared" si="103"/>
        <v>0</v>
      </c>
      <c r="Z159" s="241"/>
      <c r="AA159" s="116">
        <f t="shared" si="104"/>
        <v>0</v>
      </c>
      <c r="AB159" s="239"/>
      <c r="AC159" s="116">
        <f t="shared" si="105"/>
        <v>0</v>
      </c>
      <c r="AD159" s="242"/>
      <c r="AE159" s="117">
        <f t="shared" si="106"/>
        <v>0</v>
      </c>
      <c r="AF159" s="1228">
        <f>SUMIF('Otras Asesorías y Préstamos'!$B$7:$B$242,B159,'Otras Asesorías y Préstamos'!$F$7:$F$242)</f>
        <v>0</v>
      </c>
      <c r="AG159" s="1228">
        <f>SUMIF('Otras Asesorías y Préstamos'!$B$7:$B$242,B159,'Otras Asesorías y Préstamos'!$V$7:$V$242)</f>
        <v>0</v>
      </c>
      <c r="AH159" s="1229">
        <f t="shared" si="107"/>
        <v>240000</v>
      </c>
      <c r="AI159" s="8"/>
    </row>
    <row r="160" spans="1:35" x14ac:dyDescent="0.2">
      <c r="A160" s="1462">
        <f t="shared" si="118"/>
        <v>150</v>
      </c>
      <c r="B160" s="1493" t="s">
        <v>651</v>
      </c>
      <c r="C160" s="1185">
        <v>201</v>
      </c>
      <c r="D160" s="1114">
        <f>_xlfn.XLOOKUP(B160,'Consolidado Cobros'!$B$10:$B$312,'Consolidado Cobros'!$C$10:$C$312,"Verificar",0)</f>
        <v>32476227</v>
      </c>
      <c r="E160" s="1186">
        <f t="shared" si="97"/>
        <v>4</v>
      </c>
      <c r="F160" s="1463">
        <f t="shared" si="99"/>
        <v>120000</v>
      </c>
      <c r="G160" s="1362"/>
      <c r="H160" s="1099"/>
      <c r="I160" s="1100"/>
      <c r="J160" s="1099"/>
      <c r="K160" s="1099"/>
      <c r="L160" s="1100"/>
      <c r="M160" s="349"/>
      <c r="N160" s="1710"/>
      <c r="O160" s="8"/>
      <c r="P160" s="239" t="s">
        <v>318</v>
      </c>
      <c r="Q160" s="646">
        <f>ROUND(IF(P160="SI",SUMIF('C de C año anterior'!$B$8:$B$229,B160,'C de C año anterior'!$Q$8:$Q$229)*(100%+$Q$5),0),-3)+ROUND(IF(P160="SI",SUMIF('Facturas año anterior'!$B$8:$B$86,B160,'Facturas año anterior'!$V$8:$V$86)*(100%+$AA$5),0),-3)</f>
        <v>121000</v>
      </c>
      <c r="R160" s="239"/>
      <c r="S160" s="114">
        <f t="shared" si="100"/>
        <v>0</v>
      </c>
      <c r="T160" s="240"/>
      <c r="U160" s="115">
        <f t="shared" si="101"/>
        <v>0</v>
      </c>
      <c r="V160" s="884"/>
      <c r="W160" s="874">
        <f t="shared" si="102"/>
        <v>0</v>
      </c>
      <c r="X160" s="884"/>
      <c r="Y160" s="874">
        <f t="shared" si="103"/>
        <v>0</v>
      </c>
      <c r="Z160" s="241"/>
      <c r="AA160" s="116">
        <f t="shared" si="104"/>
        <v>0</v>
      </c>
      <c r="AB160" s="239"/>
      <c r="AC160" s="116">
        <f t="shared" si="105"/>
        <v>0</v>
      </c>
      <c r="AD160" s="242"/>
      <c r="AE160" s="117">
        <f t="shared" si="106"/>
        <v>0</v>
      </c>
      <c r="AF160" s="1228">
        <f>SUMIF('Otras Asesorías y Préstamos'!$B$7:$B$242,B160,'Otras Asesorías y Préstamos'!$F$7:$F$242)</f>
        <v>0</v>
      </c>
      <c r="AG160" s="1228">
        <f>SUMIF('Otras Asesorías y Préstamos'!$B$7:$B$242,B160,'Otras Asesorías y Préstamos'!$V$7:$V$242)</f>
        <v>0</v>
      </c>
      <c r="AH160" s="1229">
        <f t="shared" si="107"/>
        <v>120000</v>
      </c>
      <c r="AI160" s="8"/>
    </row>
    <row r="161" spans="1:35" x14ac:dyDescent="0.2">
      <c r="A161" s="1462">
        <f t="shared" si="118"/>
        <v>151</v>
      </c>
      <c r="B161" s="1493" t="s">
        <v>645</v>
      </c>
      <c r="C161" s="1185">
        <v>205</v>
      </c>
      <c r="D161" s="1114">
        <f>_xlfn.XLOOKUP(B161,'Consolidado Cobros'!$B$10:$B$312,'Consolidado Cobros'!$C$10:$C$312,"Verificar",0)</f>
        <v>42969424</v>
      </c>
      <c r="E161" s="1186">
        <f t="shared" si="97"/>
        <v>1</v>
      </c>
      <c r="F161" s="1463">
        <f t="shared" si="99"/>
        <v>120000</v>
      </c>
      <c r="G161" s="1362"/>
      <c r="H161" s="1099"/>
      <c r="I161" s="1100"/>
      <c r="J161" s="1099"/>
      <c r="K161" s="1099"/>
      <c r="L161" s="1100"/>
      <c r="M161" s="349"/>
      <c r="N161" s="1710"/>
      <c r="O161" s="8"/>
      <c r="P161" s="239" t="s">
        <v>318</v>
      </c>
      <c r="Q161" s="646">
        <f>ROUND(IF(P161="SI",SUMIF('C de C año anterior'!$B$8:$B$229,B161,'C de C año anterior'!$Q$8:$Q$229)*(100%+$Q$5),0),-3)+ROUND(IF(P161="SI",SUMIF('Facturas año anterior'!$B$8:$B$86,B161,'Facturas año anterior'!$V$8:$V$86)*(100%+$AA$5),0),-3)</f>
        <v>121000</v>
      </c>
      <c r="R161" s="239"/>
      <c r="S161" s="114">
        <f t="shared" si="100"/>
        <v>0</v>
      </c>
      <c r="T161" s="240"/>
      <c r="U161" s="115">
        <f t="shared" si="101"/>
        <v>0</v>
      </c>
      <c r="V161" s="884"/>
      <c r="W161" s="874">
        <f t="shared" si="102"/>
        <v>0</v>
      </c>
      <c r="X161" s="884"/>
      <c r="Y161" s="874">
        <f t="shared" si="103"/>
        <v>0</v>
      </c>
      <c r="Z161" s="241"/>
      <c r="AA161" s="116">
        <f t="shared" si="104"/>
        <v>0</v>
      </c>
      <c r="AB161" s="239"/>
      <c r="AC161" s="116">
        <f t="shared" si="105"/>
        <v>0</v>
      </c>
      <c r="AD161" s="242"/>
      <c r="AE161" s="117">
        <f t="shared" si="106"/>
        <v>0</v>
      </c>
      <c r="AF161" s="1228">
        <f>SUMIF('Otras Asesorías y Préstamos'!$B$7:$B$242,B161,'Otras Asesorías y Préstamos'!$F$7:$F$242)</f>
        <v>0</v>
      </c>
      <c r="AG161" s="1228">
        <f>SUMIF('Otras Asesorías y Préstamos'!$B$7:$B$242,B161,'Otras Asesorías y Préstamos'!$V$7:$V$242)</f>
        <v>0</v>
      </c>
      <c r="AH161" s="1229">
        <f t="shared" si="107"/>
        <v>120000</v>
      </c>
      <c r="AI161" s="8"/>
    </row>
    <row r="162" spans="1:35" x14ac:dyDescent="0.2">
      <c r="A162" s="1462">
        <f t="shared" si="118"/>
        <v>152</v>
      </c>
      <c r="B162" s="1491" t="s">
        <v>359</v>
      </c>
      <c r="C162" s="1678">
        <f>_xlfn.XLOOKUP(B162,Códigos!$B$8:$B$406,Códigos!$A$8:$A$406,"Verificar",0)</f>
        <v>188</v>
      </c>
      <c r="D162" s="1114">
        <f>_xlfn.XLOOKUP(B162,'Consolidado Cobros'!$B$10:$B$312,'Consolidado Cobros'!$C$10:$C$312,"Verificar",0)</f>
        <v>70567656</v>
      </c>
      <c r="E162" s="1186">
        <f t="shared" si="97"/>
        <v>1</v>
      </c>
      <c r="F162" s="1463">
        <f t="shared" si="99"/>
        <v>470000</v>
      </c>
      <c r="G162" s="1362"/>
      <c r="H162" s="1099"/>
      <c r="I162" s="1100"/>
      <c r="J162" s="1099"/>
      <c r="K162" s="1099"/>
      <c r="L162" s="1100"/>
      <c r="M162" s="349"/>
      <c r="N162" s="1710"/>
      <c r="O162" s="8"/>
      <c r="P162" s="239" t="s">
        <v>318</v>
      </c>
      <c r="Q162" s="119">
        <f>ROUND(IF(P162="SI",SUMIF('C de C año anterior'!$B$8:$B$229,B162,'C de C año anterior'!$Q$8:$Q$229)*(100%+$Q$5),0),-3)+ROUND(IF(P162="SI",SUMIF('Facturas año anterior'!$B$8:$B$86,B162,'Facturas año anterior'!$V$8:$V$86)*(100%+$AA$5),0),-3)</f>
        <v>471000</v>
      </c>
      <c r="R162" s="239"/>
      <c r="S162" s="114">
        <f t="shared" si="100"/>
        <v>0</v>
      </c>
      <c r="T162" s="240"/>
      <c r="U162" s="115">
        <f t="shared" si="101"/>
        <v>0</v>
      </c>
      <c r="V162" s="884"/>
      <c r="W162" s="874">
        <f t="shared" si="102"/>
        <v>0</v>
      </c>
      <c r="X162" s="884"/>
      <c r="Y162" s="874">
        <f t="shared" si="103"/>
        <v>0</v>
      </c>
      <c r="Z162" s="241"/>
      <c r="AA162" s="116">
        <f t="shared" si="104"/>
        <v>0</v>
      </c>
      <c r="AB162" s="239"/>
      <c r="AC162" s="116">
        <f t="shared" si="105"/>
        <v>0</v>
      </c>
      <c r="AD162" s="242"/>
      <c r="AE162" s="117">
        <f t="shared" si="106"/>
        <v>0</v>
      </c>
      <c r="AF162" s="1228">
        <f>SUMIF('Otras Asesorías y Préstamos'!$B$7:$B$242,B162,'Otras Asesorías y Préstamos'!$F$7:$F$242)</f>
        <v>0</v>
      </c>
      <c r="AG162" s="1228">
        <f>SUMIF('Otras Asesorías y Préstamos'!$B$7:$B$242,B162,'Otras Asesorías y Préstamos'!$V$7:$V$242)</f>
        <v>0</v>
      </c>
      <c r="AH162" s="1229">
        <f t="shared" si="107"/>
        <v>470000</v>
      </c>
      <c r="AI162" s="8"/>
    </row>
    <row r="163" spans="1:35" x14ac:dyDescent="0.2">
      <c r="A163" s="1462">
        <f t="shared" si="118"/>
        <v>153</v>
      </c>
      <c r="B163" s="1097" t="s">
        <v>149</v>
      </c>
      <c r="C163" s="1185">
        <f>_xlfn.XLOOKUP(B163,Códigos!$B$8:$B$406,Códigos!$A$8:$A$406,"Verificar",0)</f>
        <v>189</v>
      </c>
      <c r="D163" s="1114">
        <f>_xlfn.XLOOKUP(B163,'Consolidado Cobros'!$B$10:$B$312,'Consolidado Cobros'!$C$10:$C$312,"Verificar",0)</f>
        <v>42877800</v>
      </c>
      <c r="E163" s="1186">
        <f t="shared" si="97"/>
        <v>2</v>
      </c>
      <c r="F163" s="1463">
        <f t="shared" si="99"/>
        <v>2120000</v>
      </c>
      <c r="G163" s="1362"/>
      <c r="H163" s="1099"/>
      <c r="I163" s="1100"/>
      <c r="J163" s="1099"/>
      <c r="K163" s="1099"/>
      <c r="L163" s="1100"/>
      <c r="M163" s="349"/>
      <c r="N163" s="1710"/>
      <c r="O163" s="8"/>
      <c r="P163" s="239" t="s">
        <v>318</v>
      </c>
      <c r="Q163" s="119">
        <f>ROUND(IF(P163="SI",SUMIF('C de C año anterior'!$B$8:$B$229,B163,'C de C año anterior'!$Q$8:$Q$229)*(100%+$Q$5),0),-3)+ROUND(IF(P163="SI",SUMIF('Facturas año anterior'!$B$8:$B$86,B163,'Facturas año anterior'!$V$8:$V$86)*(100%+$AA$5),0),-3)</f>
        <v>887000</v>
      </c>
      <c r="R163" s="239" t="s">
        <v>318</v>
      </c>
      <c r="S163" s="114">
        <f t="shared" si="100"/>
        <v>444000</v>
      </c>
      <c r="T163" s="240"/>
      <c r="U163" s="115">
        <f t="shared" si="101"/>
        <v>0</v>
      </c>
      <c r="V163" s="884"/>
      <c r="W163" s="874">
        <f t="shared" si="102"/>
        <v>0</v>
      </c>
      <c r="X163" s="884"/>
      <c r="Y163" s="874">
        <f t="shared" si="103"/>
        <v>0</v>
      </c>
      <c r="Z163" s="241"/>
      <c r="AA163" s="116">
        <f t="shared" si="104"/>
        <v>0</v>
      </c>
      <c r="AB163" s="239"/>
      <c r="AC163" s="116">
        <f t="shared" si="105"/>
        <v>0</v>
      </c>
      <c r="AD163" s="242" t="s">
        <v>318</v>
      </c>
      <c r="AE163" s="117">
        <f t="shared" si="106"/>
        <v>266100</v>
      </c>
      <c r="AF163" s="1228">
        <f>SUMIF('Otras Asesorías y Préstamos'!$B$7:$B$242,B163,'Otras Asesorías y Préstamos'!$F$7:$F$242)</f>
        <v>524582.99712041917</v>
      </c>
      <c r="AG163" s="1228">
        <f>SUMIF('Otras Asesorías y Préstamos'!$B$7:$B$242,B163,'Otras Asesorías y Préstamos'!$V$7:$V$242)</f>
        <v>0</v>
      </c>
      <c r="AH163" s="1229">
        <f t="shared" si="107"/>
        <v>2120000</v>
      </c>
      <c r="AI163" s="8"/>
    </row>
    <row r="164" spans="1:35" x14ac:dyDescent="0.2">
      <c r="A164" s="1462">
        <f t="shared" si="118"/>
        <v>154</v>
      </c>
      <c r="B164" s="1097" t="s">
        <v>150</v>
      </c>
      <c r="C164" s="1185">
        <f>_xlfn.XLOOKUP(B164,Códigos!$B$8:$B$406,Códigos!$A$8:$A$406,"Verificar",0)</f>
        <v>190</v>
      </c>
      <c r="D164" s="1114">
        <f>_xlfn.XLOOKUP(B164,'Consolidado Cobros'!$B$10:$B$312,'Consolidado Cobros'!$C$10:$C$312,"Verificar",0)</f>
        <v>21717463</v>
      </c>
      <c r="E164" s="1186">
        <f t="shared" si="97"/>
        <v>1</v>
      </c>
      <c r="F164" s="1463">
        <f t="shared" si="99"/>
        <v>770000</v>
      </c>
      <c r="G164" s="1098"/>
      <c r="H164" s="1099"/>
      <c r="I164" s="1100"/>
      <c r="J164" s="1099"/>
      <c r="K164" s="1099"/>
      <c r="L164" s="1100"/>
      <c r="M164" s="349"/>
      <c r="N164" s="1710"/>
      <c r="O164" s="8"/>
      <c r="P164" s="239" t="s">
        <v>318</v>
      </c>
      <c r="Q164" s="119">
        <f>ROUND(IF(P164="SI",SUMIF('C de C año anterior'!$B$8:$B$229,B164,'C de C año anterior'!$Q$8:$Q$229)*(100%+$Q$5),0),-3)+ROUND(IF(P164="SI",SUMIF('Facturas año anterior'!$B$8:$B$86,B164,'Facturas año anterior'!$V$8:$V$86)*(100%+$AA$5),0),-3)</f>
        <v>766000</v>
      </c>
      <c r="R164" s="239"/>
      <c r="S164" s="114">
        <f t="shared" si="100"/>
        <v>0</v>
      </c>
      <c r="T164" s="240"/>
      <c r="U164" s="115">
        <f t="shared" si="101"/>
        <v>0</v>
      </c>
      <c r="V164" s="884"/>
      <c r="W164" s="874">
        <f t="shared" si="102"/>
        <v>0</v>
      </c>
      <c r="X164" s="884"/>
      <c r="Y164" s="874">
        <f t="shared" si="103"/>
        <v>0</v>
      </c>
      <c r="Z164" s="241"/>
      <c r="AA164" s="116">
        <f t="shared" si="104"/>
        <v>0</v>
      </c>
      <c r="AB164" s="239"/>
      <c r="AC164" s="116">
        <f t="shared" si="105"/>
        <v>0</v>
      </c>
      <c r="AD164" s="242"/>
      <c r="AE164" s="117">
        <f t="shared" si="106"/>
        <v>0</v>
      </c>
      <c r="AF164" s="1228">
        <f>SUMIF('Otras Asesorías y Préstamos'!$B$7:$B$242,B164,'Otras Asesorías y Préstamos'!$F$7:$F$242)</f>
        <v>0</v>
      </c>
      <c r="AG164" s="1228">
        <f>SUMIF('Otras Asesorías y Préstamos'!$B$7:$B$242,B164,'Otras Asesorías y Préstamos'!$V$7:$V$242)</f>
        <v>0</v>
      </c>
      <c r="AH164" s="1229">
        <f t="shared" si="107"/>
        <v>770000</v>
      </c>
      <c r="AI164" s="8"/>
    </row>
    <row r="165" spans="1:35" x14ac:dyDescent="0.2">
      <c r="A165" s="1462">
        <f t="shared" si="118"/>
        <v>155</v>
      </c>
      <c r="B165" s="1097" t="s">
        <v>455</v>
      </c>
      <c r="C165" s="1185">
        <f>_xlfn.XLOOKUP(B165,Códigos!$B$8:$B$406,Códigos!$A$8:$A$406,"Verificar",0)</f>
        <v>192</v>
      </c>
      <c r="D165" s="1114">
        <f>_xlfn.XLOOKUP(B165,'Consolidado Cobros'!$B$10:$B$312,'Consolidado Cobros'!$C$10:$C$312,"Verificar",0)</f>
        <v>21717467</v>
      </c>
      <c r="E165" s="1186">
        <f t="shared" si="97"/>
        <v>0</v>
      </c>
      <c r="F165" s="618">
        <f t="shared" si="99"/>
        <v>770000</v>
      </c>
      <c r="G165" s="1362"/>
      <c r="H165" s="1099"/>
      <c r="I165" s="1100"/>
      <c r="J165" s="1099"/>
      <c r="K165" s="1099"/>
      <c r="L165" s="1100"/>
      <c r="M165" s="349"/>
      <c r="N165" s="1710"/>
      <c r="O165" s="8"/>
      <c r="P165" s="239" t="s">
        <v>318</v>
      </c>
      <c r="Q165" s="119">
        <f>ROUND(IF(P165="SI",SUMIF('C de C año anterior'!$B$8:$B$229,B165,'C de C año anterior'!$Q$8:$Q$229)*(100%+$Q$5),0),-3)+ROUND(IF(P165="SI",SUMIF('Facturas año anterior'!$B$8:$B$86,B165,'Facturas año anterior'!$V$8:$V$86)*(100%+$AA$5),0),-3)</f>
        <v>766000</v>
      </c>
      <c r="R165" s="239"/>
      <c r="S165" s="114">
        <f t="shared" si="100"/>
        <v>0</v>
      </c>
      <c r="T165" s="240"/>
      <c r="U165" s="115">
        <f t="shared" si="101"/>
        <v>0</v>
      </c>
      <c r="V165" s="884"/>
      <c r="W165" s="874">
        <f t="shared" si="102"/>
        <v>0</v>
      </c>
      <c r="X165" s="884"/>
      <c r="Y165" s="874">
        <f t="shared" si="103"/>
        <v>0</v>
      </c>
      <c r="Z165" s="241"/>
      <c r="AA165" s="116">
        <f t="shared" si="104"/>
        <v>0</v>
      </c>
      <c r="AB165" s="239"/>
      <c r="AC165" s="116">
        <f t="shared" si="105"/>
        <v>0</v>
      </c>
      <c r="AD165" s="242"/>
      <c r="AE165" s="117">
        <f t="shared" si="106"/>
        <v>0</v>
      </c>
      <c r="AF165" s="1228">
        <f>SUMIF('Otras Asesorías y Préstamos'!$B$7:$B$242,B165,'Otras Asesorías y Préstamos'!$F$7:$F$242)</f>
        <v>0</v>
      </c>
      <c r="AG165" s="1228">
        <f>SUMIF('Otras Asesorías y Préstamos'!$B$7:$B$242,B165,'Otras Asesorías y Préstamos'!$V$7:$V$242)</f>
        <v>0</v>
      </c>
      <c r="AH165" s="1229">
        <f t="shared" si="107"/>
        <v>770000</v>
      </c>
      <c r="AI165" s="8"/>
    </row>
    <row r="166" spans="1:35" x14ac:dyDescent="0.2">
      <c r="A166" s="1462">
        <f t="shared" si="118"/>
        <v>156</v>
      </c>
      <c r="B166" s="1097" t="s">
        <v>152</v>
      </c>
      <c r="C166" s="1185">
        <f>_xlfn.XLOOKUP(B166,Códigos!$B$8:$B$406,Códigos!$A$8:$A$406,"Verificar",0)</f>
        <v>193</v>
      </c>
      <c r="D166" s="1114">
        <f>_xlfn.XLOOKUP(B166,'Consolidado Cobros'!$B$10:$B$312,'Consolidado Cobros'!$C$10:$C$312,"Verificar",0)</f>
        <v>32326870</v>
      </c>
      <c r="E166" s="1186">
        <f t="shared" si="97"/>
        <v>8</v>
      </c>
      <c r="F166" s="618">
        <f t="shared" si="99"/>
        <v>500000</v>
      </c>
      <c r="G166" s="1362"/>
      <c r="H166" s="1099"/>
      <c r="I166" s="1100"/>
      <c r="J166" s="1099"/>
      <c r="K166" s="1099"/>
      <c r="L166" s="1100"/>
      <c r="M166" s="349"/>
      <c r="N166" s="1710"/>
      <c r="O166" s="8"/>
      <c r="P166" s="239" t="s">
        <v>318</v>
      </c>
      <c r="Q166" s="119">
        <f>ROUND(IF(P166="SI",SUMIF('C de C año anterior'!$B$8:$B$229,B166,'C de C año anterior'!$Q$8:$Q$229)*(100%+$Q$5),0),-3)+ROUND(IF(P166="SI",SUMIF('Facturas año anterior'!$B$8:$B$86,B166,'Facturas año anterior'!$V$8:$V$86)*(100%+$AA$5),0),-3)</f>
        <v>495000</v>
      </c>
      <c r="R166" s="239"/>
      <c r="S166" s="114">
        <f t="shared" si="100"/>
        <v>0</v>
      </c>
      <c r="T166" s="240"/>
      <c r="U166" s="115">
        <f t="shared" si="101"/>
        <v>0</v>
      </c>
      <c r="V166" s="884"/>
      <c r="W166" s="874">
        <f t="shared" si="102"/>
        <v>0</v>
      </c>
      <c r="X166" s="884"/>
      <c r="Y166" s="874">
        <f t="shared" si="103"/>
        <v>0</v>
      </c>
      <c r="Z166" s="241"/>
      <c r="AA166" s="116">
        <f t="shared" si="104"/>
        <v>0</v>
      </c>
      <c r="AB166" s="239"/>
      <c r="AC166" s="116">
        <f t="shared" si="105"/>
        <v>0</v>
      </c>
      <c r="AD166" s="242"/>
      <c r="AE166" s="117">
        <f t="shared" si="106"/>
        <v>0</v>
      </c>
      <c r="AF166" s="1228">
        <f>SUMIF('Otras Asesorías y Préstamos'!$B$7:$B$242,B166,'Otras Asesorías y Préstamos'!$F$7:$F$242)</f>
        <v>0</v>
      </c>
      <c r="AG166" s="1228">
        <f>SUMIF('Otras Asesorías y Préstamos'!$B$7:$B$242,B166,'Otras Asesorías y Préstamos'!$V$7:$V$242)</f>
        <v>0</v>
      </c>
      <c r="AH166" s="1229">
        <f t="shared" si="107"/>
        <v>500000</v>
      </c>
      <c r="AI166" s="8"/>
    </row>
    <row r="167" spans="1:35" x14ac:dyDescent="0.2">
      <c r="A167" s="1462">
        <f t="shared" si="118"/>
        <v>157</v>
      </c>
      <c r="B167" s="1097" t="s">
        <v>153</v>
      </c>
      <c r="C167" s="1185">
        <f>_xlfn.XLOOKUP(B167,Códigos!$B$8:$B$406,Códigos!$A$8:$A$406,"Verificar",0)</f>
        <v>194</v>
      </c>
      <c r="D167" s="1114">
        <f>_xlfn.XLOOKUP(B167,'Consolidado Cobros'!$B$10:$B$312,'Consolidado Cobros'!$C$10:$C$312,"Verificar",0)</f>
        <v>70562691</v>
      </c>
      <c r="E167" s="1186">
        <f t="shared" si="97"/>
        <v>5</v>
      </c>
      <c r="F167" s="618">
        <f t="shared" si="99"/>
        <v>500000</v>
      </c>
      <c r="G167" s="1362"/>
      <c r="H167" s="1099"/>
      <c r="I167" s="1100"/>
      <c r="J167" s="1099"/>
      <c r="K167" s="1099"/>
      <c r="L167" s="1100"/>
      <c r="M167" s="349"/>
      <c r="N167" s="1710"/>
      <c r="O167" s="8"/>
      <c r="P167" s="239" t="s">
        <v>318</v>
      </c>
      <c r="Q167" s="119">
        <f>ROUND(IF(P167="SI",SUMIF('C de C año anterior'!$B$8:$B$229,B167,'C de C año anterior'!$Q$8:$Q$229)*(100%+$Q$5),0),-3)+ROUND(IF(P167="SI",SUMIF('Facturas año anterior'!$B$8:$B$86,B167,'Facturas año anterior'!$V$8:$V$86)*(100%+$AA$5),0),-3)</f>
        <v>495000</v>
      </c>
      <c r="R167" s="239"/>
      <c r="S167" s="114">
        <f t="shared" si="100"/>
        <v>0</v>
      </c>
      <c r="T167" s="240"/>
      <c r="U167" s="115">
        <f t="shared" si="101"/>
        <v>0</v>
      </c>
      <c r="V167" s="884"/>
      <c r="W167" s="874">
        <f t="shared" si="102"/>
        <v>0</v>
      </c>
      <c r="X167" s="884"/>
      <c r="Y167" s="874">
        <f t="shared" si="103"/>
        <v>0</v>
      </c>
      <c r="Z167" s="241"/>
      <c r="AA167" s="116">
        <f t="shared" si="104"/>
        <v>0</v>
      </c>
      <c r="AB167" s="239"/>
      <c r="AC167" s="116">
        <f t="shared" si="105"/>
        <v>0</v>
      </c>
      <c r="AD167" s="242"/>
      <c r="AE167" s="117">
        <f t="shared" si="106"/>
        <v>0</v>
      </c>
      <c r="AF167" s="1228">
        <f>SUMIF('Otras Asesorías y Préstamos'!$B$7:$B$242,B167,'Otras Asesorías y Préstamos'!$F$7:$F$242)</f>
        <v>0</v>
      </c>
      <c r="AG167" s="1228">
        <f>SUMIF('Otras Asesorías y Préstamos'!$B$7:$B$242,B167,'Otras Asesorías y Préstamos'!$V$7:$V$242)</f>
        <v>0</v>
      </c>
      <c r="AH167" s="1229">
        <f t="shared" si="107"/>
        <v>500000</v>
      </c>
      <c r="AI167" s="8"/>
    </row>
    <row r="168" spans="1:35" x14ac:dyDescent="0.2">
      <c r="A168" s="1462">
        <f t="shared" si="118"/>
        <v>158</v>
      </c>
      <c r="B168" s="1097" t="s">
        <v>154</v>
      </c>
      <c r="C168" s="1185">
        <f>_xlfn.XLOOKUP(B168,Códigos!$B$8:$B$406,Códigos!$A$8:$A$406,"Verificar",0)</f>
        <v>197</v>
      </c>
      <c r="D168" s="1114">
        <f>_xlfn.XLOOKUP(B168,'Consolidado Cobros'!$B$10:$B$312,'Consolidado Cobros'!$C$10:$C$312,"Verificar",0)</f>
        <v>21354620</v>
      </c>
      <c r="E168" s="1186">
        <f t="shared" si="97"/>
        <v>2</v>
      </c>
      <c r="F168" s="618">
        <f t="shared" si="99"/>
        <v>1600000</v>
      </c>
      <c r="G168" s="1098"/>
      <c r="H168" s="1099"/>
      <c r="I168" s="1100"/>
      <c r="J168" s="1099"/>
      <c r="K168" s="1099"/>
      <c r="L168" s="1100"/>
      <c r="M168" s="349"/>
      <c r="N168" s="1710"/>
      <c r="O168" s="8"/>
      <c r="P168" s="239" t="s">
        <v>318</v>
      </c>
      <c r="Q168" s="119">
        <f>ROUND(IF(P168="SI",SUMIF('C de C año anterior'!$B$8:$B$229,B168,'C de C año anterior'!$Q$8:$Q$229)*(100%+$Q$5),0),-3)+ROUND(IF(P168="SI",SUMIF('Facturas año anterior'!$B$8:$B$86,B168,'Facturas año anterior'!$V$8:$V$86)*(100%+$AA$5),0),-3)</f>
        <v>858000</v>
      </c>
      <c r="R168" s="239"/>
      <c r="S168" s="114">
        <f t="shared" si="100"/>
        <v>0</v>
      </c>
      <c r="T168" s="240"/>
      <c r="U168" s="115">
        <f t="shared" si="101"/>
        <v>0</v>
      </c>
      <c r="V168" s="884"/>
      <c r="W168" s="874">
        <f t="shared" si="102"/>
        <v>0</v>
      </c>
      <c r="X168" s="884"/>
      <c r="Y168" s="874">
        <f t="shared" si="103"/>
        <v>0</v>
      </c>
      <c r="Z168" s="241"/>
      <c r="AA168" s="116">
        <f t="shared" si="104"/>
        <v>0</v>
      </c>
      <c r="AB168" s="239"/>
      <c r="AC168" s="116">
        <f t="shared" si="105"/>
        <v>0</v>
      </c>
      <c r="AD168" s="242" t="s">
        <v>318</v>
      </c>
      <c r="AE168" s="117">
        <f t="shared" si="106"/>
        <v>257400</v>
      </c>
      <c r="AF168" s="1228">
        <f>SUMIF('Otras Asesorías y Préstamos'!$B$7:$B$242,B168,'Otras Asesorías y Préstamos'!$F$7:$F$242)</f>
        <v>484582.99712041923</v>
      </c>
      <c r="AG168" s="1228">
        <f>SUMIF('Otras Asesorías y Préstamos'!$B$7:$B$242,B168,'Otras Asesorías y Préstamos'!$V$7:$V$242)</f>
        <v>0</v>
      </c>
      <c r="AH168" s="1229">
        <f t="shared" si="107"/>
        <v>1600000</v>
      </c>
      <c r="AI168" s="8"/>
    </row>
    <row r="169" spans="1:35" x14ac:dyDescent="0.2">
      <c r="A169" s="1462">
        <f t="shared" si="118"/>
        <v>159</v>
      </c>
      <c r="B169" s="1097" t="s">
        <v>155</v>
      </c>
      <c r="C169" s="1185">
        <f>_xlfn.XLOOKUP(B169,Códigos!$B$8:$B$406,Códigos!$A$8:$A$406,"Verificar",0)</f>
        <v>198</v>
      </c>
      <c r="D169" s="1114">
        <f>_xlfn.XLOOKUP(B169,'Consolidado Cobros'!$B$10:$B$312,'Consolidado Cobros'!$C$10:$C$312,"Verificar",0)</f>
        <v>8291095</v>
      </c>
      <c r="E169" s="1186">
        <f t="shared" si="97"/>
        <v>6</v>
      </c>
      <c r="F169" s="618">
        <f t="shared" si="99"/>
        <v>470000</v>
      </c>
      <c r="G169" s="1362"/>
      <c r="H169" s="1099"/>
      <c r="I169" s="1100"/>
      <c r="J169" s="1099"/>
      <c r="K169" s="1099"/>
      <c r="L169" s="1100"/>
      <c r="M169" s="349"/>
      <c r="N169" s="1710"/>
      <c r="O169" s="8"/>
      <c r="P169" s="239" t="s">
        <v>318</v>
      </c>
      <c r="Q169" s="119">
        <f>ROUND(IF(P169="SI",SUMIF('C de C año anterior'!$B$8:$B$229,B169,'C de C año anterior'!$Q$8:$Q$229)*(100%+$Q$5),0),-3)+ROUND(IF(P169="SI",SUMIF('Facturas año anterior'!$B$8:$B$86,B169,'Facturas año anterior'!$V$8:$V$86)*(100%+$AA$5),0),-3)</f>
        <v>471000</v>
      </c>
      <c r="R169" s="239"/>
      <c r="S169" s="114">
        <f t="shared" si="100"/>
        <v>0</v>
      </c>
      <c r="T169" s="240"/>
      <c r="U169" s="115">
        <f t="shared" si="101"/>
        <v>0</v>
      </c>
      <c r="V169" s="884"/>
      <c r="W169" s="874">
        <f t="shared" si="102"/>
        <v>0</v>
      </c>
      <c r="X169" s="884"/>
      <c r="Y169" s="874">
        <f t="shared" si="103"/>
        <v>0</v>
      </c>
      <c r="Z169" s="241"/>
      <c r="AA169" s="116">
        <f t="shared" si="104"/>
        <v>0</v>
      </c>
      <c r="AB169" s="239"/>
      <c r="AC169" s="116">
        <f t="shared" si="105"/>
        <v>0</v>
      </c>
      <c r="AD169" s="242"/>
      <c r="AE169" s="117">
        <f t="shared" si="106"/>
        <v>0</v>
      </c>
      <c r="AF169" s="1228">
        <f>SUMIF('Otras Asesorías y Préstamos'!$B$7:$B$242,B169,'Otras Asesorías y Préstamos'!$F$7:$F$242)</f>
        <v>0</v>
      </c>
      <c r="AG169" s="1228">
        <f>SUMIF('Otras Asesorías y Préstamos'!$B$7:$B$242,B169,'Otras Asesorías y Préstamos'!$V$7:$V$242)</f>
        <v>0</v>
      </c>
      <c r="AH169" s="1229">
        <f t="shared" si="107"/>
        <v>470000</v>
      </c>
      <c r="AI169" s="8"/>
    </row>
    <row r="170" spans="1:35" x14ac:dyDescent="0.2">
      <c r="A170" s="1462">
        <f t="shared" si="118"/>
        <v>160</v>
      </c>
      <c r="B170" s="1097" t="s">
        <v>156</v>
      </c>
      <c r="C170" s="1185">
        <f>_xlfn.XLOOKUP(B170,Códigos!$B$8:$B$406,Códigos!$A$8:$A$406,"Verificar",0)</f>
        <v>199</v>
      </c>
      <c r="D170" s="1114">
        <f>_xlfn.XLOOKUP(B170,'Consolidado Cobros'!$B$10:$B$312,'Consolidado Cobros'!$C$10:$C$312,"Verificar",0)</f>
        <v>32403117</v>
      </c>
      <c r="E170" s="1186">
        <f t="shared" si="97"/>
        <v>1</v>
      </c>
      <c r="F170" s="1463">
        <f t="shared" si="99"/>
        <v>0</v>
      </c>
      <c r="G170" s="1362"/>
      <c r="H170" s="1867"/>
      <c r="I170" s="1100"/>
      <c r="J170" s="1099"/>
      <c r="K170" s="1099"/>
      <c r="L170" s="1100"/>
      <c r="M170" s="349"/>
      <c r="N170" s="1710"/>
      <c r="O170" s="8"/>
      <c r="P170" s="239" t="s">
        <v>266</v>
      </c>
      <c r="Q170" s="119">
        <f>ROUND(IF(P170="SI",SUMIF('C de C año anterior'!$B$8:$B$229,B170,'C de C año anterior'!$Q$8:$Q$229)*(100%+$Q$5),0),-3)+ROUND(IF(P170="SI",SUMIF('Facturas año anterior'!$B$8:$B$86,B170,'Facturas año anterior'!$V$8:$V$86)*(100%+$AA$5),0),-3)</f>
        <v>0</v>
      </c>
      <c r="R170" s="239"/>
      <c r="S170" s="114">
        <f t="shared" si="100"/>
        <v>0</v>
      </c>
      <c r="T170" s="240"/>
      <c r="U170" s="115">
        <f t="shared" si="101"/>
        <v>0</v>
      </c>
      <c r="V170" s="884"/>
      <c r="W170" s="874">
        <f t="shared" si="102"/>
        <v>0</v>
      </c>
      <c r="X170" s="884"/>
      <c r="Y170" s="874">
        <f t="shared" si="103"/>
        <v>0</v>
      </c>
      <c r="Z170" s="241"/>
      <c r="AA170" s="116">
        <f t="shared" si="104"/>
        <v>0</v>
      </c>
      <c r="AB170" s="239"/>
      <c r="AC170" s="116">
        <f t="shared" si="105"/>
        <v>0</v>
      </c>
      <c r="AD170" s="242"/>
      <c r="AE170" s="117">
        <f t="shared" si="106"/>
        <v>0</v>
      </c>
      <c r="AF170" s="1228">
        <f>SUMIF('Otras Asesorías y Préstamos'!$B$7:$B$242,B170,'Otras Asesorías y Préstamos'!$F$7:$F$242)</f>
        <v>0</v>
      </c>
      <c r="AG170" s="1228">
        <f>SUMIF('Otras Asesorías y Préstamos'!$B$7:$B$242,B170,'Otras Asesorías y Préstamos'!$V$7:$V$242)</f>
        <v>0</v>
      </c>
      <c r="AH170" s="1229">
        <f t="shared" si="107"/>
        <v>0</v>
      </c>
      <c r="AI170" s="8"/>
    </row>
    <row r="171" spans="1:35" x14ac:dyDescent="0.2">
      <c r="A171" s="1462">
        <f t="shared" si="118"/>
        <v>161</v>
      </c>
      <c r="B171" s="1097" t="s">
        <v>157</v>
      </c>
      <c r="C171" s="1185">
        <f>_xlfn.XLOOKUP(B171,Códigos!$B$8:$B$406,Códigos!$A$8:$A$406,"Verificar",0)</f>
        <v>200</v>
      </c>
      <c r="D171" s="1114">
        <f>_xlfn.XLOOKUP(B171,'Consolidado Cobros'!$B$10:$B$312,'Consolidado Cobros'!$C$10:$C$312,"Verificar",0)</f>
        <v>700004170</v>
      </c>
      <c r="E171" s="1186">
        <f t="shared" ref="E171:E178" si="143">IF((MOD((VALUE(MID(TEXT(D171,"000000000000000"),15,1))*3+VALUE(MID(TEXT(D171,"000000000000000"),14,1))*7+VALUE(MID(TEXT(D171,"000000000000000"),13,1))*13+VALUE(MID(TEXT(D171,"000000000000000"),12,1))*17+VALUE(MID(TEXT(D171,"000000000000000"),11,1))*19+VALUE(MID(TEXT(D171,"000000000000000"),10,1))*23+VALUE(MID(TEXT(D171,"000000000000000"),9,1))*29+VALUE(MID(TEXT(D171,"000000000000000"),8,1))*37+VALUE(MID(TEXT(D171,"000000000000000"),7,1))*41+VALUE(MID(TEXT(D171,"000000000000000"),6,1))*43+VALUE(MID(TEXT(D171,"000000000000000"),5,1))*47+VALUE(MID(TEXT(D171,"000000000000000"),4,1))*53+VALUE(MID(TEXT(D171,"000000000000000"),3,1))*59+VALUE(MID(TEXT(D171,"000000000000000"),2,1))*67+VALUE(MID(TEXT(D171,"000000000000000"),1,1))*71),11))=0,0,IF((MOD((VALUE(MID(TEXT(D171,"000000000000000"),15,1))*3+VALUE(MID(TEXT(D171,"000000000000000"),14,1))*7+VALUE(MID(TEXT(D171,"000000000000000"),13,1))*13+VALUE(MID(TEXT(D171,"000000000000000"),12,1))*17+VALUE(MID(TEXT(D171,"000000000000000"),11,1))*19+VALUE(MID(TEXT(D171,"000000000000000"),10,1))*23+VALUE(MID(TEXT(D171,"000000000000000"),9,1))*29+VALUE(MID(TEXT(D171,"000000000000000"),8,1))*37+VALUE(MID(TEXT(D171,"000000000000000"),7,1))*41+VALUE(MID(TEXT(D171,"000000000000000"),6,1))*43+VALUE(MID(TEXT(D171,"000000000000000"),5,1))*47+VALUE(MID(TEXT(D171,"000000000000000"),4,1))*53+VALUE(MID(TEXT(D171,"000000000000000"),3,1))*59+VALUE(MID(TEXT(D171,"000000000000000"),2,1))*67+VALUE(MID(TEXT(D171,"000000000000000"),1,1))*71),11))=1,1,11-(MOD((VALUE(MID(TEXT(D171,"000000000000000"),15,1))*3+VALUE(MID(TEXT(D171,"000000000000000"),14,1))*7+VALUE(MID(TEXT(D171,"000000000000000"),13,1))*13+VALUE(MID(TEXT(D171,"000000000000000"),12,1))*17+VALUE(MID(TEXT(D171,"000000000000000"),11,1))*19+VALUE(MID(TEXT(D171,"000000000000000"),10,1))*23+VALUE(MID(TEXT(D171,"000000000000000"),9,1))*29+VALUE(MID(TEXT(D171,"000000000000000"),8,1))*37+VALUE(MID(TEXT(D171,"000000000000000"),7,1))*41+VALUE(MID(TEXT(D171,"000000000000000"),6,1))*43+VALUE(MID(TEXT(D171,"000000000000000"),5,1))*47+VALUE(MID(TEXT(D171,"000000000000000"),4,1))*53+VALUE(MID(TEXT(D171,"000000000000000"),3,1))*59+VALUE(MID(TEXT(D171,"000000000000000"),2,1))*67+VALUE(MID(TEXT(D171,"000000000000000"),1,1))*71),11))))</f>
        <v>1</v>
      </c>
      <c r="F171" s="618">
        <f t="shared" si="99"/>
        <v>500000</v>
      </c>
      <c r="G171" s="1098"/>
      <c r="H171" s="1099"/>
      <c r="I171" s="1100"/>
      <c r="J171" s="1099"/>
      <c r="K171" s="1099"/>
      <c r="L171" s="1100"/>
      <c r="M171" s="349"/>
      <c r="N171" s="1710"/>
      <c r="O171" s="8"/>
      <c r="P171" s="239" t="s">
        <v>318</v>
      </c>
      <c r="Q171" s="119">
        <f>ROUND(IF(P171="SI",SUMIF('C de C año anterior'!$B$8:$B$229,B171,'C de C año anterior'!$Q$8:$Q$229)*(100%+$Q$5),0),-3)+ROUND(IF(P171="SI",SUMIF('Facturas año anterior'!$B$8:$B$86,B171,'Facturas año anterior'!$V$8:$V$86)*(100%+$AA$5),0),-3)</f>
        <v>495000</v>
      </c>
      <c r="R171" s="239"/>
      <c r="S171" s="114">
        <f t="shared" si="100"/>
        <v>0</v>
      </c>
      <c r="T171" s="240"/>
      <c r="U171" s="115">
        <f t="shared" si="101"/>
        <v>0</v>
      </c>
      <c r="V171" s="884"/>
      <c r="W171" s="874">
        <f t="shared" si="102"/>
        <v>0</v>
      </c>
      <c r="X171" s="884"/>
      <c r="Y171" s="874">
        <f t="shared" si="103"/>
        <v>0</v>
      </c>
      <c r="Z171" s="241"/>
      <c r="AA171" s="116">
        <f t="shared" si="104"/>
        <v>0</v>
      </c>
      <c r="AB171" s="239"/>
      <c r="AC171" s="116">
        <f t="shared" si="105"/>
        <v>0</v>
      </c>
      <c r="AD171" s="242"/>
      <c r="AE171" s="117">
        <f t="shared" si="106"/>
        <v>0</v>
      </c>
      <c r="AF171" s="1228">
        <f>SUMIF('Otras Asesorías y Préstamos'!$B$7:$B$242,B171,'Otras Asesorías y Préstamos'!$F$7:$F$242)</f>
        <v>0</v>
      </c>
      <c r="AG171" s="1228">
        <f>SUMIF('Otras Asesorías y Préstamos'!$B$7:$B$242,B171,'Otras Asesorías y Préstamos'!$V$7:$V$242)</f>
        <v>0</v>
      </c>
      <c r="AH171" s="1229">
        <f t="shared" si="107"/>
        <v>500000</v>
      </c>
      <c r="AI171" s="8"/>
    </row>
    <row r="172" spans="1:35" x14ac:dyDescent="0.2">
      <c r="A172" s="1462">
        <f t="shared" si="118"/>
        <v>162</v>
      </c>
      <c r="B172" s="1097" t="s">
        <v>403</v>
      </c>
      <c r="C172" s="1185">
        <f>_xlfn.XLOOKUP(B172,Códigos!$B$8:$B$406,Códigos!$A$8:$A$406,"Verificar",0)</f>
        <v>117</v>
      </c>
      <c r="D172" s="1114">
        <f>_xlfn.XLOOKUP(B172,'Consolidado Cobros'!$B$10:$B$312,'Consolidado Cobros'!$C$10:$C$312,"Verificar",0)</f>
        <v>70875845</v>
      </c>
      <c r="E172" s="1186">
        <f t="shared" si="143"/>
        <v>6</v>
      </c>
      <c r="F172" s="618">
        <f t="shared" ref="F172:F188" si="144">+AH172</f>
        <v>360000</v>
      </c>
      <c r="G172" s="1362"/>
      <c r="H172" s="1099"/>
      <c r="I172" s="1100"/>
      <c r="J172" s="1099"/>
      <c r="K172" s="1099"/>
      <c r="L172" s="1100"/>
      <c r="M172" s="349"/>
      <c r="N172" s="1710"/>
      <c r="O172" s="8"/>
      <c r="P172" s="239" t="s">
        <v>318</v>
      </c>
      <c r="Q172" s="119">
        <f>ROUND(IF(P172="SI",SUMIF('C de C año anterior'!$B$8:$B$229,B172,'C de C año anterior'!$Q$8:$Q$229)*(100%+$Q$5),0),-3)+ROUND(IF(P172="SI",SUMIF('Facturas año anterior'!$B$8:$B$86,B172,'Facturas año anterior'!$V$8:$V$86)*(100%+$AA$5),0),-3)</f>
        <v>363000</v>
      </c>
      <c r="R172" s="239"/>
      <c r="S172" s="114">
        <f t="shared" si="100"/>
        <v>0</v>
      </c>
      <c r="T172" s="240"/>
      <c r="U172" s="115">
        <f t="shared" si="101"/>
        <v>0</v>
      </c>
      <c r="V172" s="884"/>
      <c r="W172" s="874">
        <f t="shared" si="102"/>
        <v>0</v>
      </c>
      <c r="X172" s="884"/>
      <c r="Y172" s="874">
        <f t="shared" si="103"/>
        <v>0</v>
      </c>
      <c r="Z172" s="241"/>
      <c r="AA172" s="116">
        <f t="shared" si="104"/>
        <v>0</v>
      </c>
      <c r="AB172" s="239"/>
      <c r="AC172" s="116">
        <f t="shared" si="105"/>
        <v>0</v>
      </c>
      <c r="AD172" s="242"/>
      <c r="AE172" s="117">
        <f t="shared" si="106"/>
        <v>0</v>
      </c>
      <c r="AF172" s="1228">
        <f>SUMIF('Otras Asesorías y Préstamos'!$B$7:$B$242,B172,'Otras Asesorías y Préstamos'!$F$7:$F$242)</f>
        <v>0</v>
      </c>
      <c r="AG172" s="1228">
        <f>SUMIF('Otras Asesorías y Préstamos'!$B$7:$B$242,B172,'Otras Asesorías y Préstamos'!$V$7:$V$242)</f>
        <v>0</v>
      </c>
      <c r="AH172" s="1229">
        <f t="shared" si="107"/>
        <v>360000</v>
      </c>
      <c r="AI172" s="8"/>
    </row>
    <row r="173" spans="1:35" x14ac:dyDescent="0.2">
      <c r="A173" s="1462">
        <f t="shared" si="118"/>
        <v>163</v>
      </c>
      <c r="B173" s="1097" t="s">
        <v>158</v>
      </c>
      <c r="C173" s="1185">
        <f>_xlfn.XLOOKUP(B173,Códigos!$B$8:$B$406,Códigos!$A$8:$A$406,"Verificar",0)</f>
        <v>240</v>
      </c>
      <c r="D173" s="1114">
        <f>_xlfn.XLOOKUP(B173,'Consolidado Cobros'!$B$10:$B$312,'Consolidado Cobros'!$C$10:$C$312,"Verificar",0)</f>
        <v>42795956</v>
      </c>
      <c r="E173" s="1186">
        <f t="shared" si="143"/>
        <v>1</v>
      </c>
      <c r="F173" s="618">
        <f t="shared" si="144"/>
        <v>360000</v>
      </c>
      <c r="G173" s="1362"/>
      <c r="H173" s="1099"/>
      <c r="I173" s="1100"/>
      <c r="J173" s="1099"/>
      <c r="K173" s="1099"/>
      <c r="L173" s="1100"/>
      <c r="M173" s="349"/>
      <c r="N173" s="1710"/>
      <c r="O173" s="8"/>
      <c r="P173" s="239" t="s">
        <v>318</v>
      </c>
      <c r="Q173" s="119">
        <f>ROUND(IF(P173="SI",SUMIF('C de C año anterior'!$B$8:$B$229,B173,'C de C año anterior'!$Q$8:$Q$229)*(100%+$Q$5),0),-3)+ROUND(IF(P173="SI",SUMIF('Facturas año anterior'!$B$8:$B$86,B173,'Facturas año anterior'!$V$8:$V$86)*(100%+$AA$5),0),-3)</f>
        <v>363000</v>
      </c>
      <c r="R173" s="239"/>
      <c r="S173" s="114">
        <f t="shared" si="100"/>
        <v>0</v>
      </c>
      <c r="T173" s="240"/>
      <c r="U173" s="115">
        <f t="shared" si="101"/>
        <v>0</v>
      </c>
      <c r="V173" s="884"/>
      <c r="W173" s="874">
        <f t="shared" si="102"/>
        <v>0</v>
      </c>
      <c r="X173" s="884"/>
      <c r="Y173" s="874">
        <f t="shared" si="103"/>
        <v>0</v>
      </c>
      <c r="Z173" s="241"/>
      <c r="AA173" s="116">
        <f t="shared" si="104"/>
        <v>0</v>
      </c>
      <c r="AB173" s="239"/>
      <c r="AC173" s="116">
        <f t="shared" si="105"/>
        <v>0</v>
      </c>
      <c r="AD173" s="242"/>
      <c r="AE173" s="117">
        <f t="shared" si="106"/>
        <v>0</v>
      </c>
      <c r="AF173" s="1228">
        <f>SUMIF('Otras Asesorías y Préstamos'!$B$7:$B$242,B173,'Otras Asesorías y Préstamos'!$F$7:$F$242)</f>
        <v>0</v>
      </c>
      <c r="AG173" s="1228">
        <f>SUMIF('Otras Asesorías y Préstamos'!$B$7:$B$242,B173,'Otras Asesorías y Préstamos'!$V$7:$V$242)</f>
        <v>0</v>
      </c>
      <c r="AH173" s="1229">
        <f t="shared" si="107"/>
        <v>360000</v>
      </c>
      <c r="AI173" s="8"/>
    </row>
    <row r="174" spans="1:35" x14ac:dyDescent="0.2">
      <c r="A174" s="1462">
        <f t="shared" si="118"/>
        <v>164</v>
      </c>
      <c r="B174" s="1097" t="s">
        <v>159</v>
      </c>
      <c r="C174" s="1185">
        <f>_xlfn.XLOOKUP(B174,Códigos!$B$8:$B$406,Códigos!$A$8:$A$406,"Verificar",0)</f>
        <v>202</v>
      </c>
      <c r="D174" s="1114">
        <f>_xlfn.XLOOKUP(B174,'Consolidado Cobros'!$B$10:$B$312,'Consolidado Cobros'!$C$10:$C$312,"Verificar",0)</f>
        <v>42795057</v>
      </c>
      <c r="E174" s="1186">
        <f t="shared" si="143"/>
        <v>3</v>
      </c>
      <c r="F174" s="618">
        <f t="shared" si="144"/>
        <v>360000</v>
      </c>
      <c r="G174" s="1362"/>
      <c r="H174" s="1099"/>
      <c r="I174" s="1100"/>
      <c r="J174" s="1099"/>
      <c r="K174" s="1099"/>
      <c r="L174" s="1100"/>
      <c r="M174" s="349"/>
      <c r="N174" s="1710"/>
      <c r="O174" s="8"/>
      <c r="P174" s="239" t="s">
        <v>318</v>
      </c>
      <c r="Q174" s="119">
        <f>ROUND(IF(P174="SI",SUMIF('C de C año anterior'!$B$8:$B$229,B174,'C de C año anterior'!$Q$8:$Q$229)*(100%+$Q$5),0),-3)+ROUND(IF(P174="SI",SUMIF('Facturas año anterior'!$B$8:$B$86,B174,'Facturas año anterior'!$V$8:$V$86)*(100%+$AA$5),0),-3)</f>
        <v>363000</v>
      </c>
      <c r="R174" s="239"/>
      <c r="S174" s="114">
        <f t="shared" si="100"/>
        <v>0</v>
      </c>
      <c r="T174" s="240"/>
      <c r="U174" s="115">
        <f t="shared" si="101"/>
        <v>0</v>
      </c>
      <c r="V174" s="884"/>
      <c r="W174" s="874">
        <f t="shared" si="102"/>
        <v>0</v>
      </c>
      <c r="X174" s="884"/>
      <c r="Y174" s="874">
        <f t="shared" si="103"/>
        <v>0</v>
      </c>
      <c r="Z174" s="241"/>
      <c r="AA174" s="116">
        <f t="shared" si="104"/>
        <v>0</v>
      </c>
      <c r="AB174" s="239"/>
      <c r="AC174" s="116">
        <f t="shared" si="105"/>
        <v>0</v>
      </c>
      <c r="AD174" s="242"/>
      <c r="AE174" s="117">
        <f t="shared" si="106"/>
        <v>0</v>
      </c>
      <c r="AF174" s="1228">
        <f>SUMIF('Otras Asesorías y Préstamos'!$B$7:$B$242,B174,'Otras Asesorías y Préstamos'!$F$7:$F$242)</f>
        <v>0</v>
      </c>
      <c r="AG174" s="1228">
        <f>SUMIF('Otras Asesorías y Préstamos'!$B$7:$B$242,B174,'Otras Asesorías y Préstamos'!$V$7:$V$242)</f>
        <v>0</v>
      </c>
      <c r="AH174" s="1229">
        <f t="shared" si="107"/>
        <v>360000</v>
      </c>
      <c r="AI174" s="8"/>
    </row>
    <row r="175" spans="1:35" x14ac:dyDescent="0.2">
      <c r="A175" s="1462">
        <f t="shared" si="118"/>
        <v>165</v>
      </c>
      <c r="B175" s="1097" t="s">
        <v>160</v>
      </c>
      <c r="C175" s="1185">
        <f>_xlfn.XLOOKUP(B175,Códigos!$B$8:$B$406,Códigos!$A$8:$A$406,"Verificar",0)</f>
        <v>203</v>
      </c>
      <c r="D175" s="1114">
        <f>_xlfn.XLOOKUP(B175,'Consolidado Cobros'!$B$10:$B$312,'Consolidado Cobros'!$C$10:$C$312,"Verificar",0)</f>
        <v>71641349</v>
      </c>
      <c r="E175" s="1186">
        <f t="shared" si="143"/>
        <v>3</v>
      </c>
      <c r="F175" s="618">
        <f t="shared" si="144"/>
        <v>1760000</v>
      </c>
      <c r="G175" s="1098"/>
      <c r="H175" s="1099"/>
      <c r="I175" s="1100"/>
      <c r="J175" s="1099"/>
      <c r="K175" s="1099"/>
      <c r="L175" s="1100"/>
      <c r="M175" s="349"/>
      <c r="N175" s="1710"/>
      <c r="O175" s="8"/>
      <c r="P175" s="239" t="s">
        <v>318</v>
      </c>
      <c r="Q175" s="119">
        <f>ROUND(IF(P175="SI",SUMIF('C de C año anterior'!$B$8:$B$229,B175,'C de C año anterior'!$Q$8:$Q$229)*(100%+$Q$5),0),-3)+ROUND(IF(P175="SI",SUMIF('Facturas año anterior'!$B$8:$B$86,B175,'Facturas año anterior'!$V$8:$V$86)*(100%+$AA$5),0),-3)</f>
        <v>495000</v>
      </c>
      <c r="R175" s="884" t="s">
        <v>318</v>
      </c>
      <c r="S175" s="874">
        <f t="shared" si="100"/>
        <v>248000</v>
      </c>
      <c r="T175" s="884"/>
      <c r="U175" s="874">
        <f t="shared" si="101"/>
        <v>0</v>
      </c>
      <c r="V175" s="884"/>
      <c r="W175" s="874">
        <f t="shared" si="102"/>
        <v>0</v>
      </c>
      <c r="X175" s="884"/>
      <c r="Y175" s="874">
        <f t="shared" si="103"/>
        <v>0</v>
      </c>
      <c r="Z175" s="884"/>
      <c r="AA175" s="874">
        <f t="shared" si="104"/>
        <v>0</v>
      </c>
      <c r="AB175" s="884"/>
      <c r="AC175" s="874">
        <f t="shared" si="105"/>
        <v>0</v>
      </c>
      <c r="AD175" s="884" t="s">
        <v>318</v>
      </c>
      <c r="AE175" s="874">
        <f t="shared" si="106"/>
        <v>148500</v>
      </c>
      <c r="AF175" s="874">
        <f>SUMIF('Otras Asesorías y Préstamos'!$B$7:$B$242,B175,'Otras Asesorías y Préstamos'!$F$7:$F$242)</f>
        <v>865332.9890388191</v>
      </c>
      <c r="AG175" s="874">
        <f>SUMIF('Otras Asesorías y Préstamos'!$B$7:$B$242,B175,'Otras Asesorías y Préstamos'!$V$7:$V$242)</f>
        <v>0</v>
      </c>
      <c r="AH175" s="1229">
        <f t="shared" si="107"/>
        <v>1760000</v>
      </c>
      <c r="AI175" s="8"/>
    </row>
    <row r="176" spans="1:35" x14ac:dyDescent="0.2">
      <c r="A176" s="1462">
        <f t="shared" si="118"/>
        <v>166</v>
      </c>
      <c r="B176" s="1097" t="s">
        <v>162</v>
      </c>
      <c r="C176" s="1185">
        <f>_xlfn.XLOOKUP(B176,Códigos!$B$8:$B$406,Códigos!$A$8:$A$406,"Verificar",0)</f>
        <v>220</v>
      </c>
      <c r="D176" s="1114">
        <f>_xlfn.XLOOKUP(B176,'Consolidado Cobros'!$B$10:$B$312,'Consolidado Cobros'!$C$10:$C$312,"Verificar",0)</f>
        <v>43976629</v>
      </c>
      <c r="E176" s="1186">
        <f t="shared" si="143"/>
        <v>7</v>
      </c>
      <c r="F176" s="618">
        <f t="shared" si="144"/>
        <v>520000</v>
      </c>
      <c r="G176" s="1362"/>
      <c r="H176" s="1099"/>
      <c r="I176" s="1100"/>
      <c r="J176" s="1099"/>
      <c r="K176" s="1099"/>
      <c r="L176" s="1100"/>
      <c r="M176" s="349"/>
      <c r="N176" s="1710"/>
      <c r="O176" s="8"/>
      <c r="P176" s="239" t="s">
        <v>318</v>
      </c>
      <c r="Q176" s="119">
        <f>ROUND(IF(P176="SI",SUMIF('C de C año anterior'!$B$8:$B$229,B176,'C de C año anterior'!$Q$8:$Q$229)*(100%+$Q$5),0),-3)+ROUND(IF(P176="SI",SUMIF('Facturas año anterior'!$B$8:$B$86,B176,'Facturas año anterior'!$V$8:$V$86)*(100%+$AA$5),0),-3)</f>
        <v>524000</v>
      </c>
      <c r="R176" s="239"/>
      <c r="S176" s="114">
        <f t="shared" si="100"/>
        <v>0</v>
      </c>
      <c r="T176" s="240"/>
      <c r="U176" s="115">
        <f t="shared" si="101"/>
        <v>0</v>
      </c>
      <c r="V176" s="884"/>
      <c r="W176" s="874">
        <f t="shared" si="102"/>
        <v>0</v>
      </c>
      <c r="X176" s="884"/>
      <c r="Y176" s="874">
        <f t="shared" si="103"/>
        <v>0</v>
      </c>
      <c r="Z176" s="241"/>
      <c r="AA176" s="116">
        <f t="shared" si="104"/>
        <v>0</v>
      </c>
      <c r="AB176" s="239"/>
      <c r="AC176" s="116">
        <f t="shared" si="105"/>
        <v>0</v>
      </c>
      <c r="AD176" s="242"/>
      <c r="AE176" s="117">
        <f t="shared" si="106"/>
        <v>0</v>
      </c>
      <c r="AF176" s="1228">
        <f>SUMIF('Otras Asesorías y Préstamos'!$B$7:$B$242,B176,'Otras Asesorías y Préstamos'!$F$7:$F$242)</f>
        <v>0</v>
      </c>
      <c r="AG176" s="1228">
        <f>SUMIF('Otras Asesorías y Préstamos'!$B$7:$B$242,B176,'Otras Asesorías y Préstamos'!$V$7:$V$242)</f>
        <v>0</v>
      </c>
      <c r="AH176" s="1229">
        <f t="shared" si="107"/>
        <v>520000</v>
      </c>
      <c r="AI176" s="8"/>
    </row>
    <row r="177" spans="1:35" x14ac:dyDescent="0.2">
      <c r="A177" s="1462">
        <f t="shared" si="118"/>
        <v>167</v>
      </c>
      <c r="B177" s="1494" t="s">
        <v>316</v>
      </c>
      <c r="C177" s="1678">
        <f>_xlfn.XLOOKUP(B177,Códigos!$B$8:$B$406,Códigos!$A$8:$A$406,"Verificar",0)</f>
        <v>335</v>
      </c>
      <c r="D177" s="1114">
        <f>_xlfn.XLOOKUP(B177,'Consolidado Cobros'!$B$10:$B$312,'Consolidado Cobros'!$C$10:$C$312,"Verificar",0)</f>
        <v>98496653</v>
      </c>
      <c r="E177" s="1186">
        <f t="shared" si="143"/>
        <v>4</v>
      </c>
      <c r="F177" s="618">
        <f t="shared" si="144"/>
        <v>170000</v>
      </c>
      <c r="G177" s="1362"/>
      <c r="H177" s="1099"/>
      <c r="I177" s="1100"/>
      <c r="J177" s="1099"/>
      <c r="K177" s="1099"/>
      <c r="L177" s="1100"/>
      <c r="M177" s="349"/>
      <c r="N177" s="1710"/>
      <c r="O177" s="8"/>
      <c r="P177" s="239" t="s">
        <v>318</v>
      </c>
      <c r="Q177" s="119">
        <f>ROUND(IF(P177="SI",SUMIF('C de C año anterior'!$B$8:$B$229,B177,'C de C año anterior'!$Q$8:$Q$229)*(100%+$Q$5),0),-3)+ROUND(IF(P177="SI",SUMIF('Facturas año anterior'!$B$8:$B$86,B177,'Facturas año anterior'!$V$8:$V$86)*(100%+$AA$5),0),-3)</f>
        <v>169000</v>
      </c>
      <c r="R177" s="239"/>
      <c r="S177" s="114">
        <f t="shared" si="100"/>
        <v>0</v>
      </c>
      <c r="T177" s="240"/>
      <c r="U177" s="115">
        <f t="shared" si="101"/>
        <v>0</v>
      </c>
      <c r="V177" s="884"/>
      <c r="W177" s="874">
        <f t="shared" si="102"/>
        <v>0</v>
      </c>
      <c r="X177" s="884"/>
      <c r="Y177" s="874">
        <f t="shared" si="103"/>
        <v>0</v>
      </c>
      <c r="Z177" s="241"/>
      <c r="AA177" s="116">
        <f t="shared" si="104"/>
        <v>0</v>
      </c>
      <c r="AB177" s="239"/>
      <c r="AC177" s="116">
        <f t="shared" si="105"/>
        <v>0</v>
      </c>
      <c r="AD177" s="242"/>
      <c r="AE177" s="117">
        <f t="shared" si="106"/>
        <v>0</v>
      </c>
      <c r="AF177" s="1228">
        <f>SUMIF('Otras Asesorías y Préstamos'!$B$7:$B$242,B177,'Otras Asesorías y Préstamos'!$F$7:$F$242)</f>
        <v>0</v>
      </c>
      <c r="AG177" s="1228">
        <f>SUMIF('Otras Asesorías y Préstamos'!$B$7:$B$242,B177,'Otras Asesorías y Préstamos'!$V$7:$V$242)</f>
        <v>0</v>
      </c>
      <c r="AH177" s="1229">
        <f t="shared" si="107"/>
        <v>170000</v>
      </c>
      <c r="AI177" s="8"/>
    </row>
    <row r="178" spans="1:35" x14ac:dyDescent="0.2">
      <c r="A178" s="1462">
        <f t="shared" si="118"/>
        <v>168</v>
      </c>
      <c r="B178" s="1097" t="s">
        <v>169</v>
      </c>
      <c r="C178" s="1185">
        <f>_xlfn.XLOOKUP(B178,Códigos!$B$8:$B$406,Códigos!$A$8:$A$406,"Verificar",0)</f>
        <v>278</v>
      </c>
      <c r="D178" s="1114">
        <f>_xlfn.XLOOKUP(B178,'Consolidado Cobros'!$B$10:$B$312,'Consolidado Cobros'!$C$10:$C$312,"Verificar",0)</f>
        <v>71629287</v>
      </c>
      <c r="E178" s="1186">
        <f t="shared" si="143"/>
        <v>6</v>
      </c>
      <c r="F178" s="618">
        <f t="shared" si="144"/>
        <v>500000</v>
      </c>
      <c r="G178" s="1362"/>
      <c r="H178" s="1099"/>
      <c r="I178" s="1100"/>
      <c r="J178" s="1099"/>
      <c r="K178" s="1099"/>
      <c r="L178" s="1100"/>
      <c r="M178" s="349"/>
      <c r="N178" s="1710"/>
      <c r="O178" s="8"/>
      <c r="P178" s="239" t="s">
        <v>318</v>
      </c>
      <c r="Q178" s="119">
        <f>ROUND(IF(P178="SI",SUMIF('C de C año anterior'!$B$8:$B$229,B178,'C de C año anterior'!$Q$8:$Q$229)*(100%+$Q$5),0),-3)+ROUND(IF(P178="SI",SUMIF('Facturas año anterior'!$B$8:$B$86,B178,'Facturas año anterior'!$V$8:$V$86)*(100%+$AA$5),0),-3)</f>
        <v>495000</v>
      </c>
      <c r="R178" s="239"/>
      <c r="S178" s="114">
        <f t="shared" si="100"/>
        <v>0</v>
      </c>
      <c r="T178" s="240"/>
      <c r="U178" s="115">
        <f t="shared" si="101"/>
        <v>0</v>
      </c>
      <c r="V178" s="884"/>
      <c r="W178" s="874">
        <f t="shared" si="102"/>
        <v>0</v>
      </c>
      <c r="X178" s="884"/>
      <c r="Y178" s="874">
        <f t="shared" si="103"/>
        <v>0</v>
      </c>
      <c r="Z178" s="241"/>
      <c r="AA178" s="116">
        <f t="shared" si="104"/>
        <v>0</v>
      </c>
      <c r="AB178" s="239"/>
      <c r="AC178" s="116">
        <f t="shared" si="105"/>
        <v>0</v>
      </c>
      <c r="AD178" s="242"/>
      <c r="AE178" s="117">
        <f t="shared" si="106"/>
        <v>0</v>
      </c>
      <c r="AF178" s="1228">
        <f>SUMIF('Otras Asesorías y Préstamos'!$B$7:$B$242,B178,'Otras Asesorías y Préstamos'!$F$7:$F$242)</f>
        <v>0</v>
      </c>
      <c r="AG178" s="1228">
        <f>SUMIF('Otras Asesorías y Préstamos'!$B$7:$B$242,B178,'Otras Asesorías y Préstamos'!$V$7:$V$242)</f>
        <v>0</v>
      </c>
      <c r="AH178" s="1229">
        <f t="shared" si="107"/>
        <v>500000</v>
      </c>
      <c r="AI178" s="8"/>
    </row>
    <row r="179" spans="1:35" x14ac:dyDescent="0.2">
      <c r="A179" s="1462">
        <f t="shared" si="118"/>
        <v>169</v>
      </c>
      <c r="B179" s="1097" t="s">
        <v>778</v>
      </c>
      <c r="C179" s="1185">
        <f>_xlfn.XLOOKUP(B179,Códigos!$B$8:$B$406,Códigos!$A$8:$A$406,"Verificar",0)</f>
        <v>363</v>
      </c>
      <c r="D179" s="1114">
        <f>_xlfn.XLOOKUP(B179,'Consolidado Cobros'!$B$10:$B$312,'Consolidado Cobros'!$C$10:$C$312,"Verificar",0)</f>
        <v>43903734</v>
      </c>
      <c r="E179" s="1186">
        <f t="shared" ref="E179:E180" si="145">IF((MOD((VALUE(MID(TEXT(D179,"000000000000000"),15,1))*3+VALUE(MID(TEXT(D179,"000000000000000"),14,1))*7+VALUE(MID(TEXT(D179,"000000000000000"),13,1))*13+VALUE(MID(TEXT(D179,"000000000000000"),12,1))*17+VALUE(MID(TEXT(D179,"000000000000000"),11,1))*19+VALUE(MID(TEXT(D179,"000000000000000"),10,1))*23+VALUE(MID(TEXT(D179,"000000000000000"),9,1))*29+VALUE(MID(TEXT(D179,"000000000000000"),8,1))*37+VALUE(MID(TEXT(D179,"000000000000000"),7,1))*41+VALUE(MID(TEXT(D179,"000000000000000"),6,1))*43+VALUE(MID(TEXT(D179,"000000000000000"),5,1))*47+VALUE(MID(TEXT(D179,"000000000000000"),4,1))*53+VALUE(MID(TEXT(D179,"000000000000000"),3,1))*59+VALUE(MID(TEXT(D179,"000000000000000"),2,1))*67+VALUE(MID(TEXT(D179,"000000000000000"),1,1))*71),11))=0,0,IF((MOD((VALUE(MID(TEXT(D179,"000000000000000"),15,1))*3+VALUE(MID(TEXT(D179,"000000000000000"),14,1))*7+VALUE(MID(TEXT(D179,"000000000000000"),13,1))*13+VALUE(MID(TEXT(D179,"000000000000000"),12,1))*17+VALUE(MID(TEXT(D179,"000000000000000"),11,1))*19+VALUE(MID(TEXT(D179,"000000000000000"),10,1))*23+VALUE(MID(TEXT(D179,"000000000000000"),9,1))*29+VALUE(MID(TEXT(D179,"000000000000000"),8,1))*37+VALUE(MID(TEXT(D179,"000000000000000"),7,1))*41+VALUE(MID(TEXT(D179,"000000000000000"),6,1))*43+VALUE(MID(TEXT(D179,"000000000000000"),5,1))*47+VALUE(MID(TEXT(D179,"000000000000000"),4,1))*53+VALUE(MID(TEXT(D179,"000000000000000"),3,1))*59+VALUE(MID(TEXT(D179,"000000000000000"),2,1))*67+VALUE(MID(TEXT(D179,"000000000000000"),1,1))*71),11))=1,1,11-(MOD((VALUE(MID(TEXT(D179,"000000000000000"),15,1))*3+VALUE(MID(TEXT(D179,"000000000000000"),14,1))*7+VALUE(MID(TEXT(D179,"000000000000000"),13,1))*13+VALUE(MID(TEXT(D179,"000000000000000"),12,1))*17+VALUE(MID(TEXT(D179,"000000000000000"),11,1))*19+VALUE(MID(TEXT(D179,"000000000000000"),10,1))*23+VALUE(MID(TEXT(D179,"000000000000000"),9,1))*29+VALUE(MID(TEXT(D179,"000000000000000"),8,1))*37+VALUE(MID(TEXT(D179,"000000000000000"),7,1))*41+VALUE(MID(TEXT(D179,"000000000000000"),6,1))*43+VALUE(MID(TEXT(D179,"000000000000000"),5,1))*47+VALUE(MID(TEXT(D179,"000000000000000"),4,1))*53+VALUE(MID(TEXT(D179,"000000000000000"),3,1))*59+VALUE(MID(TEXT(D179,"000000000000000"),2,1))*67+VALUE(MID(TEXT(D179,"000000000000000"),1,1))*71),11))))</f>
        <v>1</v>
      </c>
      <c r="F179" s="1869">
        <f>+AH179*0+260000</f>
        <v>260000</v>
      </c>
      <c r="G179" s="1362" t="s">
        <v>1134</v>
      </c>
      <c r="H179" s="1099" t="s">
        <v>760</v>
      </c>
      <c r="I179" s="1100">
        <v>46289</v>
      </c>
      <c r="J179" s="1099" t="s">
        <v>1133</v>
      </c>
      <c r="K179" s="1099" t="s">
        <v>1135</v>
      </c>
      <c r="L179" s="1100">
        <v>46289</v>
      </c>
      <c r="M179" s="349" t="s">
        <v>1136</v>
      </c>
      <c r="N179" s="1710"/>
      <c r="O179" s="8"/>
      <c r="P179" s="239" t="s">
        <v>318</v>
      </c>
      <c r="Q179" s="119">
        <f>ROUND(IF(P179="SI",SUMIF('C de C año anterior'!$B$8:$B$229,B179,'C de C año anterior'!$Q$8:$Q$229)*(100%+$Q$5),0),-3)+ROUND(IF(P179="SI",SUMIF('Facturas año anterior'!$B$8:$B$86,B179,'Facturas año anterior'!$V$8:$V$86)*(100%+$AA$5),0),-3)</f>
        <v>276000</v>
      </c>
      <c r="R179" s="239"/>
      <c r="S179" s="114">
        <f t="shared" ref="S179" si="146">ROUND(IF(R179="SI",Q179*$S$5,0),-3)</f>
        <v>0</v>
      </c>
      <c r="T179" s="240"/>
      <c r="U179" s="115">
        <f t="shared" ref="U179" si="147">ROUND(IF(T179="SI",Q179*$U$5,0),-3)</f>
        <v>0</v>
      </c>
      <c r="V179" s="884"/>
      <c r="W179" s="874">
        <f t="shared" ref="W179" si="148">ROUND(IF(V179="SI",Q179*$W$5,0),-3)</f>
        <v>0</v>
      </c>
      <c r="X179" s="884"/>
      <c r="Y179" s="874">
        <f t="shared" ref="Y179" si="149">ROUND(IF(X179="SI",Q179*$Y$5,0),-3)</f>
        <v>0</v>
      </c>
      <c r="Z179" s="241"/>
      <c r="AA179" s="116">
        <f t="shared" ref="AA179" si="150">ROUND(IF(Z179="SI",Q179*$AA$5,0),-3)</f>
        <v>0</v>
      </c>
      <c r="AB179" s="239"/>
      <c r="AC179" s="116">
        <f t="shared" ref="AC179" si="151">ROUND(IF(AB179="SI",Q179*$AC$5,0),-3)</f>
        <v>0</v>
      </c>
      <c r="AD179" s="242"/>
      <c r="AE179" s="117">
        <f t="shared" ref="AE179" si="152">IF(AD179="SI",Q179*$AE$5,0)</f>
        <v>0</v>
      </c>
      <c r="AF179" s="1228">
        <f>SUMIF('Otras Asesorías y Préstamos'!$B$7:$B$242,B179,'Otras Asesorías y Préstamos'!$F$7:$F$242)</f>
        <v>0</v>
      </c>
      <c r="AG179" s="1228">
        <f>SUMIF('Otras Asesorías y Préstamos'!$B$7:$B$242,B179,'Otras Asesorías y Préstamos'!$V$7:$V$242)</f>
        <v>0</v>
      </c>
      <c r="AH179" s="1229">
        <f t="shared" ref="AH179" si="153">ROUND(SUM(Q179:AG179),-4)</f>
        <v>280000</v>
      </c>
      <c r="AI179" s="8"/>
    </row>
    <row r="180" spans="1:35" x14ac:dyDescent="0.2">
      <c r="A180" s="1462">
        <f t="shared" si="118"/>
        <v>170</v>
      </c>
      <c r="B180" s="1791" t="s">
        <v>987</v>
      </c>
      <c r="C180" s="1185">
        <v>364</v>
      </c>
      <c r="D180" s="1114">
        <v>1152199401</v>
      </c>
      <c r="E180" s="1186">
        <f t="shared" si="145"/>
        <v>8</v>
      </c>
      <c r="F180" s="618">
        <f t="shared" si="144"/>
        <v>170000</v>
      </c>
      <c r="G180" s="1362"/>
      <c r="H180" s="1099"/>
      <c r="I180" s="1100"/>
      <c r="J180" s="1099"/>
      <c r="K180" s="1099"/>
      <c r="L180" s="1262"/>
      <c r="M180" s="349"/>
      <c r="N180" s="1710"/>
      <c r="O180" s="8"/>
      <c r="P180" s="239" t="s">
        <v>318</v>
      </c>
      <c r="Q180" s="119">
        <f>ROUND(IF(P180="SI",SUMIF('C de C año anterior'!$B$8:$B$229,B180,'C de C año anterior'!$Q$8:$Q$229)*(100%+$Q$5),0),-3)+ROUND(IF(P180="SI",SUMIF('Facturas año anterior'!$B$8:$B$86,B180,'Facturas año anterior'!$V$8:$V$86)*(100%+$AA$5),0),-3)</f>
        <v>166000</v>
      </c>
      <c r="R180" s="239"/>
      <c r="S180" s="114">
        <f t="shared" ref="S180" si="154">ROUND(IF(R180="SI",Q180*$S$5,0),-3)</f>
        <v>0</v>
      </c>
      <c r="T180" s="240"/>
      <c r="U180" s="115">
        <f t="shared" ref="U180" si="155">ROUND(IF(T180="SI",Q180*$U$5,0),-3)</f>
        <v>0</v>
      </c>
      <c r="V180" s="884"/>
      <c r="W180" s="874">
        <f t="shared" ref="W180" si="156">ROUND(IF(V180="SI",Q180*$W$5,0),-3)</f>
        <v>0</v>
      </c>
      <c r="X180" s="884"/>
      <c r="Y180" s="874">
        <f t="shared" ref="Y180" si="157">ROUND(IF(X180="SI",Q180*$Y$5,0),-3)</f>
        <v>0</v>
      </c>
      <c r="Z180" s="241"/>
      <c r="AA180" s="116">
        <f t="shared" ref="AA180" si="158">ROUND(IF(Z180="SI",Q180*$AA$5,0),-3)</f>
        <v>0</v>
      </c>
      <c r="AB180" s="239"/>
      <c r="AC180" s="116">
        <f t="shared" ref="AC180" si="159">ROUND(IF(AB180="SI",Q180*$AC$5,0),-3)</f>
        <v>0</v>
      </c>
      <c r="AD180" s="242"/>
      <c r="AE180" s="117">
        <f t="shared" ref="AE180" si="160">IF(AD180="SI",Q180*$AE$5,0)</f>
        <v>0</v>
      </c>
      <c r="AF180" s="1228">
        <f>SUMIF('Otras Asesorías y Préstamos'!$B$7:$B$242,B180,'Otras Asesorías y Préstamos'!$F$7:$F$242)</f>
        <v>0</v>
      </c>
      <c r="AG180" s="1228">
        <f>SUMIF('Otras Asesorías y Préstamos'!$B$7:$B$242,B180,'Otras Asesorías y Préstamos'!$V$7:$V$242)</f>
        <v>0</v>
      </c>
      <c r="AH180" s="1229">
        <f t="shared" ref="AH180" si="161">ROUND(SUM(Q180:AG180),-4)</f>
        <v>170000</v>
      </c>
      <c r="AI180" s="8"/>
    </row>
    <row r="181" spans="1:35" x14ac:dyDescent="0.2">
      <c r="A181" s="1462"/>
      <c r="B181" s="1711"/>
      <c r="C181" s="1712"/>
      <c r="D181" s="1713"/>
      <c r="E181" s="1714"/>
      <c r="F181" s="618">
        <f t="shared" ref="F181:F182" si="162">+AH181</f>
        <v>0</v>
      </c>
      <c r="G181" s="1362"/>
      <c r="H181" s="1099"/>
      <c r="I181" s="1100"/>
      <c r="J181" s="1099"/>
      <c r="K181" s="1099"/>
      <c r="L181" s="1262"/>
      <c r="M181" s="349"/>
      <c r="N181" s="1710"/>
      <c r="O181" s="8"/>
      <c r="P181" s="239"/>
      <c r="Q181" s="119">
        <f>ROUND(IF(P181="SI",SUMIF('C de C año anterior'!$B$8:$B$229,B181,'C de C año anterior'!$Q$8:$Q$229)*(100%+$Q$5),0),-3)+ROUND(IF(P181="SI",SUMIF('Facturas año anterior'!$B$8:$B$86,B181,'Facturas año anterior'!$V$8:$V$86)*(100%+$AA$5),0),-3)</f>
        <v>0</v>
      </c>
      <c r="R181" s="239"/>
      <c r="S181" s="114">
        <f t="shared" si="100"/>
        <v>0</v>
      </c>
      <c r="T181" s="240"/>
      <c r="U181" s="115">
        <f t="shared" si="101"/>
        <v>0</v>
      </c>
      <c r="V181" s="884"/>
      <c r="W181" s="874">
        <f t="shared" si="102"/>
        <v>0</v>
      </c>
      <c r="X181" s="884"/>
      <c r="Y181" s="874">
        <f t="shared" si="103"/>
        <v>0</v>
      </c>
      <c r="Z181" s="241"/>
      <c r="AA181" s="116">
        <f t="shared" si="104"/>
        <v>0</v>
      </c>
      <c r="AB181" s="239"/>
      <c r="AC181" s="116">
        <f t="shared" si="105"/>
        <v>0</v>
      </c>
      <c r="AD181" s="242"/>
      <c r="AE181" s="117">
        <f t="shared" si="106"/>
        <v>0</v>
      </c>
      <c r="AF181" s="1228">
        <f>SUMIF('Otras Asesorías y Préstamos'!$B$7:$B$242,B181,'Otras Asesorías y Préstamos'!$F$7:$F$242)</f>
        <v>0</v>
      </c>
      <c r="AG181" s="1228">
        <f>SUMIF('Otras Asesorías y Préstamos'!$B$7:$B$242,B181,'Otras Asesorías y Préstamos'!$V$7:$V$242)</f>
        <v>0</v>
      </c>
      <c r="AH181" s="1229">
        <f t="shared" si="107"/>
        <v>0</v>
      </c>
      <c r="AI181" s="8"/>
    </row>
    <row r="182" spans="1:35" x14ac:dyDescent="0.2">
      <c r="A182" s="1462"/>
      <c r="B182" s="1711"/>
      <c r="C182" s="1712"/>
      <c r="D182" s="1713"/>
      <c r="E182" s="1714"/>
      <c r="F182" s="618">
        <f t="shared" si="162"/>
        <v>0</v>
      </c>
      <c r="G182" s="1362"/>
      <c r="H182" s="1099"/>
      <c r="I182" s="1100"/>
      <c r="J182" s="1099"/>
      <c r="K182" s="1099"/>
      <c r="L182" s="1262"/>
      <c r="M182" s="349"/>
      <c r="N182" s="1710"/>
      <c r="O182" s="8"/>
      <c r="P182" s="239"/>
      <c r="Q182" s="119">
        <f>ROUND(IF(P182="SI",SUMIF('C de C año anterior'!$B$8:$B$229,B182,'C de C año anterior'!$Q$8:$Q$229)*(100%+$Q$5),0),-3)+ROUND(IF(P182="SI",SUMIF('Facturas año anterior'!$B$8:$B$86,B182,'Facturas año anterior'!$V$8:$V$86)*(100%+$AA$5),0),-3)</f>
        <v>0</v>
      </c>
      <c r="R182" s="239"/>
      <c r="S182" s="114">
        <f t="shared" si="100"/>
        <v>0</v>
      </c>
      <c r="T182" s="240"/>
      <c r="U182" s="115">
        <f t="shared" si="101"/>
        <v>0</v>
      </c>
      <c r="V182" s="884"/>
      <c r="W182" s="874">
        <f t="shared" si="102"/>
        <v>0</v>
      </c>
      <c r="X182" s="884"/>
      <c r="Y182" s="874">
        <f t="shared" si="103"/>
        <v>0</v>
      </c>
      <c r="Z182" s="241"/>
      <c r="AA182" s="116">
        <f t="shared" si="104"/>
        <v>0</v>
      </c>
      <c r="AB182" s="239"/>
      <c r="AC182" s="116">
        <f t="shared" si="105"/>
        <v>0</v>
      </c>
      <c r="AD182" s="242"/>
      <c r="AE182" s="117">
        <f t="shared" si="106"/>
        <v>0</v>
      </c>
      <c r="AF182" s="1228">
        <f>SUMIF('Otras Asesorías y Préstamos'!$B$7:$B$242,B182,'Otras Asesorías y Préstamos'!$F$7:$F$242)</f>
        <v>0</v>
      </c>
      <c r="AG182" s="1228">
        <f>SUMIF('Otras Asesorías y Préstamos'!$B$7:$B$242,B182,'Otras Asesorías y Préstamos'!$V$7:$V$242)</f>
        <v>0</v>
      </c>
      <c r="AH182" s="1229">
        <f t="shared" si="107"/>
        <v>0</v>
      </c>
      <c r="AI182" s="8"/>
    </row>
    <row r="183" spans="1:35" x14ac:dyDescent="0.2">
      <c r="A183" s="1462"/>
      <c r="B183" s="1711"/>
      <c r="C183" s="1712"/>
      <c r="D183" s="1713"/>
      <c r="E183" s="1714"/>
      <c r="F183" s="618">
        <f t="shared" si="144"/>
        <v>0</v>
      </c>
      <c r="G183" s="1362"/>
      <c r="H183" s="1099"/>
      <c r="I183" s="1100"/>
      <c r="J183" s="1099"/>
      <c r="K183" s="1099"/>
      <c r="L183" s="1262"/>
      <c r="M183" s="349"/>
      <c r="N183" s="1710"/>
      <c r="O183" s="8"/>
      <c r="P183" s="239"/>
      <c r="Q183" s="119">
        <f>ROUND(IF(P183="SI",SUMIF('C de C año anterior'!$B$8:$B$229,B183,'C de C año anterior'!$Q$8:$Q$229)*(100%+$Q$5),0),-3)+ROUND(IF(P183="SI",SUMIF('Facturas año anterior'!$B$8:$B$86,B183,'Facturas año anterior'!$V$8:$V$86)*(100%+$AA$5),0),-3)</f>
        <v>0</v>
      </c>
      <c r="R183" s="239"/>
      <c r="S183" s="114">
        <f t="shared" si="100"/>
        <v>0</v>
      </c>
      <c r="T183" s="240"/>
      <c r="U183" s="115">
        <f t="shared" si="101"/>
        <v>0</v>
      </c>
      <c r="V183" s="884"/>
      <c r="W183" s="874">
        <f t="shared" si="102"/>
        <v>0</v>
      </c>
      <c r="X183" s="884"/>
      <c r="Y183" s="874">
        <f t="shared" si="103"/>
        <v>0</v>
      </c>
      <c r="Z183" s="241"/>
      <c r="AA183" s="116">
        <f t="shared" si="104"/>
        <v>0</v>
      </c>
      <c r="AB183" s="239"/>
      <c r="AC183" s="116">
        <f t="shared" si="105"/>
        <v>0</v>
      </c>
      <c r="AD183" s="242"/>
      <c r="AE183" s="117">
        <f t="shared" si="106"/>
        <v>0</v>
      </c>
      <c r="AF183" s="1228">
        <f>SUMIF('Otras Asesorías y Préstamos'!$B$7:$B$242,B183,'Otras Asesorías y Préstamos'!$F$7:$F$242)</f>
        <v>0</v>
      </c>
      <c r="AG183" s="1228">
        <f>SUMIF('Otras Asesorías y Préstamos'!$B$7:$B$242,B183,'Otras Asesorías y Préstamos'!$V$7:$V$242)</f>
        <v>0</v>
      </c>
      <c r="AH183" s="1229">
        <f t="shared" si="107"/>
        <v>0</v>
      </c>
      <c r="AI183" s="8"/>
    </row>
    <row r="184" spans="1:35" x14ac:dyDescent="0.2">
      <c r="A184" s="1462"/>
      <c r="B184" s="1711"/>
      <c r="C184" s="1712"/>
      <c r="D184" s="1713"/>
      <c r="E184" s="1714"/>
      <c r="F184" s="618">
        <f t="shared" si="144"/>
        <v>0</v>
      </c>
      <c r="G184" s="1362"/>
      <c r="H184" s="1099"/>
      <c r="I184" s="1100"/>
      <c r="J184" s="1099"/>
      <c r="K184" s="1099"/>
      <c r="L184" s="1262"/>
      <c r="M184" s="349"/>
      <c r="N184" s="1710"/>
      <c r="O184" s="8"/>
      <c r="P184" s="239"/>
      <c r="Q184" s="119">
        <f>ROUND(IF(P184="SI",SUMIF('C de C año anterior'!$B$8:$B$229,B184,'C de C año anterior'!$Q$8:$Q$229)*(100%+$Q$5),0),-3)+ROUND(IF(P184="SI",SUMIF('Facturas año anterior'!$B$8:$B$86,B184,'Facturas año anterior'!$V$8:$V$86)*(100%+$AA$5),0),-3)</f>
        <v>0</v>
      </c>
      <c r="R184" s="239"/>
      <c r="S184" s="114">
        <f t="shared" si="100"/>
        <v>0</v>
      </c>
      <c r="T184" s="240"/>
      <c r="U184" s="115">
        <f t="shared" si="101"/>
        <v>0</v>
      </c>
      <c r="V184" s="884"/>
      <c r="W184" s="874">
        <f t="shared" si="102"/>
        <v>0</v>
      </c>
      <c r="X184" s="884"/>
      <c r="Y184" s="874">
        <f t="shared" si="103"/>
        <v>0</v>
      </c>
      <c r="Z184" s="241"/>
      <c r="AA184" s="116">
        <f t="shared" si="104"/>
        <v>0</v>
      </c>
      <c r="AB184" s="239"/>
      <c r="AC184" s="116">
        <f t="shared" si="105"/>
        <v>0</v>
      </c>
      <c r="AD184" s="242"/>
      <c r="AE184" s="117">
        <f t="shared" si="106"/>
        <v>0</v>
      </c>
      <c r="AF184" s="1228">
        <f>SUMIF('Otras Asesorías y Préstamos'!$B$7:$B$242,B184,'Otras Asesorías y Préstamos'!$F$7:$F$242)</f>
        <v>0</v>
      </c>
      <c r="AG184" s="1228">
        <f>SUMIF('Otras Asesorías y Préstamos'!$B$7:$B$242,B184,'Otras Asesorías y Préstamos'!$V$7:$V$242)</f>
        <v>0</v>
      </c>
      <c r="AH184" s="1229">
        <f t="shared" si="107"/>
        <v>0</v>
      </c>
      <c r="AI184" s="8"/>
    </row>
    <row r="185" spans="1:35" x14ac:dyDescent="0.2">
      <c r="A185" s="1462"/>
      <c r="B185" s="1711"/>
      <c r="C185" s="1712"/>
      <c r="D185" s="1713"/>
      <c r="E185" s="1714"/>
      <c r="F185" s="618">
        <f t="shared" si="144"/>
        <v>0</v>
      </c>
      <c r="G185" s="1362"/>
      <c r="H185" s="1099"/>
      <c r="I185" s="1100"/>
      <c r="J185" s="1099"/>
      <c r="K185" s="1099"/>
      <c r="L185" s="1262"/>
      <c r="M185" s="349"/>
      <c r="N185" s="1710"/>
      <c r="O185" s="8"/>
      <c r="P185" s="239"/>
      <c r="Q185" s="119">
        <f>ROUND(IF(P185="SI",SUMIF('C de C año anterior'!$B$8:$B$229,B185,'C de C año anterior'!$Q$8:$Q$229)*(100%+$Q$5),0),-3)+ROUND(IF(P185="SI",SUMIF('Facturas año anterior'!$B$8:$B$86,B185,'Facturas año anterior'!$V$8:$V$86)*(100%+$AA$5),0),-3)</f>
        <v>0</v>
      </c>
      <c r="R185" s="239"/>
      <c r="S185" s="114">
        <f t="shared" si="100"/>
        <v>0</v>
      </c>
      <c r="T185" s="240"/>
      <c r="U185" s="115">
        <f t="shared" si="101"/>
        <v>0</v>
      </c>
      <c r="V185" s="884"/>
      <c r="W185" s="874">
        <f t="shared" si="102"/>
        <v>0</v>
      </c>
      <c r="X185" s="884"/>
      <c r="Y185" s="874">
        <f t="shared" si="103"/>
        <v>0</v>
      </c>
      <c r="Z185" s="241"/>
      <c r="AA185" s="116">
        <f t="shared" si="104"/>
        <v>0</v>
      </c>
      <c r="AB185" s="239"/>
      <c r="AC185" s="116">
        <f t="shared" si="105"/>
        <v>0</v>
      </c>
      <c r="AD185" s="242"/>
      <c r="AE185" s="117">
        <f t="shared" si="106"/>
        <v>0</v>
      </c>
      <c r="AF185" s="1228">
        <f>SUMIF('Otras Asesorías y Préstamos'!$B$7:$B$242,B185,'Otras Asesorías y Préstamos'!$F$7:$F$242)</f>
        <v>0</v>
      </c>
      <c r="AG185" s="1228">
        <f>SUMIF('Otras Asesorías y Préstamos'!$B$7:$B$242,B185,'Otras Asesorías y Préstamos'!$V$7:$V$242)</f>
        <v>0</v>
      </c>
      <c r="AH185" s="1229">
        <f t="shared" si="107"/>
        <v>0</v>
      </c>
      <c r="AI185" s="8"/>
    </row>
    <row r="186" spans="1:35" x14ac:dyDescent="0.2">
      <c r="A186" s="1462"/>
      <c r="B186" s="1711"/>
      <c r="C186" s="1712"/>
      <c r="D186" s="1713"/>
      <c r="E186" s="1714"/>
      <c r="F186" s="618">
        <f t="shared" si="144"/>
        <v>0</v>
      </c>
      <c r="G186" s="1362"/>
      <c r="H186" s="1099"/>
      <c r="I186" s="1100"/>
      <c r="J186" s="1099"/>
      <c r="K186" s="1099"/>
      <c r="L186" s="1262"/>
      <c r="M186" s="349"/>
      <c r="N186" s="1710"/>
      <c r="O186" s="8"/>
      <c r="P186" s="1227"/>
      <c r="Q186" s="119">
        <f>ROUND(IF(P186="SI",SUMIF('C de C año anterior'!$B$8:$B$229,B186,'C de C año anterior'!$Q$8:$Q$229)*(100%+$Q$5),0),-3)+ROUND(IF(P186="SI",SUMIF('Facturas año anterior'!$B$8:$B$86,B186,'Facturas año anterior'!$V$8:$V$86)*(100%+$AA$5),0),-3)</f>
        <v>0</v>
      </c>
      <c r="R186" s="239"/>
      <c r="S186" s="114">
        <f t="shared" si="100"/>
        <v>0</v>
      </c>
      <c r="T186" s="240"/>
      <c r="U186" s="115">
        <f t="shared" si="101"/>
        <v>0</v>
      </c>
      <c r="V186" s="884"/>
      <c r="W186" s="874">
        <f t="shared" si="102"/>
        <v>0</v>
      </c>
      <c r="X186" s="884"/>
      <c r="Y186" s="874">
        <f t="shared" si="103"/>
        <v>0</v>
      </c>
      <c r="Z186" s="241"/>
      <c r="AA186" s="116">
        <f t="shared" si="104"/>
        <v>0</v>
      </c>
      <c r="AB186" s="239"/>
      <c r="AC186" s="116">
        <f t="shared" si="105"/>
        <v>0</v>
      </c>
      <c r="AD186" s="242"/>
      <c r="AE186" s="117">
        <f t="shared" si="106"/>
        <v>0</v>
      </c>
      <c r="AF186" s="1228">
        <f>SUMIF('Otras Asesorías y Préstamos'!$B$7:$B$242,B186,'Otras Asesorías y Préstamos'!$F$7:$F$242)</f>
        <v>0</v>
      </c>
      <c r="AG186" s="1228">
        <f>SUMIF('Otras Asesorías y Préstamos'!$B$7:$B$242,B186,'Otras Asesorías y Préstamos'!$V$7:$V$242)</f>
        <v>0</v>
      </c>
      <c r="AH186" s="1229">
        <f t="shared" si="107"/>
        <v>0</v>
      </c>
      <c r="AI186" s="8"/>
    </row>
    <row r="187" spans="1:35" x14ac:dyDescent="0.2">
      <c r="A187" s="1462"/>
      <c r="B187" s="1711"/>
      <c r="C187" s="1712"/>
      <c r="D187" s="1713"/>
      <c r="E187" s="1714"/>
      <c r="F187" s="618">
        <f t="shared" si="144"/>
        <v>0</v>
      </c>
      <c r="G187" s="1362"/>
      <c r="H187" s="1099"/>
      <c r="I187" s="1100"/>
      <c r="J187" s="1099"/>
      <c r="K187" s="1099"/>
      <c r="L187" s="1262"/>
      <c r="M187" s="349"/>
      <c r="N187" s="1710"/>
      <c r="O187" s="8"/>
      <c r="P187" s="1227"/>
      <c r="Q187" s="119">
        <f>ROUND(IF(P187="SI",SUMIF('C de C año anterior'!$B$8:$B$229,B187,'C de C año anterior'!$Q$8:$Q$229)*(100%+$Q$5),0),-3)+ROUND(IF(P187="SI",SUMIF('Facturas año anterior'!$B$8:$B$86,B187,'Facturas año anterior'!$V$8:$V$86)*(100%+$AA$5),0),-3)</f>
        <v>0</v>
      </c>
      <c r="R187" s="239"/>
      <c r="S187" s="114">
        <f t="shared" si="100"/>
        <v>0</v>
      </c>
      <c r="T187" s="240"/>
      <c r="U187" s="115">
        <f t="shared" si="101"/>
        <v>0</v>
      </c>
      <c r="V187" s="884"/>
      <c r="W187" s="874">
        <f t="shared" si="102"/>
        <v>0</v>
      </c>
      <c r="X187" s="884"/>
      <c r="Y187" s="874">
        <f t="shared" si="103"/>
        <v>0</v>
      </c>
      <c r="Z187" s="241"/>
      <c r="AA187" s="116">
        <f t="shared" si="104"/>
        <v>0</v>
      </c>
      <c r="AB187" s="239"/>
      <c r="AC187" s="116">
        <f t="shared" si="105"/>
        <v>0</v>
      </c>
      <c r="AD187" s="242"/>
      <c r="AE187" s="117">
        <f t="shared" si="106"/>
        <v>0</v>
      </c>
      <c r="AF187" s="1228">
        <f>SUMIF('Otras Asesorías y Préstamos'!$B$7:$B$242,B187,'Otras Asesorías y Préstamos'!$F$7:$F$242)</f>
        <v>0</v>
      </c>
      <c r="AG187" s="1228">
        <f>SUMIF('Otras Asesorías y Préstamos'!$B$7:$B$242,B187,'Otras Asesorías y Préstamos'!$V$7:$V$242)</f>
        <v>0</v>
      </c>
      <c r="AH187" s="1229">
        <f t="shared" si="107"/>
        <v>0</v>
      </c>
      <c r="AI187" s="8"/>
    </row>
    <row r="188" spans="1:35" x14ac:dyDescent="0.2">
      <c r="A188" s="1462"/>
      <c r="B188" s="1711"/>
      <c r="C188" s="1712"/>
      <c r="D188" s="1713"/>
      <c r="E188" s="1714"/>
      <c r="F188" s="618">
        <f t="shared" si="144"/>
        <v>0</v>
      </c>
      <c r="G188" s="1362"/>
      <c r="H188" s="1099"/>
      <c r="I188" s="1100"/>
      <c r="J188" s="1099"/>
      <c r="K188" s="1099"/>
      <c r="L188" s="1262"/>
      <c r="M188" s="349"/>
      <c r="N188" s="1710"/>
      <c r="O188" s="8"/>
      <c r="P188" s="1227"/>
      <c r="Q188" s="119">
        <f>ROUND(IF(P188="SI",SUMIF('C de C año anterior'!$B$8:$B$229,B188,'C de C año anterior'!$Q$8:$Q$229)*(100%+$Q$5),0),-3)+ROUND(IF(P188="SI",SUMIF('Facturas año anterior'!$B$8:$B$86,B188,'Facturas año anterior'!$V$8:$V$86)*(100%+$AA$5),0),-3)</f>
        <v>0</v>
      </c>
      <c r="R188" s="239"/>
      <c r="S188" s="114">
        <f t="shared" si="100"/>
        <v>0</v>
      </c>
      <c r="T188" s="240"/>
      <c r="U188" s="115">
        <f t="shared" si="101"/>
        <v>0</v>
      </c>
      <c r="V188" s="884"/>
      <c r="W188" s="874">
        <f t="shared" si="102"/>
        <v>0</v>
      </c>
      <c r="X188" s="884"/>
      <c r="Y188" s="874">
        <f t="shared" si="103"/>
        <v>0</v>
      </c>
      <c r="Z188" s="241"/>
      <c r="AA188" s="116">
        <f t="shared" si="104"/>
        <v>0</v>
      </c>
      <c r="AB188" s="239"/>
      <c r="AC188" s="116">
        <f t="shared" si="105"/>
        <v>0</v>
      </c>
      <c r="AD188" s="242"/>
      <c r="AE188" s="117">
        <f t="shared" si="106"/>
        <v>0</v>
      </c>
      <c r="AF188" s="1228">
        <f>SUMIF('Otras Asesorías y Préstamos'!$B$7:$B$242,B188,'Otras Asesorías y Préstamos'!$F$7:$F$242)</f>
        <v>0</v>
      </c>
      <c r="AG188" s="1228">
        <f>SUMIF('Otras Asesorías y Préstamos'!$B$7:$B$242,B188,'Otras Asesorías y Préstamos'!$V$7:$V$242)</f>
        <v>0</v>
      </c>
      <c r="AH188" s="1229">
        <f t="shared" si="107"/>
        <v>0</v>
      </c>
      <c r="AI188" s="8"/>
    </row>
    <row r="189" spans="1:35" ht="13.5" thickBot="1" x14ac:dyDescent="0.25">
      <c r="A189" s="632"/>
      <c r="B189" s="755"/>
      <c r="C189" s="511"/>
      <c r="D189" s="633"/>
      <c r="E189" s="634"/>
      <c r="F189" s="319"/>
      <c r="G189" s="590"/>
      <c r="H189" s="619"/>
      <c r="I189" s="620"/>
      <c r="J189" s="619"/>
      <c r="K189" s="619"/>
      <c r="L189" s="621"/>
      <c r="M189" s="622"/>
      <c r="N189" s="1715"/>
      <c r="O189" s="8"/>
      <c r="P189" s="305"/>
      <c r="Q189" s="186"/>
      <c r="R189" s="187"/>
      <c r="S189" s="188"/>
      <c r="T189" s="189"/>
      <c r="U189" s="190"/>
      <c r="V189" s="885"/>
      <c r="W189" s="875"/>
      <c r="X189" s="885"/>
      <c r="Y189" s="875"/>
      <c r="Z189" s="191"/>
      <c r="AA189" s="192"/>
      <c r="AB189" s="186"/>
      <c r="AC189" s="193"/>
      <c r="AD189" s="194"/>
      <c r="AE189" s="194"/>
      <c r="AF189" s="209"/>
      <c r="AG189" s="209"/>
      <c r="AH189" s="325"/>
      <c r="AI189" s="8"/>
    </row>
    <row r="190" spans="1:35" ht="13.5" thickBot="1" x14ac:dyDescent="0.25">
      <c r="A190" s="82"/>
      <c r="B190" s="359"/>
      <c r="D190" s="82"/>
      <c r="F190" s="90"/>
      <c r="L190" s="91"/>
      <c r="O190" s="8"/>
      <c r="Q190" s="99"/>
      <c r="R190" s="674"/>
      <c r="S190" s="199"/>
      <c r="T190" s="98"/>
      <c r="U190" s="146"/>
      <c r="V190" s="103"/>
      <c r="W190" s="148"/>
      <c r="X190" s="103"/>
      <c r="Y190" s="148"/>
      <c r="Z190" s="864"/>
      <c r="AA190" s="865"/>
      <c r="AB190" s="100"/>
      <c r="AC190" s="101"/>
      <c r="AD190" s="100"/>
      <c r="AE190" s="100"/>
      <c r="AF190" s="150"/>
      <c r="AG190" s="150"/>
      <c r="AH190" s="89"/>
      <c r="AI190" s="8"/>
    </row>
    <row r="191" spans="1:35" ht="13.5" thickBot="1" x14ac:dyDescent="0.25">
      <c r="A191" s="130" t="s">
        <v>289</v>
      </c>
      <c r="B191" s="756"/>
      <c r="C191" s="485"/>
      <c r="D191" s="276"/>
      <c r="E191" s="390"/>
      <c r="F191" s="244">
        <f>SUM(F9:F189)</f>
        <v>113120000</v>
      </c>
      <c r="H191" s="611"/>
      <c r="I191" s="612">
        <f>+F191</f>
        <v>113120000</v>
      </c>
      <c r="L191" s="23"/>
      <c r="O191" s="8"/>
      <c r="P191" s="1258"/>
      <c r="Q191" s="866">
        <f>SUM(Q9:Q189)</f>
        <v>89607000</v>
      </c>
      <c r="R191" s="867"/>
      <c r="S191" s="866">
        <f>SUM(S9:S189)</f>
        <v>6451000</v>
      </c>
      <c r="T191" s="867"/>
      <c r="U191" s="866">
        <f>SUM(U9:U189)</f>
        <v>6171000</v>
      </c>
      <c r="V191" s="880"/>
      <c r="W191" s="869"/>
      <c r="X191" s="880"/>
      <c r="Y191" s="869"/>
      <c r="Z191" s="867"/>
      <c r="AA191" s="866">
        <f>SUM(AA9:AA189)</f>
        <v>0</v>
      </c>
      <c r="AB191" s="867"/>
      <c r="AC191" s="866">
        <f>SUM(AC9:AC189)</f>
        <v>0</v>
      </c>
      <c r="AD191" s="867"/>
      <c r="AE191" s="866">
        <f>SUM(AE9:AE189)</f>
        <v>5127000</v>
      </c>
      <c r="AF191" s="868">
        <f>SUM(AF9:AF189)</f>
        <v>5895067.3579001008</v>
      </c>
      <c r="AG191" s="866">
        <f>SUM(AG9:AG189)</f>
        <v>0</v>
      </c>
      <c r="AH191" s="244">
        <f>SUM(AH9:AH189)</f>
        <v>113260000</v>
      </c>
      <c r="AI191" s="8"/>
    </row>
    <row r="192" spans="1:35" x14ac:dyDescent="0.2">
      <c r="A192" s="674"/>
      <c r="B192" s="757"/>
      <c r="C192" s="512"/>
      <c r="D192" s="82"/>
      <c r="F192" s="90"/>
      <c r="L192" s="91"/>
      <c r="O192" s="8"/>
      <c r="Q192" s="73"/>
      <c r="R192" s="83"/>
      <c r="S192" s="84"/>
      <c r="U192" s="85"/>
      <c r="W192" s="90"/>
      <c r="Y192" s="90"/>
      <c r="Z192" s="86"/>
      <c r="AA192" s="87"/>
      <c r="AB192" s="88"/>
      <c r="AD192" s="88"/>
      <c r="AE192" s="88"/>
      <c r="AF192" s="206"/>
      <c r="AG192" s="206"/>
      <c r="AH192" s="89"/>
      <c r="AI192" s="8"/>
    </row>
    <row r="193" spans="1:35" x14ac:dyDescent="0.2">
      <c r="A193" s="7"/>
      <c r="B193" s="758"/>
      <c r="C193" s="198">
        <f>+A179</f>
        <v>169</v>
      </c>
      <c r="D193" s="67"/>
      <c r="E193" s="210"/>
      <c r="F193" s="66"/>
      <c r="G193" s="179"/>
      <c r="H193" s="179"/>
      <c r="I193" s="600"/>
      <c r="J193" s="37"/>
      <c r="K193" s="37"/>
      <c r="L193" s="96"/>
      <c r="M193" s="198"/>
      <c r="N193" s="198"/>
      <c r="O193" s="8"/>
      <c r="P193" s="1259"/>
      <c r="Q193" s="93"/>
      <c r="R193" s="92"/>
      <c r="S193" s="69"/>
      <c r="T193" s="92"/>
      <c r="U193" s="69"/>
      <c r="V193" s="477"/>
      <c r="W193" s="66"/>
      <c r="X193" s="477"/>
      <c r="Y193" s="66"/>
      <c r="Z193" s="93"/>
      <c r="AA193" s="69"/>
      <c r="AB193" s="69"/>
      <c r="AC193" s="94"/>
      <c r="AD193" s="69"/>
      <c r="AE193" s="69"/>
      <c r="AF193" s="207"/>
      <c r="AG193" s="207"/>
      <c r="AH193" s="95"/>
      <c r="AI193" s="8"/>
    </row>
    <row r="194" spans="1:35" x14ac:dyDescent="0.2">
      <c r="A194" s="65"/>
      <c r="B194" s="157"/>
      <c r="C194" s="222"/>
      <c r="D194" s="61"/>
      <c r="E194" s="60"/>
      <c r="F194" s="103"/>
      <c r="G194" s="180"/>
      <c r="H194" s="180"/>
      <c r="I194" s="601"/>
      <c r="J194" s="44"/>
      <c r="K194" s="44"/>
      <c r="L194" s="104"/>
      <c r="M194" s="199"/>
      <c r="N194" s="199"/>
      <c r="O194" s="8"/>
      <c r="P194" s="674"/>
      <c r="Q194" s="99"/>
      <c r="R194" s="98"/>
      <c r="S194" s="100"/>
      <c r="T194" s="98"/>
      <c r="U194" s="100"/>
      <c r="V194" s="103"/>
      <c r="W194" s="148"/>
      <c r="X194" s="103"/>
      <c r="Y194" s="148"/>
      <c r="Z194" s="99"/>
      <c r="AA194" s="100"/>
      <c r="AB194" s="100"/>
      <c r="AC194" s="101"/>
      <c r="AD194" s="100"/>
      <c r="AE194" s="100"/>
      <c r="AF194" s="150"/>
      <c r="AG194" s="150"/>
      <c r="AH194" s="102"/>
      <c r="AI194" s="8"/>
    </row>
    <row r="195" spans="1:35" ht="15.75" thickBot="1" x14ac:dyDescent="0.25">
      <c r="A195" s="113" t="s">
        <v>3</v>
      </c>
      <c r="B195" s="359"/>
      <c r="D195" s="6"/>
      <c r="F195" s="65"/>
      <c r="G195" s="180"/>
      <c r="H195" s="180"/>
      <c r="I195" s="601"/>
      <c r="J195" s="44"/>
      <c r="K195" s="44"/>
      <c r="L195" s="105"/>
      <c r="M195" s="199"/>
      <c r="N195" s="199"/>
      <c r="O195" s="8"/>
      <c r="P195" s="674"/>
      <c r="Q195" s="324"/>
      <c r="R195" s="98"/>
      <c r="S195" s="324"/>
      <c r="T195" s="98"/>
      <c r="U195" s="324"/>
      <c r="V195" s="103"/>
      <c r="W195" s="65"/>
      <c r="X195" s="103"/>
      <c r="Y195" s="65"/>
      <c r="Z195" s="99"/>
      <c r="AA195" s="324"/>
      <c r="AB195" s="324"/>
      <c r="AC195" s="101"/>
      <c r="AD195" s="324"/>
      <c r="AE195" s="324"/>
      <c r="AF195" s="208"/>
      <c r="AG195" s="208"/>
      <c r="AH195" s="120"/>
      <c r="AI195" s="8"/>
    </row>
    <row r="196" spans="1:35" x14ac:dyDescent="0.2">
      <c r="A196" s="1646">
        <v>1</v>
      </c>
      <c r="B196" s="1681" t="s">
        <v>175</v>
      </c>
      <c r="C196" s="1673">
        <f>_xlfn.XLOOKUP(B196,Códigos!$B$8:$B$406,Códigos!$A$8:$A$406,"Verificar",0)</f>
        <v>12</v>
      </c>
      <c r="D196" s="1675">
        <f>_xlfn.XLOOKUP(B196,'Consolidado Cobros'!$B$10:$B$312,'Consolidado Cobros'!$C$10:$C$312,"Verificar",0)</f>
        <v>800076166</v>
      </c>
      <c r="E196" s="816">
        <f t="shared" ref="E196:E201" si="163">IF((MOD((VALUE(MID(TEXT(D196,"000000000000000"),15,1))*3+VALUE(MID(TEXT(D196,"000000000000000"),14,1))*7+VALUE(MID(TEXT(D196,"000000000000000"),13,1))*13+VALUE(MID(TEXT(D196,"000000000000000"),12,1))*17+VALUE(MID(TEXT(D196,"000000000000000"),11,1))*19+VALUE(MID(TEXT(D196,"000000000000000"),10,1))*23+VALUE(MID(TEXT(D196,"000000000000000"),9,1))*29+VALUE(MID(TEXT(D196,"000000000000000"),8,1))*37+VALUE(MID(TEXT(D196,"000000000000000"),7,1))*41+VALUE(MID(TEXT(D196,"000000000000000"),6,1))*43+VALUE(MID(TEXT(D196,"000000000000000"),5,1))*47+VALUE(MID(TEXT(D196,"000000000000000"),4,1))*53+VALUE(MID(TEXT(D196,"000000000000000"),3,1))*59+VALUE(MID(TEXT(D196,"000000000000000"),2,1))*67+VALUE(MID(TEXT(D196,"000000000000000"),1,1))*71),11))=0,0,IF((MOD((VALUE(MID(TEXT(D196,"000000000000000"),15,1))*3+VALUE(MID(TEXT(D196,"000000000000000"),14,1))*7+VALUE(MID(TEXT(D196,"000000000000000"),13,1))*13+VALUE(MID(TEXT(D196,"000000000000000"),12,1))*17+VALUE(MID(TEXT(D196,"000000000000000"),11,1))*19+VALUE(MID(TEXT(D196,"000000000000000"),10,1))*23+VALUE(MID(TEXT(D196,"000000000000000"),9,1))*29+VALUE(MID(TEXT(D196,"000000000000000"),8,1))*37+VALUE(MID(TEXT(D196,"000000000000000"),7,1))*41+VALUE(MID(TEXT(D196,"000000000000000"),6,1))*43+VALUE(MID(TEXT(D196,"000000000000000"),5,1))*47+VALUE(MID(TEXT(D196,"000000000000000"),4,1))*53+VALUE(MID(TEXT(D196,"000000000000000"),3,1))*59+VALUE(MID(TEXT(D196,"000000000000000"),2,1))*67+VALUE(MID(TEXT(D196,"000000000000000"),1,1))*71),11))=1,1,11-(MOD((VALUE(MID(TEXT(D196,"000000000000000"),15,1))*3+VALUE(MID(TEXT(D196,"000000000000000"),14,1))*7+VALUE(MID(TEXT(D196,"000000000000000"),13,1))*13+VALUE(MID(TEXT(D196,"000000000000000"),12,1))*17+VALUE(MID(TEXT(D196,"000000000000000"),11,1))*19+VALUE(MID(TEXT(D196,"000000000000000"),10,1))*23+VALUE(MID(TEXT(D196,"000000000000000"),9,1))*29+VALUE(MID(TEXT(D196,"000000000000000"),8,1))*37+VALUE(MID(TEXT(D196,"000000000000000"),7,1))*41+VALUE(MID(TEXT(D196,"000000000000000"),6,1))*43+VALUE(MID(TEXT(D196,"000000000000000"),5,1))*47+VALUE(MID(TEXT(D196,"000000000000000"),4,1))*53+VALUE(MID(TEXT(D196,"000000000000000"),3,1))*59+VALUE(MID(TEXT(D196,"000000000000000"),2,1))*67+VALUE(MID(TEXT(D196,"000000000000000"),1,1))*71),11))))</f>
        <v>2</v>
      </c>
      <c r="F196" s="615">
        <f t="shared" ref="F196:F201" si="164">+AH196</f>
        <v>860000</v>
      </c>
      <c r="G196" s="1098" t="s">
        <v>995</v>
      </c>
      <c r="H196" s="570"/>
      <c r="I196" s="906"/>
      <c r="J196" s="827"/>
      <c r="K196" s="827"/>
      <c r="L196" s="828"/>
      <c r="M196" s="1716"/>
      <c r="N196" s="1717"/>
      <c r="O196" s="80"/>
      <c r="P196" s="1225" t="s">
        <v>318</v>
      </c>
      <c r="Q196" s="182">
        <f>ROUND(IF(P196="SI",SUMIF('C de C año anterior'!$B$8:$B$229,B196,'C de C año anterior'!$F$8:$F$229)*(100%+$Q$5),0),-3)+ROUND(IF(P196="SI",SUMIF('Facturas año anterior'!$B$8:$B$86,B196,'Facturas año anterior'!$F$8:$F$86)*(100%+$AA$5),0),-3)</f>
        <v>862000</v>
      </c>
      <c r="R196" s="235"/>
      <c r="S196" s="183">
        <f t="shared" ref="S196:S212" si="165">ROUND(IF(R196="SI",Q196*$S$5,0),-3)</f>
        <v>0</v>
      </c>
      <c r="T196" s="1490" t="s">
        <v>266</v>
      </c>
      <c r="U196" s="1864">
        <f t="shared" ref="U196:U212" si="166">ROUND(IF(T196="SI",Q196*$U$5,0),-3)</f>
        <v>0</v>
      </c>
      <c r="V196" s="883"/>
      <c r="W196" s="873">
        <f t="shared" ref="W196:W212" si="167">ROUND(IF(V196="SI",Q196*$W$5,0),-3)</f>
        <v>0</v>
      </c>
      <c r="X196" s="883"/>
      <c r="Y196" s="873">
        <f t="shared" ref="Y196:Y212" si="168">ROUND(IF(X196="SI",Q196*$Y$5,0),-3)</f>
        <v>0</v>
      </c>
      <c r="Z196" s="235"/>
      <c r="AA196" s="185">
        <f t="shared" ref="AA196:AA212" si="169">ROUND(IF(Z196="SI",Q196*$AA$5,0),-3)</f>
        <v>0</v>
      </c>
      <c r="AB196" s="235"/>
      <c r="AC196" s="185">
        <f t="shared" ref="AC196:AC212" si="170">ROUND(IF(AB196="SI",Q196*$AC$5,0),-3)</f>
        <v>0</v>
      </c>
      <c r="AD196" s="238"/>
      <c r="AE196" s="264">
        <f t="shared" ref="AE196:AE212" si="171">IF(AD196="SI",Q196*$AE$5,0)</f>
        <v>0</v>
      </c>
      <c r="AF196" s="205">
        <f>SUMIF('Otras Asesorías y Préstamos'!$B$7:$B$242,B196,'Otras Asesorías y Préstamos'!$F$7:$F$242)</f>
        <v>0</v>
      </c>
      <c r="AG196" s="205">
        <f>SUMIF('Otras Asesorías y Préstamos'!$B$7:$B$242,B196,'Otras Asesorías y Préstamos'!$V$7:$V$242)</f>
        <v>0</v>
      </c>
      <c r="AH196" s="1226">
        <f t="shared" ref="AH196:AH212" si="172">ROUND(SUM(Q196:AG196),-4)</f>
        <v>860000</v>
      </c>
      <c r="AI196" s="8"/>
    </row>
    <row r="197" spans="1:35" x14ac:dyDescent="0.2">
      <c r="A197" s="1718">
        <f t="shared" ref="A197:A201" si="173">+A196+1</f>
        <v>2</v>
      </c>
      <c r="B197" s="1137" t="s">
        <v>674</v>
      </c>
      <c r="C197" s="1185">
        <f>_xlfn.XLOOKUP(B197,Códigos!$B$8:$B$406,Códigos!$A$8:$A$406,"Verificar",0)</f>
        <v>258</v>
      </c>
      <c r="D197" s="1187">
        <f>_xlfn.XLOOKUP(B197,'Consolidado Cobros'!$B$10:$B$312,'Consolidado Cobros'!$C$10:$C$312,"Verificar",0)</f>
        <v>900625975</v>
      </c>
      <c r="E197" s="1186">
        <f t="shared" si="163"/>
        <v>3</v>
      </c>
      <c r="F197" s="1463">
        <f t="shared" si="164"/>
        <v>0</v>
      </c>
      <c r="G197" s="823"/>
      <c r="H197" s="144"/>
      <c r="I197" s="144"/>
      <c r="J197" s="1719"/>
      <c r="K197" s="1537"/>
      <c r="L197" s="1720"/>
      <c r="M197" s="1101"/>
      <c r="N197" s="1706"/>
      <c r="O197" s="8"/>
      <c r="P197" s="1227"/>
      <c r="Q197" s="119">
        <f>ROUND(IF(P197="SI",SUMIF('C de C año anterior'!$B$8:$B$229,B197,'C de C año anterior'!$F$8:$F$229)*(100%+$Q$5),0),-3)+ROUND(IF(P197="SI",SUMIF('Facturas año anterior'!$B$8:$B$86,B197,'Facturas año anterior'!$F$8:$F$86)*(100%+$AA$5),0),-3)</f>
        <v>0</v>
      </c>
      <c r="R197" s="239"/>
      <c r="S197" s="114">
        <f t="shared" si="165"/>
        <v>0</v>
      </c>
      <c r="T197" s="884"/>
      <c r="U197" s="115">
        <f t="shared" si="166"/>
        <v>0</v>
      </c>
      <c r="V197" s="884"/>
      <c r="W197" s="874">
        <f t="shared" si="167"/>
        <v>0</v>
      </c>
      <c r="X197" s="884"/>
      <c r="Y197" s="874">
        <f t="shared" si="168"/>
        <v>0</v>
      </c>
      <c r="Z197" s="239"/>
      <c r="AA197" s="116">
        <f t="shared" si="169"/>
        <v>0</v>
      </c>
      <c r="AB197" s="239"/>
      <c r="AC197" s="116">
        <f t="shared" si="170"/>
        <v>0</v>
      </c>
      <c r="AD197" s="242"/>
      <c r="AE197" s="117">
        <f t="shared" si="171"/>
        <v>0</v>
      </c>
      <c r="AF197" s="1228">
        <f>SUMIF('Otras Asesorías y Préstamos'!$B$7:$B$242,B197,'Otras Asesorías y Préstamos'!$F$7:$F$242)</f>
        <v>0</v>
      </c>
      <c r="AG197" s="1228">
        <f>SUMIF('Otras Asesorías y Préstamos'!$B$7:$B$242,B197,'Otras Asesorías y Préstamos'!$V$7:$V$242)</f>
        <v>0</v>
      </c>
      <c r="AH197" s="1229">
        <f t="shared" si="172"/>
        <v>0</v>
      </c>
      <c r="AI197" s="8"/>
    </row>
    <row r="198" spans="1:35" ht="25.5" x14ac:dyDescent="0.2">
      <c r="A198" s="1718">
        <f t="shared" ref="A198:A200" si="174">+A197+1</f>
        <v>3</v>
      </c>
      <c r="B198" s="1137" t="s">
        <v>177</v>
      </c>
      <c r="C198" s="1185">
        <f>_xlfn.XLOOKUP(B198,Códigos!$B$8:$B$406,Códigos!$A$8:$A$406,"Verificar",0)</f>
        <v>15</v>
      </c>
      <c r="D198" s="1187">
        <f>_xlfn.XLOOKUP(B198,'Consolidado Cobros'!$B$10:$B$312,'Consolidado Cobros'!$C$10:$C$312,"Verificar",0)</f>
        <v>890921312</v>
      </c>
      <c r="E198" s="1186">
        <f t="shared" si="163"/>
        <v>4</v>
      </c>
      <c r="F198" s="1463">
        <f t="shared" si="164"/>
        <v>860000</v>
      </c>
      <c r="G198" s="1098" t="s">
        <v>995</v>
      </c>
      <c r="H198" s="144"/>
      <c r="I198" s="144"/>
      <c r="J198" s="1721"/>
      <c r="K198" s="1722"/>
      <c r="L198" s="1720"/>
      <c r="M198" s="1266"/>
      <c r="N198" s="1706"/>
      <c r="O198" s="80"/>
      <c r="P198" s="1227" t="s">
        <v>318</v>
      </c>
      <c r="Q198" s="119">
        <f>ROUND(IF(P198="SI",SUMIF('C de C año anterior'!$B$8:$B$229,B198,'C de C año anterior'!$F$8:$F$229)*(100%+$Q$5),0),-3)+ROUND(IF(P198="SI",SUMIF('Facturas año anterior'!$B$8:$B$86,B198,'Facturas año anterior'!$F$8:$F$86)*(100%+$AA$5),0),-3)</f>
        <v>862000</v>
      </c>
      <c r="R198" s="239"/>
      <c r="S198" s="114">
        <f t="shared" si="165"/>
        <v>0</v>
      </c>
      <c r="T198" s="1265" t="s">
        <v>266</v>
      </c>
      <c r="U198" s="857">
        <f t="shared" si="166"/>
        <v>0</v>
      </c>
      <c r="V198" s="884"/>
      <c r="W198" s="874">
        <f t="shared" si="167"/>
        <v>0</v>
      </c>
      <c r="X198" s="884"/>
      <c r="Y198" s="874">
        <f t="shared" si="168"/>
        <v>0</v>
      </c>
      <c r="Z198" s="240"/>
      <c r="AA198" s="116">
        <f t="shared" si="169"/>
        <v>0</v>
      </c>
      <c r="AB198" s="239"/>
      <c r="AC198" s="116">
        <f t="shared" si="170"/>
        <v>0</v>
      </c>
      <c r="AD198" s="242"/>
      <c r="AE198" s="117">
        <f t="shared" si="171"/>
        <v>0</v>
      </c>
      <c r="AF198" s="1228">
        <f>SUMIF('Otras Asesorías y Préstamos'!$B$7:$B$242,B198,'Otras Asesorías y Préstamos'!$F$7:$F$242)</f>
        <v>0</v>
      </c>
      <c r="AG198" s="1228">
        <f>SUMIF('Otras Asesorías y Préstamos'!$B$7:$B$242,B198,'Otras Asesorías y Préstamos'!$V$7:$V$242)</f>
        <v>0</v>
      </c>
      <c r="AH198" s="1229">
        <f t="shared" si="172"/>
        <v>860000</v>
      </c>
      <c r="AI198" s="8"/>
    </row>
    <row r="199" spans="1:35" ht="25.5" x14ac:dyDescent="0.2">
      <c r="A199" s="1718">
        <f t="shared" si="174"/>
        <v>4</v>
      </c>
      <c r="B199" s="1204" t="s">
        <v>181</v>
      </c>
      <c r="C199" s="1263">
        <f>_xlfn.XLOOKUP(B199,Códigos!$B$8:$B$406,Códigos!$A$8:$A$406,"Verificar",0)</f>
        <v>21</v>
      </c>
      <c r="D199" s="1735">
        <f>_xlfn.XLOOKUP(B199,'Consolidado Cobros'!$B$10:$B$312,'Consolidado Cobros'!$C$10:$C$312,"Verificar",0)</f>
        <v>890910754</v>
      </c>
      <c r="E199" s="1820">
        <f t="shared" si="163"/>
        <v>9</v>
      </c>
      <c r="F199" s="1736">
        <f t="shared" si="164"/>
        <v>1850000</v>
      </c>
      <c r="G199" s="1821" t="s">
        <v>1081</v>
      </c>
      <c r="H199" s="1822"/>
      <c r="I199" s="1822"/>
      <c r="J199" s="1823"/>
      <c r="K199" s="1824"/>
      <c r="L199" s="1825"/>
      <c r="M199" s="1826"/>
      <c r="N199" s="1827"/>
      <c r="O199" s="1828"/>
      <c r="P199" s="1829" t="s">
        <v>318</v>
      </c>
      <c r="Q199" s="345">
        <f>(ROUND(IF(P199="SI",SUMIF('C de C año anterior'!$B$8:$B$229,B199,'C de C año anterior'!$F$8:$F$229)*(100%+$Q$5),0),-3)+ROUND(IF(P199="SI",SUMIF('Facturas año anterior'!$B$8:$B$86,B199,'Facturas año anterior'!$F$8:$F$86)*(100%+$AA$5),0),-3))*0+1423500</f>
        <v>1423500</v>
      </c>
      <c r="R199" s="854"/>
      <c r="S199" s="855">
        <f t="shared" si="165"/>
        <v>0</v>
      </c>
      <c r="T199" s="905" t="s">
        <v>318</v>
      </c>
      <c r="U199" s="857">
        <f>ROUND(IF(T199="SI",Q199*$U$5,0),-3)*0+Q199*30/100</f>
        <v>427050</v>
      </c>
      <c r="V199" s="884"/>
      <c r="W199" s="874">
        <f t="shared" si="167"/>
        <v>0</v>
      </c>
      <c r="X199" s="884"/>
      <c r="Y199" s="874">
        <f t="shared" si="168"/>
        <v>0</v>
      </c>
      <c r="Z199" s="239"/>
      <c r="AA199" s="116">
        <f t="shared" si="169"/>
        <v>0</v>
      </c>
      <c r="AB199" s="239"/>
      <c r="AC199" s="116">
        <f t="shared" si="170"/>
        <v>0</v>
      </c>
      <c r="AD199" s="242"/>
      <c r="AE199" s="117">
        <f t="shared" si="171"/>
        <v>0</v>
      </c>
      <c r="AF199" s="1228">
        <f>SUMIF('Otras Asesorías y Préstamos'!$B$7:$B$242,B199,'Otras Asesorías y Préstamos'!$F$7:$F$242)</f>
        <v>0</v>
      </c>
      <c r="AG199" s="1228">
        <f>SUMIF('Otras Asesorías y Préstamos'!$B$7:$B$242,B199,'Otras Asesorías y Préstamos'!$V$7:$V$242)</f>
        <v>0</v>
      </c>
      <c r="AH199" s="1229">
        <f t="shared" si="172"/>
        <v>1850000</v>
      </c>
      <c r="AI199" s="8"/>
    </row>
    <row r="200" spans="1:35" x14ac:dyDescent="0.2">
      <c r="A200" s="1718">
        <f t="shared" si="174"/>
        <v>5</v>
      </c>
      <c r="B200" s="1137" t="s">
        <v>189</v>
      </c>
      <c r="C200" s="1185">
        <f>_xlfn.XLOOKUP(B200,Códigos!$B$8:$B$406,Códigos!$A$8:$A$406,"Verificar",0)</f>
        <v>31</v>
      </c>
      <c r="D200" s="1187">
        <f>_xlfn.XLOOKUP(B200,'Consolidado Cobros'!$B$10:$B$312,'Consolidado Cobros'!$C$10:$C$312,"Verificar",0)</f>
        <v>890927723</v>
      </c>
      <c r="E200" s="1186">
        <f t="shared" si="163"/>
        <v>5</v>
      </c>
      <c r="F200" s="1463">
        <f t="shared" si="164"/>
        <v>0</v>
      </c>
      <c r="G200" s="823"/>
      <c r="H200" s="144"/>
      <c r="I200" s="144"/>
      <c r="J200" s="1721"/>
      <c r="K200" s="1722"/>
      <c r="L200" s="1720"/>
      <c r="M200" s="1101"/>
      <c r="N200" s="1706"/>
      <c r="O200" s="80"/>
      <c r="P200" s="1227"/>
      <c r="Q200" s="119">
        <f>ROUND(IF(P200="SI",SUMIF('C de C año anterior'!$B$8:$B$229,B200,'C de C año anterior'!$F$8:$F$229)*(100%+$Q$5),0),-3)+ROUND(IF(P200="SI",SUMIF('Facturas año anterior'!$B$8:$B$86,B200,'Facturas año anterior'!$F$8:$F$86)*(100%+$AA$5),0),-3)</f>
        <v>0</v>
      </c>
      <c r="R200" s="239"/>
      <c r="S200" s="114">
        <f t="shared" si="165"/>
        <v>0</v>
      </c>
      <c r="T200" s="240"/>
      <c r="U200" s="115">
        <f t="shared" si="166"/>
        <v>0</v>
      </c>
      <c r="V200" s="884"/>
      <c r="W200" s="874">
        <f t="shared" si="167"/>
        <v>0</v>
      </c>
      <c r="X200" s="884"/>
      <c r="Y200" s="874">
        <f t="shared" si="168"/>
        <v>0</v>
      </c>
      <c r="Z200" s="239"/>
      <c r="AA200" s="116">
        <f t="shared" si="169"/>
        <v>0</v>
      </c>
      <c r="AB200" s="239"/>
      <c r="AC200" s="116">
        <f t="shared" si="170"/>
        <v>0</v>
      </c>
      <c r="AD200" s="242"/>
      <c r="AE200" s="117">
        <f t="shared" si="171"/>
        <v>0</v>
      </c>
      <c r="AF200" s="1228">
        <f>SUMIF('Otras Asesorías y Préstamos'!$B$7:$B$242,B200,'Otras Asesorías y Préstamos'!$F$7:$F$242)</f>
        <v>0</v>
      </c>
      <c r="AG200" s="1228">
        <f>SUMIF('Otras Asesorías y Préstamos'!$B$7:$B$242,B200,'Otras Asesorías y Préstamos'!$V$7:$V$242)</f>
        <v>0</v>
      </c>
      <c r="AH200" s="1229">
        <f t="shared" si="172"/>
        <v>0</v>
      </c>
      <c r="AI200" s="8"/>
    </row>
    <row r="201" spans="1:35" x14ac:dyDescent="0.2">
      <c r="A201" s="1718">
        <f t="shared" si="173"/>
        <v>6</v>
      </c>
      <c r="B201" s="1137" t="s">
        <v>193</v>
      </c>
      <c r="C201" s="1185">
        <f>_xlfn.XLOOKUP(B201,Códigos!$B$8:$B$406,Códigos!$A$8:$A$406,"Verificar",0)</f>
        <v>302</v>
      </c>
      <c r="D201" s="1187">
        <f>_xlfn.XLOOKUP(B201,'Consolidado Cobros'!$B$10:$B$312,'Consolidado Cobros'!$C$10:$C$312,"Verificar",0)</f>
        <v>900835266</v>
      </c>
      <c r="E201" s="1186">
        <f t="shared" si="163"/>
        <v>0</v>
      </c>
      <c r="F201" s="1463">
        <f t="shared" si="164"/>
        <v>1930000</v>
      </c>
      <c r="G201" s="823" t="s">
        <v>1065</v>
      </c>
      <c r="H201" s="144"/>
      <c r="I201" s="144"/>
      <c r="J201" s="1721"/>
      <c r="K201" s="1722"/>
      <c r="L201" s="1720"/>
      <c r="M201" s="1266"/>
      <c r="N201" s="1706"/>
      <c r="O201" s="80"/>
      <c r="P201" s="1227" t="s">
        <v>318</v>
      </c>
      <c r="Q201" s="119">
        <f>ROUND(IF(P201="SI",SUMIF('C de C año anterior'!$B$8:$B$229,B201,'C de C año anterior'!$F$8:$F$229)*(100%+$Q$5),0),-3)+ROUND(IF(P201="SI",SUMIF('Facturas año anterior'!$B$8:$B$86,B201,'Facturas año anterior'!$F$8:$F$86)*(100%+$AA$5),0),-3)</f>
        <v>1104000</v>
      </c>
      <c r="R201" s="239"/>
      <c r="S201" s="114">
        <f t="shared" si="165"/>
        <v>0</v>
      </c>
      <c r="T201" s="1647" t="s">
        <v>318</v>
      </c>
      <c r="U201" s="115">
        <f t="shared" si="166"/>
        <v>828000</v>
      </c>
      <c r="V201" s="884"/>
      <c r="W201" s="874">
        <f t="shared" si="167"/>
        <v>0</v>
      </c>
      <c r="X201" s="884"/>
      <c r="Y201" s="874">
        <f t="shared" si="168"/>
        <v>0</v>
      </c>
      <c r="Z201" s="239"/>
      <c r="AA201" s="116">
        <f t="shared" si="169"/>
        <v>0</v>
      </c>
      <c r="AB201" s="239"/>
      <c r="AC201" s="116">
        <f t="shared" si="170"/>
        <v>0</v>
      </c>
      <c r="AD201" s="242"/>
      <c r="AE201" s="117">
        <f t="shared" si="171"/>
        <v>0</v>
      </c>
      <c r="AF201" s="1228">
        <f>SUMIF('Otras Asesorías y Préstamos'!$B$7:$B$242,B201,'Otras Asesorías y Préstamos'!$F$7:$F$242)</f>
        <v>0</v>
      </c>
      <c r="AG201" s="1228">
        <f>SUMIF('Otras Asesorías y Préstamos'!$B$7:$B$242,B201,'Otras Asesorías y Préstamos'!$V$7:$V$242)</f>
        <v>0</v>
      </c>
      <c r="AH201" s="1229">
        <f t="shared" si="172"/>
        <v>1930000</v>
      </c>
      <c r="AI201" s="8"/>
    </row>
    <row r="202" spans="1:35" x14ac:dyDescent="0.2">
      <c r="A202" s="1718"/>
      <c r="B202" s="1137"/>
      <c r="C202" s="1185"/>
      <c r="D202" s="1187"/>
      <c r="E202" s="1186">
        <f t="shared" ref="E202:E206" si="175">IF((MOD((VALUE(MID(TEXT(D202,"000000000000000"),15,1))*3+VALUE(MID(TEXT(D202,"000000000000000"),14,1))*7+VALUE(MID(TEXT(D202,"000000000000000"),13,1))*13+VALUE(MID(TEXT(D202,"000000000000000"),12,1))*17+VALUE(MID(TEXT(D202,"000000000000000"),11,1))*19+VALUE(MID(TEXT(D202,"000000000000000"),10,1))*23+VALUE(MID(TEXT(D202,"000000000000000"),9,1))*29+VALUE(MID(TEXT(D202,"000000000000000"),8,1))*37+VALUE(MID(TEXT(D202,"000000000000000"),7,1))*41+VALUE(MID(TEXT(D202,"000000000000000"),6,1))*43+VALUE(MID(TEXT(D202,"000000000000000"),5,1))*47+VALUE(MID(TEXT(D202,"000000000000000"),4,1))*53+VALUE(MID(TEXT(D202,"000000000000000"),3,1))*59+VALUE(MID(TEXT(D202,"000000000000000"),2,1))*67+VALUE(MID(TEXT(D202,"000000000000000"),1,1))*71),11))=0,0,IF((MOD((VALUE(MID(TEXT(D202,"000000000000000"),15,1))*3+VALUE(MID(TEXT(D202,"000000000000000"),14,1))*7+VALUE(MID(TEXT(D202,"000000000000000"),13,1))*13+VALUE(MID(TEXT(D202,"000000000000000"),12,1))*17+VALUE(MID(TEXT(D202,"000000000000000"),11,1))*19+VALUE(MID(TEXT(D202,"000000000000000"),10,1))*23+VALUE(MID(TEXT(D202,"000000000000000"),9,1))*29+VALUE(MID(TEXT(D202,"000000000000000"),8,1))*37+VALUE(MID(TEXT(D202,"000000000000000"),7,1))*41+VALUE(MID(TEXT(D202,"000000000000000"),6,1))*43+VALUE(MID(TEXT(D202,"000000000000000"),5,1))*47+VALUE(MID(TEXT(D202,"000000000000000"),4,1))*53+VALUE(MID(TEXT(D202,"000000000000000"),3,1))*59+VALUE(MID(TEXT(D202,"000000000000000"),2,1))*67+VALUE(MID(TEXT(D202,"000000000000000"),1,1))*71),11))=1,1,11-(MOD((VALUE(MID(TEXT(D202,"000000000000000"),15,1))*3+VALUE(MID(TEXT(D202,"000000000000000"),14,1))*7+VALUE(MID(TEXT(D202,"000000000000000"),13,1))*13+VALUE(MID(TEXT(D202,"000000000000000"),12,1))*17+VALUE(MID(TEXT(D202,"000000000000000"),11,1))*19+VALUE(MID(TEXT(D202,"000000000000000"),10,1))*23+VALUE(MID(TEXT(D202,"000000000000000"),9,1))*29+VALUE(MID(TEXT(D202,"000000000000000"),8,1))*37+VALUE(MID(TEXT(D202,"000000000000000"),7,1))*41+VALUE(MID(TEXT(D202,"000000000000000"),6,1))*43+VALUE(MID(TEXT(D202,"000000000000000"),5,1))*47+VALUE(MID(TEXT(D202,"000000000000000"),4,1))*53+VALUE(MID(TEXT(D202,"000000000000000"),3,1))*59+VALUE(MID(TEXT(D202,"000000000000000"),2,1))*67+VALUE(MID(TEXT(D202,"000000000000000"),1,1))*71),11))))</f>
        <v>0</v>
      </c>
      <c r="F202" s="1463">
        <f t="shared" ref="F202:F206" si="176">+AH202</f>
        <v>0</v>
      </c>
      <c r="G202" s="823"/>
      <c r="H202" s="144"/>
      <c r="I202" s="144"/>
      <c r="J202" s="1721"/>
      <c r="K202" s="1722"/>
      <c r="L202" s="1720"/>
      <c r="M202" s="1101"/>
      <c r="N202" s="1706"/>
      <c r="O202" s="80"/>
      <c r="P202" s="1227"/>
      <c r="Q202" s="119">
        <f>ROUND(IF(P202="SI",SUMIF('C de C año anterior'!$B$8:$B$229,B202,'C de C año anterior'!$F$8:$F$229)*(100%+$Q$5),0),-3)+ROUND(IF(P202="SI",SUMIF('Facturas año anterior'!$B$8:$B$86,B202,'Facturas año anterior'!$F$8:$F$86)*(100%+$AA$5),0),-3)</f>
        <v>0</v>
      </c>
      <c r="R202" s="239"/>
      <c r="S202" s="114">
        <f t="shared" si="165"/>
        <v>0</v>
      </c>
      <c r="T202" s="240"/>
      <c r="U202" s="115">
        <f t="shared" si="166"/>
        <v>0</v>
      </c>
      <c r="V202" s="884"/>
      <c r="W202" s="874">
        <f t="shared" si="167"/>
        <v>0</v>
      </c>
      <c r="X202" s="884"/>
      <c r="Y202" s="874">
        <f t="shared" si="168"/>
        <v>0</v>
      </c>
      <c r="Z202" s="239"/>
      <c r="AA202" s="116">
        <f t="shared" si="169"/>
        <v>0</v>
      </c>
      <c r="AB202" s="239"/>
      <c r="AC202" s="116">
        <f t="shared" si="170"/>
        <v>0</v>
      </c>
      <c r="AD202" s="242"/>
      <c r="AE202" s="117">
        <f t="shared" si="171"/>
        <v>0</v>
      </c>
      <c r="AF202" s="1228">
        <f>SUMIF('Otras Asesorías y Préstamos'!$B$7:$B$242,B202,'Otras Asesorías y Préstamos'!$F$7:$F$242)</f>
        <v>0</v>
      </c>
      <c r="AG202" s="1228">
        <f>SUMIF('Otras Asesorías y Préstamos'!$B$7:$B$242,B202,'Otras Asesorías y Préstamos'!$V$7:$V$242)</f>
        <v>0</v>
      </c>
      <c r="AH202" s="1229">
        <f t="shared" si="172"/>
        <v>0</v>
      </c>
      <c r="AI202" s="8"/>
    </row>
    <row r="203" spans="1:35" x14ac:dyDescent="0.2">
      <c r="A203" s="1718"/>
      <c r="B203" s="1137"/>
      <c r="C203" s="1185"/>
      <c r="D203" s="1138"/>
      <c r="E203" s="1186">
        <f t="shared" si="175"/>
        <v>0</v>
      </c>
      <c r="F203" s="1463">
        <f t="shared" si="176"/>
        <v>0</v>
      </c>
      <c r="G203" s="823"/>
      <c r="H203" s="144"/>
      <c r="I203" s="144"/>
      <c r="J203" s="1721"/>
      <c r="K203" s="1722"/>
      <c r="L203" s="1720"/>
      <c r="M203" s="1101"/>
      <c r="N203" s="1706"/>
      <c r="O203" s="80"/>
      <c r="P203" s="1227"/>
      <c r="Q203" s="119">
        <f>ROUND(IF(P203="SI",SUMIF('C de C año anterior'!$B$8:$B$229,B203,'C de C año anterior'!$F$8:$F$229)*(100%+$Q$5),0),-3)+ROUND(IF(P203="SI",SUMIF('Facturas año anterior'!$B$8:$B$86,B203,'Facturas año anterior'!$F$8:$F$86)*(100%+$AA$5),0),-3)</f>
        <v>0</v>
      </c>
      <c r="R203" s="239"/>
      <c r="S203" s="114">
        <f t="shared" si="165"/>
        <v>0</v>
      </c>
      <c r="T203" s="240"/>
      <c r="U203" s="115">
        <f t="shared" si="166"/>
        <v>0</v>
      </c>
      <c r="V203" s="884"/>
      <c r="W203" s="874">
        <f t="shared" si="167"/>
        <v>0</v>
      </c>
      <c r="X203" s="884"/>
      <c r="Y203" s="874">
        <f t="shared" si="168"/>
        <v>0</v>
      </c>
      <c r="Z203" s="239"/>
      <c r="AA203" s="116">
        <f t="shared" si="169"/>
        <v>0</v>
      </c>
      <c r="AB203" s="239"/>
      <c r="AC203" s="116">
        <f t="shared" si="170"/>
        <v>0</v>
      </c>
      <c r="AD203" s="242"/>
      <c r="AE203" s="117">
        <f t="shared" si="171"/>
        <v>0</v>
      </c>
      <c r="AF203" s="1228">
        <f>SUMIF('Otras Asesorías y Préstamos'!$B$7:$B$242,B203,'Otras Asesorías y Préstamos'!$F$7:$F$242)</f>
        <v>0</v>
      </c>
      <c r="AG203" s="1228">
        <f>SUMIF('Otras Asesorías y Préstamos'!$B$7:$B$242,B203,'Otras Asesorías y Préstamos'!$V$7:$V$242)</f>
        <v>0</v>
      </c>
      <c r="AH203" s="1229">
        <f t="shared" si="172"/>
        <v>0</v>
      </c>
      <c r="AI203" s="8"/>
    </row>
    <row r="204" spans="1:35" x14ac:dyDescent="0.2">
      <c r="A204" s="1718"/>
      <c r="B204" s="1137"/>
      <c r="C204" s="1185"/>
      <c r="D204" s="1138"/>
      <c r="E204" s="1186">
        <f t="shared" si="175"/>
        <v>0</v>
      </c>
      <c r="F204" s="1463">
        <f t="shared" si="176"/>
        <v>0</v>
      </c>
      <c r="G204" s="823"/>
      <c r="H204" s="144"/>
      <c r="I204" s="144"/>
      <c r="J204" s="1721"/>
      <c r="K204" s="1722"/>
      <c r="L204" s="1720"/>
      <c r="M204" s="1101"/>
      <c r="N204" s="1706"/>
      <c r="O204" s="80"/>
      <c r="P204" s="1227"/>
      <c r="Q204" s="119">
        <f>ROUND(IF(P204="SI",SUMIF('C de C año anterior'!$B$8:$B$229,B204,'C de C año anterior'!$F$8:$F$229)*(100%+$Q$5),0),-3)+ROUND(IF(P204="SI",SUMIF('Facturas año anterior'!$B$8:$B$86,B204,'Facturas año anterior'!$F$8:$F$86)*(100%+$AA$5),0),-3)</f>
        <v>0</v>
      </c>
      <c r="R204" s="239"/>
      <c r="S204" s="114">
        <f t="shared" si="165"/>
        <v>0</v>
      </c>
      <c r="T204" s="240"/>
      <c r="U204" s="115">
        <f t="shared" si="166"/>
        <v>0</v>
      </c>
      <c r="V204" s="884"/>
      <c r="W204" s="874">
        <f t="shared" si="167"/>
        <v>0</v>
      </c>
      <c r="X204" s="884"/>
      <c r="Y204" s="874">
        <f t="shared" si="168"/>
        <v>0</v>
      </c>
      <c r="Z204" s="239"/>
      <c r="AA204" s="116">
        <f t="shared" si="169"/>
        <v>0</v>
      </c>
      <c r="AB204" s="239"/>
      <c r="AC204" s="116">
        <f t="shared" si="170"/>
        <v>0</v>
      </c>
      <c r="AD204" s="242"/>
      <c r="AE204" s="117">
        <f t="shared" si="171"/>
        <v>0</v>
      </c>
      <c r="AF204" s="1228">
        <f>SUMIF('Otras Asesorías y Préstamos'!$B$7:$B$242,B204,'Otras Asesorías y Préstamos'!$F$7:$F$242)</f>
        <v>0</v>
      </c>
      <c r="AG204" s="1228">
        <f>SUMIF('Otras Asesorías y Préstamos'!$B$7:$B$242,B204,'Otras Asesorías y Préstamos'!$V$7:$V$242)</f>
        <v>0</v>
      </c>
      <c r="AH204" s="1229">
        <f t="shared" si="172"/>
        <v>0</v>
      </c>
      <c r="AI204" s="8"/>
    </row>
    <row r="205" spans="1:35" x14ac:dyDescent="0.2">
      <c r="A205" s="1718"/>
      <c r="B205" s="1137"/>
      <c r="C205" s="1185"/>
      <c r="D205" s="1156"/>
      <c r="E205" s="1186">
        <f t="shared" si="175"/>
        <v>0</v>
      </c>
      <c r="F205" s="1463">
        <f t="shared" si="176"/>
        <v>0</v>
      </c>
      <c r="G205" s="823"/>
      <c r="H205" s="144"/>
      <c r="I205" s="144"/>
      <c r="J205" s="1721"/>
      <c r="K205" s="1722"/>
      <c r="L205" s="1720"/>
      <c r="M205" s="1101"/>
      <c r="N205" s="1706"/>
      <c r="O205" s="80"/>
      <c r="P205" s="1227"/>
      <c r="Q205" s="119">
        <f>ROUND(IF(P205="SI",SUMIF('C de C año anterior'!$B$8:$B$229,B205,'C de C año anterior'!$F$8:$F$229)*(100%+$Q$5),0),-3)+ROUND(IF(P205="SI",SUMIF('Facturas año anterior'!$B$8:$B$86,B205,'Facturas año anterior'!$F$8:$F$86)*(100%+$AA$5),0),-3)</f>
        <v>0</v>
      </c>
      <c r="R205" s="239"/>
      <c r="S205" s="114">
        <f t="shared" si="165"/>
        <v>0</v>
      </c>
      <c r="T205" s="240"/>
      <c r="U205" s="115">
        <f t="shared" si="166"/>
        <v>0</v>
      </c>
      <c r="V205" s="884"/>
      <c r="W205" s="874">
        <f t="shared" si="167"/>
        <v>0</v>
      </c>
      <c r="X205" s="884"/>
      <c r="Y205" s="874">
        <f t="shared" si="168"/>
        <v>0</v>
      </c>
      <c r="Z205" s="239"/>
      <c r="AA205" s="116">
        <f t="shared" si="169"/>
        <v>0</v>
      </c>
      <c r="AB205" s="239"/>
      <c r="AC205" s="116">
        <f t="shared" si="170"/>
        <v>0</v>
      </c>
      <c r="AD205" s="242"/>
      <c r="AE205" s="117">
        <f t="shared" si="171"/>
        <v>0</v>
      </c>
      <c r="AF205" s="1228">
        <f>SUMIF('Otras Asesorías y Préstamos'!$B$7:$B$242,B205,'Otras Asesorías y Préstamos'!$F$7:$F$242)</f>
        <v>0</v>
      </c>
      <c r="AG205" s="1228">
        <f>SUMIF('Otras Asesorías y Préstamos'!$B$7:$B$242,B205,'Otras Asesorías y Préstamos'!$V$7:$V$242)</f>
        <v>0</v>
      </c>
      <c r="AH205" s="1229">
        <f t="shared" si="172"/>
        <v>0</v>
      </c>
      <c r="AI205" s="8"/>
    </row>
    <row r="206" spans="1:35" x14ac:dyDescent="0.2">
      <c r="A206" s="1718"/>
      <c r="B206" s="1137"/>
      <c r="C206" s="1185"/>
      <c r="D206" s="1138"/>
      <c r="E206" s="1186">
        <f t="shared" si="175"/>
        <v>0</v>
      </c>
      <c r="F206" s="1463">
        <f t="shared" si="176"/>
        <v>0</v>
      </c>
      <c r="G206" s="823"/>
      <c r="H206" s="144"/>
      <c r="I206" s="144"/>
      <c r="J206" s="1721"/>
      <c r="K206" s="1722"/>
      <c r="L206" s="1720"/>
      <c r="M206" s="1101"/>
      <c r="N206" s="1706"/>
      <c r="O206" s="80"/>
      <c r="P206" s="1227"/>
      <c r="Q206" s="119">
        <f>ROUND(IF(P206="SI",SUMIF('C de C año anterior'!$B$8:$B$229,B206,'C de C año anterior'!$F$8:$F$229)*(100%+$Q$5),0),-3)+ROUND(IF(P206="SI",SUMIF('Facturas año anterior'!$B$8:$B$86,B206,'Facturas año anterior'!$F$8:$F$86)*(100%+$AA$5),0),-3)</f>
        <v>0</v>
      </c>
      <c r="R206" s="239"/>
      <c r="S206" s="114">
        <f t="shared" si="165"/>
        <v>0</v>
      </c>
      <c r="T206" s="240"/>
      <c r="U206" s="115">
        <f t="shared" si="166"/>
        <v>0</v>
      </c>
      <c r="V206" s="884"/>
      <c r="W206" s="874">
        <f t="shared" si="167"/>
        <v>0</v>
      </c>
      <c r="X206" s="884"/>
      <c r="Y206" s="874">
        <f t="shared" si="168"/>
        <v>0</v>
      </c>
      <c r="Z206" s="239"/>
      <c r="AA206" s="116">
        <f t="shared" si="169"/>
        <v>0</v>
      </c>
      <c r="AB206" s="239"/>
      <c r="AC206" s="116">
        <f t="shared" si="170"/>
        <v>0</v>
      </c>
      <c r="AD206" s="242"/>
      <c r="AE206" s="117">
        <f t="shared" si="171"/>
        <v>0</v>
      </c>
      <c r="AF206" s="1228">
        <f>SUMIF('Otras Asesorías y Préstamos'!$B$7:$B$242,B206,'Otras Asesorías y Préstamos'!$F$7:$F$242)</f>
        <v>0</v>
      </c>
      <c r="AG206" s="1228">
        <f>SUMIF('Otras Asesorías y Préstamos'!$B$7:$B$242,B206,'Otras Asesorías y Préstamos'!$V$7:$V$242)</f>
        <v>0</v>
      </c>
      <c r="AH206" s="1229">
        <f t="shared" si="172"/>
        <v>0</v>
      </c>
      <c r="AI206" s="8"/>
    </row>
    <row r="207" spans="1:35" x14ac:dyDescent="0.2">
      <c r="A207" s="1718"/>
      <c r="B207" s="1137"/>
      <c r="C207" s="1202"/>
      <c r="D207" s="1138"/>
      <c r="E207" s="1714"/>
      <c r="F207" s="1463"/>
      <c r="G207" s="823"/>
      <c r="H207" s="144"/>
      <c r="I207" s="144"/>
      <c r="J207" s="1721"/>
      <c r="K207" s="1722"/>
      <c r="L207" s="1720"/>
      <c r="M207" s="1101"/>
      <c r="N207" s="1706"/>
      <c r="O207" s="80"/>
      <c r="P207" s="1227"/>
      <c r="Q207" s="119">
        <f>ROUND(IF(P207="SI",SUMIF('C de C año anterior'!$B$8:$B$229,B207,'C de C año anterior'!$F$8:$F$229)*(100%+$Q$5),0),-3)+ROUND(IF(P207="SI",SUMIF('Facturas año anterior'!$B$8:$B$86,B207,'Facturas año anterior'!$F$8:$F$86)*(100%+$AA$5),0),-3)</f>
        <v>0</v>
      </c>
      <c r="R207" s="239"/>
      <c r="S207" s="114">
        <f t="shared" si="165"/>
        <v>0</v>
      </c>
      <c r="T207" s="240"/>
      <c r="U207" s="115">
        <f t="shared" si="166"/>
        <v>0</v>
      </c>
      <c r="V207" s="884"/>
      <c r="W207" s="874">
        <f t="shared" si="167"/>
        <v>0</v>
      </c>
      <c r="X207" s="884"/>
      <c r="Y207" s="874">
        <f t="shared" si="168"/>
        <v>0</v>
      </c>
      <c r="Z207" s="239"/>
      <c r="AA207" s="116">
        <f t="shared" si="169"/>
        <v>0</v>
      </c>
      <c r="AB207" s="239"/>
      <c r="AC207" s="116">
        <f t="shared" si="170"/>
        <v>0</v>
      </c>
      <c r="AD207" s="242"/>
      <c r="AE207" s="117">
        <f t="shared" si="171"/>
        <v>0</v>
      </c>
      <c r="AF207" s="1228">
        <f>SUMIF('Otras Asesorías y Préstamos'!$B$7:$B$242,B207,'Otras Asesorías y Préstamos'!$F$7:$F$242)</f>
        <v>0</v>
      </c>
      <c r="AG207" s="1228">
        <f>SUMIF('Otras Asesorías y Préstamos'!$B$7:$B$242,B207,'Otras Asesorías y Préstamos'!$V$7:$V$242)</f>
        <v>0</v>
      </c>
      <c r="AH207" s="1229">
        <f t="shared" si="172"/>
        <v>0</v>
      </c>
      <c r="AI207" s="8"/>
    </row>
    <row r="208" spans="1:35" x14ac:dyDescent="0.2">
      <c r="A208" s="1718"/>
      <c r="B208" s="1137"/>
      <c r="C208" s="1202"/>
      <c r="D208" s="1138"/>
      <c r="E208" s="1714"/>
      <c r="F208" s="1463"/>
      <c r="G208" s="823"/>
      <c r="H208" s="144"/>
      <c r="I208" s="144"/>
      <c r="J208" s="1721"/>
      <c r="K208" s="1722"/>
      <c r="L208" s="1720"/>
      <c r="M208" s="1101"/>
      <c r="N208" s="1706"/>
      <c r="O208" s="80"/>
      <c r="P208" s="1227"/>
      <c r="Q208" s="119">
        <f>ROUND(IF(P208="SI",SUMIF('C de C año anterior'!$B$8:$B$229,B208,'C de C año anterior'!$F$8:$F$229)*(100%+$Q$5),0),-3)+ROUND(IF(P208="SI",SUMIF('Facturas año anterior'!$B$8:$B$86,B208,'Facturas año anterior'!$F$8:$F$86)*(100%+$AA$5),0),-3)</f>
        <v>0</v>
      </c>
      <c r="R208" s="239"/>
      <c r="S208" s="114">
        <f t="shared" si="165"/>
        <v>0</v>
      </c>
      <c r="T208" s="240"/>
      <c r="U208" s="115">
        <f t="shared" si="166"/>
        <v>0</v>
      </c>
      <c r="V208" s="884"/>
      <c r="W208" s="874">
        <f t="shared" si="167"/>
        <v>0</v>
      </c>
      <c r="X208" s="884"/>
      <c r="Y208" s="874">
        <f t="shared" si="168"/>
        <v>0</v>
      </c>
      <c r="Z208" s="239"/>
      <c r="AA208" s="116">
        <f t="shared" si="169"/>
        <v>0</v>
      </c>
      <c r="AB208" s="239"/>
      <c r="AC208" s="116">
        <f t="shared" si="170"/>
        <v>0</v>
      </c>
      <c r="AD208" s="242"/>
      <c r="AE208" s="117">
        <f t="shared" si="171"/>
        <v>0</v>
      </c>
      <c r="AF208" s="1228">
        <f>SUMIF('Otras Asesorías y Préstamos'!$B$7:$B$242,B208,'Otras Asesorías y Préstamos'!$F$7:$F$242)</f>
        <v>0</v>
      </c>
      <c r="AG208" s="1228">
        <f>SUMIF('Otras Asesorías y Préstamos'!$B$7:$B$242,B208,'Otras Asesorías y Préstamos'!$V$7:$V$242)</f>
        <v>0</v>
      </c>
      <c r="AH208" s="1229">
        <f t="shared" si="172"/>
        <v>0</v>
      </c>
      <c r="AI208" s="8"/>
    </row>
    <row r="209" spans="1:35" x14ac:dyDescent="0.2">
      <c r="A209" s="1718"/>
      <c r="B209" s="1137"/>
      <c r="C209" s="1202"/>
      <c r="D209" s="1138"/>
      <c r="E209" s="1714"/>
      <c r="F209" s="1463"/>
      <c r="G209" s="823"/>
      <c r="H209" s="144"/>
      <c r="I209" s="144"/>
      <c r="J209" s="1721"/>
      <c r="K209" s="1722"/>
      <c r="L209" s="1720"/>
      <c r="M209" s="1101"/>
      <c r="N209" s="1706"/>
      <c r="O209" s="80"/>
      <c r="P209" s="1227"/>
      <c r="Q209" s="119">
        <f>ROUND(IF(P209="SI",SUMIF('C de C año anterior'!$B$8:$B$229,B209,'C de C año anterior'!$F$8:$F$229)*(100%+$Q$5),0),-3)+ROUND(IF(P209="SI",SUMIF('Facturas año anterior'!$B$8:$B$86,B209,'Facturas año anterior'!$F$8:$F$86)*(100%+$AA$5),0),-3)</f>
        <v>0</v>
      </c>
      <c r="R209" s="239"/>
      <c r="S209" s="114">
        <f t="shared" si="165"/>
        <v>0</v>
      </c>
      <c r="T209" s="240"/>
      <c r="U209" s="115">
        <f t="shared" si="166"/>
        <v>0</v>
      </c>
      <c r="V209" s="884"/>
      <c r="W209" s="874">
        <f t="shared" si="167"/>
        <v>0</v>
      </c>
      <c r="X209" s="884"/>
      <c r="Y209" s="874">
        <f t="shared" si="168"/>
        <v>0</v>
      </c>
      <c r="Z209" s="239"/>
      <c r="AA209" s="116">
        <f t="shared" si="169"/>
        <v>0</v>
      </c>
      <c r="AB209" s="239"/>
      <c r="AC209" s="116">
        <f t="shared" si="170"/>
        <v>0</v>
      </c>
      <c r="AD209" s="242"/>
      <c r="AE209" s="117">
        <f t="shared" si="171"/>
        <v>0</v>
      </c>
      <c r="AF209" s="1228">
        <f>SUMIF('Otras Asesorías y Préstamos'!$B$7:$B$242,B209,'Otras Asesorías y Préstamos'!$F$7:$F$242)</f>
        <v>0</v>
      </c>
      <c r="AG209" s="1228">
        <f>SUMIF('Otras Asesorías y Préstamos'!$B$7:$B$242,B209,'Otras Asesorías y Préstamos'!$V$7:$V$242)</f>
        <v>0</v>
      </c>
      <c r="AH209" s="1229">
        <f t="shared" si="172"/>
        <v>0</v>
      </c>
      <c r="AI209" s="8"/>
    </row>
    <row r="210" spans="1:35" x14ac:dyDescent="0.2">
      <c r="A210" s="1718"/>
      <c r="B210" s="1137"/>
      <c r="C210" s="1202"/>
      <c r="D210" s="1138"/>
      <c r="E210" s="1714"/>
      <c r="F210" s="1463"/>
      <c r="G210" s="823"/>
      <c r="H210" s="144"/>
      <c r="I210" s="144"/>
      <c r="J210" s="1721"/>
      <c r="K210" s="1722"/>
      <c r="L210" s="1720"/>
      <c r="M210" s="1101"/>
      <c r="N210" s="1706"/>
      <c r="O210" s="80"/>
      <c r="P210" s="1227"/>
      <c r="Q210" s="119">
        <f>ROUND(IF(P210="SI",SUMIF('C de C año anterior'!$B$8:$B$229,B210,'C de C año anterior'!$F$8:$F$229)*(100%+$Q$5),0),-3)+ROUND(IF(P210="SI",SUMIF('Facturas año anterior'!$B$8:$B$86,B210,'Facturas año anterior'!$F$8:$F$86)*(100%+$AA$5),0),-3)</f>
        <v>0</v>
      </c>
      <c r="R210" s="239"/>
      <c r="S210" s="114">
        <f t="shared" si="165"/>
        <v>0</v>
      </c>
      <c r="T210" s="240"/>
      <c r="U210" s="115">
        <f t="shared" si="166"/>
        <v>0</v>
      </c>
      <c r="V210" s="884"/>
      <c r="W210" s="874">
        <f t="shared" si="167"/>
        <v>0</v>
      </c>
      <c r="X210" s="884"/>
      <c r="Y210" s="874">
        <f t="shared" si="168"/>
        <v>0</v>
      </c>
      <c r="Z210" s="239"/>
      <c r="AA210" s="116">
        <f t="shared" si="169"/>
        <v>0</v>
      </c>
      <c r="AB210" s="239"/>
      <c r="AC210" s="116">
        <f t="shared" si="170"/>
        <v>0</v>
      </c>
      <c r="AD210" s="242"/>
      <c r="AE210" s="117">
        <f t="shared" si="171"/>
        <v>0</v>
      </c>
      <c r="AF210" s="1228">
        <f>SUMIF('Otras Asesorías y Préstamos'!$B$7:$B$242,B210,'Otras Asesorías y Préstamos'!$F$7:$F$242)</f>
        <v>0</v>
      </c>
      <c r="AG210" s="1228">
        <f>SUMIF('Otras Asesorías y Préstamos'!$B$7:$B$242,B210,'Otras Asesorías y Préstamos'!$V$7:$V$242)</f>
        <v>0</v>
      </c>
      <c r="AH210" s="1229">
        <f t="shared" si="172"/>
        <v>0</v>
      </c>
      <c r="AI210" s="8"/>
    </row>
    <row r="211" spans="1:35" x14ac:dyDescent="0.2">
      <c r="A211" s="1718"/>
      <c r="B211" s="1137"/>
      <c r="C211" s="1202"/>
      <c r="D211" s="1138"/>
      <c r="E211" s="1714"/>
      <c r="F211" s="1463"/>
      <c r="G211" s="823"/>
      <c r="H211" s="144"/>
      <c r="I211" s="144"/>
      <c r="J211" s="1721"/>
      <c r="K211" s="1722"/>
      <c r="L211" s="1720"/>
      <c r="M211" s="1101"/>
      <c r="N211" s="1706"/>
      <c r="O211" s="80"/>
      <c r="P211" s="1227"/>
      <c r="Q211" s="119">
        <f>ROUND(IF(P211="SI",SUMIF('C de C año anterior'!$B$8:$B$229,B211,'C de C año anterior'!$F$8:$F$229)*(100%+$Q$5),0),-3)+ROUND(IF(P211="SI",SUMIF('Facturas año anterior'!$B$8:$B$86,B211,'Facturas año anterior'!$F$8:$F$86)*(100%+$AA$5),0),-3)</f>
        <v>0</v>
      </c>
      <c r="R211" s="239"/>
      <c r="S211" s="114">
        <f t="shared" si="165"/>
        <v>0</v>
      </c>
      <c r="T211" s="240"/>
      <c r="U211" s="115">
        <f t="shared" si="166"/>
        <v>0</v>
      </c>
      <c r="V211" s="884"/>
      <c r="W211" s="874">
        <f t="shared" si="167"/>
        <v>0</v>
      </c>
      <c r="X211" s="884"/>
      <c r="Y211" s="874">
        <f t="shared" si="168"/>
        <v>0</v>
      </c>
      <c r="Z211" s="239"/>
      <c r="AA211" s="116">
        <f t="shared" si="169"/>
        <v>0</v>
      </c>
      <c r="AB211" s="239"/>
      <c r="AC211" s="116">
        <f t="shared" si="170"/>
        <v>0</v>
      </c>
      <c r="AD211" s="242"/>
      <c r="AE211" s="117">
        <f t="shared" si="171"/>
        <v>0</v>
      </c>
      <c r="AF211" s="1228">
        <f>SUMIF('Otras Asesorías y Préstamos'!$B$7:$B$242,B211,'Otras Asesorías y Préstamos'!$F$7:$F$242)</f>
        <v>0</v>
      </c>
      <c r="AG211" s="1228">
        <f>SUMIF('Otras Asesorías y Préstamos'!$B$7:$B$242,B211,'Otras Asesorías y Préstamos'!$V$7:$V$242)</f>
        <v>0</v>
      </c>
      <c r="AH211" s="1229">
        <f t="shared" si="172"/>
        <v>0</v>
      </c>
      <c r="AI211" s="8"/>
    </row>
    <row r="212" spans="1:35" x14ac:dyDescent="0.2">
      <c r="A212" s="1718"/>
      <c r="B212" s="1137"/>
      <c r="C212" s="1202"/>
      <c r="D212" s="1138"/>
      <c r="E212" s="1714"/>
      <c r="F212" s="1463"/>
      <c r="G212" s="823"/>
      <c r="H212" s="144"/>
      <c r="I212" s="144"/>
      <c r="J212" s="1721"/>
      <c r="K212" s="1722"/>
      <c r="L212" s="1720"/>
      <c r="M212" s="1101"/>
      <c r="N212" s="1706"/>
      <c r="O212" s="80"/>
      <c r="P212" s="1227"/>
      <c r="Q212" s="119">
        <f>ROUND(IF(P212="SI",SUMIF('C de C año anterior'!$B$8:$B$229,B212,'C de C año anterior'!$F$8:$F$229)*(100%+$Q$5),0),-3)+ROUND(IF(P212="SI",SUMIF('Facturas año anterior'!$B$8:$B$86,B212,'Facturas año anterior'!$F$8:$F$86)*(100%+$AA$5),0),-3)</f>
        <v>0</v>
      </c>
      <c r="R212" s="239"/>
      <c r="S212" s="114">
        <f t="shared" si="165"/>
        <v>0</v>
      </c>
      <c r="T212" s="240"/>
      <c r="U212" s="115">
        <f t="shared" si="166"/>
        <v>0</v>
      </c>
      <c r="V212" s="884"/>
      <c r="W212" s="874">
        <f t="shared" si="167"/>
        <v>0</v>
      </c>
      <c r="X212" s="884"/>
      <c r="Y212" s="874">
        <f t="shared" si="168"/>
        <v>0</v>
      </c>
      <c r="Z212" s="239"/>
      <c r="AA212" s="116">
        <f t="shared" si="169"/>
        <v>0</v>
      </c>
      <c r="AB212" s="239"/>
      <c r="AC212" s="116">
        <f t="shared" si="170"/>
        <v>0</v>
      </c>
      <c r="AD212" s="242"/>
      <c r="AE212" s="117">
        <f t="shared" si="171"/>
        <v>0</v>
      </c>
      <c r="AF212" s="1228">
        <f>SUMIF('Otras Asesorías y Préstamos'!$B$7:$B$242,B212,'Otras Asesorías y Préstamos'!$F$7:$F$242)</f>
        <v>0</v>
      </c>
      <c r="AG212" s="1228">
        <f>SUMIF('Otras Asesorías y Préstamos'!$B$7:$B$242,B212,'Otras Asesorías y Préstamos'!$V$7:$V$242)</f>
        <v>0</v>
      </c>
      <c r="AH212" s="1229">
        <f t="shared" si="172"/>
        <v>0</v>
      </c>
      <c r="AI212" s="8"/>
    </row>
    <row r="213" spans="1:35" ht="13.5" thickBot="1" x14ac:dyDescent="0.25">
      <c r="A213" s="650"/>
      <c r="B213" s="755"/>
      <c r="C213" s="517"/>
      <c r="D213" s="651"/>
      <c r="E213" s="634"/>
      <c r="F213" s="829"/>
      <c r="G213" s="824"/>
      <c r="H213" s="181"/>
      <c r="I213" s="602"/>
      <c r="J213" s="142"/>
      <c r="K213" s="606"/>
      <c r="L213" s="143"/>
      <c r="M213" s="1723"/>
      <c r="N213" s="1724"/>
      <c r="O213" s="80"/>
      <c r="P213" s="1260"/>
      <c r="Q213" s="129"/>
      <c r="R213" s="129"/>
      <c r="S213" s="129"/>
      <c r="T213" s="129"/>
      <c r="U213" s="129"/>
      <c r="V213" s="886"/>
      <c r="W213" s="876"/>
      <c r="X213" s="886"/>
      <c r="Y213" s="876"/>
      <c r="Z213" s="129"/>
      <c r="AA213" s="129"/>
      <c r="AB213" s="129"/>
      <c r="AC213" s="252"/>
      <c r="AD213" s="129"/>
      <c r="AE213" s="129"/>
      <c r="AF213" s="326"/>
      <c r="AG213" s="326"/>
      <c r="AH213" s="325"/>
      <c r="AI213" s="8"/>
    </row>
    <row r="214" spans="1:35" ht="13.5" thickBot="1" x14ac:dyDescent="0.25">
      <c r="D214" s="825"/>
      <c r="E214" s="826"/>
      <c r="O214" s="8"/>
      <c r="AI214" s="8"/>
    </row>
    <row r="215" spans="1:35" ht="13.5" thickBot="1" x14ac:dyDescent="0.25">
      <c r="A215" s="130" t="s">
        <v>290</v>
      </c>
      <c r="B215" s="756"/>
      <c r="C215" s="485"/>
      <c r="D215" s="276"/>
      <c r="E215" s="390"/>
      <c r="F215" s="229">
        <f>SUM(F196:F213)</f>
        <v>5500000</v>
      </c>
      <c r="L215" s="23"/>
      <c r="O215" s="8"/>
      <c r="P215" s="1261">
        <f t="shared" ref="P215:AH215" si="177">SUM(P196:P213)</f>
        <v>0</v>
      </c>
      <c r="Q215" s="229">
        <f t="shared" si="177"/>
        <v>4251500</v>
      </c>
      <c r="R215" s="229">
        <f t="shared" si="177"/>
        <v>0</v>
      </c>
      <c r="S215" s="229">
        <f t="shared" si="177"/>
        <v>0</v>
      </c>
      <c r="T215" s="229">
        <f t="shared" si="177"/>
        <v>0</v>
      </c>
      <c r="U215" s="229">
        <f t="shared" si="177"/>
        <v>1255050</v>
      </c>
      <c r="V215" s="881">
        <v>0</v>
      </c>
      <c r="W215" s="647"/>
      <c r="X215" s="881">
        <v>0</v>
      </c>
      <c r="Y215" s="647"/>
      <c r="Z215" s="229">
        <f t="shared" si="177"/>
        <v>0</v>
      </c>
      <c r="AA215" s="229">
        <f t="shared" si="177"/>
        <v>0</v>
      </c>
      <c r="AB215" s="229">
        <f t="shared" si="177"/>
        <v>0</v>
      </c>
      <c r="AC215" s="229">
        <f t="shared" si="177"/>
        <v>0</v>
      </c>
      <c r="AD215" s="229">
        <f t="shared" si="177"/>
        <v>0</v>
      </c>
      <c r="AE215" s="229">
        <f t="shared" si="177"/>
        <v>0</v>
      </c>
      <c r="AF215" s="507">
        <f t="shared" si="177"/>
        <v>0</v>
      </c>
      <c r="AG215" s="229">
        <f t="shared" si="177"/>
        <v>0</v>
      </c>
      <c r="AH215" s="229">
        <f t="shared" si="177"/>
        <v>5500000</v>
      </c>
      <c r="AI215" s="8"/>
    </row>
    <row r="216" spans="1:35" x14ac:dyDescent="0.2">
      <c r="A216" s="65"/>
      <c r="B216" s="760"/>
      <c r="C216" s="513"/>
      <c r="D216" s="65"/>
      <c r="E216" s="158"/>
      <c r="F216" s="145"/>
      <c r="G216" s="148"/>
      <c r="H216" s="148"/>
      <c r="I216" s="603"/>
      <c r="J216" s="65"/>
      <c r="K216" s="65"/>
      <c r="L216" s="65"/>
      <c r="M216" s="199"/>
      <c r="N216" s="199"/>
      <c r="O216" s="8"/>
      <c r="P216" s="145"/>
      <c r="Q216" s="65"/>
      <c r="R216" s="65"/>
      <c r="S216" s="65"/>
      <c r="T216" s="65"/>
      <c r="U216" s="65"/>
      <c r="V216" s="103"/>
      <c r="W216" s="65"/>
      <c r="X216" s="103"/>
      <c r="Y216" s="65"/>
      <c r="Z216" s="65"/>
      <c r="AA216" s="65"/>
      <c r="AB216" s="65"/>
      <c r="AC216" s="65"/>
      <c r="AD216" s="65"/>
      <c r="AE216" s="65"/>
      <c r="AF216" s="208"/>
      <c r="AG216" s="208"/>
      <c r="AH216" s="65"/>
      <c r="AI216" s="8"/>
    </row>
    <row r="217" spans="1:35" x14ac:dyDescent="0.2">
      <c r="A217" s="151" t="s">
        <v>291</v>
      </c>
      <c r="B217" s="152"/>
      <c r="C217" s="1524">
        <f>+A201</f>
        <v>6</v>
      </c>
      <c r="D217" s="1523">
        <f>+C193+C217</f>
        <v>175</v>
      </c>
      <c r="E217" s="211"/>
      <c r="F217" s="151">
        <f>F191+F215</f>
        <v>118620000</v>
      </c>
      <c r="G217" s="151"/>
      <c r="H217" s="151"/>
      <c r="I217" s="604"/>
      <c r="J217" s="151"/>
      <c r="K217" s="151"/>
      <c r="L217" s="151"/>
      <c r="M217" s="151"/>
      <c r="N217" s="151"/>
      <c r="O217" s="151"/>
      <c r="P217" s="198"/>
      <c r="Q217" s="151">
        <f>Q191+Q215</f>
        <v>93858500</v>
      </c>
      <c r="R217" s="151"/>
      <c r="S217" s="151">
        <f>S191+S215</f>
        <v>6451000</v>
      </c>
      <c r="T217" s="151"/>
      <c r="U217" s="151">
        <f>U191+U215</f>
        <v>7426050</v>
      </c>
      <c r="V217" s="477"/>
      <c r="W217" s="66"/>
      <c r="X217" s="477"/>
      <c r="Y217" s="66"/>
      <c r="Z217" s="151"/>
      <c r="AA217" s="151">
        <f>AA191+AA215</f>
        <v>0</v>
      </c>
      <c r="AB217" s="151"/>
      <c r="AC217" s="151">
        <f>AC191+AC215</f>
        <v>0</v>
      </c>
      <c r="AD217" s="151"/>
      <c r="AE217" s="151">
        <f>AE191+AE215</f>
        <v>5127000</v>
      </c>
      <c r="AF217" s="207">
        <f>AF191+AF215</f>
        <v>5895067.3579001008</v>
      </c>
      <c r="AG217" s="151">
        <f>AG191+AG215</f>
        <v>0</v>
      </c>
      <c r="AH217" s="151">
        <f>AH191+AH215</f>
        <v>118760000</v>
      </c>
      <c r="AI217" s="8"/>
    </row>
    <row r="218" spans="1:35" x14ac:dyDescent="0.2">
      <c r="A218" s="65"/>
      <c r="B218" s="351"/>
      <c r="C218" s="514"/>
      <c r="D218" s="78"/>
      <c r="E218" s="60"/>
      <c r="F218" s="148"/>
      <c r="G218" s="149"/>
      <c r="H218" s="149"/>
      <c r="I218" s="605"/>
      <c r="J218" s="149"/>
      <c r="K218" s="149"/>
      <c r="L218" s="150"/>
      <c r="M218" s="199"/>
      <c r="N218" s="199"/>
      <c r="O218" s="65"/>
      <c r="P218" s="199"/>
      <c r="Q218" s="100"/>
      <c r="R218" s="146"/>
      <c r="S218" s="100"/>
      <c r="T218" s="146"/>
      <c r="U218" s="100"/>
      <c r="V218" s="103"/>
      <c r="W218" s="148"/>
      <c r="X218" s="103"/>
      <c r="Y218" s="148"/>
      <c r="Z218" s="100"/>
      <c r="AA218" s="100"/>
      <c r="AB218" s="100"/>
      <c r="AC218" s="147"/>
      <c r="AD218" s="100"/>
      <c r="AE218" s="100"/>
      <c r="AF218" s="150"/>
      <c r="AG218" s="150"/>
      <c r="AH218" s="120"/>
      <c r="AI218" s="8"/>
    </row>
    <row r="219" spans="1:35" x14ac:dyDescent="0.2">
      <c r="A219" s="74" t="s">
        <v>490</v>
      </c>
      <c r="D219" s="70">
        <f>+A179+A201</f>
        <v>175</v>
      </c>
      <c r="F219" s="74">
        <f>+F191+F215</f>
        <v>118620000</v>
      </c>
      <c r="AI219" s="8"/>
    </row>
    <row r="220" spans="1:35" x14ac:dyDescent="0.2">
      <c r="AI220" s="8"/>
    </row>
    <row r="221" spans="1:35" x14ac:dyDescent="0.2">
      <c r="A221" s="74" t="s">
        <v>491</v>
      </c>
      <c r="D221" s="70">
        <f>+Facturas!D82</f>
        <v>48</v>
      </c>
      <c r="F221" s="74">
        <f>+Facturas!F49+Facturas!F80</f>
        <v>121229000</v>
      </c>
      <c r="AI221" s="8"/>
    </row>
    <row r="222" spans="1:35" x14ac:dyDescent="0.2">
      <c r="B222" s="940" t="s">
        <v>896</v>
      </c>
      <c r="C222" s="940"/>
      <c r="D222" s="940">
        <f>SUM(D219:D221)</f>
        <v>223</v>
      </c>
      <c r="F222" s="940">
        <f>SUM(F219:F221)</f>
        <v>239849000</v>
      </c>
      <c r="AI222" s="8"/>
    </row>
    <row r="223" spans="1:35" x14ac:dyDescent="0.2">
      <c r="A223" s="74" t="s">
        <v>609</v>
      </c>
      <c r="D223" s="70">
        <f>+'Vencimientos Pnas Nat AG'!A773</f>
        <v>234</v>
      </c>
      <c r="AI223" s="8"/>
    </row>
    <row r="224" spans="1:35" x14ac:dyDescent="0.2">
      <c r="A224" s="74" t="s">
        <v>610</v>
      </c>
      <c r="D224" s="70">
        <f>+'Vencimientos Pnas Jcas AG'!A70</f>
        <v>0</v>
      </c>
      <c r="AI224" s="8"/>
    </row>
    <row r="225" spans="1:35" x14ac:dyDescent="0.2">
      <c r="D225" s="655">
        <f>+D223+D224</f>
        <v>234</v>
      </c>
      <c r="AI225" s="8"/>
    </row>
    <row r="226" spans="1:35" x14ac:dyDescent="0.2">
      <c r="A226" s="74" t="s">
        <v>679</v>
      </c>
      <c r="D226" s="70">
        <f>-'Vencimientos Pnas Nat AG'!A796</f>
        <v>-16</v>
      </c>
      <c r="AI226" s="8"/>
    </row>
    <row r="227" spans="1:35" x14ac:dyDescent="0.2">
      <c r="D227" s="655">
        <f>+D225+D226</f>
        <v>218</v>
      </c>
      <c r="AI227" s="8"/>
    </row>
    <row r="228" spans="1:35" ht="25.5" x14ac:dyDescent="0.2">
      <c r="C228" s="941" t="s">
        <v>680</v>
      </c>
      <c r="D228" s="939">
        <f>+D222-D227</f>
        <v>5</v>
      </c>
      <c r="AI228" s="8"/>
    </row>
    <row r="229" spans="1:35" x14ac:dyDescent="0.2">
      <c r="AI229" s="8"/>
    </row>
    <row r="236" spans="1:35" x14ac:dyDescent="0.2">
      <c r="A236" s="1700" t="s">
        <v>895</v>
      </c>
      <c r="B236" s="1701"/>
    </row>
    <row r="238" spans="1:35" x14ac:dyDescent="0.2">
      <c r="A238" s="616">
        <f t="shared" ref="A238:A242" si="178">+A237+1</f>
        <v>1</v>
      </c>
      <c r="B238" s="695" t="s">
        <v>91</v>
      </c>
      <c r="C238" s="490">
        <f>_xlfn.XLOOKUP(B238,Códigos!$B$8:$B$406,Códigos!$A$8:$A$406,"Verificar",0)</f>
        <v>132</v>
      </c>
      <c r="D238" s="834">
        <f>_xlfn.XLOOKUP(B238,'Consolidado Cobros'!$B$10:$B$312,'Consolidado Cobros'!$C$10:$C$312,"Verificar",0)</f>
        <v>8264986</v>
      </c>
      <c r="E238" s="497">
        <f t="shared" ref="E238:E242" si="179">IF((MOD((VALUE(MID(TEXT(D238,"000000000000000"),15,1))*3+VALUE(MID(TEXT(D238,"000000000000000"),14,1))*7+VALUE(MID(TEXT(D238,"000000000000000"),13,1))*13+VALUE(MID(TEXT(D238,"000000000000000"),12,1))*17+VALUE(MID(TEXT(D238,"000000000000000"),11,1))*19+VALUE(MID(TEXT(D238,"000000000000000"),10,1))*23+VALUE(MID(TEXT(D238,"000000000000000"),9,1))*29+VALUE(MID(TEXT(D238,"000000000000000"),8,1))*37+VALUE(MID(TEXT(D238,"000000000000000"),7,1))*41+VALUE(MID(TEXT(D238,"000000000000000"),6,1))*43+VALUE(MID(TEXT(D238,"000000000000000"),5,1))*47+VALUE(MID(TEXT(D238,"000000000000000"),4,1))*53+VALUE(MID(TEXT(D238,"000000000000000"),3,1))*59+VALUE(MID(TEXT(D238,"000000000000000"),2,1))*67+VALUE(MID(TEXT(D238,"000000000000000"),1,1))*71),11))=0,0,IF((MOD((VALUE(MID(TEXT(D238,"000000000000000"),15,1))*3+VALUE(MID(TEXT(D238,"000000000000000"),14,1))*7+VALUE(MID(TEXT(D238,"000000000000000"),13,1))*13+VALUE(MID(TEXT(D238,"000000000000000"),12,1))*17+VALUE(MID(TEXT(D238,"000000000000000"),11,1))*19+VALUE(MID(TEXT(D238,"000000000000000"),10,1))*23+VALUE(MID(TEXT(D238,"000000000000000"),9,1))*29+VALUE(MID(TEXT(D238,"000000000000000"),8,1))*37+VALUE(MID(TEXT(D238,"000000000000000"),7,1))*41+VALUE(MID(TEXT(D238,"000000000000000"),6,1))*43+VALUE(MID(TEXT(D238,"000000000000000"),5,1))*47+VALUE(MID(TEXT(D238,"000000000000000"),4,1))*53+VALUE(MID(TEXT(D238,"000000000000000"),3,1))*59+VALUE(MID(TEXT(D238,"000000000000000"),2,1))*67+VALUE(MID(TEXT(D238,"000000000000000"),1,1))*71),11))=1,1,11-(MOD((VALUE(MID(TEXT(D238,"000000000000000"),15,1))*3+VALUE(MID(TEXT(D238,"000000000000000"),14,1))*7+VALUE(MID(TEXT(D238,"000000000000000"),13,1))*13+VALUE(MID(TEXT(D238,"000000000000000"),12,1))*17+VALUE(MID(TEXT(D238,"000000000000000"),11,1))*19+VALUE(MID(TEXT(D238,"000000000000000"),10,1))*23+VALUE(MID(TEXT(D238,"000000000000000"),9,1))*29+VALUE(MID(TEXT(D238,"000000000000000"),8,1))*37+VALUE(MID(TEXT(D238,"000000000000000"),7,1))*41+VALUE(MID(TEXT(D238,"000000000000000"),6,1))*43+VALUE(MID(TEXT(D238,"000000000000000"),5,1))*47+VALUE(MID(TEXT(D238,"000000000000000"),4,1))*53+VALUE(MID(TEXT(D238,"000000000000000"),3,1))*59+VALUE(MID(TEXT(D238,"000000000000000"),2,1))*67+VALUE(MID(TEXT(D238,"000000000000000"),1,1))*71),11))))</f>
        <v>9</v>
      </c>
      <c r="F238" s="608">
        <f t="shared" ref="F238:F242" si="180">+AH238</f>
        <v>0</v>
      </c>
      <c r="G238" s="1098"/>
      <c r="H238" s="609"/>
      <c r="I238" s="610"/>
      <c r="J238" s="609"/>
      <c r="K238" s="609"/>
      <c r="L238" s="610"/>
      <c r="M238" s="569"/>
      <c r="N238" s="617"/>
      <c r="O238" s="8"/>
      <c r="P238" s="239"/>
      <c r="Q238" s="119">
        <f>ROUND(IF(P238="SI",SUMIF('C de C año anterior'!$B$8:$B$229,B238,'C de C año anterior'!$Q$8:$Q$229)*(100%+$Q$5),0),-3)+ROUND(IF(P238="SI",SUMIF('Facturas año anterior'!$B$8:$B$86,B238,'Facturas año anterior'!$V$8:$V$86)*(100%+$AA$5),0),-3)</f>
        <v>0</v>
      </c>
      <c r="R238" s="239"/>
      <c r="S238" s="1632">
        <f>(ROUND(IF(R238="SI",Q238*$S$5,0),-3)+ROUND(IF(R238="SI",Q238*$S$5,0),-3))/2.5</f>
        <v>0</v>
      </c>
      <c r="T238" s="240"/>
      <c r="U238" s="115">
        <f t="shared" ref="U238:U242" si="181">ROUND(IF(T238="SI",Q238*$U$5,0),-3)</f>
        <v>0</v>
      </c>
      <c r="V238" s="884"/>
      <c r="W238" s="874">
        <f t="shared" ref="W238:W242" si="182">ROUND(IF(V238="SI",Q238*$W$5,0),-3)</f>
        <v>0</v>
      </c>
      <c r="X238" s="884"/>
      <c r="Y238" s="874">
        <f t="shared" ref="Y238:Y242" si="183">ROUND(IF(X238="SI",Q238*$Y$5,0),-3)</f>
        <v>0</v>
      </c>
      <c r="Z238" s="241"/>
      <c r="AA238" s="116">
        <f t="shared" ref="AA238:AA242" si="184">ROUND(IF(Z238="SI",Q238*$AA$5,0),-3)</f>
        <v>0</v>
      </c>
      <c r="AB238" s="239"/>
      <c r="AC238" s="116">
        <f t="shared" ref="AC238:AC242" si="185">ROUND(IF(AB238="SI",Q238*$AC$5,0),-3)</f>
        <v>0</v>
      </c>
      <c r="AD238" s="242"/>
      <c r="AE238" s="117">
        <f t="shared" ref="AE238:AE242" si="186">IF(AD238="SI",Q238*$AE$5,0)</f>
        <v>0</v>
      </c>
      <c r="AF238" s="1228">
        <f>SUMIF('Otras Asesorías y Préstamos'!$B$7:$B$242,B238,'Otras Asesorías y Préstamos'!$F$7:$F$242)</f>
        <v>0</v>
      </c>
      <c r="AG238" s="1228">
        <f>SUMIF('Otras Asesorías y Préstamos'!$B$7:$B$242,B238,'Otras Asesorías y Préstamos'!$V$7:$V$242)</f>
        <v>0</v>
      </c>
      <c r="AH238" s="1229">
        <f t="shared" ref="AH238:AH240" si="187">ROUND(SUM(Q238:AG238),-4)</f>
        <v>0</v>
      </c>
      <c r="AI238" s="8"/>
    </row>
    <row r="239" spans="1:35" x14ac:dyDescent="0.2">
      <c r="A239" s="616">
        <f t="shared" si="178"/>
        <v>2</v>
      </c>
      <c r="B239" s="695" t="s">
        <v>92</v>
      </c>
      <c r="C239" s="490">
        <f>_xlfn.XLOOKUP(B239,Códigos!$B$8:$B$406,Códigos!$A$8:$A$406,"Verificar",0)</f>
        <v>133</v>
      </c>
      <c r="D239" s="834">
        <f>_xlfn.XLOOKUP(B239,'Consolidado Cobros'!$B$10:$B$312,'Consolidado Cobros'!$C$10:$C$312,"Verificar",0)</f>
        <v>95022700775</v>
      </c>
      <c r="E239" s="497">
        <f t="shared" si="179"/>
        <v>3</v>
      </c>
      <c r="F239" s="608">
        <f t="shared" si="180"/>
        <v>0</v>
      </c>
      <c r="G239" s="1098"/>
      <c r="H239" s="609"/>
      <c r="I239" s="610"/>
      <c r="J239" s="609"/>
      <c r="K239" s="609"/>
      <c r="L239" s="610"/>
      <c r="M239" s="569"/>
      <c r="N239" s="617"/>
      <c r="O239" s="8"/>
      <c r="P239" s="239"/>
      <c r="Q239" s="119">
        <f>ROUND(IF(P239="SI",SUMIF('C de C año anterior'!$B$8:$B$229,B239,'C de C año anterior'!$Q$8:$Q$229)*(100%+$Q$5),0),-3)+ROUND(IF(P239="SI",SUMIF('Facturas año anterior'!$B$8:$B$86,B239,'Facturas año anterior'!$V$8:$V$86)*(100%+$AA$5),0),-3)</f>
        <v>0</v>
      </c>
      <c r="R239" s="239"/>
      <c r="S239" s="114">
        <f t="shared" ref="S239:S242" si="188">ROUND(IF(R239="SI",Q239*$S$5,0),-3)</f>
        <v>0</v>
      </c>
      <c r="T239" s="240"/>
      <c r="U239" s="115">
        <f t="shared" si="181"/>
        <v>0</v>
      </c>
      <c r="V239" s="884"/>
      <c r="W239" s="874">
        <f t="shared" si="182"/>
        <v>0</v>
      </c>
      <c r="X239" s="884"/>
      <c r="Y239" s="874">
        <f t="shared" si="183"/>
        <v>0</v>
      </c>
      <c r="Z239" s="241"/>
      <c r="AA239" s="116">
        <f t="shared" si="184"/>
        <v>0</v>
      </c>
      <c r="AB239" s="239"/>
      <c r="AC239" s="116">
        <f t="shared" si="185"/>
        <v>0</v>
      </c>
      <c r="AD239" s="242"/>
      <c r="AE239" s="117">
        <f t="shared" si="186"/>
        <v>0</v>
      </c>
      <c r="AF239" s="1228">
        <f>SUMIF('Otras Asesorías y Préstamos'!$B$7:$B$242,B239,'Otras Asesorías y Préstamos'!$F$7:$F$242)</f>
        <v>0</v>
      </c>
      <c r="AG239" s="1228">
        <f>SUMIF('Otras Asesorías y Préstamos'!$B$7:$B$242,B239,'Otras Asesorías y Préstamos'!$V$7:$V$242)</f>
        <v>0</v>
      </c>
      <c r="AH239" s="1229">
        <f t="shared" si="187"/>
        <v>0</v>
      </c>
      <c r="AI239" s="8"/>
    </row>
    <row r="240" spans="1:35" x14ac:dyDescent="0.2">
      <c r="A240" s="616">
        <f t="shared" si="178"/>
        <v>3</v>
      </c>
      <c r="B240" s="695" t="s">
        <v>93</v>
      </c>
      <c r="C240" s="490">
        <f>_xlfn.XLOOKUP(B240,Códigos!$B$8:$B$406,Códigos!$A$8:$A$406,"Verificar",0)</f>
        <v>134</v>
      </c>
      <c r="D240" s="834">
        <f>_xlfn.XLOOKUP(B240,'Consolidado Cobros'!$B$10:$B$312,'Consolidado Cobros'!$C$10:$C$312,"Verificar",0)</f>
        <v>1152198312</v>
      </c>
      <c r="E240" s="497">
        <f t="shared" si="179"/>
        <v>6</v>
      </c>
      <c r="F240" s="608">
        <f t="shared" si="180"/>
        <v>0</v>
      </c>
      <c r="G240" s="1098"/>
      <c r="H240" s="609"/>
      <c r="I240" s="610"/>
      <c r="J240" s="609"/>
      <c r="K240" s="609"/>
      <c r="L240" s="610"/>
      <c r="M240" s="569"/>
      <c r="N240" s="617"/>
      <c r="O240" s="8"/>
      <c r="P240" s="239"/>
      <c r="Q240" s="119">
        <f>ROUND(IF(P240="SI",SUMIF('C de C año anterior'!$B$8:$B$229,B240,'C de C año anterior'!$Q$8:$Q$229)*(100%+$Q$5),0),-3)+ROUND(IF(P240="SI",SUMIF('Facturas año anterior'!$B$8:$B$86,B240,'Facturas año anterior'!$V$8:$V$86)*(100%+$AA$5),0),-3)</f>
        <v>0</v>
      </c>
      <c r="R240" s="239"/>
      <c r="S240" s="114">
        <f t="shared" si="188"/>
        <v>0</v>
      </c>
      <c r="T240" s="240"/>
      <c r="U240" s="115">
        <f t="shared" si="181"/>
        <v>0</v>
      </c>
      <c r="V240" s="884"/>
      <c r="W240" s="874">
        <f t="shared" si="182"/>
        <v>0</v>
      </c>
      <c r="X240" s="884"/>
      <c r="Y240" s="874">
        <f t="shared" si="183"/>
        <v>0</v>
      </c>
      <c r="Z240" s="241"/>
      <c r="AA240" s="116">
        <f t="shared" si="184"/>
        <v>0</v>
      </c>
      <c r="AB240" s="239"/>
      <c r="AC240" s="116">
        <f t="shared" si="185"/>
        <v>0</v>
      </c>
      <c r="AD240" s="242"/>
      <c r="AE240" s="117">
        <f t="shared" si="186"/>
        <v>0</v>
      </c>
      <c r="AF240" s="1228">
        <f>SUMIF('Otras Asesorías y Préstamos'!$B$7:$B$242,B240,'Otras Asesorías y Préstamos'!$F$7:$F$242)</f>
        <v>0</v>
      </c>
      <c r="AG240" s="1228">
        <f>SUMIF('Otras Asesorías y Préstamos'!$B$7:$B$242,B240,'Otras Asesorías y Préstamos'!$V$7:$V$242)</f>
        <v>0</v>
      </c>
      <c r="AH240" s="1229">
        <f t="shared" si="187"/>
        <v>0</v>
      </c>
      <c r="AI240" s="8"/>
    </row>
    <row r="241" spans="1:35" x14ac:dyDescent="0.2">
      <c r="A241" s="616">
        <f t="shared" si="178"/>
        <v>4</v>
      </c>
      <c r="B241" s="695" t="s">
        <v>140</v>
      </c>
      <c r="C241" s="490">
        <f>_xlfn.XLOOKUP(B241,Códigos!$B$8:$B$406,Códigos!$A$8:$A$406,"Verificar",0)</f>
        <v>177</v>
      </c>
      <c r="D241" s="834">
        <f>_xlfn.XLOOKUP(B241,'Consolidado Cobros'!$B$10:$B$312,'Consolidado Cobros'!$C$10:$C$312,"Verificar",0)</f>
        <v>70058618</v>
      </c>
      <c r="E241" s="497">
        <f t="shared" si="179"/>
        <v>6</v>
      </c>
      <c r="F241" s="608">
        <f t="shared" si="180"/>
        <v>0</v>
      </c>
      <c r="G241" s="1098"/>
      <c r="H241" s="1099"/>
      <c r="I241" s="1100"/>
      <c r="J241" s="1099"/>
      <c r="K241" s="1099"/>
      <c r="L241" s="1100"/>
      <c r="M241" s="569"/>
      <c r="N241" s="617"/>
      <c r="O241" s="8"/>
      <c r="P241" s="239"/>
      <c r="Q241" s="119">
        <f>ROUND(IF(P241="SI",SUMIF('C de C año anterior'!$B$8:$B$229,B241,'C de C año anterior'!$Q$8:$Q$229)*(100%+$Q$5),0),-3)+ROUND(IF(P241="SI",SUMIF('Facturas año anterior'!$B$8:$B$86,B241,'Facturas año anterior'!$V$8:$V$86)*(100%+$AA$5),0),-3)</f>
        <v>0</v>
      </c>
      <c r="R241" s="239"/>
      <c r="S241" s="114">
        <f t="shared" si="188"/>
        <v>0</v>
      </c>
      <c r="T241" s="240"/>
      <c r="U241" s="115">
        <f t="shared" si="181"/>
        <v>0</v>
      </c>
      <c r="V241" s="884"/>
      <c r="W241" s="874">
        <f t="shared" si="182"/>
        <v>0</v>
      </c>
      <c r="X241" s="884"/>
      <c r="Y241" s="874">
        <f t="shared" si="183"/>
        <v>0</v>
      </c>
      <c r="Z241" s="241"/>
      <c r="AA241" s="116">
        <f t="shared" si="184"/>
        <v>0</v>
      </c>
      <c r="AB241" s="239"/>
      <c r="AC241" s="116">
        <f t="shared" si="185"/>
        <v>0</v>
      </c>
      <c r="AD241" s="242"/>
      <c r="AE241" s="117">
        <f t="shared" si="186"/>
        <v>0</v>
      </c>
      <c r="AF241" s="1228">
        <f>SUMIF('Otras Asesorías y Préstamos'!$B$7:$B$242,B241,'Otras Asesorías y Préstamos'!$F$7:$F$242)</f>
        <v>0</v>
      </c>
      <c r="AG241" s="1228">
        <f>SUMIF('Otras Asesorías y Préstamos'!$B$7:$B$242,B241,'Otras Asesorías y Préstamos'!$V$7:$V$242)</f>
        <v>0</v>
      </c>
      <c r="AH241" s="1229">
        <f>ROUND(SUM(Q241:AG241),-4)</f>
        <v>0</v>
      </c>
      <c r="AI241" s="8"/>
    </row>
    <row r="242" spans="1:35" x14ac:dyDescent="0.2">
      <c r="A242" s="616">
        <f t="shared" si="178"/>
        <v>5</v>
      </c>
      <c r="B242" s="695" t="s">
        <v>147</v>
      </c>
      <c r="C242" s="490">
        <f>_xlfn.XLOOKUP(B242,Códigos!$B$8:$B$406,Códigos!$A$8:$A$406,"Verificar",0)</f>
        <v>185</v>
      </c>
      <c r="D242" s="834">
        <f>_xlfn.XLOOKUP(B242,'Consolidado Cobros'!$B$10:$B$312,'Consolidado Cobros'!$C$10:$C$312,"Verificar",0)</f>
        <v>43041519</v>
      </c>
      <c r="E242" s="497">
        <f t="shared" si="179"/>
        <v>2</v>
      </c>
      <c r="F242" s="608">
        <f t="shared" si="180"/>
        <v>0</v>
      </c>
      <c r="G242" s="1098"/>
      <c r="H242" s="609"/>
      <c r="I242" s="610"/>
      <c r="J242" s="609"/>
      <c r="K242" s="609"/>
      <c r="L242" s="610"/>
      <c r="M242" s="349"/>
      <c r="N242" s="595"/>
      <c r="O242" s="8"/>
      <c r="P242" s="239"/>
      <c r="Q242" s="119">
        <f>ROUND(IF(P242="SI",SUMIF('C de C año anterior'!$B$8:$B$229,B242,'C de C año anterior'!$Q$8:$Q$229)*(100%+$Q$5),0),-3)+ROUND(IF(P242="SI",SUMIF('Facturas año anterior'!$B$8:$B$86,B242,'Facturas año anterior'!$V$8:$V$86)*(100%+$AA$5),0),-3)</f>
        <v>0</v>
      </c>
      <c r="R242" s="239"/>
      <c r="S242" s="114">
        <f t="shared" si="188"/>
        <v>0</v>
      </c>
      <c r="T242" s="240"/>
      <c r="U242" s="115">
        <f t="shared" si="181"/>
        <v>0</v>
      </c>
      <c r="V242" s="884"/>
      <c r="W242" s="874">
        <f t="shared" si="182"/>
        <v>0</v>
      </c>
      <c r="X242" s="884"/>
      <c r="Y242" s="874">
        <f t="shared" si="183"/>
        <v>0</v>
      </c>
      <c r="Z242" s="241"/>
      <c r="AA242" s="116">
        <f t="shared" si="184"/>
        <v>0</v>
      </c>
      <c r="AB242" s="239"/>
      <c r="AC242" s="116">
        <f t="shared" si="185"/>
        <v>0</v>
      </c>
      <c r="AD242" s="242"/>
      <c r="AE242" s="117">
        <f t="shared" si="186"/>
        <v>0</v>
      </c>
      <c r="AF242" s="1228">
        <f>SUMIF('Otras Asesorías y Préstamos'!$B$7:$B$242,B242,'Otras Asesorías y Préstamos'!$F$7:$F$242)</f>
        <v>0</v>
      </c>
      <c r="AG242" s="1228">
        <f>SUMIF('Otras Asesorías y Préstamos'!$B$7:$B$242,B242,'Otras Asesorías y Préstamos'!$V$7:$V$242)</f>
        <v>0</v>
      </c>
      <c r="AH242" s="1229">
        <f t="shared" ref="AH242" si="189">ROUND(SUM(Q242:AG242),-4)</f>
        <v>0</v>
      </c>
      <c r="AI242" s="8"/>
    </row>
  </sheetData>
  <mergeCells count="1">
    <mergeCell ref="F4:L4"/>
  </mergeCells>
  <conditionalFormatting sqref="A180">
    <cfRule type="expression" dxfId="50" priority="3">
      <formula>$J180="OK/"</formula>
    </cfRule>
  </conditionalFormatting>
  <conditionalFormatting sqref="H17:L32 A90:H90 A91:I179 A9:I89">
    <cfRule type="expression" dxfId="49" priority="6">
      <formula>$J9="OK/"</formula>
    </cfRule>
  </conditionalFormatting>
  <conditionalFormatting sqref="E180">
    <cfRule type="expression" dxfId="48" priority="2">
      <formula>$J180="OK/"</formula>
    </cfRule>
  </conditionalFormatting>
  <conditionalFormatting sqref="H1:H1048576 H17:L32">
    <cfRule type="expression" dxfId="47" priority="8">
      <formula>H1="PENDIENTE"</formula>
    </cfRule>
  </conditionalFormatting>
  <conditionalFormatting sqref="J9:J21 J23:J180">
    <cfRule type="expression" dxfId="46" priority="12">
      <formula>$J9="OK/"</formula>
    </cfRule>
  </conditionalFormatting>
  <conditionalFormatting sqref="J238:J242">
    <cfRule type="expression" dxfId="45" priority="9">
      <formula>$J238="OK/"</formula>
    </cfRule>
  </conditionalFormatting>
  <conditionalFormatting sqref="L120">
    <cfRule type="expression" dxfId="44" priority="5">
      <formula>$J120="OK/"</formula>
    </cfRule>
  </conditionalFormatting>
  <conditionalFormatting sqref="L179">
    <cfRule type="expression" dxfId="43" priority="1">
      <formula>$J179="OK/"</formula>
    </cfRule>
  </conditionalFormatting>
  <conditionalFormatting sqref="N156:N157">
    <cfRule type="expression" dxfId="42" priority="4">
      <formula>$J156="OK/"</formula>
    </cfRule>
  </conditionalFormatting>
  <printOptions horizontalCentered="1"/>
  <pageMargins left="0.19685039370078741" right="0.19685039370078741" top="0.19685039370078741" bottom="0.19685039370078741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3" tint="0.59999389629810485"/>
  </sheetPr>
  <dimension ref="A1:Z336"/>
  <sheetViews>
    <sheetView showGridLines="0" showOutlineSymbols="0"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11" sqref="D11:N11"/>
    </sheetView>
  </sheetViews>
  <sheetFormatPr baseColWidth="10" defaultColWidth="9.6640625" defaultRowHeight="12.75" x14ac:dyDescent="0.2"/>
  <cols>
    <col min="1" max="1" width="5.33203125" style="74" customWidth="1"/>
    <col min="2" max="2" width="45.77734375" style="74" customWidth="1"/>
    <col min="3" max="3" width="14" style="74" customWidth="1"/>
    <col min="4" max="4" width="3.88671875" style="159" customWidth="1"/>
    <col min="5" max="5" width="7.21875" style="159" bestFit="1" customWidth="1"/>
    <col min="6" max="10" width="12.77734375" style="74" customWidth="1"/>
    <col min="11" max="11" width="10.77734375" style="74" customWidth="1"/>
    <col min="12" max="12" width="12.77734375" style="74" customWidth="1"/>
    <col min="13" max="13" width="10.77734375" style="74" customWidth="1"/>
    <col min="14" max="14" width="15.88671875" style="498" customWidth="1"/>
    <col min="15" max="15" width="29.5546875" style="65" customWidth="1"/>
    <col min="16" max="16" width="25.77734375" style="65" customWidth="1"/>
    <col min="17" max="17" width="1.6640625" style="74" customWidth="1"/>
    <col min="18" max="18" width="53.88671875" style="65" bestFit="1" customWidth="1"/>
    <col min="19" max="19" width="7.44140625" style="65" bestFit="1" customWidth="1"/>
    <col min="20" max="20" width="6.88671875" style="65" bestFit="1" customWidth="1"/>
    <col min="21" max="21" width="7.21875" style="65" customWidth="1"/>
    <col min="22" max="22" width="10" style="65" bestFit="1" customWidth="1"/>
    <col min="23" max="23" width="6.88671875" style="65" bestFit="1" customWidth="1"/>
    <col min="24" max="16384" width="9.6640625" style="65"/>
  </cols>
  <sheetData>
    <row r="1" spans="1:26" ht="15" x14ac:dyDescent="0.2">
      <c r="A1" s="165" t="str">
        <f>+'Grupos Familiares'!$A$3</f>
        <v>PRESUPUESTO DE COBROS</v>
      </c>
      <c r="Q1" s="707"/>
    </row>
    <row r="2" spans="1:26" s="702" customFormat="1" ht="15" x14ac:dyDescent="0.2">
      <c r="A2" s="160" t="s">
        <v>627</v>
      </c>
      <c r="B2" s="160"/>
      <c r="C2" s="160"/>
      <c r="D2" s="698"/>
      <c r="E2" s="698"/>
      <c r="F2" s="160"/>
      <c r="G2" s="160"/>
      <c r="H2" s="160"/>
      <c r="I2" s="160"/>
      <c r="J2" s="160"/>
      <c r="K2" s="160"/>
      <c r="L2" s="160"/>
      <c r="M2" s="160"/>
      <c r="N2" s="1554"/>
      <c r="O2" s="700"/>
      <c r="P2" s="701"/>
      <c r="Q2" s="699"/>
      <c r="R2" s="65"/>
      <c r="S2" s="65"/>
      <c r="T2" s="65"/>
      <c r="U2" s="65"/>
      <c r="V2" s="65"/>
      <c r="W2" s="65"/>
      <c r="X2" s="65"/>
      <c r="Y2" s="65"/>
      <c r="Z2" s="9"/>
    </row>
    <row r="3" spans="1:26" s="702" customFormat="1" ht="15" x14ac:dyDescent="0.2">
      <c r="A3" s="265" t="str">
        <f>+'Grupos Familiares'!$A$4</f>
        <v>AÑO  GRAVABLE 2024</v>
      </c>
      <c r="B3" s="703"/>
      <c r="C3" s="703"/>
      <c r="D3" s="704"/>
      <c r="E3" s="704"/>
      <c r="F3" s="705"/>
      <c r="G3" s="706"/>
      <c r="H3" s="706"/>
      <c r="I3" s="706"/>
      <c r="J3" s="706"/>
      <c r="K3" s="706"/>
      <c r="L3" s="706"/>
      <c r="M3" s="706"/>
      <c r="N3" s="1554"/>
      <c r="O3" s="700"/>
      <c r="P3" s="701"/>
      <c r="Q3" s="707"/>
      <c r="R3" s="65"/>
      <c r="S3" s="65"/>
      <c r="T3" s="65"/>
      <c r="U3" s="65"/>
      <c r="V3" s="65"/>
      <c r="W3" s="65"/>
      <c r="X3" s="65"/>
      <c r="Y3" s="65"/>
    </row>
    <row r="4" spans="1:26" ht="13.5" thickBot="1" x14ac:dyDescent="0.25">
      <c r="A4" s="358" t="s">
        <v>0</v>
      </c>
      <c r="B4" s="158"/>
      <c r="C4" s="158"/>
      <c r="D4" s="232"/>
      <c r="E4" s="232"/>
      <c r="G4" s="103"/>
      <c r="H4" s="103"/>
      <c r="I4" s="103"/>
      <c r="J4" s="103"/>
      <c r="K4" s="103"/>
      <c r="L4" s="103"/>
      <c r="M4" s="103"/>
      <c r="N4" s="218"/>
      <c r="O4" s="145"/>
      <c r="P4" s="693"/>
      <c r="Q4" s="8"/>
    </row>
    <row r="5" spans="1:26" ht="27" customHeight="1" x14ac:dyDescent="0.2">
      <c r="A5" s="65"/>
      <c r="B5" s="158"/>
      <c r="C5" s="158"/>
      <c r="D5" s="232"/>
      <c r="E5" s="232"/>
      <c r="F5" s="1880" t="str">
        <f>+Facturas!F4</f>
        <v>VALORES A FACTURAR -PRESENTE AÑO-</v>
      </c>
      <c r="G5" s="1881"/>
      <c r="H5" s="1881"/>
      <c r="I5" s="1881"/>
      <c r="J5" s="1881"/>
      <c r="K5" s="1882"/>
      <c r="L5" s="1878" t="str">
        <f>+'Cuentas de Cobro'!F4</f>
        <v>VALORES CUENTAS DE COBRO 2023</v>
      </c>
      <c r="M5" s="1879"/>
      <c r="N5" s="219"/>
      <c r="O5" s="145"/>
      <c r="P5" s="693"/>
      <c r="Q5" s="8"/>
    </row>
    <row r="6" spans="1:26" ht="13.5" thickBot="1" x14ac:dyDescent="0.25">
      <c r="A6" s="103"/>
      <c r="B6" s="103"/>
      <c r="C6" s="103"/>
      <c r="D6" s="218"/>
      <c r="E6" s="218"/>
      <c r="F6" s="220"/>
      <c r="G6" s="262">
        <v>0.19</v>
      </c>
      <c r="H6" s="262"/>
      <c r="I6" s="656"/>
      <c r="J6" s="657"/>
      <c r="K6" s="221"/>
      <c r="L6" s="1224"/>
      <c r="M6" s="810"/>
      <c r="N6" s="358"/>
      <c r="Q6" s="8"/>
    </row>
    <row r="7" spans="1:26" s="9" customFormat="1" ht="42.75" thickBot="1" x14ac:dyDescent="0.25">
      <c r="A7" s="161" t="s">
        <v>2</v>
      </c>
      <c r="B7" s="832" t="s">
        <v>279</v>
      </c>
      <c r="C7" s="832" t="s">
        <v>280</v>
      </c>
      <c r="D7" s="815" t="s">
        <v>333</v>
      </c>
      <c r="E7" s="833" t="s">
        <v>419</v>
      </c>
      <c r="F7" s="138" t="s">
        <v>753</v>
      </c>
      <c r="G7" s="223" t="s">
        <v>276</v>
      </c>
      <c r="H7" s="523" t="s">
        <v>459</v>
      </c>
      <c r="I7" s="523" t="s">
        <v>461</v>
      </c>
      <c r="J7" s="139" t="s">
        <v>752</v>
      </c>
      <c r="K7" s="224" t="s">
        <v>278</v>
      </c>
      <c r="L7" s="1447" t="s">
        <v>819</v>
      </c>
      <c r="M7" s="811" t="s">
        <v>292</v>
      </c>
      <c r="N7" s="225" t="s">
        <v>755</v>
      </c>
      <c r="O7" s="1661" t="s">
        <v>201</v>
      </c>
      <c r="P7" s="1661" t="s">
        <v>288</v>
      </c>
      <c r="Q7" s="106"/>
      <c r="R7" s="65"/>
      <c r="S7" s="65"/>
      <c r="T7" s="65"/>
      <c r="U7" s="65"/>
      <c r="V7" s="65"/>
      <c r="W7" s="65"/>
      <c r="X7" s="65"/>
      <c r="Y7" s="65"/>
    </row>
    <row r="8" spans="1:26" x14ac:dyDescent="0.2">
      <c r="A8" s="1662"/>
      <c r="B8" s="103"/>
      <c r="C8" s="103"/>
      <c r="D8" s="218"/>
      <c r="E8" s="218"/>
      <c r="F8" s="817"/>
      <c r="G8" s="1663"/>
      <c r="H8" s="1664"/>
      <c r="I8" s="1664"/>
      <c r="J8" s="216"/>
      <c r="K8" s="806"/>
      <c r="L8" s="98"/>
      <c r="M8" s="812"/>
      <c r="N8" s="1664"/>
      <c r="O8" s="145"/>
      <c r="P8" s="1665"/>
      <c r="Q8" s="8"/>
    </row>
    <row r="9" spans="1:26" ht="13.5" thickBot="1" x14ac:dyDescent="0.25">
      <c r="A9" s="1666" t="s">
        <v>1</v>
      </c>
      <c r="B9" s="158"/>
      <c r="C9" s="158"/>
      <c r="D9" s="232"/>
      <c r="E9" s="232"/>
      <c r="F9" s="818"/>
      <c r="G9" s="1667"/>
      <c r="H9" s="1668"/>
      <c r="I9" s="1668"/>
      <c r="J9" s="1667"/>
      <c r="K9" s="807"/>
      <c r="L9" s="1669"/>
      <c r="M9" s="813"/>
      <c r="N9" s="1670"/>
      <c r="O9" s="145"/>
      <c r="P9" s="1665"/>
      <c r="Q9" s="8"/>
      <c r="R9" s="1417" t="s">
        <v>817</v>
      </c>
    </row>
    <row r="10" spans="1:26" ht="13.5" thickBot="1" x14ac:dyDescent="0.25">
      <c r="A10" s="835">
        <v>1</v>
      </c>
      <c r="B10" s="1671" t="s">
        <v>4</v>
      </c>
      <c r="C10" s="1672">
        <v>22126399</v>
      </c>
      <c r="D10" s="816">
        <f t="shared" ref="D10:D74" si="0">IF(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=0,0,IF(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=1,1,11-(MOD((VALUE(MID(TEXT(C10,"000000000000000"),15,1))*3+VALUE(MID(TEXT(C10,"000000000000000"),14,1))*7+VALUE(MID(TEXT(C10,"000000000000000"),13,1))*13+VALUE(MID(TEXT(C10,"000000000000000"),12,1))*17+VALUE(MID(TEXT(C10,"000000000000000"),11,1))*19+VALUE(MID(TEXT(C10,"000000000000000"),10,1))*23+VALUE(MID(TEXT(C10,"000000000000000"),9,1))*29+VALUE(MID(TEXT(C10,"000000000000000"),8,1))*37+VALUE(MID(TEXT(C10,"000000000000000"),7,1))*41+VALUE(MID(TEXT(C10,"000000000000000"),6,1))*43+VALUE(MID(TEXT(C10,"000000000000000"),5,1))*47+VALUE(MID(TEXT(C10,"000000000000000"),4,1))*53+VALUE(MID(TEXT(C10,"000000000000000"),3,1))*59+VALUE(MID(TEXT(C10,"000000000000000"),2,1))*67+VALUE(MID(TEXT(C10,"000000000000000"),1,1))*71),11))))</f>
        <v>5</v>
      </c>
      <c r="E10" s="1673">
        <f>_xlfn.XLOOKUP(B10,Códigos!$B$8:$B$406,Códigos!$A$8:$A$406,"Verificar",0)</f>
        <v>41</v>
      </c>
      <c r="F10" s="1452">
        <f>SUMIF(Facturas!$B$9:$B$79,B10,Facturas!$F$9:$F$79)</f>
        <v>0</v>
      </c>
      <c r="G10" s="1674">
        <f>SUMIF(Facturas!$B$9:$B$79,B10,Facturas!$G$9:$G$79)</f>
        <v>0</v>
      </c>
      <c r="H10" s="1675">
        <f>SUMIF(Facturas!$B$9:$B$79,B10,Facturas!$I$9:$I$79)</f>
        <v>0</v>
      </c>
      <c r="I10" s="1675">
        <f>SUMIF(Facturas!$B$9:$B$79,B10,Facturas!$J$9:$J$79)</f>
        <v>0</v>
      </c>
      <c r="J10" s="1674">
        <f>SUMIF(Facturas!$B$9:$B$79,B10,Facturas!$K$9:$K$79)</f>
        <v>0</v>
      </c>
      <c r="K10" s="809"/>
      <c r="L10" s="1448">
        <f>IF(J10&gt;0,0,SUMIF('Cuentas de Cobro'!$B$9:$B$216,B10,'Cuentas de Cobro'!$F$9:$F$216))</f>
        <v>380000</v>
      </c>
      <c r="M10" s="814"/>
      <c r="N10" s="1555">
        <f t="shared" ref="N10" si="1">+J10+L10</f>
        <v>380000</v>
      </c>
      <c r="O10" s="1452"/>
      <c r="P10" s="1676"/>
      <c r="Q10" s="8"/>
      <c r="R10" s="1431" t="s">
        <v>4</v>
      </c>
    </row>
    <row r="11" spans="1:26" x14ac:dyDescent="0.2">
      <c r="A11" s="1184">
        <f>+A10+1</f>
        <v>2</v>
      </c>
      <c r="B11" s="1954" t="s">
        <v>1140</v>
      </c>
      <c r="C11" s="1962">
        <v>52111932</v>
      </c>
      <c r="D11" s="816">
        <f t="shared" ref="D11" si="2">IF((MOD((VALUE(MID(TEXT(C11,"000000000000000"),15,1))*3+VALUE(MID(TEXT(C11,"000000000000000"),14,1))*7+VALUE(MID(TEXT(C11,"000000000000000"),13,1))*13+VALUE(MID(TEXT(C11,"000000000000000"),12,1))*17+VALUE(MID(TEXT(C11,"000000000000000"),11,1))*19+VALUE(MID(TEXT(C11,"000000000000000"),10,1))*23+VALUE(MID(TEXT(C11,"000000000000000"),9,1))*29+VALUE(MID(TEXT(C11,"000000000000000"),8,1))*37+VALUE(MID(TEXT(C11,"000000000000000"),7,1))*41+VALUE(MID(TEXT(C11,"000000000000000"),6,1))*43+VALUE(MID(TEXT(C11,"000000000000000"),5,1))*47+VALUE(MID(TEXT(C11,"000000000000000"),4,1))*53+VALUE(MID(TEXT(C11,"000000000000000"),3,1))*59+VALUE(MID(TEXT(C11,"000000000000000"),2,1))*67+VALUE(MID(TEXT(C11,"000000000000000"),1,1))*71),11))=0,0,IF((MOD((VALUE(MID(TEXT(C11,"000000000000000"),15,1))*3+VALUE(MID(TEXT(C11,"000000000000000"),14,1))*7+VALUE(MID(TEXT(C11,"000000000000000"),13,1))*13+VALUE(MID(TEXT(C11,"000000000000000"),12,1))*17+VALUE(MID(TEXT(C11,"000000000000000"),11,1))*19+VALUE(MID(TEXT(C11,"000000000000000"),10,1))*23+VALUE(MID(TEXT(C11,"000000000000000"),9,1))*29+VALUE(MID(TEXT(C11,"000000000000000"),8,1))*37+VALUE(MID(TEXT(C11,"000000000000000"),7,1))*41+VALUE(MID(TEXT(C11,"000000000000000"),6,1))*43+VALUE(MID(TEXT(C11,"000000000000000"),5,1))*47+VALUE(MID(TEXT(C11,"000000000000000"),4,1))*53+VALUE(MID(TEXT(C11,"000000000000000"),3,1))*59+VALUE(MID(TEXT(C11,"000000000000000"),2,1))*67+VALUE(MID(TEXT(C11,"000000000000000"),1,1))*71),11))=1,1,11-(MOD((VALUE(MID(TEXT(C11,"000000000000000"),15,1))*3+VALUE(MID(TEXT(C11,"000000000000000"),14,1))*7+VALUE(MID(TEXT(C11,"000000000000000"),13,1))*13+VALUE(MID(TEXT(C11,"000000000000000"),12,1))*17+VALUE(MID(TEXT(C11,"000000000000000"),11,1))*19+VALUE(MID(TEXT(C11,"000000000000000"),10,1))*23+VALUE(MID(TEXT(C11,"000000000000000"),9,1))*29+VALUE(MID(TEXT(C11,"000000000000000"),8,1))*37+VALUE(MID(TEXT(C11,"000000000000000"),7,1))*41+VALUE(MID(TEXT(C11,"000000000000000"),6,1))*43+VALUE(MID(TEXT(C11,"000000000000000"),5,1))*47+VALUE(MID(TEXT(C11,"000000000000000"),4,1))*53+VALUE(MID(TEXT(C11,"000000000000000"),3,1))*59+VALUE(MID(TEXT(C11,"000000000000000"),2,1))*67+VALUE(MID(TEXT(C11,"000000000000000"),1,1))*71),11))))</f>
        <v>5</v>
      </c>
      <c r="E11" s="1673">
        <f>_xlfn.XLOOKUP(B11,Códigos!$B$8:$B$406,Códigos!$A$8:$A$406,"Verificar",0)</f>
        <v>370</v>
      </c>
      <c r="F11" s="1452">
        <f>SUMIF(Facturas!$B$9:$B$79,B11,Facturas!$F$9:$F$79)</f>
        <v>0</v>
      </c>
      <c r="G11" s="1674">
        <f>SUMIF(Facturas!$B$9:$B$79,B11,Facturas!$G$9:$G$79)</f>
        <v>0</v>
      </c>
      <c r="H11" s="1675">
        <f>SUMIF(Facturas!$B$9:$B$79,B11,Facturas!$I$9:$I$79)</f>
        <v>0</v>
      </c>
      <c r="I11" s="1675">
        <f>SUMIF(Facturas!$B$9:$B$79,B11,Facturas!$J$9:$J$79)</f>
        <v>0</v>
      </c>
      <c r="J11" s="1674">
        <f>SUMIF(Facturas!$B$9:$B$79,B11,Facturas!$K$9:$K$79)</f>
        <v>0</v>
      </c>
      <c r="K11" s="809"/>
      <c r="L11" s="1448">
        <f>IF(J11&gt;0,0,SUMIF('Cuentas de Cobro'!$B$9:$B$216,B11,'Cuentas de Cobro'!$F$9:$F$216))</f>
        <v>300000</v>
      </c>
      <c r="M11" s="814"/>
      <c r="N11" s="1555">
        <f t="shared" ref="N11" si="3">+J11+L11</f>
        <v>300000</v>
      </c>
      <c r="O11" s="1963"/>
      <c r="P11" s="1964"/>
      <c r="Q11" s="8"/>
      <c r="R11" s="1965"/>
    </row>
    <row r="12" spans="1:26" x14ac:dyDescent="0.2">
      <c r="A12" s="1184">
        <f t="shared" ref="A12:A75" si="4">+A11+1</f>
        <v>3</v>
      </c>
      <c r="B12" s="1137" t="s">
        <v>360</v>
      </c>
      <c r="C12" s="1420">
        <v>71581755</v>
      </c>
      <c r="D12" s="1186">
        <f t="shared" si="0"/>
        <v>2</v>
      </c>
      <c r="E12" s="1185">
        <f>_xlfn.XLOOKUP(B12,Códigos!$B$8:$B$406,Códigos!$A$8:$A$406,"Verificar",0)</f>
        <v>346</v>
      </c>
      <c r="F12" s="1527">
        <f>SUMIF(Facturas!$B$9:$B$79,B12,Facturas!$F$9:$F$79)</f>
        <v>0</v>
      </c>
      <c r="G12" s="1138">
        <f>SUMIF(Facturas!$B$9:$B$79,B12,Facturas!$G$9:$G$79)</f>
        <v>0</v>
      </c>
      <c r="H12" s="1187">
        <f>SUMIF(Facturas!$B$9:$B$79,B12,Facturas!$I$9:$I$79)</f>
        <v>0</v>
      </c>
      <c r="I12" s="1187">
        <f>SUMIF(Facturas!$B$9:$B$79,B12,Facturas!$J$9:$J$79)</f>
        <v>0</v>
      </c>
      <c r="J12" s="1138">
        <f>SUMIF(Facturas!$B$9:$B$79,B12,Facturas!$K$9:$K$79)</f>
        <v>0</v>
      </c>
      <c r="K12" s="1193"/>
      <c r="L12" s="1449">
        <f>IF(J12&gt;0,0,SUMIF('Cuentas de Cobro'!$B$9:$B$216,B12,'Cuentas de Cobro'!$F$9:$F$216))</f>
        <v>170000</v>
      </c>
      <c r="M12" s="1677"/>
      <c r="N12" s="1556">
        <f t="shared" ref="N12:N65" si="5">+J12+L12</f>
        <v>170000</v>
      </c>
      <c r="O12" s="1101"/>
      <c r="P12" s="1529"/>
      <c r="Q12" s="8"/>
      <c r="R12" s="357" t="s">
        <v>360</v>
      </c>
    </row>
    <row r="13" spans="1:26" x14ac:dyDescent="0.2">
      <c r="A13" s="1184">
        <f t="shared" si="4"/>
        <v>4</v>
      </c>
      <c r="B13" s="1097" t="s">
        <v>198</v>
      </c>
      <c r="C13" s="1420">
        <v>70116694</v>
      </c>
      <c r="D13" s="1186">
        <f t="shared" si="0"/>
        <v>5</v>
      </c>
      <c r="E13" s="1185">
        <f>_xlfn.XLOOKUP(B13,Códigos!$B$8:$B$406,Códigos!$A$8:$A$406,"Verificar",0)</f>
        <v>300</v>
      </c>
      <c r="F13" s="1527">
        <f>SUMIF(Facturas!$B$9:$B$79,B13,Facturas!$F$9:$F$79)</f>
        <v>0</v>
      </c>
      <c r="G13" s="1138">
        <f>SUMIF(Facturas!$B$9:$B$79,B13,Facturas!$G$9:$G$79)</f>
        <v>0</v>
      </c>
      <c r="H13" s="1187">
        <f>SUMIF(Facturas!$B$9:$B$79,B13,Facturas!$I$9:$I$79)</f>
        <v>0</v>
      </c>
      <c r="I13" s="1187">
        <f>SUMIF(Facturas!$B$9:$B$79,B13,Facturas!$J$9:$J$79)</f>
        <v>0</v>
      </c>
      <c r="J13" s="1138">
        <f>SUMIF(Facturas!$B$9:$B$79,B13,Facturas!$K$9:$K$79)</f>
        <v>0</v>
      </c>
      <c r="K13" s="1193"/>
      <c r="L13" s="1449">
        <f>IF(J13&gt;0,0,SUMIF('Cuentas de Cobro'!$B$9:$B$216,B13,'Cuentas de Cobro'!$F$9:$F$216))</f>
        <v>500000</v>
      </c>
      <c r="M13" s="1677"/>
      <c r="N13" s="1556">
        <f t="shared" si="5"/>
        <v>500000</v>
      </c>
      <c r="O13" s="1101"/>
      <c r="P13" s="1529"/>
      <c r="Q13" s="8"/>
      <c r="R13" s="697" t="s">
        <v>198</v>
      </c>
    </row>
    <row r="14" spans="1:26" x14ac:dyDescent="0.2">
      <c r="A14" s="1184">
        <f t="shared" si="4"/>
        <v>5</v>
      </c>
      <c r="B14" s="1097" t="s">
        <v>5</v>
      </c>
      <c r="C14" s="1420">
        <v>3349249</v>
      </c>
      <c r="D14" s="1186">
        <f t="shared" si="0"/>
        <v>7</v>
      </c>
      <c r="E14" s="1185">
        <f>_xlfn.XLOOKUP(B14,Códigos!$B$8:$B$406,Códigos!$A$8:$A$406,"Verificar",0)</f>
        <v>217</v>
      </c>
      <c r="F14" s="1527">
        <f>SUMIF(Facturas!$B$9:$B$79,B14,Facturas!$F$9:$F$79)</f>
        <v>0</v>
      </c>
      <c r="G14" s="1138">
        <f>SUMIF(Facturas!$B$9:$B$79,B14,Facturas!$G$9:$G$79)</f>
        <v>0</v>
      </c>
      <c r="H14" s="1187">
        <f>SUMIF(Facturas!$B$9:$B$79,B14,Facturas!$I$9:$I$79)</f>
        <v>0</v>
      </c>
      <c r="I14" s="1187">
        <f>SUMIF(Facturas!$B$9:$B$79,B14,Facturas!$J$9:$J$79)</f>
        <v>0</v>
      </c>
      <c r="J14" s="1138">
        <f>SUMIF(Facturas!$B$9:$B$79,B14,Facturas!$K$9:$K$79)</f>
        <v>0</v>
      </c>
      <c r="K14" s="1193"/>
      <c r="L14" s="1449">
        <f>IF(J14&gt;0,0,SUMIF('Cuentas de Cobro'!$B$9:$B$216,B14,'Cuentas de Cobro'!$F$9:$F$216))</f>
        <v>350000</v>
      </c>
      <c r="M14" s="1677"/>
      <c r="N14" s="1556">
        <f t="shared" si="5"/>
        <v>350000</v>
      </c>
      <c r="O14" s="1101"/>
      <c r="P14" s="1529"/>
      <c r="Q14" s="8"/>
      <c r="R14" s="697" t="s">
        <v>5</v>
      </c>
    </row>
    <row r="15" spans="1:26" x14ac:dyDescent="0.2">
      <c r="A15" s="1184">
        <f t="shared" si="4"/>
        <v>6</v>
      </c>
      <c r="B15" s="1491" t="s">
        <v>356</v>
      </c>
      <c r="C15" s="1420">
        <v>71632774</v>
      </c>
      <c r="D15" s="1186">
        <f t="shared" si="0"/>
        <v>2</v>
      </c>
      <c r="E15" s="1678">
        <f>_xlfn.XLOOKUP(B15,Códigos!$B$8:$B$406,Códigos!$A$8:$A$406,"Verificar",0)</f>
        <v>43</v>
      </c>
      <c r="F15" s="1527">
        <f>SUMIF(Facturas!$B$9:$B$79,B15,Facturas!$F$9:$F$79)</f>
        <v>0</v>
      </c>
      <c r="G15" s="1138">
        <f>SUMIF(Facturas!$B$9:$B$79,B15,Facturas!$G$9:$G$79)</f>
        <v>0</v>
      </c>
      <c r="H15" s="1187">
        <f>SUMIF(Facturas!$B$9:$B$79,B15,Facturas!$I$9:$I$79)</f>
        <v>0</v>
      </c>
      <c r="I15" s="1187">
        <f>SUMIF(Facturas!$B$9:$B$79,B15,Facturas!$J$9:$J$79)</f>
        <v>0</v>
      </c>
      <c r="J15" s="1138">
        <f>SUMIF(Facturas!$B$9:$B$79,B15,Facturas!$K$9:$K$79)</f>
        <v>0</v>
      </c>
      <c r="K15" s="1193"/>
      <c r="L15" s="1449">
        <f>IF(J15&gt;0,0,SUMIF('Cuentas de Cobro'!$B$9:$B$216,B15,'Cuentas de Cobro'!$F$9:$F$216))</f>
        <v>500000</v>
      </c>
      <c r="M15" s="1677"/>
      <c r="N15" s="1556">
        <f t="shared" si="5"/>
        <v>500000</v>
      </c>
      <c r="O15" s="1101"/>
      <c r="P15" s="1529"/>
      <c r="Q15" s="8"/>
      <c r="R15" s="1432" t="s">
        <v>356</v>
      </c>
    </row>
    <row r="16" spans="1:26" x14ac:dyDescent="0.2">
      <c r="A16" s="1184">
        <f t="shared" si="4"/>
        <v>7</v>
      </c>
      <c r="B16" s="1097" t="s">
        <v>7</v>
      </c>
      <c r="C16" s="1420">
        <v>21315528</v>
      </c>
      <c r="D16" s="1186">
        <f t="shared" si="0"/>
        <v>6</v>
      </c>
      <c r="E16" s="1185">
        <f>_xlfn.XLOOKUP(B16,Códigos!$B$8:$B$406,Códigos!$A$8:$A$406,"Verificar",0)</f>
        <v>44</v>
      </c>
      <c r="F16" s="1527">
        <f>SUMIF(Facturas!$B$9:$B$79,B16,Facturas!$F$9:$F$79)</f>
        <v>0</v>
      </c>
      <c r="G16" s="1138">
        <f>SUMIF(Facturas!$B$9:$B$79,B16,Facturas!$G$9:$G$79)</f>
        <v>0</v>
      </c>
      <c r="H16" s="1187">
        <f>SUMIF(Facturas!$B$9:$B$79,B16,Facturas!$I$9:$I$79)</f>
        <v>0</v>
      </c>
      <c r="I16" s="1187">
        <f>SUMIF(Facturas!$B$9:$B$79,B16,Facturas!$J$9:$J$79)</f>
        <v>0</v>
      </c>
      <c r="J16" s="1138">
        <f>SUMIF(Facturas!$B$9:$B$79,B16,Facturas!$K$9:$K$79)</f>
        <v>0</v>
      </c>
      <c r="K16" s="1193"/>
      <c r="L16" s="1449">
        <f>IF(J16&gt;0,0,SUMIF('Cuentas de Cobro'!$B$9:$B$216,B16,'Cuentas de Cobro'!$F$9:$F$216))</f>
        <v>1920000</v>
      </c>
      <c r="M16" s="1677"/>
      <c r="N16" s="1556">
        <f t="shared" si="5"/>
        <v>1920000</v>
      </c>
      <c r="O16" s="1101"/>
      <c r="P16" s="1529"/>
      <c r="Q16" s="8"/>
      <c r="R16" s="697" t="s">
        <v>7</v>
      </c>
    </row>
    <row r="17" spans="1:18" x14ac:dyDescent="0.2">
      <c r="A17" s="1184">
        <f t="shared" si="4"/>
        <v>8</v>
      </c>
      <c r="B17" s="1097" t="s">
        <v>8</v>
      </c>
      <c r="C17" s="1420">
        <v>32336950</v>
      </c>
      <c r="D17" s="1186">
        <f t="shared" si="0"/>
        <v>1</v>
      </c>
      <c r="E17" s="1185">
        <f>_xlfn.XLOOKUP(B17,Códigos!$B$8:$B$406,Códigos!$A$8:$A$406,"Verificar",0)</f>
        <v>45</v>
      </c>
      <c r="F17" s="1527">
        <f>SUMIF(Facturas!$B$9:$B$79,B17,Facturas!$F$9:$F$79)</f>
        <v>0</v>
      </c>
      <c r="G17" s="1138">
        <f>SUMIF(Facturas!$B$9:$B$79,B17,Facturas!$G$9:$G$79)</f>
        <v>0</v>
      </c>
      <c r="H17" s="1187">
        <f>SUMIF(Facturas!$B$9:$B$79,B17,Facturas!$I$9:$I$79)</f>
        <v>0</v>
      </c>
      <c r="I17" s="1187">
        <f>SUMIF(Facturas!$B$9:$B$79,B17,Facturas!$J$9:$J$79)</f>
        <v>0</v>
      </c>
      <c r="J17" s="1138">
        <f>SUMIF(Facturas!$B$9:$B$79,B17,Facturas!$K$9:$K$79)</f>
        <v>0</v>
      </c>
      <c r="K17" s="1193"/>
      <c r="L17" s="1449">
        <f>IF(J17&gt;0,0,SUMIF('Cuentas de Cobro'!$B$9:$B$216,B17,'Cuentas de Cobro'!$F$9:$F$216))</f>
        <v>1010000</v>
      </c>
      <c r="M17" s="1677"/>
      <c r="N17" s="1556">
        <f t="shared" si="5"/>
        <v>1010000</v>
      </c>
      <c r="O17" s="1101"/>
      <c r="P17" s="1529"/>
      <c r="Q17" s="8"/>
      <c r="R17" s="1433" t="s">
        <v>8</v>
      </c>
    </row>
    <row r="18" spans="1:18" x14ac:dyDescent="0.2">
      <c r="A18" s="1184">
        <f t="shared" si="4"/>
        <v>9</v>
      </c>
      <c r="B18" s="1433" t="s">
        <v>489</v>
      </c>
      <c r="C18" s="1420">
        <v>1152450831</v>
      </c>
      <c r="D18" s="1186">
        <f t="shared" si="0"/>
        <v>7</v>
      </c>
      <c r="E18" s="1185">
        <f>_xlfn.XLOOKUP(B18,Códigos!$B$8:$B$406,Códigos!$A$8:$A$406,"Verificar",0)</f>
        <v>172</v>
      </c>
      <c r="F18" s="1527">
        <f>SUMIF(Facturas!$B$9:$B$79,B18,Facturas!$F$9:$F$79)</f>
        <v>0</v>
      </c>
      <c r="G18" s="1138">
        <f>SUMIF(Facturas!$B$9:$B$79,B18,Facturas!$G$9:$G$79)</f>
        <v>0</v>
      </c>
      <c r="H18" s="1187">
        <f>SUMIF(Facturas!$B$9:$B$79,B18,Facturas!$I$9:$I$79)</f>
        <v>0</v>
      </c>
      <c r="I18" s="1187">
        <f>SUMIF(Facturas!$B$9:$B$79,B18,Facturas!$J$9:$J$79)</f>
        <v>0</v>
      </c>
      <c r="J18" s="1138">
        <f>SUMIF(Facturas!$B$9:$B$79,B18,Facturas!$K$9:$K$79)</f>
        <v>0</v>
      </c>
      <c r="K18" s="1193"/>
      <c r="L18" s="1449">
        <f>IF(J18&gt;0,0,SUMIF('Cuentas de Cobro'!$B$9:$B$216,B18,'Cuentas de Cobro'!$F$9:$F$216))</f>
        <v>0</v>
      </c>
      <c r="M18" s="1677"/>
      <c r="N18" s="1556">
        <f t="shared" si="5"/>
        <v>0</v>
      </c>
      <c r="O18" s="1101"/>
      <c r="P18" s="1529"/>
      <c r="Q18" s="8"/>
      <c r="R18" s="1384" t="s">
        <v>654</v>
      </c>
    </row>
    <row r="19" spans="1:18" x14ac:dyDescent="0.2">
      <c r="A19" s="1184">
        <f t="shared" si="4"/>
        <v>10</v>
      </c>
      <c r="B19" s="1433" t="s">
        <v>468</v>
      </c>
      <c r="C19" s="1420">
        <v>43079999</v>
      </c>
      <c r="D19" s="1186">
        <f t="shared" si="0"/>
        <v>9</v>
      </c>
      <c r="E19" s="1185">
        <f>_xlfn.XLOOKUP(B19,Códigos!$B$8:$B$406,Códigos!$A$8:$A$406,"Verificar",0)</f>
        <v>156</v>
      </c>
      <c r="F19" s="1527">
        <f>SUMIF(Facturas!$B$9:$B$79,B19,Facturas!$F$9:$F$79)</f>
        <v>0</v>
      </c>
      <c r="G19" s="1138">
        <f>SUMIF(Facturas!$B$9:$B$79,B19,Facturas!$G$9:$G$79)</f>
        <v>0</v>
      </c>
      <c r="H19" s="1187">
        <f>SUMIF(Facturas!$B$9:$B$79,B19,Facturas!$I$9:$I$79)</f>
        <v>0</v>
      </c>
      <c r="I19" s="1187">
        <f>SUMIF(Facturas!$B$9:$B$79,B19,Facturas!$J$9:$J$79)</f>
        <v>0</v>
      </c>
      <c r="J19" s="1138">
        <f>SUMIF(Facturas!$B$9:$B$79,B19,Facturas!$K$9:$K$79)</f>
        <v>0</v>
      </c>
      <c r="K19" s="1193"/>
      <c r="L19" s="1449">
        <f>IF(J19&gt;0,0,SUMIF('Cuentas de Cobro'!$B$9:$B$216,B19,'Cuentas de Cobro'!$F$9:$F$216))</f>
        <v>220000</v>
      </c>
      <c r="M19" s="1677"/>
      <c r="N19" s="1556">
        <f t="shared" si="5"/>
        <v>220000</v>
      </c>
      <c r="O19" s="1101"/>
      <c r="P19" s="1529"/>
      <c r="Q19" s="8"/>
      <c r="R19" s="697" t="s">
        <v>468</v>
      </c>
    </row>
    <row r="20" spans="1:18" x14ac:dyDescent="0.2">
      <c r="A20" s="1184">
        <f t="shared" si="4"/>
        <v>11</v>
      </c>
      <c r="B20" s="1097" t="s">
        <v>493</v>
      </c>
      <c r="C20" s="1420">
        <v>1017178784</v>
      </c>
      <c r="D20" s="1186">
        <f t="shared" si="0"/>
        <v>3</v>
      </c>
      <c r="E20" s="1185">
        <f>_xlfn.XLOOKUP(B20,Códigos!$B$8:$B$406,Códigos!$A$8:$A$406,"Verificar",0)</f>
        <v>179</v>
      </c>
      <c r="F20" s="1527">
        <f>SUMIF(Facturas!$B$9:$B$79,B20,Facturas!$F$9:$F$79)</f>
        <v>0</v>
      </c>
      <c r="G20" s="1138">
        <f>SUMIF(Facturas!$B$9:$B$79,B20,Facturas!$G$9:$G$79)</f>
        <v>0</v>
      </c>
      <c r="H20" s="1187">
        <f>SUMIF(Facturas!$B$9:$B$79,B20,Facturas!$I$9:$I$79)</f>
        <v>0</v>
      </c>
      <c r="I20" s="1187">
        <f>SUMIF(Facturas!$B$9:$B$79,B20,Facturas!$J$9:$J$79)</f>
        <v>0</v>
      </c>
      <c r="J20" s="1138">
        <f>SUMIF(Facturas!$B$9:$B$79,B20,Facturas!$K$9:$K$79)</f>
        <v>0</v>
      </c>
      <c r="K20" s="1193"/>
      <c r="L20" s="1449">
        <f>IF(J20&gt;0,0,SUMIF('Cuentas de Cobro'!$B$9:$B$216,B20,'Cuentas de Cobro'!$F$9:$F$216))</f>
        <v>180000</v>
      </c>
      <c r="M20" s="1677"/>
      <c r="N20" s="1556">
        <f t="shared" si="5"/>
        <v>180000</v>
      </c>
      <c r="O20" s="1101"/>
      <c r="P20" s="1529"/>
      <c r="Q20" s="8"/>
      <c r="R20" s="697" t="s">
        <v>493</v>
      </c>
    </row>
    <row r="21" spans="1:18" x14ac:dyDescent="0.2">
      <c r="A21" s="1184">
        <f t="shared" si="4"/>
        <v>12</v>
      </c>
      <c r="B21" s="1097" t="s">
        <v>9</v>
      </c>
      <c r="C21" s="1420">
        <v>32470755</v>
      </c>
      <c r="D21" s="1186">
        <f t="shared" si="0"/>
        <v>4</v>
      </c>
      <c r="E21" s="1185">
        <f>_xlfn.XLOOKUP(B21,Códigos!$B$8:$B$406,Códigos!$A$8:$A$406,"Verificar",0)</f>
        <v>48</v>
      </c>
      <c r="F21" s="1527">
        <f>SUMIF(Facturas!$B$9:$B$79,B21,Facturas!$F$9:$F$79)</f>
        <v>0</v>
      </c>
      <c r="G21" s="1138">
        <f>SUMIF(Facturas!$B$9:$B$79,B21,Facturas!$G$9:$G$79)</f>
        <v>0</v>
      </c>
      <c r="H21" s="1187">
        <f>SUMIF(Facturas!$B$9:$B$79,B21,Facturas!$I$9:$I$79)</f>
        <v>0</v>
      </c>
      <c r="I21" s="1187">
        <f>SUMIF(Facturas!$B$9:$B$79,B21,Facturas!$J$9:$J$79)</f>
        <v>0</v>
      </c>
      <c r="J21" s="1138">
        <f>SUMIF(Facturas!$B$9:$B$79,B21,Facturas!$K$9:$K$79)</f>
        <v>0</v>
      </c>
      <c r="K21" s="1193"/>
      <c r="L21" s="1449">
        <f>IF(J21&gt;0,0,SUMIF('Cuentas de Cobro'!$B$9:$B$216,B21,'Cuentas de Cobro'!$F$9:$F$216))</f>
        <v>600000</v>
      </c>
      <c r="M21" s="1677"/>
      <c r="N21" s="1556">
        <f t="shared" si="5"/>
        <v>600000</v>
      </c>
      <c r="O21" s="1101"/>
      <c r="P21" s="1529"/>
      <c r="Q21" s="8"/>
      <c r="R21" s="697" t="s">
        <v>9</v>
      </c>
    </row>
    <row r="22" spans="1:18" x14ac:dyDescent="0.2">
      <c r="A22" s="1184">
        <f t="shared" si="4"/>
        <v>13</v>
      </c>
      <c r="B22" s="1097" t="s">
        <v>410</v>
      </c>
      <c r="C22" s="1420">
        <v>15317755</v>
      </c>
      <c r="D22" s="1186">
        <f t="shared" si="0"/>
        <v>9</v>
      </c>
      <c r="E22" s="1185">
        <f>_xlfn.XLOOKUP(B22,Códigos!$B$8:$B$406,Códigos!$A$8:$A$406,"Verificar",0)</f>
        <v>36</v>
      </c>
      <c r="F22" s="1527">
        <f>SUMIF(Facturas!$B$9:$B$79,B22,Facturas!$F$9:$F$79)</f>
        <v>0</v>
      </c>
      <c r="G22" s="1138">
        <f>SUMIF(Facturas!$B$9:$B$79,B22,Facturas!$G$9:$G$79)</f>
        <v>0</v>
      </c>
      <c r="H22" s="1187">
        <f>SUMIF(Facturas!$B$9:$B$79,B22,Facturas!$I$9:$I$79)</f>
        <v>0</v>
      </c>
      <c r="I22" s="1187">
        <f>SUMIF(Facturas!$B$9:$B$79,B22,Facturas!$J$9:$J$79)</f>
        <v>0</v>
      </c>
      <c r="J22" s="1138">
        <f>SUMIF(Facturas!$B$9:$B$79,B22,Facturas!$K$9:$K$79)</f>
        <v>0</v>
      </c>
      <c r="K22" s="1193"/>
      <c r="L22" s="1449">
        <f>IF(J22&gt;0,0,SUMIF('Cuentas de Cobro'!$B$9:$B$216,B22,'Cuentas de Cobro'!$F$9:$F$216))</f>
        <v>0</v>
      </c>
      <c r="M22" s="1677"/>
      <c r="N22" s="1556">
        <f t="shared" si="5"/>
        <v>0</v>
      </c>
      <c r="O22" s="1101"/>
      <c r="P22" s="1529"/>
      <c r="Q22" s="8"/>
      <c r="R22" s="1384" t="s">
        <v>654</v>
      </c>
    </row>
    <row r="23" spans="1:18" x14ac:dyDescent="0.2">
      <c r="A23" s="1184">
        <f t="shared" si="4"/>
        <v>14</v>
      </c>
      <c r="B23" s="1097" t="s">
        <v>407</v>
      </c>
      <c r="C23" s="1420">
        <v>43871132</v>
      </c>
      <c r="D23" s="1186">
        <f t="shared" si="0"/>
        <v>7</v>
      </c>
      <c r="E23" s="1185">
        <f>_xlfn.XLOOKUP(B23,Códigos!$B$8:$B$406,Códigos!$A$8:$A$406,"Verificar",0)</f>
        <v>38</v>
      </c>
      <c r="F23" s="1527">
        <f>SUMIF(Facturas!$B$9:$B$79,B23,Facturas!$F$9:$F$79)</f>
        <v>0</v>
      </c>
      <c r="G23" s="1138">
        <f>SUMIF(Facturas!$B$9:$B$79,B23,Facturas!$G$9:$G$79)</f>
        <v>0</v>
      </c>
      <c r="H23" s="1187">
        <f>SUMIF(Facturas!$B$9:$B$79,B23,Facturas!$I$9:$I$79)</f>
        <v>0</v>
      </c>
      <c r="I23" s="1187">
        <f>SUMIF(Facturas!$B$9:$B$79,B23,Facturas!$J$9:$J$79)</f>
        <v>0</v>
      </c>
      <c r="J23" s="1138">
        <f>SUMIF(Facturas!$B$9:$B$79,B23,Facturas!$K$9:$K$79)</f>
        <v>0</v>
      </c>
      <c r="K23" s="1193"/>
      <c r="L23" s="1449">
        <f>IF(J23&gt;0,0,SUMIF('Cuentas de Cobro'!$B$9:$B$216,B23,'Cuentas de Cobro'!$F$9:$F$216))</f>
        <v>0</v>
      </c>
      <c r="M23" s="1677"/>
      <c r="N23" s="1556">
        <f t="shared" si="5"/>
        <v>0</v>
      </c>
      <c r="O23" s="1101"/>
      <c r="P23" s="1529"/>
      <c r="Q23" s="8"/>
      <c r="R23" s="1384" t="s">
        <v>654</v>
      </c>
    </row>
    <row r="24" spans="1:18" x14ac:dyDescent="0.2">
      <c r="A24" s="1184">
        <f t="shared" si="4"/>
        <v>15</v>
      </c>
      <c r="B24" s="1097" t="s">
        <v>10</v>
      </c>
      <c r="C24" s="1420">
        <v>42889979</v>
      </c>
      <c r="D24" s="1186">
        <f t="shared" si="0"/>
        <v>3</v>
      </c>
      <c r="E24" s="1185">
        <f>_xlfn.XLOOKUP(B24,Códigos!$B$8:$B$406,Códigos!$A$8:$A$406,"Verificar",0)</f>
        <v>49</v>
      </c>
      <c r="F24" s="1527">
        <f>SUMIF(Facturas!$B$9:$B$79,B24,Facturas!$F$9:$F$79)</f>
        <v>0</v>
      </c>
      <c r="G24" s="1138">
        <f>SUMIF(Facturas!$B$9:$B$79,B24,Facturas!$G$9:$G$79)</f>
        <v>0</v>
      </c>
      <c r="H24" s="1187">
        <f>SUMIF(Facturas!$B$9:$B$79,B24,Facturas!$I$9:$I$79)</f>
        <v>0</v>
      </c>
      <c r="I24" s="1187">
        <f>SUMIF(Facturas!$B$9:$B$79,B24,Facturas!$J$9:$J$79)</f>
        <v>0</v>
      </c>
      <c r="J24" s="1138">
        <f>SUMIF(Facturas!$B$9:$B$79,B24,Facturas!$K$9:$K$79)</f>
        <v>0</v>
      </c>
      <c r="K24" s="1193"/>
      <c r="L24" s="1449">
        <f>IF(J24&gt;0,0,SUMIF('Cuentas de Cobro'!$B$9:$B$216,B24,'Cuentas de Cobro'!$F$9:$F$216))</f>
        <v>720000</v>
      </c>
      <c r="M24" s="1677"/>
      <c r="N24" s="1556">
        <f t="shared" si="5"/>
        <v>720000</v>
      </c>
      <c r="O24" s="1101"/>
      <c r="P24" s="1529"/>
      <c r="Q24" s="8"/>
      <c r="R24" s="697" t="s">
        <v>10</v>
      </c>
    </row>
    <row r="25" spans="1:18" x14ac:dyDescent="0.2">
      <c r="A25" s="1184">
        <f t="shared" si="4"/>
        <v>16</v>
      </c>
      <c r="B25" s="1097" t="s">
        <v>11</v>
      </c>
      <c r="C25" s="1420">
        <v>98554347</v>
      </c>
      <c r="D25" s="1186">
        <f t="shared" si="0"/>
        <v>4</v>
      </c>
      <c r="E25" s="1185">
        <f>_xlfn.XLOOKUP(B25,Códigos!$B$8:$B$406,Códigos!$A$8:$A$406,"Verificar",0)</f>
        <v>50</v>
      </c>
      <c r="F25" s="1527">
        <f>SUMIF(Facturas!$B$9:$B$79,B25,Facturas!$F$9:$F$79)</f>
        <v>0</v>
      </c>
      <c r="G25" s="1138">
        <f>SUMIF(Facturas!$B$9:$B$79,B25,Facturas!$G$9:$G$79)</f>
        <v>0</v>
      </c>
      <c r="H25" s="1187">
        <f>SUMIF(Facturas!$B$9:$B$79,B25,Facturas!$I$9:$I$79)</f>
        <v>0</v>
      </c>
      <c r="I25" s="1187">
        <f>SUMIF(Facturas!$B$9:$B$79,B25,Facturas!$J$9:$J$79)</f>
        <v>0</v>
      </c>
      <c r="J25" s="1138">
        <f>SUMIF(Facturas!$B$9:$B$79,B25,Facturas!$K$9:$K$79)</f>
        <v>0</v>
      </c>
      <c r="K25" s="1193"/>
      <c r="L25" s="1449">
        <f>IF(J25&gt;0,0,SUMIF('Cuentas de Cobro'!$B$9:$B$216,B25,'Cuentas de Cobro'!$F$9:$F$216))</f>
        <v>360000</v>
      </c>
      <c r="M25" s="1677"/>
      <c r="N25" s="1556">
        <f t="shared" si="5"/>
        <v>360000</v>
      </c>
      <c r="O25" s="1101"/>
      <c r="P25" s="1529"/>
      <c r="Q25" s="8"/>
      <c r="R25" s="697" t="s">
        <v>11</v>
      </c>
    </row>
    <row r="26" spans="1:18" x14ac:dyDescent="0.2">
      <c r="A26" s="1184">
        <f t="shared" si="4"/>
        <v>17</v>
      </c>
      <c r="B26" s="1097" t="s">
        <v>12</v>
      </c>
      <c r="C26" s="1420">
        <v>3333089</v>
      </c>
      <c r="D26" s="1186">
        <f t="shared" si="0"/>
        <v>5</v>
      </c>
      <c r="E26" s="1185">
        <f>_xlfn.XLOOKUP(B26,Códigos!$B$8:$B$406,Códigos!$A$8:$A$406,"Verificar",0)</f>
        <v>51</v>
      </c>
      <c r="F26" s="1527">
        <f>SUMIF(Facturas!$B$9:$B$79,B26,Facturas!$F$9:$F$79)</f>
        <v>0</v>
      </c>
      <c r="G26" s="1138">
        <f>SUMIF(Facturas!$B$9:$B$79,B26,Facturas!$G$9:$G$79)</f>
        <v>0</v>
      </c>
      <c r="H26" s="1187">
        <f>SUMIF(Facturas!$B$9:$B$79,B26,Facturas!$I$9:$I$79)</f>
        <v>0</v>
      </c>
      <c r="I26" s="1187">
        <f>SUMIF(Facturas!$B$9:$B$79,B26,Facturas!$J$9:$J$79)</f>
        <v>0</v>
      </c>
      <c r="J26" s="1138">
        <f>SUMIF(Facturas!$B$9:$B$79,B26,Facturas!$K$9:$K$79)</f>
        <v>0</v>
      </c>
      <c r="K26" s="1193"/>
      <c r="L26" s="1449">
        <f>IF(J26&gt;0,0,SUMIF('Cuentas de Cobro'!$B$9:$B$216,B26,'Cuentas de Cobro'!$F$9:$F$216))</f>
        <v>0</v>
      </c>
      <c r="M26" s="1677"/>
      <c r="N26" s="1556">
        <f t="shared" si="5"/>
        <v>0</v>
      </c>
      <c r="O26" s="1101"/>
      <c r="P26" s="1529"/>
      <c r="Q26" s="8"/>
      <c r="R26" s="1384" t="s">
        <v>654</v>
      </c>
    </row>
    <row r="27" spans="1:18" x14ac:dyDescent="0.2">
      <c r="A27" s="1184">
        <f t="shared" si="4"/>
        <v>18</v>
      </c>
      <c r="B27" s="1097" t="s">
        <v>13</v>
      </c>
      <c r="C27" s="1420">
        <v>43431768</v>
      </c>
      <c r="D27" s="1186">
        <f t="shared" si="0"/>
        <v>3</v>
      </c>
      <c r="E27" s="1185">
        <f>_xlfn.XLOOKUP(B27,Códigos!$B$8:$B$406,Códigos!$A$8:$A$406,"Verificar",0)</f>
        <v>52</v>
      </c>
      <c r="F27" s="1527">
        <f>SUMIF(Facturas!$B$9:$B$79,B27,Facturas!$F$9:$F$79)</f>
        <v>510000</v>
      </c>
      <c r="G27" s="1138">
        <f>SUMIF(Facturas!$B$9:$B$79,B27,Facturas!$G$9:$G$79)</f>
        <v>96900</v>
      </c>
      <c r="H27" s="1187">
        <f>SUMIF(Facturas!$B$9:$B$79,B27,Facturas!$I$9:$I$79)</f>
        <v>-56100</v>
      </c>
      <c r="I27" s="1187">
        <f>SUMIF(Facturas!$B$9:$B$79,B27,Facturas!$J$9:$J$79)</f>
        <v>606900</v>
      </c>
      <c r="J27" s="1138">
        <f>SUMIF(Facturas!$B$9:$B$79,B27,Facturas!$K$9:$K$79)</f>
        <v>550800</v>
      </c>
      <c r="K27" s="1193"/>
      <c r="L27" s="1449">
        <f>IF(J27&gt;0,0,SUMIF('Cuentas de Cobro'!$B$9:$B$216,B27,'Cuentas de Cobro'!$F$9:$F$216))</f>
        <v>0</v>
      </c>
      <c r="M27" s="1677"/>
      <c r="N27" s="1556">
        <f t="shared" ref="N27" si="6">+J27+L27</f>
        <v>550800</v>
      </c>
      <c r="O27" s="1101"/>
      <c r="P27" s="1529"/>
      <c r="Q27" s="8"/>
      <c r="R27" s="1434" t="s">
        <v>13</v>
      </c>
    </row>
    <row r="28" spans="1:18" x14ac:dyDescent="0.2">
      <c r="A28" s="1184">
        <f t="shared" si="4"/>
        <v>19</v>
      </c>
      <c r="B28" s="1097" t="s">
        <v>336</v>
      </c>
      <c r="C28" s="1420">
        <v>43012007</v>
      </c>
      <c r="D28" s="1186">
        <f t="shared" si="0"/>
        <v>1</v>
      </c>
      <c r="E28" s="1185">
        <f>_xlfn.XLOOKUP(B28,Códigos!$B$8:$B$406,Códigos!$A$8:$A$406,"Verificar",0)</f>
        <v>260</v>
      </c>
      <c r="F28" s="1527">
        <f>SUMIF(Facturas!$B$9:$B$79,B28,Facturas!$F$9:$F$79)</f>
        <v>0</v>
      </c>
      <c r="G28" s="1138">
        <f>SUMIF(Facturas!$B$9:$B$79,B28,Facturas!$G$9:$G$79)</f>
        <v>0</v>
      </c>
      <c r="H28" s="1187">
        <f>SUMIF(Facturas!$B$9:$B$79,B28,Facturas!$I$9:$I$79)</f>
        <v>0</v>
      </c>
      <c r="I28" s="1187">
        <f>SUMIF(Facturas!$B$9:$B$79,B28,Facturas!$J$9:$J$79)</f>
        <v>0</v>
      </c>
      <c r="J28" s="1138">
        <f>SUMIF(Facturas!$B$9:$B$79,B28,Facturas!$K$9:$K$79)</f>
        <v>0</v>
      </c>
      <c r="K28" s="1193"/>
      <c r="L28" s="1449">
        <f>IF(J28&gt;0,0,SUMIF('Cuentas de Cobro'!$B$9:$B$216,B28,'Cuentas de Cobro'!$F$9:$F$216))</f>
        <v>180000</v>
      </c>
      <c r="M28" s="1677"/>
      <c r="N28" s="1556">
        <f t="shared" si="5"/>
        <v>180000</v>
      </c>
      <c r="O28" s="1101"/>
      <c r="P28" s="1529"/>
      <c r="Q28" s="8"/>
      <c r="R28" s="1401" t="s">
        <v>816</v>
      </c>
    </row>
    <row r="29" spans="1:18" x14ac:dyDescent="0.2">
      <c r="A29" s="1184">
        <f t="shared" si="4"/>
        <v>20</v>
      </c>
      <c r="B29" s="1097" t="s">
        <v>656</v>
      </c>
      <c r="C29" s="1420">
        <v>78691058</v>
      </c>
      <c r="D29" s="1186">
        <f t="shared" si="0"/>
        <v>4</v>
      </c>
      <c r="E29" s="1185">
        <f>_xlfn.XLOOKUP(B29,Códigos!$B$8:$B$406,Códigos!$A$8:$A$406,"Verificar",0)</f>
        <v>257</v>
      </c>
      <c r="F29" s="1527">
        <f>SUMIF(Facturas!$B$9:$B$79,B29,Facturas!$F$9:$F$79)</f>
        <v>0</v>
      </c>
      <c r="G29" s="1138">
        <f>SUMIF(Facturas!$B$9:$B$79,B29,Facturas!$G$9:$G$79)</f>
        <v>0</v>
      </c>
      <c r="H29" s="1187">
        <f>SUMIF(Facturas!$B$9:$B$79,B29,Facturas!$I$9:$I$79)</f>
        <v>0</v>
      </c>
      <c r="I29" s="1187">
        <f>SUMIF(Facturas!$B$9:$B$79,B29,Facturas!$J$9:$J$79)</f>
        <v>0</v>
      </c>
      <c r="J29" s="1138">
        <f>SUMIF(Facturas!$B$9:$B$79,B29,Facturas!$K$9:$K$79)</f>
        <v>0</v>
      </c>
      <c r="K29" s="1193"/>
      <c r="L29" s="1449">
        <f>IF(J29&gt;0,0,SUMIF('Cuentas de Cobro'!$B$9:$B$216,B29,'Cuentas de Cobro'!$F$9:$F$216))</f>
        <v>0</v>
      </c>
      <c r="M29" s="1677"/>
      <c r="N29" s="1556">
        <f t="shared" ref="N29" si="7">+J29+L29</f>
        <v>0</v>
      </c>
      <c r="O29" s="1101"/>
      <c r="P29" s="1529"/>
      <c r="Q29" s="8"/>
      <c r="R29" s="1384" t="s">
        <v>654</v>
      </c>
    </row>
    <row r="30" spans="1:18" x14ac:dyDescent="0.2">
      <c r="A30" s="1184">
        <f t="shared" si="4"/>
        <v>21</v>
      </c>
      <c r="B30" s="1491" t="s">
        <v>15</v>
      </c>
      <c r="C30" s="1420">
        <v>87082052990</v>
      </c>
      <c r="D30" s="1186">
        <f t="shared" si="0"/>
        <v>2</v>
      </c>
      <c r="E30" s="1678">
        <f>_xlfn.XLOOKUP(B30,Códigos!$B$8:$B$406,Códigos!$A$8:$A$406,"Verificar",0)</f>
        <v>56</v>
      </c>
      <c r="F30" s="1527">
        <f>SUMIF(Facturas!$B$9:$B$79,B30,Facturas!$F$9:$F$79)</f>
        <v>1950000</v>
      </c>
      <c r="G30" s="1138">
        <f>SUMIF(Facturas!$B$9:$B$79,B30,Facturas!$G$9:$G$79)</f>
        <v>370500</v>
      </c>
      <c r="H30" s="1187">
        <f>SUMIF(Facturas!$B$9:$B$79,B30,Facturas!$I$9:$I$79)</f>
        <v>0</v>
      </c>
      <c r="I30" s="1187">
        <f>SUMIF(Facturas!$B$9:$B$79,B30,Facturas!$J$9:$J$79)</f>
        <v>2320500</v>
      </c>
      <c r="J30" s="1138">
        <f>SUMIF(Facturas!$B$9:$B$79,B30,Facturas!$K$9:$K$79)</f>
        <v>2320500</v>
      </c>
      <c r="K30" s="1193"/>
      <c r="L30" s="1449">
        <f>IF(J30&gt;0,0,SUMIF('Cuentas de Cobro'!$B$9:$B$216,B30,'Cuentas de Cobro'!$F$9:$F$216))</f>
        <v>0</v>
      </c>
      <c r="M30" s="1677"/>
      <c r="N30" s="1556">
        <f t="shared" si="5"/>
        <v>2320500</v>
      </c>
      <c r="O30" s="1101"/>
      <c r="P30" s="1529"/>
      <c r="Q30" s="8"/>
      <c r="R30" s="1434" t="s">
        <v>15</v>
      </c>
    </row>
    <row r="31" spans="1:18" x14ac:dyDescent="0.2">
      <c r="A31" s="1184">
        <f t="shared" si="4"/>
        <v>22</v>
      </c>
      <c r="B31" s="1694" t="s">
        <v>399</v>
      </c>
      <c r="C31" s="1695">
        <v>1017207619</v>
      </c>
      <c r="D31" s="1685">
        <f t="shared" si="0"/>
        <v>1</v>
      </c>
      <c r="E31" s="1686">
        <f>_xlfn.XLOOKUP(B31,Códigos!$B$8:$B$406,Códigos!$A$8:$A$406,"Verificar",0)</f>
        <v>353</v>
      </c>
      <c r="F31" s="1687">
        <f>SUMIF(Facturas!$B$9:$B$79,B31,Facturas!$F$9:$F$79)</f>
        <v>0</v>
      </c>
      <c r="G31" s="1210">
        <f>SUMIF(Facturas!$B$9:$B$79,B31,Facturas!$G$9:$G$79)</f>
        <v>0</v>
      </c>
      <c r="H31" s="1473">
        <f>SUMIF(Facturas!$B$9:$B$79,B31,Facturas!$I$9:$I$79)</f>
        <v>0</v>
      </c>
      <c r="I31" s="1473">
        <f>SUMIF(Facturas!$B$9:$B$79,B31,Facturas!$J$9:$J$79)</f>
        <v>0</v>
      </c>
      <c r="J31" s="1210">
        <f>SUMIF(Facturas!$B$9:$B$79,B31,Facturas!$K$9:$K$79)</f>
        <v>0</v>
      </c>
      <c r="K31" s="1688"/>
      <c r="L31" s="1696">
        <f>IF(J31&gt;0,0,SUMIF('Cuentas de Cobro'!$B$9:$B$216,B31,'Cuentas de Cobro'!$F$9:$F$216))</f>
        <v>0</v>
      </c>
      <c r="M31" s="1697"/>
      <c r="N31" s="1660">
        <f t="shared" si="5"/>
        <v>0</v>
      </c>
      <c r="O31" s="1690"/>
      <c r="P31" s="1691"/>
      <c r="Q31" s="8"/>
      <c r="R31" s="1379" t="s">
        <v>805</v>
      </c>
    </row>
    <row r="32" spans="1:18" x14ac:dyDescent="0.2">
      <c r="A32" s="1184">
        <f t="shared" si="4"/>
        <v>23</v>
      </c>
      <c r="B32" s="1097" t="s">
        <v>647</v>
      </c>
      <c r="C32" s="1420">
        <v>1000416970</v>
      </c>
      <c r="D32" s="1186">
        <f t="shared" si="0"/>
        <v>7</v>
      </c>
      <c r="E32" s="1185">
        <f>_xlfn.XLOOKUP(B32,Códigos!$B$8:$B$406,Códigos!$A$8:$A$406,"Verificar",0)</f>
        <v>218</v>
      </c>
      <c r="F32" s="1527">
        <f>SUMIF(Facturas!$B$9:$B$79,B32,Facturas!$F$9:$F$79)</f>
        <v>0</v>
      </c>
      <c r="G32" s="1138">
        <f>SUMIF(Facturas!$B$9:$B$79,B32,Facturas!$G$9:$G$79)</f>
        <v>0</v>
      </c>
      <c r="H32" s="1187">
        <f>SUMIF(Facturas!$B$9:$B$79,B32,Facturas!$I$9:$I$79)</f>
        <v>0</v>
      </c>
      <c r="I32" s="1187">
        <f>SUMIF(Facturas!$B$9:$B$79,B32,Facturas!$J$9:$J$79)</f>
        <v>0</v>
      </c>
      <c r="J32" s="1138">
        <f>SUMIF(Facturas!$B$9:$B$79,B32,Facturas!$K$9:$K$79)</f>
        <v>0</v>
      </c>
      <c r="K32" s="1193"/>
      <c r="L32" s="1449">
        <f>IF(J32&gt;0,0,SUMIF('Cuentas de Cobro'!$B$9:$B$216,B32,'Cuentas de Cobro'!$F$9:$F$216))</f>
        <v>260000</v>
      </c>
      <c r="M32" s="1677"/>
      <c r="N32" s="1556">
        <f t="shared" si="5"/>
        <v>260000</v>
      </c>
      <c r="O32" s="1101"/>
      <c r="P32" s="1529"/>
      <c r="Q32" s="8"/>
      <c r="R32" s="1091" t="s">
        <v>647</v>
      </c>
    </row>
    <row r="33" spans="1:18" x14ac:dyDescent="0.2">
      <c r="A33" s="1184">
        <f t="shared" si="4"/>
        <v>24</v>
      </c>
      <c r="B33" s="1097" t="s">
        <v>358</v>
      </c>
      <c r="C33" s="1420">
        <v>71788661</v>
      </c>
      <c r="D33" s="1186">
        <f t="shared" si="0"/>
        <v>9</v>
      </c>
      <c r="E33" s="1185">
        <f>_xlfn.XLOOKUP(B33,Códigos!$B$8:$B$406,Códigos!$A$8:$A$406,"Verificar",0)</f>
        <v>306</v>
      </c>
      <c r="F33" s="1527">
        <f>SUMIF(Facturas!$B$9:$B$79,B33,Facturas!$F$9:$F$79)</f>
        <v>0</v>
      </c>
      <c r="G33" s="1138">
        <f>SUMIF(Facturas!$B$9:$B$79,B33,Facturas!$G$9:$G$79)</f>
        <v>0</v>
      </c>
      <c r="H33" s="1187">
        <f>SUMIF(Facturas!$B$9:$B$79,B33,Facturas!$I$9:$I$79)</f>
        <v>0</v>
      </c>
      <c r="I33" s="1187">
        <f>SUMIF(Facturas!$B$9:$B$79,B33,Facturas!$J$9:$J$79)</f>
        <v>0</v>
      </c>
      <c r="J33" s="1138">
        <f>SUMIF(Facturas!$B$9:$B$79,B33,Facturas!$K$9:$K$79)</f>
        <v>0</v>
      </c>
      <c r="K33" s="1193"/>
      <c r="L33" s="1449">
        <f>IF(J33&gt;0,0,SUMIF('Cuentas de Cobro'!$B$9:$B$216,B33,'Cuentas de Cobro'!$F$9:$F$216))</f>
        <v>470000</v>
      </c>
      <c r="M33" s="1677"/>
      <c r="N33" s="1556">
        <f t="shared" si="5"/>
        <v>470000</v>
      </c>
      <c r="O33" s="1101"/>
      <c r="P33" s="1529"/>
      <c r="Q33" s="8"/>
      <c r="R33" s="1432" t="s">
        <v>358</v>
      </c>
    </row>
    <row r="34" spans="1:18" x14ac:dyDescent="0.2">
      <c r="A34" s="1184">
        <f t="shared" si="4"/>
        <v>25</v>
      </c>
      <c r="B34" s="1694" t="s">
        <v>16</v>
      </c>
      <c r="C34" s="1695">
        <v>8299801</v>
      </c>
      <c r="D34" s="1685">
        <f t="shared" si="0"/>
        <v>6</v>
      </c>
      <c r="E34" s="1686">
        <f>_xlfn.XLOOKUP(B34,Códigos!$B$8:$B$406,Códigos!$A$8:$A$406,"Verificar",0)</f>
        <v>270</v>
      </c>
      <c r="F34" s="1687">
        <f>SUMIF(Facturas!$B$9:$B$79,B34,Facturas!$F$9:$F$79)</f>
        <v>0</v>
      </c>
      <c r="G34" s="1210">
        <f>SUMIF(Facturas!$B$9:$B$79,B34,Facturas!$G$9:$G$79)</f>
        <v>0</v>
      </c>
      <c r="H34" s="1473">
        <f>SUMIF(Facturas!$B$9:$B$79,B34,Facturas!$I$9:$I$79)</f>
        <v>0</v>
      </c>
      <c r="I34" s="1473">
        <f>SUMIF(Facturas!$B$9:$B$79,B34,Facturas!$J$9:$J$79)</f>
        <v>0</v>
      </c>
      <c r="J34" s="1210">
        <f>SUMIF(Facturas!$B$9:$B$79,B34,Facturas!$K$9:$K$79)</f>
        <v>0</v>
      </c>
      <c r="K34" s="1688"/>
      <c r="L34" s="1696">
        <f>IF(J34&gt;0,0,SUMIF('Cuentas de Cobro'!$B$9:$B$216,B34,'Cuentas de Cobro'!$F$9:$F$216))</f>
        <v>0</v>
      </c>
      <c r="M34" s="1697"/>
      <c r="N34" s="1660">
        <f t="shared" si="5"/>
        <v>0</v>
      </c>
      <c r="O34" s="1690"/>
      <c r="P34" s="1691"/>
      <c r="Q34" s="8"/>
      <c r="R34" s="1379" t="s">
        <v>805</v>
      </c>
    </row>
    <row r="35" spans="1:18" x14ac:dyDescent="0.2">
      <c r="A35" s="1184">
        <f t="shared" si="4"/>
        <v>26</v>
      </c>
      <c r="B35" s="1097" t="s">
        <v>17</v>
      </c>
      <c r="C35" s="1420">
        <v>43255512</v>
      </c>
      <c r="D35" s="1186">
        <f t="shared" si="0"/>
        <v>0</v>
      </c>
      <c r="E35" s="1185">
        <f>_xlfn.XLOOKUP(B35,Códigos!$B$8:$B$406,Códigos!$A$8:$A$406,"Verificar",0)</f>
        <v>59</v>
      </c>
      <c r="F35" s="1527">
        <f>SUMIF(Facturas!$B$9:$B$79,B35,Facturas!$F$9:$F$79)</f>
        <v>610000</v>
      </c>
      <c r="G35" s="1138">
        <f>SUMIF(Facturas!$B$9:$B$79,B35,Facturas!$G$9:$G$79)</f>
        <v>115900</v>
      </c>
      <c r="H35" s="1187">
        <f>SUMIF(Facturas!$B$9:$B$79,B35,Facturas!$I$9:$I$79)</f>
        <v>-67100</v>
      </c>
      <c r="I35" s="1187">
        <f>SUMIF(Facturas!$B$9:$B$79,B35,Facturas!$J$9:$J$79)</f>
        <v>725900</v>
      </c>
      <c r="J35" s="1138">
        <f>SUMIF(Facturas!$B$9:$B$79,B35,Facturas!$K$9:$K$79)</f>
        <v>658800</v>
      </c>
      <c r="K35" s="1193"/>
      <c r="L35" s="1449">
        <f>IF(J35&gt;0,0,SUMIF('Cuentas de Cobro'!$B$9:$B$216,B35,'Cuentas de Cobro'!$F$9:$F$216))</f>
        <v>0</v>
      </c>
      <c r="M35" s="1677"/>
      <c r="N35" s="1556">
        <f t="shared" si="5"/>
        <v>658800</v>
      </c>
      <c r="O35" s="1101"/>
      <c r="P35" s="1529"/>
      <c r="Q35" s="8"/>
      <c r="R35" s="1434" t="s">
        <v>17</v>
      </c>
    </row>
    <row r="36" spans="1:18" x14ac:dyDescent="0.2">
      <c r="A36" s="1184">
        <f t="shared" si="4"/>
        <v>27</v>
      </c>
      <c r="B36" s="1097" t="s">
        <v>274</v>
      </c>
      <c r="C36" s="1420">
        <v>43820323</v>
      </c>
      <c r="D36" s="1186">
        <f t="shared" si="0"/>
        <v>9</v>
      </c>
      <c r="E36" s="1185">
        <f>_xlfn.XLOOKUP(B36,Códigos!$B$8:$B$406,Códigos!$A$8:$A$406,"Verificar",0)</f>
        <v>322</v>
      </c>
      <c r="F36" s="1527">
        <f>SUMIF(Facturas!$B$9:$B$79,B36,Facturas!$F$9:$F$79)</f>
        <v>0</v>
      </c>
      <c r="G36" s="1138">
        <f>SUMIF(Facturas!$B$9:$B$79,B36,Facturas!$G$9:$G$79)</f>
        <v>0</v>
      </c>
      <c r="H36" s="1187">
        <f>SUMIF(Facturas!$B$9:$B$79,B36,Facturas!$I$9:$I$79)</f>
        <v>0</v>
      </c>
      <c r="I36" s="1187">
        <f>SUMIF(Facturas!$B$9:$B$79,B36,Facturas!$J$9:$J$79)</f>
        <v>0</v>
      </c>
      <c r="J36" s="1138">
        <f>SUMIF(Facturas!$B$9:$B$79,B36,Facturas!$K$9:$K$79)</f>
        <v>0</v>
      </c>
      <c r="K36" s="1193"/>
      <c r="L36" s="1449">
        <f>IF(J36&gt;0,0,SUMIF('Cuentas de Cobro'!$B$9:$B$216,B36,'Cuentas de Cobro'!$F$9:$F$216))</f>
        <v>350000</v>
      </c>
      <c r="M36" s="1677"/>
      <c r="N36" s="1556">
        <f t="shared" si="5"/>
        <v>350000</v>
      </c>
      <c r="O36" s="1101"/>
      <c r="P36" s="1529"/>
      <c r="Q36" s="8"/>
      <c r="R36" s="697" t="s">
        <v>274</v>
      </c>
    </row>
    <row r="37" spans="1:18" x14ac:dyDescent="0.2">
      <c r="A37" s="1184">
        <f t="shared" si="4"/>
        <v>28</v>
      </c>
      <c r="B37" s="1097" t="s">
        <v>18</v>
      </c>
      <c r="C37" s="1420">
        <v>3322312</v>
      </c>
      <c r="D37" s="1186">
        <f t="shared" si="0"/>
        <v>6</v>
      </c>
      <c r="E37" s="1185">
        <f>_xlfn.XLOOKUP(B37,Códigos!$B$8:$B$406,Códigos!$A$8:$A$406,"Verificar",0)</f>
        <v>271</v>
      </c>
      <c r="F37" s="1527">
        <f>SUMIF(Facturas!$B$9:$B$79,B37,Facturas!$F$9:$F$79)</f>
        <v>0</v>
      </c>
      <c r="G37" s="1138">
        <f>SUMIF(Facturas!$B$9:$B$79,B37,Facturas!$G$9:$G$79)</f>
        <v>0</v>
      </c>
      <c r="H37" s="1187">
        <f>SUMIF(Facturas!$B$9:$B$79,B37,Facturas!$I$9:$I$79)</f>
        <v>0</v>
      </c>
      <c r="I37" s="1187">
        <f>SUMIF(Facturas!$B$9:$B$79,B37,Facturas!$J$9:$J$79)</f>
        <v>0</v>
      </c>
      <c r="J37" s="1138">
        <f>SUMIF(Facturas!$B$9:$B$79,B37,Facturas!$K$9:$K$79)</f>
        <v>0</v>
      </c>
      <c r="K37" s="1193"/>
      <c r="L37" s="1449">
        <f>IF(J37&gt;0,0,SUMIF('Cuentas de Cobro'!$B$9:$B$216,B37,'Cuentas de Cobro'!$F$9:$F$216))</f>
        <v>360000</v>
      </c>
      <c r="M37" s="1677"/>
      <c r="N37" s="1556">
        <f t="shared" si="5"/>
        <v>360000</v>
      </c>
      <c r="O37" s="1101"/>
      <c r="P37" s="1529"/>
      <c r="Q37" s="8"/>
      <c r="R37" s="697" t="s">
        <v>18</v>
      </c>
    </row>
    <row r="38" spans="1:18" x14ac:dyDescent="0.2">
      <c r="A38" s="1184">
        <f t="shared" si="4"/>
        <v>29</v>
      </c>
      <c r="B38" s="1097" t="s">
        <v>19</v>
      </c>
      <c r="C38" s="1420">
        <v>42793787</v>
      </c>
      <c r="D38" s="1186">
        <f t="shared" si="0"/>
        <v>2</v>
      </c>
      <c r="E38" s="1185">
        <f>_xlfn.XLOOKUP(B38,Códigos!$B$8:$B$406,Códigos!$A$8:$A$406,"Verificar",0)</f>
        <v>60</v>
      </c>
      <c r="F38" s="1527">
        <f>SUMIF(Facturas!$B$9:$B$79,B38,Facturas!$F$9:$F$79)</f>
        <v>0</v>
      </c>
      <c r="G38" s="1138">
        <f>SUMIF(Facturas!$B$9:$B$79,B38,Facturas!$G$9:$G$79)</f>
        <v>0</v>
      </c>
      <c r="H38" s="1187">
        <f>SUMIF(Facturas!$B$9:$B$79,B38,Facturas!$I$9:$I$79)</f>
        <v>0</v>
      </c>
      <c r="I38" s="1187">
        <f>SUMIF(Facturas!$B$9:$B$79,B38,Facturas!$J$9:$J$79)</f>
        <v>0</v>
      </c>
      <c r="J38" s="1138">
        <f>SUMIF(Facturas!$B$9:$B$79,B38,Facturas!$K$9:$K$79)</f>
        <v>0</v>
      </c>
      <c r="K38" s="1193"/>
      <c r="L38" s="1449">
        <f>IF(J38&gt;0,0,SUMIF('Cuentas de Cobro'!$B$9:$B$216,B38,'Cuentas de Cobro'!$F$9:$F$216))</f>
        <v>360000</v>
      </c>
      <c r="M38" s="1677"/>
      <c r="N38" s="1556">
        <f t="shared" si="5"/>
        <v>360000</v>
      </c>
      <c r="O38" s="1101"/>
      <c r="P38" s="1529"/>
      <c r="Q38" s="8"/>
      <c r="R38" s="697" t="s">
        <v>19</v>
      </c>
    </row>
    <row r="39" spans="1:18" x14ac:dyDescent="0.2">
      <c r="A39" s="1184">
        <f t="shared" si="4"/>
        <v>30</v>
      </c>
      <c r="B39" s="1097" t="s">
        <v>20</v>
      </c>
      <c r="C39" s="1420">
        <v>1035852107</v>
      </c>
      <c r="D39" s="1186">
        <f t="shared" si="0"/>
        <v>3</v>
      </c>
      <c r="E39" s="1185">
        <f>_xlfn.XLOOKUP(B39,Códigos!$B$8:$B$406,Códigos!$A$8:$A$406,"Verificar",0)</f>
        <v>61</v>
      </c>
      <c r="F39" s="1527">
        <f>SUMIF(Facturas!$B$9:$B$79,B39,Facturas!$F$9:$F$79)</f>
        <v>0</v>
      </c>
      <c r="G39" s="1138">
        <f>SUMIF(Facturas!$B$9:$B$79,B39,Facturas!$G$9:$G$79)</f>
        <v>0</v>
      </c>
      <c r="H39" s="1187">
        <f>SUMIF(Facturas!$B$9:$B$79,B39,Facturas!$I$9:$I$79)</f>
        <v>0</v>
      </c>
      <c r="I39" s="1187">
        <f>SUMIF(Facturas!$B$9:$B$79,B39,Facturas!$J$9:$J$79)</f>
        <v>0</v>
      </c>
      <c r="J39" s="1138">
        <f>SUMIF(Facturas!$B$9:$B$79,B39,Facturas!$K$9:$K$79)</f>
        <v>0</v>
      </c>
      <c r="K39" s="1193"/>
      <c r="L39" s="1449">
        <f>IF(J39&gt;0,0,SUMIF('Cuentas de Cobro'!$B$9:$B$216,B39,'Cuentas de Cobro'!$F$9:$F$216))</f>
        <v>400000</v>
      </c>
      <c r="M39" s="1677"/>
      <c r="N39" s="1556">
        <f t="shared" si="5"/>
        <v>400000</v>
      </c>
      <c r="O39" s="1101"/>
      <c r="P39" s="1529"/>
      <c r="Q39" s="8"/>
      <c r="R39" s="1435" t="s">
        <v>20</v>
      </c>
    </row>
    <row r="40" spans="1:18" x14ac:dyDescent="0.2">
      <c r="A40" s="1184">
        <f t="shared" si="4"/>
        <v>31</v>
      </c>
      <c r="B40" s="1097" t="s">
        <v>21</v>
      </c>
      <c r="C40" s="1420">
        <v>43577753</v>
      </c>
      <c r="D40" s="1186">
        <f t="shared" si="0"/>
        <v>0</v>
      </c>
      <c r="E40" s="1185">
        <f>_xlfn.XLOOKUP(B40,Códigos!$B$8:$B$406,Códigos!$A$8:$A$406,"Verificar",0)</f>
        <v>62</v>
      </c>
      <c r="F40" s="1527">
        <f>SUMIF(Facturas!$B$9:$B$79,B40,Facturas!$F$9:$F$79)</f>
        <v>0</v>
      </c>
      <c r="G40" s="1138">
        <f>SUMIF(Facturas!$B$9:$B$79,B40,Facturas!$G$9:$G$79)</f>
        <v>0</v>
      </c>
      <c r="H40" s="1187">
        <f>SUMIF(Facturas!$B$9:$B$79,B40,Facturas!$I$9:$I$79)</f>
        <v>0</v>
      </c>
      <c r="I40" s="1187">
        <f>SUMIF(Facturas!$B$9:$B$79,B40,Facturas!$J$9:$J$79)</f>
        <v>0</v>
      </c>
      <c r="J40" s="1138">
        <f>SUMIF(Facturas!$B$9:$B$79,B40,Facturas!$K$9:$K$79)</f>
        <v>0</v>
      </c>
      <c r="K40" s="1193"/>
      <c r="L40" s="1449">
        <f>IF(J40&gt;0,0,SUMIF('Cuentas de Cobro'!$B$9:$B$216,B40,'Cuentas de Cobro'!$F$9:$F$216))</f>
        <v>1380000</v>
      </c>
      <c r="M40" s="1677"/>
      <c r="N40" s="1556">
        <f t="shared" si="5"/>
        <v>1380000</v>
      </c>
      <c r="O40" s="1101"/>
      <c r="P40" s="1529"/>
      <c r="Q40" s="8"/>
      <c r="R40" s="697" t="s">
        <v>21</v>
      </c>
    </row>
    <row r="41" spans="1:18" x14ac:dyDescent="0.2">
      <c r="A41" s="1184">
        <f t="shared" si="4"/>
        <v>32</v>
      </c>
      <c r="B41" s="1097" t="s">
        <v>22</v>
      </c>
      <c r="C41" s="1420">
        <v>71608158</v>
      </c>
      <c r="D41" s="1186">
        <f t="shared" si="0"/>
        <v>4</v>
      </c>
      <c r="E41" s="1185">
        <f>_xlfn.XLOOKUP(B41,Códigos!$B$8:$B$406,Códigos!$A$8:$A$406,"Verificar",0)</f>
        <v>63</v>
      </c>
      <c r="F41" s="1527">
        <f>SUMIF(Facturas!$B$9:$B$79,B41,Facturas!$F$9:$F$79)</f>
        <v>0</v>
      </c>
      <c r="G41" s="1138">
        <f>SUMIF(Facturas!$B$9:$B$79,B41,Facturas!$G$9:$G$79)</f>
        <v>0</v>
      </c>
      <c r="H41" s="1187">
        <f>SUMIF(Facturas!$B$9:$B$79,B41,Facturas!$I$9:$I$79)</f>
        <v>0</v>
      </c>
      <c r="I41" s="1187">
        <f>SUMIF(Facturas!$B$9:$B$79,B41,Facturas!$J$9:$J$79)</f>
        <v>0</v>
      </c>
      <c r="J41" s="1138">
        <f>SUMIF(Facturas!$B$9:$B$79,B41,Facturas!$K$9:$K$79)</f>
        <v>0</v>
      </c>
      <c r="K41" s="1193"/>
      <c r="L41" s="1449">
        <f>IF(J41&gt;0,0,SUMIF('Cuentas de Cobro'!$B$9:$B$216,B41,'Cuentas de Cobro'!$F$9:$F$216))</f>
        <v>770000</v>
      </c>
      <c r="M41" s="1677"/>
      <c r="N41" s="1556">
        <f t="shared" si="5"/>
        <v>770000</v>
      </c>
      <c r="O41" s="1101"/>
      <c r="P41" s="1529"/>
      <c r="Q41" s="8"/>
      <c r="R41" s="697" t="s">
        <v>22</v>
      </c>
    </row>
    <row r="42" spans="1:18" x14ac:dyDescent="0.2">
      <c r="A42" s="1184">
        <f t="shared" si="4"/>
        <v>33</v>
      </c>
      <c r="B42" s="1097" t="s">
        <v>23</v>
      </c>
      <c r="C42" s="1420">
        <v>3313365</v>
      </c>
      <c r="D42" s="1186">
        <f t="shared" si="0"/>
        <v>8</v>
      </c>
      <c r="E42" s="1185">
        <f>_xlfn.XLOOKUP(B42,Códigos!$B$8:$B$406,Códigos!$A$8:$A$406,"Verificar",0)</f>
        <v>65</v>
      </c>
      <c r="F42" s="1527">
        <f>SUMIF(Facturas!$B$9:$B$79,B42,Facturas!$F$9:$F$79)</f>
        <v>0</v>
      </c>
      <c r="G42" s="1138">
        <f>SUMIF(Facturas!$B$9:$B$79,B42,Facturas!$G$9:$G$79)</f>
        <v>0</v>
      </c>
      <c r="H42" s="1187">
        <f>SUMIF(Facturas!$B$9:$B$79,B42,Facturas!$I$9:$I$79)</f>
        <v>0</v>
      </c>
      <c r="I42" s="1187">
        <f>SUMIF(Facturas!$B$9:$B$79,B42,Facturas!$J$9:$J$79)</f>
        <v>0</v>
      </c>
      <c r="J42" s="1138">
        <f>SUMIF(Facturas!$B$9:$B$79,B42,Facturas!$K$9:$K$79)</f>
        <v>0</v>
      </c>
      <c r="K42" s="1193"/>
      <c r="L42" s="1449">
        <f>IF(J42&gt;0,0,SUMIF('Cuentas de Cobro'!$B$9:$B$216,B42,'Cuentas de Cobro'!$F$9:$F$216))</f>
        <v>1660000</v>
      </c>
      <c r="M42" s="1677"/>
      <c r="N42" s="1556">
        <f t="shared" si="5"/>
        <v>1660000</v>
      </c>
      <c r="O42" s="1101"/>
      <c r="P42" s="1529"/>
      <c r="Q42" s="8"/>
      <c r="R42" s="697" t="s">
        <v>23</v>
      </c>
    </row>
    <row r="43" spans="1:18" x14ac:dyDescent="0.2">
      <c r="A43" s="1184">
        <f t="shared" si="4"/>
        <v>34</v>
      </c>
      <c r="B43" s="1097" t="s">
        <v>24</v>
      </c>
      <c r="C43" s="1420">
        <v>5734197</v>
      </c>
      <c r="D43" s="1186">
        <f t="shared" si="0"/>
        <v>0</v>
      </c>
      <c r="E43" s="1185">
        <f>_xlfn.XLOOKUP(B43,Códigos!$B$8:$B$406,Códigos!$A$8:$A$406,"Verificar",0)</f>
        <v>67</v>
      </c>
      <c r="F43" s="1527">
        <f>SUMIF(Facturas!$B$9:$B$79,B43,Facturas!$F$9:$F$79)</f>
        <v>0</v>
      </c>
      <c r="G43" s="1138">
        <f>SUMIF(Facturas!$B$9:$B$79,B43,Facturas!$G$9:$G$79)</f>
        <v>0</v>
      </c>
      <c r="H43" s="1187">
        <f>SUMIF(Facturas!$B$9:$B$79,B43,Facturas!$I$9:$I$79)</f>
        <v>0</v>
      </c>
      <c r="I43" s="1187">
        <f>SUMIF(Facturas!$B$9:$B$79,B43,Facturas!$J$9:$J$79)</f>
        <v>0</v>
      </c>
      <c r="J43" s="1138">
        <f>SUMIF(Facturas!$B$9:$B$79,B43,Facturas!$K$9:$K$79)</f>
        <v>0</v>
      </c>
      <c r="K43" s="1193"/>
      <c r="L43" s="1449">
        <f>IF(J43&gt;0,0,SUMIF('Cuentas de Cobro'!$B$9:$B$216,B43,'Cuentas de Cobro'!$F$9:$F$216))</f>
        <v>360000</v>
      </c>
      <c r="M43" s="1677"/>
      <c r="N43" s="1556">
        <f t="shared" si="5"/>
        <v>360000</v>
      </c>
      <c r="O43" s="1101"/>
      <c r="P43" s="1529"/>
      <c r="Q43" s="8"/>
      <c r="R43" s="697" t="s">
        <v>24</v>
      </c>
    </row>
    <row r="44" spans="1:18" x14ac:dyDescent="0.2">
      <c r="A44" s="1184">
        <f t="shared" si="4"/>
        <v>35</v>
      </c>
      <c r="B44" s="1694" t="s">
        <v>750</v>
      </c>
      <c r="C44" s="1695">
        <v>1214734553</v>
      </c>
      <c r="D44" s="1685">
        <f t="shared" si="0"/>
        <v>9</v>
      </c>
      <c r="E44" s="1686">
        <f>_xlfn.XLOOKUP(B44,Códigos!$B$8:$B$406,Códigos!$A$8:$A$406,"Verificar",0)</f>
        <v>279</v>
      </c>
      <c r="F44" s="1687">
        <f>SUMIF(Facturas!$B$9:$B$79,B44,Facturas!$F$9:$F$79)</f>
        <v>0</v>
      </c>
      <c r="G44" s="1210">
        <f>SUMIF(Facturas!$B$9:$B$79,B44,Facturas!$G$9:$G$79)</f>
        <v>0</v>
      </c>
      <c r="H44" s="1473">
        <f>SUMIF(Facturas!$B$9:$B$79,B44,Facturas!$I$9:$I$79)</f>
        <v>0</v>
      </c>
      <c r="I44" s="1473">
        <f>SUMIF(Facturas!$B$9:$B$79,B44,Facturas!$J$9:$J$79)</f>
        <v>0</v>
      </c>
      <c r="J44" s="1210">
        <f>SUMIF(Facturas!$B$9:$B$79,B44,Facturas!$K$9:$K$79)</f>
        <v>0</v>
      </c>
      <c r="K44" s="1688"/>
      <c r="L44" s="1696">
        <f>IF(J44&gt;0,0,SUMIF('Cuentas de Cobro'!$B$9:$B$216,B44,'Cuentas de Cobro'!$F$9:$F$216))</f>
        <v>0</v>
      </c>
      <c r="M44" s="1697"/>
      <c r="N44" s="1660">
        <f t="shared" si="5"/>
        <v>0</v>
      </c>
      <c r="O44" s="1690"/>
      <c r="P44" s="1691"/>
      <c r="Q44" s="8"/>
      <c r="R44" s="1379" t="s">
        <v>805</v>
      </c>
    </row>
    <row r="45" spans="1:18" x14ac:dyDescent="0.2">
      <c r="A45" s="1184">
        <f t="shared" si="4"/>
        <v>36</v>
      </c>
      <c r="B45" s="1097" t="s">
        <v>26</v>
      </c>
      <c r="C45" s="1420">
        <v>43616958</v>
      </c>
      <c r="D45" s="1186">
        <f t="shared" si="0"/>
        <v>1</v>
      </c>
      <c r="E45" s="1185">
        <f>_xlfn.XLOOKUP(B45,Códigos!$B$8:$B$406,Códigos!$A$8:$A$406,"Verificar",0)</f>
        <v>68</v>
      </c>
      <c r="F45" s="1527">
        <f>SUMIF(Facturas!$B$9:$B$79,B45,Facturas!$F$9:$F$79)</f>
        <v>0</v>
      </c>
      <c r="G45" s="1138">
        <f>SUMIF(Facturas!$B$9:$B$79,B45,Facturas!$G$9:$G$79)</f>
        <v>0</v>
      </c>
      <c r="H45" s="1187">
        <f>SUMIF(Facturas!$B$9:$B$79,B45,Facturas!$I$9:$I$79)</f>
        <v>0</v>
      </c>
      <c r="I45" s="1187">
        <f>SUMIF(Facturas!$B$9:$B$79,B45,Facturas!$J$9:$J$79)</f>
        <v>0</v>
      </c>
      <c r="J45" s="1138">
        <f>SUMIF(Facturas!$B$9:$B$79,B45,Facturas!$K$9:$K$79)</f>
        <v>0</v>
      </c>
      <c r="K45" s="1193"/>
      <c r="L45" s="1449">
        <f>IF(J45&gt;0,0,SUMIF('Cuentas de Cobro'!$B$9:$B$216,B45,'Cuentas de Cobro'!$F$9:$F$216))</f>
        <v>470000</v>
      </c>
      <c r="M45" s="1677"/>
      <c r="N45" s="1556">
        <f t="shared" si="5"/>
        <v>470000</v>
      </c>
      <c r="O45" s="1101"/>
      <c r="P45" s="1529"/>
      <c r="Q45" s="8"/>
      <c r="R45" s="697" t="s">
        <v>26</v>
      </c>
    </row>
    <row r="46" spans="1:18" x14ac:dyDescent="0.2">
      <c r="A46" s="1184">
        <f t="shared" si="4"/>
        <v>37</v>
      </c>
      <c r="B46" s="1097" t="s">
        <v>25</v>
      </c>
      <c r="C46" s="1420">
        <v>32441185</v>
      </c>
      <c r="D46" s="1186">
        <f t="shared" si="0"/>
        <v>2</v>
      </c>
      <c r="E46" s="1185">
        <f>_xlfn.XLOOKUP(B46,Códigos!$B$8:$B$406,Códigos!$A$8:$A$406,"Verificar",0)</f>
        <v>13</v>
      </c>
      <c r="F46" s="1527">
        <f>SUMIF(Facturas!$B$9:$B$79,B46,Facturas!$F$9:$F$79)</f>
        <v>0</v>
      </c>
      <c r="G46" s="1138">
        <f>SUMIF(Facturas!$B$9:$B$79,B46,Facturas!$G$9:$G$79)</f>
        <v>0</v>
      </c>
      <c r="H46" s="1187">
        <f>SUMIF(Facturas!$B$9:$B$79,B46,Facturas!$I$9:$I$79)</f>
        <v>0</v>
      </c>
      <c r="I46" s="1187">
        <f>SUMIF(Facturas!$B$9:$B$79,B46,Facturas!$J$9:$J$79)</f>
        <v>0</v>
      </c>
      <c r="J46" s="1138">
        <f>SUMIF(Facturas!$B$9:$B$79,B46,Facturas!$K$9:$K$79)</f>
        <v>0</v>
      </c>
      <c r="K46" s="1193"/>
      <c r="L46" s="1449">
        <f>IF(J46&gt;0,0,SUMIF('Cuentas de Cobro'!$B$9:$B$216,B46,'Cuentas de Cobro'!$F$9:$F$216))</f>
        <v>330000</v>
      </c>
      <c r="M46" s="1677"/>
      <c r="N46" s="1556">
        <f t="shared" si="5"/>
        <v>330000</v>
      </c>
      <c r="O46" s="1101"/>
      <c r="P46" s="1529"/>
      <c r="Q46" s="8"/>
      <c r="R46" s="697" t="s">
        <v>25</v>
      </c>
    </row>
    <row r="47" spans="1:18" x14ac:dyDescent="0.2">
      <c r="A47" s="1184">
        <f t="shared" si="4"/>
        <v>38</v>
      </c>
      <c r="B47" s="1097" t="s">
        <v>28</v>
      </c>
      <c r="C47" s="1420">
        <v>21374070</v>
      </c>
      <c r="D47" s="1186">
        <f t="shared" si="0"/>
        <v>7</v>
      </c>
      <c r="E47" s="1185">
        <f>_xlfn.XLOOKUP(B47,Códigos!$B$8:$B$406,Códigos!$A$8:$A$406,"Verificar",0)</f>
        <v>69</v>
      </c>
      <c r="F47" s="1527">
        <f>SUMIF(Facturas!$B$9:$B$79,B47,Facturas!$F$9:$F$79)</f>
        <v>0</v>
      </c>
      <c r="G47" s="1138">
        <f>SUMIF(Facturas!$B$9:$B$79,B47,Facturas!$G$9:$G$79)</f>
        <v>0</v>
      </c>
      <c r="H47" s="1187">
        <f>SUMIF(Facturas!$B$9:$B$79,B47,Facturas!$I$9:$I$79)</f>
        <v>0</v>
      </c>
      <c r="I47" s="1187">
        <f>SUMIF(Facturas!$B$9:$B$79,B47,Facturas!$J$9:$J$79)</f>
        <v>0</v>
      </c>
      <c r="J47" s="1138">
        <f>SUMIF(Facturas!$B$9:$B$79,B47,Facturas!$K$9:$K$79)</f>
        <v>0</v>
      </c>
      <c r="K47" s="1193"/>
      <c r="L47" s="1449">
        <f>IF(J47&gt;0,0,SUMIF('Cuentas de Cobro'!$B$9:$B$216,B47,'Cuentas de Cobro'!$F$9:$F$216))</f>
        <v>720000</v>
      </c>
      <c r="M47" s="1677"/>
      <c r="N47" s="1556">
        <f t="shared" si="5"/>
        <v>720000</v>
      </c>
      <c r="O47" s="1101"/>
      <c r="P47" s="1529"/>
      <c r="Q47" s="8"/>
      <c r="R47" s="697" t="s">
        <v>28</v>
      </c>
    </row>
    <row r="48" spans="1:18" x14ac:dyDescent="0.2">
      <c r="A48" s="1184">
        <f t="shared" si="4"/>
        <v>39</v>
      </c>
      <c r="B48" s="1097" t="s">
        <v>30</v>
      </c>
      <c r="C48" s="1420">
        <v>71688257</v>
      </c>
      <c r="D48" s="1186">
        <f t="shared" si="0"/>
        <v>7</v>
      </c>
      <c r="E48" s="1185">
        <f>_xlfn.XLOOKUP(B48,Códigos!$B$8:$B$406,Códigos!$A$8:$A$406,"Verificar",0)</f>
        <v>71</v>
      </c>
      <c r="F48" s="1527">
        <f>SUMIF(Facturas!$B$9:$B$79,B48,Facturas!$F$9:$F$79)</f>
        <v>0</v>
      </c>
      <c r="G48" s="1138">
        <f>SUMIF(Facturas!$B$9:$B$79,B48,Facturas!$G$9:$G$79)</f>
        <v>0</v>
      </c>
      <c r="H48" s="1187">
        <f>SUMIF(Facturas!$B$9:$B$79,B48,Facturas!$I$9:$I$79)</f>
        <v>0</v>
      </c>
      <c r="I48" s="1187">
        <f>SUMIF(Facturas!$B$9:$B$79,B48,Facturas!$J$9:$J$79)</f>
        <v>0</v>
      </c>
      <c r="J48" s="1138">
        <f>SUMIF(Facturas!$B$9:$B$79,B48,Facturas!$K$9:$K$79)</f>
        <v>0</v>
      </c>
      <c r="K48" s="1193"/>
      <c r="L48" s="1449">
        <f>IF(J48&gt;0,0,SUMIF('Cuentas de Cobro'!$B$9:$B$216,B48,'Cuentas de Cobro'!$F$9:$F$216))</f>
        <v>1500000</v>
      </c>
      <c r="M48" s="1677"/>
      <c r="N48" s="1556">
        <f t="shared" si="5"/>
        <v>1500000</v>
      </c>
      <c r="O48" s="1101"/>
      <c r="P48" s="1529"/>
      <c r="Q48" s="8"/>
      <c r="R48" s="697" t="s">
        <v>30</v>
      </c>
    </row>
    <row r="49" spans="1:18" x14ac:dyDescent="0.2">
      <c r="A49" s="1184">
        <f t="shared" si="4"/>
        <v>40</v>
      </c>
      <c r="B49" s="1097" t="s">
        <v>31</v>
      </c>
      <c r="C49" s="1420">
        <v>43584680</v>
      </c>
      <c r="D49" s="1186">
        <f t="shared" si="0"/>
        <v>0</v>
      </c>
      <c r="E49" s="1185">
        <f>_xlfn.XLOOKUP(B49,Códigos!$B$8:$B$406,Códigos!$A$8:$A$406,"Verificar",0)</f>
        <v>72</v>
      </c>
      <c r="F49" s="1527">
        <f>SUMIF(Facturas!$B$9:$B$79,B49,Facturas!$F$9:$F$79)</f>
        <v>0</v>
      </c>
      <c r="G49" s="1138">
        <f>SUMIF(Facturas!$B$9:$B$79,B49,Facturas!$G$9:$G$79)</f>
        <v>0</v>
      </c>
      <c r="H49" s="1187">
        <f>SUMIF(Facturas!$B$9:$B$79,B49,Facturas!$I$9:$I$79)</f>
        <v>0</v>
      </c>
      <c r="I49" s="1187">
        <f>SUMIF(Facturas!$B$9:$B$79,B49,Facturas!$J$9:$J$79)</f>
        <v>0</v>
      </c>
      <c r="J49" s="1138">
        <f>SUMIF(Facturas!$B$9:$B$79,B49,Facturas!$K$9:$K$79)</f>
        <v>0</v>
      </c>
      <c r="K49" s="1193"/>
      <c r="L49" s="1449">
        <f>IF(J49&gt;0,0,SUMIF('Cuentas de Cobro'!$B$9:$B$216,B49,'Cuentas de Cobro'!$F$9:$F$216))</f>
        <v>820000</v>
      </c>
      <c r="M49" s="1677"/>
      <c r="N49" s="1556">
        <f t="shared" si="5"/>
        <v>820000</v>
      </c>
      <c r="O49" s="1101"/>
      <c r="P49" s="1529"/>
      <c r="Q49" s="8"/>
      <c r="R49" s="697" t="s">
        <v>31</v>
      </c>
    </row>
    <row r="50" spans="1:18" x14ac:dyDescent="0.2">
      <c r="A50" s="1184">
        <f t="shared" si="4"/>
        <v>41</v>
      </c>
      <c r="B50" s="1097" t="s">
        <v>32</v>
      </c>
      <c r="C50" s="1420">
        <v>71715157</v>
      </c>
      <c r="D50" s="1186">
        <f t="shared" si="0"/>
        <v>5</v>
      </c>
      <c r="E50" s="1185">
        <f>_xlfn.XLOOKUP(B50,Códigos!$B$8:$B$406,Códigos!$A$8:$A$406,"Verificar",0)</f>
        <v>73</v>
      </c>
      <c r="F50" s="1527">
        <f>SUMIF(Facturas!$B$9:$B$79,B50,Facturas!$F$9:$F$79)</f>
        <v>0</v>
      </c>
      <c r="G50" s="1138">
        <f>SUMIF(Facturas!$B$9:$B$79,B50,Facturas!$G$9:$G$79)</f>
        <v>0</v>
      </c>
      <c r="H50" s="1187">
        <f>SUMIF(Facturas!$B$9:$B$79,B50,Facturas!$I$9:$I$79)</f>
        <v>0</v>
      </c>
      <c r="I50" s="1187">
        <f>SUMIF(Facturas!$B$9:$B$79,B50,Facturas!$J$9:$J$79)</f>
        <v>0</v>
      </c>
      <c r="J50" s="1138">
        <f>SUMIF(Facturas!$B$9:$B$79,B50,Facturas!$K$9:$K$79)</f>
        <v>0</v>
      </c>
      <c r="K50" s="1193"/>
      <c r="L50" s="1449">
        <f>IF(J50&gt;0,0,SUMIF('Cuentas de Cobro'!$B$9:$B$216,B50,'Cuentas de Cobro'!$F$9:$F$216))</f>
        <v>820000</v>
      </c>
      <c r="M50" s="1677"/>
      <c r="N50" s="1556">
        <f t="shared" si="5"/>
        <v>820000</v>
      </c>
      <c r="O50" s="1101"/>
      <c r="P50" s="1529"/>
      <c r="Q50" s="8"/>
      <c r="R50" s="697" t="s">
        <v>32</v>
      </c>
    </row>
    <row r="51" spans="1:18" x14ac:dyDescent="0.2">
      <c r="A51" s="1184">
        <f t="shared" si="4"/>
        <v>42</v>
      </c>
      <c r="B51" s="1097" t="s">
        <v>357</v>
      </c>
      <c r="C51" s="1420">
        <v>8237268</v>
      </c>
      <c r="D51" s="1186">
        <f t="shared" si="0"/>
        <v>4</v>
      </c>
      <c r="E51" s="1185">
        <f>_xlfn.XLOOKUP(B51,Códigos!$B$8:$B$406,Códigos!$A$8:$A$406,"Verificar",0)</f>
        <v>74</v>
      </c>
      <c r="F51" s="1527">
        <f>SUMIF(Facturas!$B$9:$B$79,B51,Facturas!$F$9:$F$79)</f>
        <v>0</v>
      </c>
      <c r="G51" s="1138">
        <f>SUMIF(Facturas!$B$9:$B$79,B51,Facturas!$G$9:$G$79)</f>
        <v>0</v>
      </c>
      <c r="H51" s="1187">
        <f>SUMIF(Facturas!$B$9:$B$79,B51,Facturas!$I$9:$I$79)</f>
        <v>0</v>
      </c>
      <c r="I51" s="1187">
        <f>SUMIF(Facturas!$B$9:$B$79,B51,Facturas!$J$9:$J$79)</f>
        <v>0</v>
      </c>
      <c r="J51" s="1138">
        <f>SUMIF(Facturas!$B$9:$B$79,B51,Facturas!$K$9:$K$79)</f>
        <v>0</v>
      </c>
      <c r="K51" s="1193"/>
      <c r="L51" s="1449">
        <f>IF(J51&gt;0,0,SUMIF('Cuentas de Cobro'!$B$9:$B$216,B51,'Cuentas de Cobro'!$F$9:$F$216))</f>
        <v>1320000</v>
      </c>
      <c r="M51" s="1677"/>
      <c r="N51" s="1556">
        <f t="shared" si="5"/>
        <v>1320000</v>
      </c>
      <c r="O51" s="1101"/>
      <c r="P51" s="1529"/>
      <c r="Q51" s="8"/>
      <c r="R51" s="697" t="s">
        <v>357</v>
      </c>
    </row>
    <row r="52" spans="1:18" x14ac:dyDescent="0.2">
      <c r="A52" s="1184">
        <f t="shared" si="4"/>
        <v>43</v>
      </c>
      <c r="B52" s="1097" t="s">
        <v>33</v>
      </c>
      <c r="C52" s="1420">
        <v>21829209</v>
      </c>
      <c r="D52" s="1186">
        <f t="shared" si="0"/>
        <v>8</v>
      </c>
      <c r="E52" s="1185">
        <f>_xlfn.XLOOKUP(B52,Códigos!$B$8:$B$406,Códigos!$A$8:$A$406,"Verificar",0)</f>
        <v>75</v>
      </c>
      <c r="F52" s="1527">
        <f>SUMIF(Facturas!$B$9:$B$79,B52,Facturas!$F$9:$F$79)</f>
        <v>2240000</v>
      </c>
      <c r="G52" s="1138">
        <f>SUMIF(Facturas!$B$9:$B$79,B52,Facturas!$G$9:$G$79)</f>
        <v>425600</v>
      </c>
      <c r="H52" s="1187">
        <f>SUMIF(Facturas!$B$9:$B$79,B52,Facturas!$I$9:$I$79)</f>
        <v>-246400</v>
      </c>
      <c r="I52" s="1187">
        <f>SUMIF(Facturas!$B$9:$B$79,B52,Facturas!$J$9:$J$79)</f>
        <v>2665600</v>
      </c>
      <c r="J52" s="1138">
        <f>SUMIF(Facturas!$B$9:$B$79,B52,Facturas!$K$9:$K$79)</f>
        <v>2419200</v>
      </c>
      <c r="K52" s="1193"/>
      <c r="L52" s="1449">
        <f>IF(J52&gt;0,0,SUMIF('Cuentas de Cobro'!$B$9:$B$216,B52,'Cuentas de Cobro'!$F$9:$F$216))</f>
        <v>0</v>
      </c>
      <c r="M52" s="1677"/>
      <c r="N52" s="1556">
        <f t="shared" si="5"/>
        <v>2419200</v>
      </c>
      <c r="O52" s="1101"/>
      <c r="P52" s="1529"/>
      <c r="Q52" s="8"/>
      <c r="R52" s="1436" t="s">
        <v>33</v>
      </c>
    </row>
    <row r="53" spans="1:18" x14ac:dyDescent="0.2">
      <c r="A53" s="1184">
        <f t="shared" si="4"/>
        <v>44</v>
      </c>
      <c r="B53" s="1097" t="s">
        <v>35</v>
      </c>
      <c r="C53" s="1420">
        <v>43525573</v>
      </c>
      <c r="D53" s="1186">
        <f t="shared" si="0"/>
        <v>9</v>
      </c>
      <c r="E53" s="1185">
        <f>_xlfn.XLOOKUP(B53,Códigos!$B$8:$B$406,Códigos!$A$8:$A$406,"Verificar",0)</f>
        <v>77</v>
      </c>
      <c r="F53" s="1527">
        <f>SUMIF(Facturas!$B$9:$B$79,B53,Facturas!$F$9:$F$79)</f>
        <v>0</v>
      </c>
      <c r="G53" s="1138">
        <f>SUMIF(Facturas!$B$9:$B$79,B53,Facturas!$G$9:$G$79)</f>
        <v>0</v>
      </c>
      <c r="H53" s="1187">
        <f>SUMIF(Facturas!$B$9:$B$79,B53,Facturas!$I$9:$I$79)</f>
        <v>0</v>
      </c>
      <c r="I53" s="1187">
        <f>SUMIF(Facturas!$B$9:$B$79,B53,Facturas!$J$9:$J$79)</f>
        <v>0</v>
      </c>
      <c r="J53" s="1138">
        <f>SUMIF(Facturas!$B$9:$B$79,B53,Facturas!$K$9:$K$79)</f>
        <v>0</v>
      </c>
      <c r="K53" s="1193"/>
      <c r="L53" s="1449">
        <f>IF(J53&gt;0,0,SUMIF('Cuentas de Cobro'!$B$9:$B$216,B53,'Cuentas de Cobro'!$F$9:$F$216))</f>
        <v>450000</v>
      </c>
      <c r="M53" s="1677"/>
      <c r="N53" s="1556">
        <f t="shared" si="5"/>
        <v>450000</v>
      </c>
      <c r="O53" s="1101"/>
      <c r="P53" s="1529"/>
      <c r="Q53" s="8"/>
      <c r="R53" s="697" t="s">
        <v>35</v>
      </c>
    </row>
    <row r="54" spans="1:18" x14ac:dyDescent="0.2">
      <c r="A54" s="1184">
        <f t="shared" si="4"/>
        <v>45</v>
      </c>
      <c r="B54" s="1097" t="s">
        <v>37</v>
      </c>
      <c r="C54" s="1420">
        <v>71750917</v>
      </c>
      <c r="D54" s="1186">
        <f t="shared" si="0"/>
        <v>4</v>
      </c>
      <c r="E54" s="1185">
        <f>_xlfn.XLOOKUP(B54,Códigos!$B$8:$B$406,Códigos!$A$8:$A$406,"Verificar",0)</f>
        <v>303</v>
      </c>
      <c r="F54" s="1527">
        <f>SUMIF(Facturas!$B$9:$B$79,B54,Facturas!$F$9:$F$79)</f>
        <v>0</v>
      </c>
      <c r="G54" s="1138">
        <f>SUMIF(Facturas!$B$9:$B$79,B54,Facturas!$G$9:$G$79)</f>
        <v>0</v>
      </c>
      <c r="H54" s="1187">
        <f>SUMIF(Facturas!$B$9:$B$79,B54,Facturas!$I$9:$I$79)</f>
        <v>0</v>
      </c>
      <c r="I54" s="1187">
        <f>SUMIF(Facturas!$B$9:$B$79,B54,Facturas!$J$9:$J$79)</f>
        <v>0</v>
      </c>
      <c r="J54" s="1138">
        <f>SUMIF(Facturas!$B$9:$B$79,B54,Facturas!$K$9:$K$79)</f>
        <v>0</v>
      </c>
      <c r="K54" s="1193"/>
      <c r="L54" s="1449">
        <f>IF(J54&gt;0,0,SUMIF('Cuentas de Cobro'!$B$9:$B$216,B54,'Cuentas de Cobro'!$F$9:$F$216))</f>
        <v>1070000</v>
      </c>
      <c r="M54" s="1677"/>
      <c r="N54" s="1556">
        <f t="shared" si="5"/>
        <v>1070000</v>
      </c>
      <c r="O54" s="1101"/>
      <c r="P54" s="1529"/>
      <c r="Q54" s="8"/>
      <c r="R54" s="697" t="s">
        <v>37</v>
      </c>
    </row>
    <row r="55" spans="1:18" x14ac:dyDescent="0.2">
      <c r="A55" s="1184">
        <f t="shared" si="4"/>
        <v>46</v>
      </c>
      <c r="B55" s="1097" t="s">
        <v>335</v>
      </c>
      <c r="C55" s="1420">
        <v>42874922</v>
      </c>
      <c r="D55" s="1186">
        <f t="shared" si="0"/>
        <v>9</v>
      </c>
      <c r="E55" s="1185">
        <f>_xlfn.XLOOKUP(B55,Códigos!$B$8:$B$406,Códigos!$A$8:$A$406,"Verificar",0)</f>
        <v>348</v>
      </c>
      <c r="F55" s="1527">
        <f>SUMIF(Facturas!$B$9:$B$79,B55,Facturas!$F$9:$F$79)</f>
        <v>0</v>
      </c>
      <c r="G55" s="1138">
        <f>SUMIF(Facturas!$B$9:$B$79,B55,Facturas!$G$9:$G$79)</f>
        <v>0</v>
      </c>
      <c r="H55" s="1187">
        <f>SUMIF(Facturas!$B$9:$B$79,B55,Facturas!$I$9:$I$79)</f>
        <v>0</v>
      </c>
      <c r="I55" s="1187">
        <f>SUMIF(Facturas!$B$9:$B$79,B55,Facturas!$J$9:$J$79)</f>
        <v>0</v>
      </c>
      <c r="J55" s="1138">
        <f>SUMIF(Facturas!$B$9:$B$79,B55,Facturas!$K$9:$K$79)</f>
        <v>0</v>
      </c>
      <c r="K55" s="1193"/>
      <c r="L55" s="1449">
        <f>IF(J55&gt;0,0,SUMIF('Cuentas de Cobro'!$B$9:$B$216,B55,'Cuentas de Cobro'!$F$9:$F$216))</f>
        <v>350000</v>
      </c>
      <c r="M55" s="1677"/>
      <c r="N55" s="1556">
        <f t="shared" si="5"/>
        <v>350000</v>
      </c>
      <c r="O55" s="1101"/>
      <c r="P55" s="1529"/>
      <c r="Q55" s="8"/>
      <c r="R55" s="697" t="s">
        <v>335</v>
      </c>
    </row>
    <row r="56" spans="1:18" x14ac:dyDescent="0.2">
      <c r="A56" s="1184">
        <f t="shared" si="4"/>
        <v>47</v>
      </c>
      <c r="B56" s="1097" t="s">
        <v>324</v>
      </c>
      <c r="C56" s="1420">
        <v>42876443</v>
      </c>
      <c r="D56" s="1186">
        <f t="shared" si="0"/>
        <v>1</v>
      </c>
      <c r="E56" s="1185">
        <f>_xlfn.XLOOKUP(B56,Códigos!$B$8:$B$406,Códigos!$A$8:$A$406,"Verificar",0)</f>
        <v>338</v>
      </c>
      <c r="F56" s="1527">
        <f>SUMIF(Facturas!$B$9:$B$79,B56,Facturas!$F$9:$F$79)</f>
        <v>0</v>
      </c>
      <c r="G56" s="1138">
        <f>SUMIF(Facturas!$B$9:$B$79,B56,Facturas!$G$9:$G$79)</f>
        <v>0</v>
      </c>
      <c r="H56" s="1187">
        <f>SUMIF(Facturas!$B$9:$B$79,B56,Facturas!$I$9:$I$79)</f>
        <v>0</v>
      </c>
      <c r="I56" s="1187">
        <f>SUMIF(Facturas!$B$9:$B$79,B56,Facturas!$J$9:$J$79)</f>
        <v>0</v>
      </c>
      <c r="J56" s="1138">
        <f>SUMIF(Facturas!$B$9:$B$79,B56,Facturas!$K$9:$K$79)</f>
        <v>0</v>
      </c>
      <c r="K56" s="1193"/>
      <c r="L56" s="1449">
        <f>IF(J56&gt;0,0,SUMIF('Cuentas de Cobro'!$B$9:$B$216,B56,'Cuentas de Cobro'!$F$9:$F$216))</f>
        <v>550000</v>
      </c>
      <c r="M56" s="1677"/>
      <c r="N56" s="1556">
        <f t="shared" si="5"/>
        <v>550000</v>
      </c>
      <c r="O56" s="1101"/>
      <c r="P56" s="1529"/>
      <c r="Q56" s="8"/>
      <c r="R56" s="697" t="s">
        <v>324</v>
      </c>
    </row>
    <row r="57" spans="1:18" x14ac:dyDescent="0.2">
      <c r="A57" s="1184">
        <f t="shared" si="4"/>
        <v>48</v>
      </c>
      <c r="B57" s="1097" t="s">
        <v>241</v>
      </c>
      <c r="C57" s="1420">
        <v>43502550</v>
      </c>
      <c r="D57" s="1186">
        <f t="shared" si="0"/>
        <v>0</v>
      </c>
      <c r="E57" s="1185">
        <f>_xlfn.XLOOKUP(B57,Códigos!$B$8:$B$406,Códigos!$A$8:$A$406,"Verificar",0)</f>
        <v>313</v>
      </c>
      <c r="F57" s="1527">
        <f>SUMIF(Facturas!$B$9:$B$79,B57,Facturas!$F$9:$F$79)</f>
        <v>0</v>
      </c>
      <c r="G57" s="1138">
        <f>SUMIF(Facturas!$B$9:$B$79,B57,Facturas!$G$9:$G$79)</f>
        <v>0</v>
      </c>
      <c r="H57" s="1187">
        <f>SUMIF(Facturas!$B$9:$B$79,B57,Facturas!$I$9:$I$79)</f>
        <v>0</v>
      </c>
      <c r="I57" s="1187">
        <f>SUMIF(Facturas!$B$9:$B$79,B57,Facturas!$J$9:$J$79)</f>
        <v>0</v>
      </c>
      <c r="J57" s="1138">
        <f>SUMIF(Facturas!$B$9:$B$79,B57,Facturas!$K$9:$K$79)</f>
        <v>0</v>
      </c>
      <c r="K57" s="1193"/>
      <c r="L57" s="1449">
        <f>IF(J57&gt;0,0,SUMIF('Cuentas de Cobro'!$B$9:$B$216,B57,'Cuentas de Cobro'!$F$9:$F$216))</f>
        <v>450000</v>
      </c>
      <c r="M57" s="1677"/>
      <c r="N57" s="1556">
        <f t="shared" si="5"/>
        <v>450000</v>
      </c>
      <c r="O57" s="1101"/>
      <c r="P57" s="1529"/>
      <c r="Q57" s="8"/>
      <c r="R57" s="697" t="s">
        <v>241</v>
      </c>
    </row>
    <row r="58" spans="1:18" x14ac:dyDescent="0.2">
      <c r="A58" s="1184">
        <f t="shared" si="4"/>
        <v>49</v>
      </c>
      <c r="B58" s="1097" t="s">
        <v>273</v>
      </c>
      <c r="C58" s="1420">
        <v>43221128</v>
      </c>
      <c r="D58" s="1186">
        <f t="shared" si="0"/>
        <v>9</v>
      </c>
      <c r="E58" s="1185">
        <f>_xlfn.XLOOKUP(B58,Códigos!$B$8:$B$406,Códigos!$A$8:$A$406,"Verificar",0)</f>
        <v>324</v>
      </c>
      <c r="F58" s="1527">
        <f>SUMIF(Facturas!$B$9:$B$79,B58,Facturas!$F$9:$F$79)</f>
        <v>0</v>
      </c>
      <c r="G58" s="1138">
        <f>SUMIF(Facturas!$B$9:$B$79,B58,Facturas!$G$9:$G$79)</f>
        <v>0</v>
      </c>
      <c r="H58" s="1187">
        <f>SUMIF(Facturas!$B$9:$B$79,B58,Facturas!$I$9:$I$79)</f>
        <v>0</v>
      </c>
      <c r="I58" s="1187">
        <f>SUMIF(Facturas!$B$9:$B$79,B58,Facturas!$J$9:$J$79)</f>
        <v>0</v>
      </c>
      <c r="J58" s="1138">
        <f>SUMIF(Facturas!$B$9:$B$79,B58,Facturas!$K$9:$K$79)</f>
        <v>0</v>
      </c>
      <c r="K58" s="1193"/>
      <c r="L58" s="1449">
        <f>IF(J58&gt;0,0,SUMIF('Cuentas de Cobro'!$B$9:$B$216,B58,'Cuentas de Cobro'!$F$9:$F$216))</f>
        <v>330000</v>
      </c>
      <c r="M58" s="1677"/>
      <c r="N58" s="1556">
        <f t="shared" si="5"/>
        <v>330000</v>
      </c>
      <c r="O58" s="1101"/>
      <c r="P58" s="1529"/>
      <c r="Q58" s="8"/>
      <c r="R58" s="697" t="s">
        <v>273</v>
      </c>
    </row>
    <row r="59" spans="1:18" x14ac:dyDescent="0.2">
      <c r="A59" s="1184">
        <f t="shared" si="4"/>
        <v>50</v>
      </c>
      <c r="B59" s="1097" t="s">
        <v>428</v>
      </c>
      <c r="C59" s="1420">
        <v>8215384</v>
      </c>
      <c r="D59" s="1186">
        <f t="shared" si="0"/>
        <v>6</v>
      </c>
      <c r="E59" s="1185">
        <f>_xlfn.XLOOKUP(B59,Códigos!$B$8:$B$406,Códigos!$A$8:$A$406,"Verificar",0)</f>
        <v>340</v>
      </c>
      <c r="F59" s="1527">
        <f>SUMIF(Facturas!$B$9:$B$79,B59,Facturas!$F$9:$F$79)</f>
        <v>0</v>
      </c>
      <c r="G59" s="1138">
        <f>SUMIF(Facturas!$B$9:$B$79,B59,Facturas!$G$9:$G$79)</f>
        <v>0</v>
      </c>
      <c r="H59" s="1187">
        <f>SUMIF(Facturas!$B$9:$B$79,B59,Facturas!$I$9:$I$79)</f>
        <v>0</v>
      </c>
      <c r="I59" s="1187">
        <f>SUMIF(Facturas!$B$9:$B$79,B59,Facturas!$J$9:$J$79)</f>
        <v>0</v>
      </c>
      <c r="J59" s="1138">
        <f>SUMIF(Facturas!$B$9:$B$79,B59,Facturas!$K$9:$K$79)</f>
        <v>0</v>
      </c>
      <c r="K59" s="1193"/>
      <c r="L59" s="1449">
        <f>IF(J59&gt;0,0,SUMIF('Cuentas de Cobro'!$B$9:$B$216,B59,'Cuentas de Cobro'!$F$9:$F$216))</f>
        <v>200000</v>
      </c>
      <c r="M59" s="1677"/>
      <c r="N59" s="1556">
        <f t="shared" si="5"/>
        <v>200000</v>
      </c>
      <c r="O59" s="1101"/>
      <c r="P59" s="1529"/>
      <c r="Q59" s="8"/>
      <c r="R59" s="697" t="s">
        <v>428</v>
      </c>
    </row>
    <row r="60" spans="1:18" x14ac:dyDescent="0.2">
      <c r="A60" s="1184">
        <f t="shared" si="4"/>
        <v>51</v>
      </c>
      <c r="B60" s="1097" t="s">
        <v>429</v>
      </c>
      <c r="C60" s="1420">
        <v>75072481</v>
      </c>
      <c r="D60" s="1186">
        <f t="shared" si="0"/>
        <v>0</v>
      </c>
      <c r="E60" s="1185">
        <f>_xlfn.XLOOKUP(B60,Códigos!$B$8:$B$406,Códigos!$A$8:$A$406,"Verificar",0)</f>
        <v>349</v>
      </c>
      <c r="F60" s="1527">
        <f>SUMIF(Facturas!$B$9:$B$79,B60,Facturas!$F$9:$F$79)</f>
        <v>0</v>
      </c>
      <c r="G60" s="1138">
        <f>SUMIF(Facturas!$B$9:$B$79,B60,Facturas!$G$9:$G$79)</f>
        <v>0</v>
      </c>
      <c r="H60" s="1187">
        <f>SUMIF(Facturas!$B$9:$B$79,B60,Facturas!$I$9:$I$79)</f>
        <v>0</v>
      </c>
      <c r="I60" s="1187">
        <f>SUMIF(Facturas!$B$9:$B$79,B60,Facturas!$J$9:$J$79)</f>
        <v>0</v>
      </c>
      <c r="J60" s="1138">
        <f>SUMIF(Facturas!$B$9:$B$79,B60,Facturas!$K$9:$K$79)</f>
        <v>0</v>
      </c>
      <c r="K60" s="1193"/>
      <c r="L60" s="1449">
        <f>IF(J60&gt;0,0,SUMIF('Cuentas de Cobro'!$B$9:$B$216,B60,'Cuentas de Cobro'!$F$9:$F$216))</f>
        <v>930000</v>
      </c>
      <c r="M60" s="1677"/>
      <c r="N60" s="1556">
        <f t="shared" si="5"/>
        <v>930000</v>
      </c>
      <c r="O60" s="1101"/>
      <c r="P60" s="1529"/>
      <c r="Q60" s="8"/>
      <c r="R60" s="697" t="s">
        <v>429</v>
      </c>
    </row>
    <row r="61" spans="1:18" x14ac:dyDescent="0.2">
      <c r="A61" s="1184">
        <f t="shared" si="4"/>
        <v>52</v>
      </c>
      <c r="B61" s="1097" t="s">
        <v>40</v>
      </c>
      <c r="C61" s="1420">
        <v>8105540</v>
      </c>
      <c r="D61" s="1186">
        <f t="shared" si="0"/>
        <v>7</v>
      </c>
      <c r="E61" s="1185">
        <f>_xlfn.XLOOKUP(B61,Códigos!$B$8:$B$406,Códigos!$A$8:$A$406,"Verificar",0)</f>
        <v>299</v>
      </c>
      <c r="F61" s="1527">
        <f>SUMIF(Facturas!$B$9:$B$79,B61,Facturas!$F$9:$F$79)</f>
        <v>0</v>
      </c>
      <c r="G61" s="1138">
        <f>SUMIF(Facturas!$B$9:$B$79,B61,Facturas!$G$9:$G$79)</f>
        <v>0</v>
      </c>
      <c r="H61" s="1187">
        <f>SUMIF(Facturas!$B$9:$B$79,B61,Facturas!$I$9:$I$79)</f>
        <v>0</v>
      </c>
      <c r="I61" s="1187">
        <f>SUMIF(Facturas!$B$9:$B$79,B61,Facturas!$J$9:$J$79)</f>
        <v>0</v>
      </c>
      <c r="J61" s="1138">
        <f>SUMIF(Facturas!$B$9:$B$79,B61,Facturas!$K$9:$K$79)</f>
        <v>0</v>
      </c>
      <c r="K61" s="1193"/>
      <c r="L61" s="1449">
        <f>IF(J61&gt;0,0,SUMIF('Cuentas de Cobro'!$B$9:$B$216,B61,'Cuentas de Cobro'!$F$9:$F$216))</f>
        <v>330000</v>
      </c>
      <c r="M61" s="1677"/>
      <c r="N61" s="1556">
        <f t="shared" si="5"/>
        <v>330000</v>
      </c>
      <c r="O61" s="1101"/>
      <c r="P61" s="1529"/>
      <c r="Q61" s="8"/>
      <c r="R61" s="697" t="s">
        <v>40</v>
      </c>
    </row>
    <row r="62" spans="1:18" x14ac:dyDescent="0.2">
      <c r="A62" s="1184">
        <f t="shared" si="4"/>
        <v>53</v>
      </c>
      <c r="B62" s="1097" t="s">
        <v>39</v>
      </c>
      <c r="C62" s="1420">
        <v>10059375</v>
      </c>
      <c r="D62" s="1186">
        <f t="shared" si="0"/>
        <v>8</v>
      </c>
      <c r="E62" s="1185">
        <f>_xlfn.XLOOKUP(B62,Códigos!$B$8:$B$406,Códigos!$A$8:$A$406,"Verificar",0)</f>
        <v>295</v>
      </c>
      <c r="F62" s="1527">
        <f>SUMIF(Facturas!$B$9:$B$79,B62,Facturas!$F$9:$F$79)</f>
        <v>0</v>
      </c>
      <c r="G62" s="1138">
        <f>SUMIF(Facturas!$B$9:$B$79,B62,Facturas!$G$9:$G$79)</f>
        <v>0</v>
      </c>
      <c r="H62" s="1187">
        <f>SUMIF(Facturas!$B$9:$B$79,B62,Facturas!$I$9:$I$79)</f>
        <v>0</v>
      </c>
      <c r="I62" s="1187">
        <f>SUMIF(Facturas!$B$9:$B$79,B62,Facturas!$J$9:$J$79)</f>
        <v>0</v>
      </c>
      <c r="J62" s="1138">
        <f>SUMIF(Facturas!$B$9:$B$79,B62,Facturas!$K$9:$K$79)</f>
        <v>0</v>
      </c>
      <c r="K62" s="1193"/>
      <c r="L62" s="1449">
        <f>IF(J62&gt;0,0,SUMIF('Cuentas de Cobro'!$B$9:$B$216,B62,'Cuentas de Cobro'!$F$9:$F$216))</f>
        <v>600000</v>
      </c>
      <c r="M62" s="1677"/>
      <c r="N62" s="1556">
        <f t="shared" si="5"/>
        <v>600000</v>
      </c>
      <c r="O62" s="1101"/>
      <c r="P62" s="1529"/>
      <c r="Q62" s="8"/>
      <c r="R62" s="697" t="s">
        <v>39</v>
      </c>
    </row>
    <row r="63" spans="1:18" x14ac:dyDescent="0.2">
      <c r="A63" s="1184">
        <f t="shared" si="4"/>
        <v>54</v>
      </c>
      <c r="B63" s="1097" t="s">
        <v>41</v>
      </c>
      <c r="C63" s="1420">
        <v>21378780</v>
      </c>
      <c r="D63" s="1186">
        <f t="shared" si="0"/>
        <v>6</v>
      </c>
      <c r="E63" s="1185">
        <f>_xlfn.XLOOKUP(B63,Códigos!$B$8:$B$406,Códigos!$A$8:$A$406,"Verificar",0)</f>
        <v>81</v>
      </c>
      <c r="F63" s="1527">
        <f>SUMIF(Facturas!$B$9:$B$79,B63,Facturas!$F$9:$F$79)</f>
        <v>1900000</v>
      </c>
      <c r="G63" s="1138">
        <f>SUMIF(Facturas!$B$9:$B$79,B63,Facturas!$G$9:$G$79)</f>
        <v>361000</v>
      </c>
      <c r="H63" s="1187">
        <f>SUMIF(Facturas!$B$9:$B$79,B63,Facturas!$I$9:$I$79)</f>
        <v>-209000</v>
      </c>
      <c r="I63" s="1187">
        <f>SUMIF(Facturas!$B$9:$B$79,B63,Facturas!$J$9:$J$79)</f>
        <v>2261000</v>
      </c>
      <c r="J63" s="1138">
        <f>SUMIF(Facturas!$B$9:$B$79,B63,Facturas!$K$9:$K$79)</f>
        <v>2052000</v>
      </c>
      <c r="K63" s="1193"/>
      <c r="L63" s="1449">
        <f>IF(J63&gt;0,0,SUMIF('Cuentas de Cobro'!$B$9:$B$216,B63,'Cuentas de Cobro'!$F$9:$F$216))</f>
        <v>0</v>
      </c>
      <c r="M63" s="1677"/>
      <c r="N63" s="1556">
        <f t="shared" si="5"/>
        <v>2052000</v>
      </c>
      <c r="O63" s="1101"/>
      <c r="P63" s="1529"/>
      <c r="Q63" s="8"/>
      <c r="R63" s="1434" t="s">
        <v>41</v>
      </c>
    </row>
    <row r="64" spans="1:18" x14ac:dyDescent="0.2">
      <c r="A64" s="1184">
        <f t="shared" si="4"/>
        <v>55</v>
      </c>
      <c r="B64" s="1097" t="s">
        <v>42</v>
      </c>
      <c r="C64" s="1420">
        <v>43832021</v>
      </c>
      <c r="D64" s="1186">
        <f t="shared" si="0"/>
        <v>1</v>
      </c>
      <c r="E64" s="1185">
        <f>_xlfn.XLOOKUP(B64,Códigos!$B$8:$B$406,Códigos!$A$8:$A$406,"Verificar",0)</f>
        <v>272</v>
      </c>
      <c r="F64" s="1527">
        <f>SUMIF(Facturas!$B$9:$B$79,B64,Facturas!$F$9:$F$79)</f>
        <v>0</v>
      </c>
      <c r="G64" s="1138">
        <f>SUMIF(Facturas!$B$9:$B$79,B64,Facturas!$G$9:$G$79)</f>
        <v>0</v>
      </c>
      <c r="H64" s="1187">
        <f>SUMIF(Facturas!$B$9:$B$79,B64,Facturas!$I$9:$I$79)</f>
        <v>0</v>
      </c>
      <c r="I64" s="1187">
        <f>SUMIF(Facturas!$B$9:$B$79,B64,Facturas!$J$9:$J$79)</f>
        <v>0</v>
      </c>
      <c r="J64" s="1138">
        <f>SUMIF(Facturas!$B$9:$B$79,B64,Facturas!$K$9:$K$79)</f>
        <v>0</v>
      </c>
      <c r="K64" s="1193"/>
      <c r="L64" s="1449">
        <f>IF(J64&gt;0,0,SUMIF('Cuentas de Cobro'!$B$9:$B$216,B64,'Cuentas de Cobro'!$F$9:$F$216))</f>
        <v>360000</v>
      </c>
      <c r="M64" s="1677"/>
      <c r="N64" s="1556">
        <f t="shared" si="5"/>
        <v>360000</v>
      </c>
      <c r="O64" s="1101"/>
      <c r="P64" s="1529"/>
      <c r="Q64" s="8"/>
      <c r="R64" s="697" t="s">
        <v>42</v>
      </c>
    </row>
    <row r="65" spans="1:18" x14ac:dyDescent="0.2">
      <c r="A65" s="1184">
        <f t="shared" si="4"/>
        <v>56</v>
      </c>
      <c r="B65" s="1097" t="s">
        <v>43</v>
      </c>
      <c r="C65" s="1420">
        <v>42684082</v>
      </c>
      <c r="D65" s="1186">
        <f t="shared" si="0"/>
        <v>1</v>
      </c>
      <c r="E65" s="1185">
        <f>_xlfn.XLOOKUP(B65,Códigos!$B$8:$B$406,Códigos!$A$8:$A$406,"Verificar",0)</f>
        <v>83</v>
      </c>
      <c r="F65" s="1527">
        <f>SUMIF(Facturas!$B$9:$B$79,B65,Facturas!$F$9:$F$79)</f>
        <v>0</v>
      </c>
      <c r="G65" s="1138">
        <f>SUMIF(Facturas!$B$9:$B$79,B65,Facturas!$G$9:$G$79)</f>
        <v>0</v>
      </c>
      <c r="H65" s="1187">
        <f>SUMIF(Facturas!$B$9:$B$79,B65,Facturas!$I$9:$I$79)</f>
        <v>0</v>
      </c>
      <c r="I65" s="1187">
        <f>SUMIF(Facturas!$B$9:$B$79,B65,Facturas!$J$9:$J$79)</f>
        <v>0</v>
      </c>
      <c r="J65" s="1138">
        <f>SUMIF(Facturas!$B$9:$B$79,B65,Facturas!$K$9:$K$79)</f>
        <v>0</v>
      </c>
      <c r="K65" s="1193"/>
      <c r="L65" s="1449">
        <f>IF(J65&gt;0,0,SUMIF('Cuentas de Cobro'!$B$9:$B$216,B65,'Cuentas de Cobro'!$F$9:$F$216))</f>
        <v>690000</v>
      </c>
      <c r="M65" s="1677"/>
      <c r="N65" s="1556">
        <f t="shared" si="5"/>
        <v>690000</v>
      </c>
      <c r="O65" s="1101"/>
      <c r="P65" s="1529"/>
      <c r="Q65" s="8"/>
      <c r="R65" s="697" t="s">
        <v>43</v>
      </c>
    </row>
    <row r="66" spans="1:18" x14ac:dyDescent="0.2">
      <c r="A66" s="1184">
        <f t="shared" si="4"/>
        <v>57</v>
      </c>
      <c r="B66" s="1097" t="s">
        <v>44</v>
      </c>
      <c r="C66" s="1420">
        <v>3309812</v>
      </c>
      <c r="D66" s="1186">
        <f t="shared" si="0"/>
        <v>3</v>
      </c>
      <c r="E66" s="1185">
        <f>_xlfn.XLOOKUP(B66,Códigos!$B$8:$B$406,Códigos!$A$8:$A$406,"Verificar",0)</f>
        <v>84</v>
      </c>
      <c r="F66" s="1527">
        <f>SUMIF(Facturas!$B$9:$B$79,B66,Facturas!$F$9:$F$79)</f>
        <v>0</v>
      </c>
      <c r="G66" s="1138">
        <f>SUMIF(Facturas!$B$9:$B$79,B66,Facturas!$G$9:$G$79)</f>
        <v>0</v>
      </c>
      <c r="H66" s="1187">
        <f>SUMIF(Facturas!$B$9:$B$79,B66,Facturas!$I$9:$I$79)</f>
        <v>0</v>
      </c>
      <c r="I66" s="1187">
        <f>SUMIF(Facturas!$B$9:$B$79,B66,Facturas!$J$9:$J$79)</f>
        <v>0</v>
      </c>
      <c r="J66" s="1138">
        <f>SUMIF(Facturas!$B$9:$B$79,B66,Facturas!$K$9:$K$79)</f>
        <v>0</v>
      </c>
      <c r="K66" s="1193"/>
      <c r="L66" s="1449">
        <f>IF(J66&gt;0,0,SUMIF('Cuentas de Cobro'!$B$9:$B$216,B66,'Cuentas de Cobro'!$F$9:$F$216))</f>
        <v>350000</v>
      </c>
      <c r="M66" s="1677"/>
      <c r="N66" s="1556">
        <f t="shared" ref="N66:N125" si="8">+J66+L66</f>
        <v>350000</v>
      </c>
      <c r="O66" s="1101"/>
      <c r="P66" s="1529"/>
      <c r="Q66" s="8"/>
      <c r="R66" s="697" t="s">
        <v>44</v>
      </c>
    </row>
    <row r="67" spans="1:18" x14ac:dyDescent="0.2">
      <c r="A67" s="1184">
        <f t="shared" si="4"/>
        <v>58</v>
      </c>
      <c r="B67" s="1097" t="s">
        <v>313</v>
      </c>
      <c r="C67" s="1420">
        <v>21344340</v>
      </c>
      <c r="D67" s="1186">
        <f t="shared" si="0"/>
        <v>2</v>
      </c>
      <c r="E67" s="1185">
        <f>_xlfn.XLOOKUP(B67,Códigos!$B$8:$B$406,Códigos!$A$8:$A$406,"Verificar",0)</f>
        <v>329</v>
      </c>
      <c r="F67" s="1527">
        <f>SUMIF(Facturas!$B$9:$B$79,B67,Facturas!$F$9:$F$79)</f>
        <v>0</v>
      </c>
      <c r="G67" s="1138">
        <f>SUMIF(Facturas!$B$9:$B$79,B67,Facturas!$G$9:$G$79)</f>
        <v>0</v>
      </c>
      <c r="H67" s="1187">
        <f>SUMIF(Facturas!$B$9:$B$79,B67,Facturas!$I$9:$I$79)</f>
        <v>0</v>
      </c>
      <c r="I67" s="1187">
        <f>SUMIF(Facturas!$B$9:$B$79,B67,Facturas!$J$9:$J$79)</f>
        <v>0</v>
      </c>
      <c r="J67" s="1138">
        <f>SUMIF(Facturas!$B$9:$B$79,B67,Facturas!$K$9:$K$79)</f>
        <v>0</v>
      </c>
      <c r="K67" s="1193"/>
      <c r="L67" s="1449">
        <f>IF(J67&gt;0,0,SUMIF('Cuentas de Cobro'!$B$9:$B$216,B67,'Cuentas de Cobro'!$F$9:$F$216))</f>
        <v>350000</v>
      </c>
      <c r="M67" s="1677"/>
      <c r="N67" s="1556">
        <f t="shared" si="8"/>
        <v>350000</v>
      </c>
      <c r="O67" s="1101"/>
      <c r="P67" s="1529"/>
      <c r="Q67" s="8"/>
      <c r="R67" s="1433" t="s">
        <v>313</v>
      </c>
    </row>
    <row r="68" spans="1:18" x14ac:dyDescent="0.2">
      <c r="A68" s="1184">
        <f t="shared" si="4"/>
        <v>59</v>
      </c>
      <c r="B68" s="1097" t="s">
        <v>432</v>
      </c>
      <c r="C68" s="1420">
        <v>42888678</v>
      </c>
      <c r="D68" s="1186">
        <f t="shared" si="0"/>
        <v>7</v>
      </c>
      <c r="E68" s="1185">
        <f>_xlfn.XLOOKUP(B68,Códigos!$B$8:$B$406,Códigos!$A$8:$A$406,"Verificar",0)</f>
        <v>85</v>
      </c>
      <c r="F68" s="1527">
        <f>SUMIF(Facturas!$B$9:$B$79,B68,Facturas!$F$9:$F$79)</f>
        <v>0</v>
      </c>
      <c r="G68" s="1138">
        <f>SUMIF(Facturas!$B$9:$B$79,B68,Facturas!$G$9:$G$79)</f>
        <v>0</v>
      </c>
      <c r="H68" s="1187">
        <f>SUMIF(Facturas!$B$9:$B$79,B68,Facturas!$I$9:$I$79)</f>
        <v>0</v>
      </c>
      <c r="I68" s="1187">
        <f>SUMIF(Facturas!$B$9:$B$79,B68,Facturas!$J$9:$J$79)</f>
        <v>0</v>
      </c>
      <c r="J68" s="1138">
        <f>SUMIF(Facturas!$B$9:$B$79,B68,Facturas!$K$9:$K$79)</f>
        <v>0</v>
      </c>
      <c r="K68" s="1193"/>
      <c r="L68" s="1449">
        <f>IF(J68&gt;0,0,SUMIF('Cuentas de Cobro'!$B$9:$B$216,B68,'Cuentas de Cobro'!$F$9:$F$216))</f>
        <v>640000</v>
      </c>
      <c r="M68" s="1677"/>
      <c r="N68" s="1556">
        <f t="shared" ref="N68" si="9">+J68+L68</f>
        <v>640000</v>
      </c>
      <c r="O68" s="1101"/>
      <c r="P68" s="1529"/>
      <c r="Q68" s="8"/>
      <c r="R68" s="697" t="s">
        <v>432</v>
      </c>
    </row>
    <row r="69" spans="1:18" x14ac:dyDescent="0.2">
      <c r="A69" s="1184">
        <f t="shared" si="4"/>
        <v>60</v>
      </c>
      <c r="B69" s="1097" t="s">
        <v>46</v>
      </c>
      <c r="C69" s="1420">
        <v>43870119</v>
      </c>
      <c r="D69" s="1186">
        <f t="shared" si="0"/>
        <v>6</v>
      </c>
      <c r="E69" s="1185">
        <f>_xlfn.XLOOKUP(B69,Códigos!$B$8:$B$406,Códigos!$A$8:$A$406,"Verificar",0)</f>
        <v>273</v>
      </c>
      <c r="F69" s="1527">
        <f>SUMIF(Facturas!$B$9:$B$79,B69,Facturas!$F$9:$F$79)</f>
        <v>0</v>
      </c>
      <c r="G69" s="1138">
        <f>SUMIF(Facturas!$B$9:$B$79,B69,Facturas!$G$9:$G$79)</f>
        <v>0</v>
      </c>
      <c r="H69" s="1187">
        <f>SUMIF(Facturas!$B$9:$B$79,B69,Facturas!$I$9:$I$79)</f>
        <v>0</v>
      </c>
      <c r="I69" s="1187">
        <f>SUMIF(Facturas!$B$9:$B$79,B69,Facturas!$J$9:$J$79)</f>
        <v>0</v>
      </c>
      <c r="J69" s="1138">
        <f>SUMIF(Facturas!$B$9:$B$79,B69,Facturas!$K$9:$K$79)</f>
        <v>0</v>
      </c>
      <c r="K69" s="1193"/>
      <c r="L69" s="1449">
        <f>IF(J69&gt;0,0,SUMIF('Cuentas de Cobro'!$B$9:$B$216,B69,'Cuentas de Cobro'!$F$9:$F$216))</f>
        <v>640000</v>
      </c>
      <c r="M69" s="1677"/>
      <c r="N69" s="1556">
        <f t="shared" si="8"/>
        <v>640000</v>
      </c>
      <c r="O69" s="1101"/>
      <c r="P69" s="1529"/>
      <c r="Q69" s="8"/>
      <c r="R69" s="697" t="s">
        <v>46</v>
      </c>
    </row>
    <row r="70" spans="1:18" x14ac:dyDescent="0.2">
      <c r="A70" s="1184">
        <f t="shared" si="4"/>
        <v>61</v>
      </c>
      <c r="B70" s="1097" t="s">
        <v>47</v>
      </c>
      <c r="C70" s="1420">
        <v>1000410740</v>
      </c>
      <c r="D70" s="1186">
        <f t="shared" si="0"/>
        <v>2</v>
      </c>
      <c r="E70" s="1185">
        <f>_xlfn.XLOOKUP(B70,Códigos!$B$8:$B$406,Códigos!$A$8:$A$406,"Verificar",0)</f>
        <v>87</v>
      </c>
      <c r="F70" s="1527">
        <f>SUMIF(Facturas!$B$9:$B$79,B70,Facturas!$F$9:$F$79)</f>
        <v>0</v>
      </c>
      <c r="G70" s="1138">
        <f>SUMIF(Facturas!$B$9:$B$79,B70,Facturas!$G$9:$G$79)</f>
        <v>0</v>
      </c>
      <c r="H70" s="1187">
        <f>SUMIF(Facturas!$B$9:$B$79,B70,Facturas!$I$9:$I$79)</f>
        <v>0</v>
      </c>
      <c r="I70" s="1187">
        <f>SUMIF(Facturas!$B$9:$B$79,B70,Facturas!$J$9:$J$79)</f>
        <v>0</v>
      </c>
      <c r="J70" s="1138">
        <f>SUMIF(Facturas!$B$9:$B$79,B70,Facturas!$K$9:$K$79)</f>
        <v>0</v>
      </c>
      <c r="K70" s="1193"/>
      <c r="L70" s="1449">
        <f>IF(J70&gt;0,0,SUMIF('Cuentas de Cobro'!$B$9:$B$216,B70,'Cuentas de Cobro'!$F$9:$F$216))</f>
        <v>0</v>
      </c>
      <c r="M70" s="1677"/>
      <c r="N70" s="1556">
        <f t="shared" si="8"/>
        <v>0</v>
      </c>
      <c r="O70" s="1101"/>
      <c r="P70" s="1529"/>
      <c r="Q70" s="8"/>
      <c r="R70" s="697" t="s">
        <v>47</v>
      </c>
    </row>
    <row r="71" spans="1:18" x14ac:dyDescent="0.2">
      <c r="A71" s="1184">
        <f t="shared" si="4"/>
        <v>62</v>
      </c>
      <c r="B71" s="1097" t="s">
        <v>48</v>
      </c>
      <c r="C71" s="1420">
        <v>1017922378</v>
      </c>
      <c r="D71" s="1186">
        <f t="shared" si="0"/>
        <v>8</v>
      </c>
      <c r="E71" s="1185">
        <f>_xlfn.XLOOKUP(B71,Códigos!$B$8:$B$406,Códigos!$A$8:$A$406,"Verificar",0)</f>
        <v>88</v>
      </c>
      <c r="F71" s="1527">
        <f>SUMIF(Facturas!$B$9:$B$79,B71,Facturas!$F$9:$F$79)</f>
        <v>0</v>
      </c>
      <c r="G71" s="1138">
        <f>SUMIF(Facturas!$B$9:$B$79,B71,Facturas!$G$9:$G$79)</f>
        <v>0</v>
      </c>
      <c r="H71" s="1187">
        <f>SUMIF(Facturas!$B$9:$B$79,B71,Facturas!$I$9:$I$79)</f>
        <v>0</v>
      </c>
      <c r="I71" s="1187">
        <f>SUMIF(Facturas!$B$9:$B$79,B71,Facturas!$J$9:$J$79)</f>
        <v>0</v>
      </c>
      <c r="J71" s="1138">
        <f>SUMIF(Facturas!$B$9:$B$79,B71,Facturas!$K$9:$K$79)</f>
        <v>0</v>
      </c>
      <c r="K71" s="1193"/>
      <c r="L71" s="1449">
        <f>IF(J71&gt;0,0,SUMIF('Cuentas de Cobro'!$B$9:$B$216,B71,'Cuentas de Cobro'!$F$9:$F$216))</f>
        <v>590000</v>
      </c>
      <c r="M71" s="1677"/>
      <c r="N71" s="1556">
        <f t="shared" si="8"/>
        <v>590000</v>
      </c>
      <c r="O71" s="1101"/>
      <c r="P71" s="1529"/>
      <c r="Q71" s="8"/>
      <c r="R71" s="697" t="s">
        <v>48</v>
      </c>
    </row>
    <row r="72" spans="1:18" x14ac:dyDescent="0.2">
      <c r="A72" s="1184">
        <f t="shared" si="4"/>
        <v>63</v>
      </c>
      <c r="B72" s="1097" t="s">
        <v>774</v>
      </c>
      <c r="C72" s="1420">
        <v>42780425</v>
      </c>
      <c r="D72" s="1186">
        <f t="shared" si="0"/>
        <v>5</v>
      </c>
      <c r="E72" s="1185">
        <f>_xlfn.XLOOKUP(B72,Códigos!$B$8:$B$406,Códigos!$A$8:$A$406,"Verificar",0)</f>
        <v>309</v>
      </c>
      <c r="F72" s="1527">
        <f>SUMIF(Facturas!$B$9:$B$79,B72,Facturas!$F$9:$F$79)</f>
        <v>0</v>
      </c>
      <c r="G72" s="1138">
        <f>SUMIF(Facturas!$B$9:$B$79,B72,Facturas!$G$9:$G$79)</f>
        <v>0</v>
      </c>
      <c r="H72" s="1187">
        <f>SUMIF(Facturas!$B$9:$B$79,B72,Facturas!$I$9:$I$79)</f>
        <v>0</v>
      </c>
      <c r="I72" s="1187">
        <f>SUMIF(Facturas!$B$9:$B$79,B72,Facturas!$J$9:$J$79)</f>
        <v>0</v>
      </c>
      <c r="J72" s="1138">
        <f>SUMIF(Facturas!$B$9:$B$79,B72,Facturas!$K$9:$K$79)</f>
        <v>0</v>
      </c>
      <c r="K72" s="1193"/>
      <c r="L72" s="1449">
        <f>IF(J72&gt;0,0,SUMIF('Cuentas de Cobro'!$B$9:$B$216,B72,'Cuentas de Cobro'!$F$9:$F$216))</f>
        <v>170000</v>
      </c>
      <c r="M72" s="1677"/>
      <c r="N72" s="1556">
        <f t="shared" si="8"/>
        <v>170000</v>
      </c>
      <c r="O72" s="1101"/>
      <c r="P72" s="1529"/>
      <c r="Q72" s="8"/>
      <c r="R72" s="1437" t="s">
        <v>774</v>
      </c>
    </row>
    <row r="73" spans="1:18" x14ac:dyDescent="0.2">
      <c r="A73" s="1184">
        <f t="shared" si="4"/>
        <v>64</v>
      </c>
      <c r="B73" s="1097" t="s">
        <v>50</v>
      </c>
      <c r="C73" s="1420">
        <v>21380573</v>
      </c>
      <c r="D73" s="1186">
        <f t="shared" si="0"/>
        <v>4</v>
      </c>
      <c r="E73" s="1185">
        <f>_xlfn.XLOOKUP(B73,Códigos!$B$8:$B$406,Códigos!$A$8:$A$406,"Verificar",0)</f>
        <v>90</v>
      </c>
      <c r="F73" s="1527">
        <f>SUMIF(Facturas!$B$9:$B$79,B73,Facturas!$F$9:$F$79)</f>
        <v>0</v>
      </c>
      <c r="G73" s="1138">
        <f>SUMIF(Facturas!$B$9:$B$79,B73,Facturas!$G$9:$G$79)</f>
        <v>0</v>
      </c>
      <c r="H73" s="1187">
        <f>SUMIF(Facturas!$B$9:$B$79,B73,Facturas!$I$9:$I$79)</f>
        <v>0</v>
      </c>
      <c r="I73" s="1187">
        <f>SUMIF(Facturas!$B$9:$B$79,B73,Facturas!$J$9:$J$79)</f>
        <v>0</v>
      </c>
      <c r="J73" s="1138">
        <f>SUMIF(Facturas!$B$9:$B$79,B73,Facturas!$K$9:$K$79)</f>
        <v>0</v>
      </c>
      <c r="K73" s="1193"/>
      <c r="L73" s="1449">
        <f>IF(J73&gt;0,0,SUMIF('Cuentas de Cobro'!$B$9:$B$216,B73,'Cuentas de Cobro'!$F$9:$F$216))</f>
        <v>0</v>
      </c>
      <c r="M73" s="1677"/>
      <c r="N73" s="1556">
        <f t="shared" si="8"/>
        <v>0</v>
      </c>
      <c r="O73" s="1101"/>
      <c r="P73" s="1529"/>
      <c r="Q73" s="8"/>
      <c r="R73" s="1384" t="s">
        <v>654</v>
      </c>
    </row>
    <row r="74" spans="1:18" x14ac:dyDescent="0.2">
      <c r="A74" s="1184">
        <f t="shared" si="4"/>
        <v>65</v>
      </c>
      <c r="B74" s="1694" t="s">
        <v>319</v>
      </c>
      <c r="C74" s="1695">
        <v>71662891</v>
      </c>
      <c r="D74" s="1685">
        <f t="shared" si="0"/>
        <v>4</v>
      </c>
      <c r="E74" s="1686">
        <f>_xlfn.XLOOKUP(B74,Códigos!$B$8:$B$406,Códigos!$A$8:$A$406,"Verificar",0)</f>
        <v>262</v>
      </c>
      <c r="F74" s="1687">
        <f>SUMIF(Facturas!$B$9:$B$79,B74,Facturas!$F$9:$F$79)</f>
        <v>0</v>
      </c>
      <c r="G74" s="1210">
        <f>SUMIF(Facturas!$B$9:$B$79,B74,Facturas!$G$9:$G$79)</f>
        <v>0</v>
      </c>
      <c r="H74" s="1473">
        <f>SUMIF(Facturas!$B$9:$B$79,B74,Facturas!$I$9:$I$79)</f>
        <v>0</v>
      </c>
      <c r="I74" s="1473">
        <f>SUMIF(Facturas!$B$9:$B$79,B74,Facturas!$J$9:$J$79)</f>
        <v>0</v>
      </c>
      <c r="J74" s="1210">
        <f>SUMIF(Facturas!$B$9:$B$79,B74,Facturas!$K$9:$K$79)</f>
        <v>0</v>
      </c>
      <c r="K74" s="1688"/>
      <c r="L74" s="1696">
        <f>IF(J74&gt;0,0,SUMIF('Cuentas de Cobro'!$B$9:$B$216,B74,'Cuentas de Cobro'!$F$9:$F$216))</f>
        <v>0</v>
      </c>
      <c r="M74" s="1697"/>
      <c r="N74" s="1660">
        <f t="shared" si="8"/>
        <v>0</v>
      </c>
      <c r="O74" s="1690"/>
      <c r="P74" s="1691"/>
      <c r="Q74" s="8"/>
      <c r="R74" s="1379" t="s">
        <v>805</v>
      </c>
    </row>
    <row r="75" spans="1:18" x14ac:dyDescent="0.2">
      <c r="A75" s="1184">
        <f t="shared" si="4"/>
        <v>66</v>
      </c>
      <c r="B75" s="1694" t="s">
        <v>51</v>
      </c>
      <c r="C75" s="1695">
        <v>15258730</v>
      </c>
      <c r="D75" s="1685">
        <f t="shared" ref="D75:D139" si="10">IF((MOD((VALUE(MID(TEXT(C75,"000000000000000"),15,1))*3+VALUE(MID(TEXT(C75,"000000000000000"),14,1))*7+VALUE(MID(TEXT(C75,"000000000000000"),13,1))*13+VALUE(MID(TEXT(C75,"000000000000000"),12,1))*17+VALUE(MID(TEXT(C75,"000000000000000"),11,1))*19+VALUE(MID(TEXT(C75,"000000000000000"),10,1))*23+VALUE(MID(TEXT(C75,"000000000000000"),9,1))*29+VALUE(MID(TEXT(C75,"000000000000000"),8,1))*37+VALUE(MID(TEXT(C75,"000000000000000"),7,1))*41+VALUE(MID(TEXT(C75,"000000000000000"),6,1))*43+VALUE(MID(TEXT(C75,"000000000000000"),5,1))*47+VALUE(MID(TEXT(C75,"000000000000000"),4,1))*53+VALUE(MID(TEXT(C75,"000000000000000"),3,1))*59+VALUE(MID(TEXT(C75,"000000000000000"),2,1))*67+VALUE(MID(TEXT(C75,"000000000000000"),1,1))*71),11))=0,0,IF((MOD((VALUE(MID(TEXT(C75,"000000000000000"),15,1))*3+VALUE(MID(TEXT(C75,"000000000000000"),14,1))*7+VALUE(MID(TEXT(C75,"000000000000000"),13,1))*13+VALUE(MID(TEXT(C75,"000000000000000"),12,1))*17+VALUE(MID(TEXT(C75,"000000000000000"),11,1))*19+VALUE(MID(TEXT(C75,"000000000000000"),10,1))*23+VALUE(MID(TEXT(C75,"000000000000000"),9,1))*29+VALUE(MID(TEXT(C75,"000000000000000"),8,1))*37+VALUE(MID(TEXT(C75,"000000000000000"),7,1))*41+VALUE(MID(TEXT(C75,"000000000000000"),6,1))*43+VALUE(MID(TEXT(C75,"000000000000000"),5,1))*47+VALUE(MID(TEXT(C75,"000000000000000"),4,1))*53+VALUE(MID(TEXT(C75,"000000000000000"),3,1))*59+VALUE(MID(TEXT(C75,"000000000000000"),2,1))*67+VALUE(MID(TEXT(C75,"000000000000000"),1,1))*71),11))=1,1,11-(MOD((VALUE(MID(TEXT(C75,"000000000000000"),15,1))*3+VALUE(MID(TEXT(C75,"000000000000000"),14,1))*7+VALUE(MID(TEXT(C75,"000000000000000"),13,1))*13+VALUE(MID(TEXT(C75,"000000000000000"),12,1))*17+VALUE(MID(TEXT(C75,"000000000000000"),11,1))*19+VALUE(MID(TEXT(C75,"000000000000000"),10,1))*23+VALUE(MID(TEXT(C75,"000000000000000"),9,1))*29+VALUE(MID(TEXT(C75,"000000000000000"),8,1))*37+VALUE(MID(TEXT(C75,"000000000000000"),7,1))*41+VALUE(MID(TEXT(C75,"000000000000000"),6,1))*43+VALUE(MID(TEXT(C75,"000000000000000"),5,1))*47+VALUE(MID(TEXT(C75,"000000000000000"),4,1))*53+VALUE(MID(TEXT(C75,"000000000000000"),3,1))*59+VALUE(MID(TEXT(C75,"000000000000000"),2,1))*67+VALUE(MID(TEXT(C75,"000000000000000"),1,1))*71),11))))</f>
        <v>1</v>
      </c>
      <c r="E75" s="1686">
        <f>_xlfn.XLOOKUP(B75,Códigos!$B$8:$B$406,Códigos!$A$8:$A$406,"Verificar",0)</f>
        <v>355</v>
      </c>
      <c r="F75" s="1687">
        <f>SUMIF(Facturas!$B$9:$B$79,B75,Facturas!$F$9:$F$79)</f>
        <v>0</v>
      </c>
      <c r="G75" s="1210">
        <f>SUMIF(Facturas!$B$9:$B$79,B75,Facturas!$G$9:$G$79)</f>
        <v>0</v>
      </c>
      <c r="H75" s="1473">
        <f>SUMIF(Facturas!$B$9:$B$79,B75,Facturas!$I$9:$I$79)</f>
        <v>0</v>
      </c>
      <c r="I75" s="1473">
        <f>SUMIF(Facturas!$B$9:$B$79,B75,Facturas!$J$9:$J$79)</f>
        <v>0</v>
      </c>
      <c r="J75" s="1210">
        <f>SUMIF(Facturas!$B$9:$B$79,B75,Facturas!$K$9:$K$79)</f>
        <v>0</v>
      </c>
      <c r="K75" s="1688"/>
      <c r="L75" s="1696">
        <f>IF(J75&gt;0,0,SUMIF('Cuentas de Cobro'!$B$9:$B$216,B75,'Cuentas de Cobro'!$F$9:$F$216))</f>
        <v>0</v>
      </c>
      <c r="M75" s="1697"/>
      <c r="N75" s="1660">
        <f t="shared" si="8"/>
        <v>0</v>
      </c>
      <c r="O75" s="1690"/>
      <c r="P75" s="1691"/>
      <c r="Q75" s="8"/>
      <c r="R75" s="1379" t="s">
        <v>805</v>
      </c>
    </row>
    <row r="76" spans="1:18" x14ac:dyDescent="0.2">
      <c r="A76" s="1184">
        <f t="shared" ref="A76:A139" si="11">+A75+1</f>
        <v>67</v>
      </c>
      <c r="B76" s="1097" t="s">
        <v>434</v>
      </c>
      <c r="C76" s="1420">
        <v>43734799</v>
      </c>
      <c r="D76" s="1186">
        <f t="shared" si="10"/>
        <v>2</v>
      </c>
      <c r="E76" s="1185">
        <f>_xlfn.XLOOKUP(B76,Códigos!$B$8:$B$406,Códigos!$A$8:$A$406,"Verificar",0)</f>
        <v>362</v>
      </c>
      <c r="F76" s="1527">
        <f>SUMIF(Facturas!$B$9:$B$79,B76,Facturas!$F$9:$F$79)</f>
        <v>0</v>
      </c>
      <c r="G76" s="1138">
        <f>SUMIF(Facturas!$B$9:$B$79,B76,Facturas!$G$9:$G$79)</f>
        <v>0</v>
      </c>
      <c r="H76" s="1187">
        <f>SUMIF(Facturas!$B$9:$B$79,B76,Facturas!$I$9:$I$79)</f>
        <v>0</v>
      </c>
      <c r="I76" s="1187">
        <f>SUMIF(Facturas!$B$9:$B$79,B76,Facturas!$J$9:$J$79)</f>
        <v>0</v>
      </c>
      <c r="J76" s="1138">
        <f>SUMIF(Facturas!$B$9:$B$79,B76,Facturas!$K$9:$K$79)</f>
        <v>0</v>
      </c>
      <c r="K76" s="1193"/>
      <c r="L76" s="1449">
        <f>IF(J76&gt;0,0,SUMIF('Cuentas de Cobro'!$B$9:$B$216,B76,'Cuentas de Cobro'!$F$9:$F$216))</f>
        <v>0</v>
      </c>
      <c r="M76" s="1677"/>
      <c r="N76" s="1556">
        <f t="shared" si="8"/>
        <v>0</v>
      </c>
      <c r="O76" s="1101"/>
      <c r="P76" s="1529"/>
      <c r="Q76" s="8"/>
      <c r="R76" s="1384" t="s">
        <v>654</v>
      </c>
    </row>
    <row r="77" spans="1:18" x14ac:dyDescent="0.2">
      <c r="A77" s="1184">
        <f t="shared" si="11"/>
        <v>68</v>
      </c>
      <c r="B77" s="1097" t="s">
        <v>657</v>
      </c>
      <c r="C77" s="1420">
        <v>71227472</v>
      </c>
      <c r="D77" s="1186">
        <f t="shared" si="10"/>
        <v>7</v>
      </c>
      <c r="E77" s="1185">
        <f>_xlfn.XLOOKUP(B77,Códigos!$B$8:$B$406,Códigos!$A$8:$A$406,"Verificar",0)</f>
        <v>244</v>
      </c>
      <c r="F77" s="1527">
        <f>SUMIF(Facturas!$B$9:$B$79,B77,Facturas!$F$9:$F$79)</f>
        <v>0</v>
      </c>
      <c r="G77" s="1138">
        <f>SUMIF(Facturas!$B$9:$B$79,B77,Facturas!$G$9:$G$79)</f>
        <v>0</v>
      </c>
      <c r="H77" s="1187">
        <f>SUMIF(Facturas!$B$9:$B$79,B77,Facturas!$I$9:$I$79)</f>
        <v>0</v>
      </c>
      <c r="I77" s="1187">
        <f>SUMIF(Facturas!$B$9:$B$79,B77,Facturas!$J$9:$J$79)</f>
        <v>0</v>
      </c>
      <c r="J77" s="1138">
        <f>SUMIF(Facturas!$B$9:$B$79,B77,Facturas!$K$9:$K$79)</f>
        <v>0</v>
      </c>
      <c r="K77" s="1193"/>
      <c r="L77" s="1449">
        <f>IF(J77&gt;0,0,SUMIF('Cuentas de Cobro'!$B$9:$B$216,B77,'Cuentas de Cobro'!$F$9:$F$216))</f>
        <v>300000</v>
      </c>
      <c r="M77" s="1677"/>
      <c r="N77" s="1556">
        <f t="shared" si="8"/>
        <v>300000</v>
      </c>
      <c r="O77" s="1101"/>
      <c r="P77" s="1529"/>
      <c r="Q77" s="8"/>
      <c r="R77" s="357" t="s">
        <v>657</v>
      </c>
    </row>
    <row r="78" spans="1:18" x14ac:dyDescent="0.2">
      <c r="A78" s="1184">
        <f t="shared" si="11"/>
        <v>69</v>
      </c>
      <c r="B78" s="1097" t="s">
        <v>52</v>
      </c>
      <c r="C78" s="1420">
        <v>71639489</v>
      </c>
      <c r="D78" s="1186">
        <f t="shared" si="10"/>
        <v>1</v>
      </c>
      <c r="E78" s="1185">
        <f>_xlfn.XLOOKUP(B78,Códigos!$B$8:$B$406,Códigos!$A$8:$A$406,"Verificar",0)</f>
        <v>91</v>
      </c>
      <c r="F78" s="1527">
        <f>SUMIF(Facturas!$B$9:$B$79,B78,Facturas!$F$9:$F$79)</f>
        <v>0</v>
      </c>
      <c r="G78" s="1138">
        <f>SUMIF(Facturas!$B$9:$B$79,B78,Facturas!$G$9:$G$79)</f>
        <v>0</v>
      </c>
      <c r="H78" s="1187">
        <f>SUMIF(Facturas!$B$9:$B$79,B78,Facturas!$I$9:$I$79)</f>
        <v>0</v>
      </c>
      <c r="I78" s="1187">
        <f>SUMIF(Facturas!$B$9:$B$79,B78,Facturas!$J$9:$J$79)</f>
        <v>0</v>
      </c>
      <c r="J78" s="1138">
        <f>SUMIF(Facturas!$B$9:$B$79,B78,Facturas!$K$9:$K$79)</f>
        <v>0</v>
      </c>
      <c r="K78" s="1193"/>
      <c r="L78" s="1449">
        <f>IF(J78&gt;0,0,SUMIF('Cuentas de Cobro'!$B$9:$B$216,B78,'Cuentas de Cobro'!$F$9:$F$216))</f>
        <v>360000</v>
      </c>
      <c r="M78" s="1677"/>
      <c r="N78" s="1556">
        <f t="shared" si="8"/>
        <v>360000</v>
      </c>
      <c r="O78" s="1101"/>
      <c r="P78" s="1529"/>
      <c r="Q78" s="8"/>
      <c r="R78" s="697" t="s">
        <v>52</v>
      </c>
    </row>
    <row r="79" spans="1:18" x14ac:dyDescent="0.2">
      <c r="A79" s="1184">
        <f t="shared" si="11"/>
        <v>70</v>
      </c>
      <c r="B79" s="1097" t="s">
        <v>53</v>
      </c>
      <c r="C79" s="1420">
        <v>8268050</v>
      </c>
      <c r="D79" s="1186">
        <f t="shared" si="10"/>
        <v>9</v>
      </c>
      <c r="E79" s="1185">
        <f>_xlfn.XLOOKUP(B79,Códigos!$B$8:$B$406,Códigos!$A$8:$A$406,"Verificar",0)</f>
        <v>222</v>
      </c>
      <c r="F79" s="1527">
        <f>SUMIF(Facturas!$B$9:$B$79,B79,Facturas!$F$9:$F$79)</f>
        <v>0</v>
      </c>
      <c r="G79" s="1138">
        <f>SUMIF(Facturas!$B$9:$B$79,B79,Facturas!$G$9:$G$79)</f>
        <v>0</v>
      </c>
      <c r="H79" s="1187">
        <f>SUMIF(Facturas!$B$9:$B$79,B79,Facturas!$I$9:$I$79)</f>
        <v>0</v>
      </c>
      <c r="I79" s="1187">
        <f>SUMIF(Facturas!$B$9:$B$79,B79,Facturas!$J$9:$J$79)</f>
        <v>0</v>
      </c>
      <c r="J79" s="1138">
        <f>SUMIF(Facturas!$B$9:$B$79,B79,Facturas!$K$9:$K$79)</f>
        <v>0</v>
      </c>
      <c r="K79" s="1193"/>
      <c r="L79" s="1449">
        <f>IF(J79&gt;0,0,SUMIF('Cuentas de Cobro'!$B$9:$B$216,B79,'Cuentas de Cobro'!$F$9:$F$216))</f>
        <v>5130000</v>
      </c>
      <c r="M79" s="1677"/>
      <c r="N79" s="1556">
        <f t="shared" si="8"/>
        <v>5130000</v>
      </c>
      <c r="O79" s="1101"/>
      <c r="P79" s="1529"/>
      <c r="Q79" s="8"/>
      <c r="R79" s="697" t="s">
        <v>53</v>
      </c>
    </row>
    <row r="80" spans="1:18" x14ac:dyDescent="0.2">
      <c r="A80" s="1184">
        <f t="shared" si="11"/>
        <v>71</v>
      </c>
      <c r="B80" s="1097" t="s">
        <v>54</v>
      </c>
      <c r="C80" s="1420">
        <v>6053547</v>
      </c>
      <c r="D80" s="1186">
        <f t="shared" si="10"/>
        <v>6</v>
      </c>
      <c r="E80" s="1185">
        <f>_xlfn.XLOOKUP(B80,Códigos!$B$8:$B$406,Códigos!$A$8:$A$406,"Verificar",0)</f>
        <v>92</v>
      </c>
      <c r="F80" s="1527">
        <f>SUMIF(Facturas!$B$9:$B$79,B80,Facturas!$F$9:$F$79)</f>
        <v>0</v>
      </c>
      <c r="G80" s="1138">
        <f>SUMIF(Facturas!$B$9:$B$79,B80,Facturas!$G$9:$G$79)</f>
        <v>0</v>
      </c>
      <c r="H80" s="1187">
        <f>SUMIF(Facturas!$B$9:$B$79,B80,Facturas!$I$9:$I$79)</f>
        <v>0</v>
      </c>
      <c r="I80" s="1187">
        <f>SUMIF(Facturas!$B$9:$B$79,B80,Facturas!$J$9:$J$79)</f>
        <v>0</v>
      </c>
      <c r="J80" s="1138">
        <f>SUMIF(Facturas!$B$9:$B$79,B80,Facturas!$K$9:$K$79)</f>
        <v>0</v>
      </c>
      <c r="K80" s="1193"/>
      <c r="L80" s="1449">
        <f>IF(J80&gt;0,0,SUMIF('Cuentas de Cobro'!$B$9:$B$216,B80,'Cuentas de Cobro'!$F$9:$F$216))</f>
        <v>360000</v>
      </c>
      <c r="M80" s="1677"/>
      <c r="N80" s="1556">
        <f t="shared" si="8"/>
        <v>360000</v>
      </c>
      <c r="O80" s="1101"/>
      <c r="P80" s="1529"/>
      <c r="Q80" s="8"/>
      <c r="R80" s="697" t="s">
        <v>54</v>
      </c>
    </row>
    <row r="81" spans="1:18" x14ac:dyDescent="0.2">
      <c r="A81" s="1184">
        <f t="shared" si="11"/>
        <v>72</v>
      </c>
      <c r="B81" s="1097" t="s">
        <v>440</v>
      </c>
      <c r="C81" s="1420">
        <v>1152216456</v>
      </c>
      <c r="D81" s="1186">
        <f t="shared" si="10"/>
        <v>6</v>
      </c>
      <c r="E81" s="1185">
        <v>233</v>
      </c>
      <c r="F81" s="1527">
        <f>SUMIF(Facturas!$B$9:$B$79,B81,Facturas!$F$9:$F$79)</f>
        <v>0</v>
      </c>
      <c r="G81" s="1138">
        <f>SUMIF(Facturas!$B$9:$B$79,B81,Facturas!$G$9:$G$79)</f>
        <v>0</v>
      </c>
      <c r="H81" s="1187">
        <f>SUMIF(Facturas!$B$9:$B$79,B81,Facturas!$I$9:$I$79)</f>
        <v>0</v>
      </c>
      <c r="I81" s="1187">
        <f>SUMIF(Facturas!$B$9:$B$79,B81,Facturas!$J$9:$J$79)</f>
        <v>0</v>
      </c>
      <c r="J81" s="1138">
        <f>SUMIF(Facturas!$B$9:$B$79,B81,Facturas!$K$9:$K$79)</f>
        <v>0</v>
      </c>
      <c r="K81" s="1193"/>
      <c r="L81" s="1449">
        <f>IF(J81&gt;0,0,SUMIF('Cuentas de Cobro'!$B$9:$B$216,B81,'Cuentas de Cobro'!$F$9:$F$216))</f>
        <v>0</v>
      </c>
      <c r="M81" s="1677"/>
      <c r="N81" s="1556">
        <f t="shared" ref="N81" si="12">+J81+L81</f>
        <v>0</v>
      </c>
      <c r="O81" s="1101"/>
      <c r="P81" s="1529"/>
      <c r="Q81" s="8"/>
      <c r="R81" s="1384" t="s">
        <v>654</v>
      </c>
    </row>
    <row r="82" spans="1:18" x14ac:dyDescent="0.2">
      <c r="A82" s="1184">
        <f t="shared" si="11"/>
        <v>73</v>
      </c>
      <c r="B82" s="1097" t="s">
        <v>308</v>
      </c>
      <c r="C82" s="1420">
        <v>98661685</v>
      </c>
      <c r="D82" s="1186">
        <f t="shared" si="10"/>
        <v>7</v>
      </c>
      <c r="E82" s="1185">
        <f>_xlfn.XLOOKUP(B82,Códigos!$B$8:$B$406,Códigos!$A$8:$A$406,"Verificar",0)</f>
        <v>287</v>
      </c>
      <c r="F82" s="1527">
        <f>SUMIF(Facturas!$B$9:$B$79,B82,Facturas!$F$9:$F$79)</f>
        <v>0</v>
      </c>
      <c r="G82" s="1138">
        <f>SUMIF(Facturas!$B$9:$B$79,B82,Facturas!$G$9:$G$79)</f>
        <v>0</v>
      </c>
      <c r="H82" s="1187">
        <f>SUMIF(Facturas!$B$9:$B$79,B82,Facturas!$I$9:$I$79)</f>
        <v>0</v>
      </c>
      <c r="I82" s="1187">
        <f>SUMIF(Facturas!$B$9:$B$79,B82,Facturas!$J$9:$J$79)</f>
        <v>0</v>
      </c>
      <c r="J82" s="1138">
        <f>SUMIF(Facturas!$B$9:$B$79,B82,Facturas!$K$9:$K$79)</f>
        <v>0</v>
      </c>
      <c r="K82" s="1193"/>
      <c r="L82" s="1449">
        <f>IF(J82&gt;0,0,SUMIF('Cuentas de Cobro'!$B$9:$B$216,B82,'Cuentas de Cobro'!$F$9:$F$216))</f>
        <v>170000</v>
      </c>
      <c r="M82" s="1677"/>
      <c r="N82" s="1556">
        <f t="shared" si="8"/>
        <v>170000</v>
      </c>
      <c r="O82" s="1101"/>
      <c r="P82" s="1529"/>
      <c r="Q82" s="8"/>
      <c r="R82" s="697" t="s">
        <v>308</v>
      </c>
    </row>
    <row r="83" spans="1:18" x14ac:dyDescent="0.2">
      <c r="A83" s="1184">
        <f t="shared" si="11"/>
        <v>74</v>
      </c>
      <c r="B83" s="1097" t="s">
        <v>334</v>
      </c>
      <c r="C83" s="1420">
        <v>507881</v>
      </c>
      <c r="D83" s="1186">
        <f t="shared" si="10"/>
        <v>1</v>
      </c>
      <c r="E83" s="1185">
        <f>_xlfn.XLOOKUP(B83,Códigos!$B$8:$B$406,Códigos!$A$8:$A$406,"Verificar",0)</f>
        <v>347</v>
      </c>
      <c r="F83" s="1527">
        <f>SUMIF(Facturas!$B$9:$B$79,B83,Facturas!$F$9:$F$79)</f>
        <v>0</v>
      </c>
      <c r="G83" s="1138">
        <f>SUMIF(Facturas!$B$9:$B$79,B83,Facturas!$G$9:$G$79)</f>
        <v>0</v>
      </c>
      <c r="H83" s="1187">
        <f>SUMIF(Facturas!$B$9:$B$79,B83,Facturas!$I$9:$I$79)</f>
        <v>0</v>
      </c>
      <c r="I83" s="1187">
        <f>SUMIF(Facturas!$B$9:$B$79,B83,Facturas!$J$9:$J$79)</f>
        <v>0</v>
      </c>
      <c r="J83" s="1138">
        <f>SUMIF(Facturas!$B$9:$B$79,B83,Facturas!$K$9:$K$79)</f>
        <v>0</v>
      </c>
      <c r="K83" s="1193"/>
      <c r="L83" s="1449">
        <f>IF(J83&gt;0,0,SUMIF('Cuentas de Cobro'!$B$9:$B$216,B83,'Cuentas de Cobro'!$F$9:$F$216))</f>
        <v>0</v>
      </c>
      <c r="M83" s="1677"/>
      <c r="N83" s="1556">
        <f t="shared" si="8"/>
        <v>0</v>
      </c>
      <c r="O83" s="1101"/>
      <c r="P83" s="1529"/>
      <c r="Q83" s="8"/>
      <c r="R83" s="1384" t="s">
        <v>654</v>
      </c>
    </row>
    <row r="84" spans="1:18" x14ac:dyDescent="0.2">
      <c r="A84" s="1184">
        <f t="shared" si="11"/>
        <v>75</v>
      </c>
      <c r="B84" s="1097" t="s">
        <v>55</v>
      </c>
      <c r="C84" s="1420">
        <v>680956579</v>
      </c>
      <c r="D84" s="1186">
        <f t="shared" si="10"/>
        <v>2</v>
      </c>
      <c r="E84" s="1185">
        <f>_xlfn.XLOOKUP(B84,Códigos!$B$8:$B$406,Códigos!$A$8:$A$406,"Verificar",0)</f>
        <v>95</v>
      </c>
      <c r="F84" s="1527">
        <f>SUMIF(Facturas!$B$9:$B$79,B84,Facturas!$F$9:$F$79)</f>
        <v>0</v>
      </c>
      <c r="G84" s="1138">
        <f>SUMIF(Facturas!$B$9:$B$79,B84,Facturas!$G$9:$G$79)</f>
        <v>0</v>
      </c>
      <c r="H84" s="1187">
        <f>SUMIF(Facturas!$B$9:$B$79,B84,Facturas!$I$9:$I$79)</f>
        <v>0</v>
      </c>
      <c r="I84" s="1187">
        <f>SUMIF(Facturas!$B$9:$B$79,B84,Facturas!$J$9:$J$79)</f>
        <v>0</v>
      </c>
      <c r="J84" s="1138">
        <f>SUMIF(Facturas!$B$9:$B$79,B84,Facturas!$K$9:$K$79)</f>
        <v>0</v>
      </c>
      <c r="K84" s="1193"/>
      <c r="L84" s="1449">
        <f>IF(J84&gt;0,0,SUMIF('Cuentas de Cobro'!$B$9:$B$216,B84,'Cuentas de Cobro'!$F$9:$F$216))</f>
        <v>1120000</v>
      </c>
      <c r="M84" s="1677"/>
      <c r="N84" s="1556">
        <f t="shared" si="8"/>
        <v>1120000</v>
      </c>
      <c r="O84" s="1101"/>
      <c r="P84" s="1529"/>
      <c r="Q84" s="8"/>
      <c r="R84" s="697" t="s">
        <v>55</v>
      </c>
    </row>
    <row r="85" spans="1:18" x14ac:dyDescent="0.2">
      <c r="A85" s="1184">
        <f t="shared" si="11"/>
        <v>76</v>
      </c>
      <c r="B85" s="1097" t="s">
        <v>56</v>
      </c>
      <c r="C85" s="1420">
        <v>43747351</v>
      </c>
      <c r="D85" s="1186">
        <f t="shared" si="10"/>
        <v>3</v>
      </c>
      <c r="E85" s="1185">
        <f>_xlfn.XLOOKUP(B85,Códigos!$B$8:$B$406,Códigos!$A$8:$A$406,"Verificar",0)</f>
        <v>96</v>
      </c>
      <c r="F85" s="1527">
        <f>SUMIF(Facturas!$B$9:$B$79,B85,Facturas!$F$9:$F$79)</f>
        <v>0</v>
      </c>
      <c r="G85" s="1138">
        <f>SUMIF(Facturas!$B$9:$B$79,B85,Facturas!$G$9:$G$79)</f>
        <v>0</v>
      </c>
      <c r="H85" s="1187">
        <f>SUMIF(Facturas!$B$9:$B$79,B85,Facturas!$I$9:$I$79)</f>
        <v>0</v>
      </c>
      <c r="I85" s="1187">
        <f>SUMIF(Facturas!$B$9:$B$79,B85,Facturas!$J$9:$J$79)</f>
        <v>0</v>
      </c>
      <c r="J85" s="1138">
        <f>SUMIF(Facturas!$B$9:$B$79,B85,Facturas!$K$9:$K$79)</f>
        <v>0</v>
      </c>
      <c r="K85" s="1193"/>
      <c r="L85" s="1449">
        <f>IF(J85&gt;0,0,SUMIF('Cuentas de Cobro'!$B$9:$B$216,B85,'Cuentas de Cobro'!$F$9:$F$216))</f>
        <v>1340000</v>
      </c>
      <c r="M85" s="1677"/>
      <c r="N85" s="1556">
        <f t="shared" si="8"/>
        <v>1340000</v>
      </c>
      <c r="O85" s="1101"/>
      <c r="P85" s="1529"/>
      <c r="Q85" s="8"/>
      <c r="R85" s="697" t="s">
        <v>56</v>
      </c>
    </row>
    <row r="86" spans="1:18" x14ac:dyDescent="0.2">
      <c r="A86" s="1184">
        <f t="shared" si="11"/>
        <v>77</v>
      </c>
      <c r="B86" s="1097" t="s">
        <v>57</v>
      </c>
      <c r="C86" s="1420">
        <v>43628330</v>
      </c>
      <c r="D86" s="1186">
        <f t="shared" si="10"/>
        <v>9</v>
      </c>
      <c r="E86" s="1185">
        <f>_xlfn.XLOOKUP(B86,Códigos!$B$8:$B$406,Códigos!$A$8:$A$406,"Verificar",0)</f>
        <v>97</v>
      </c>
      <c r="F86" s="1527">
        <f>SUMIF(Facturas!$B$9:$B$79,B86,Facturas!$F$9:$F$79)</f>
        <v>0</v>
      </c>
      <c r="G86" s="1138">
        <f>SUMIF(Facturas!$B$9:$B$79,B86,Facturas!$G$9:$G$79)</f>
        <v>0</v>
      </c>
      <c r="H86" s="1187">
        <f>SUMIF(Facturas!$B$9:$B$79,B86,Facturas!$I$9:$I$79)</f>
        <v>0</v>
      </c>
      <c r="I86" s="1187">
        <f>SUMIF(Facturas!$B$9:$B$79,B86,Facturas!$J$9:$J$79)</f>
        <v>0</v>
      </c>
      <c r="J86" s="1138">
        <f>SUMIF(Facturas!$B$9:$B$79,B86,Facturas!$K$9:$K$79)</f>
        <v>0</v>
      </c>
      <c r="K86" s="1193"/>
      <c r="L86" s="1449">
        <f>IF(J86&gt;0,0,SUMIF('Cuentas de Cobro'!$B$9:$B$216,B86,'Cuentas de Cobro'!$F$9:$F$216))</f>
        <v>1340000</v>
      </c>
      <c r="M86" s="1677"/>
      <c r="N86" s="1556">
        <f t="shared" si="8"/>
        <v>1340000</v>
      </c>
      <c r="O86" s="1101"/>
      <c r="P86" s="1529"/>
      <c r="Q86" s="8"/>
      <c r="R86" s="697" t="s">
        <v>57</v>
      </c>
    </row>
    <row r="87" spans="1:18" x14ac:dyDescent="0.2">
      <c r="A87" s="1184">
        <f t="shared" si="11"/>
        <v>78</v>
      </c>
      <c r="B87" s="1097" t="s">
        <v>58</v>
      </c>
      <c r="C87" s="1420">
        <v>43739786</v>
      </c>
      <c r="D87" s="1186">
        <f t="shared" si="10"/>
        <v>1</v>
      </c>
      <c r="E87" s="1185">
        <f>_xlfn.XLOOKUP(B87,Códigos!$B$8:$B$406,Códigos!$A$8:$A$406,"Verificar",0)</f>
        <v>98</v>
      </c>
      <c r="F87" s="1527">
        <f>SUMIF(Facturas!$B$9:$B$79,B87,Facturas!$F$9:$F$79)</f>
        <v>0</v>
      </c>
      <c r="G87" s="1138">
        <f>SUMIF(Facturas!$B$9:$B$79,B87,Facturas!$G$9:$G$79)</f>
        <v>0</v>
      </c>
      <c r="H87" s="1187">
        <f>SUMIF(Facturas!$B$9:$B$79,B87,Facturas!$I$9:$I$79)</f>
        <v>0</v>
      </c>
      <c r="I87" s="1187">
        <f>SUMIF(Facturas!$B$9:$B$79,B87,Facturas!$J$9:$J$79)</f>
        <v>0</v>
      </c>
      <c r="J87" s="1138">
        <f>SUMIF(Facturas!$B$9:$B$79,B87,Facturas!$K$9:$K$79)</f>
        <v>0</v>
      </c>
      <c r="K87" s="1193"/>
      <c r="L87" s="1449">
        <f>IF(J87&gt;0,0,SUMIF('Cuentas de Cobro'!$B$9:$B$216,B87,'Cuentas de Cobro'!$F$9:$F$216))</f>
        <v>860000</v>
      </c>
      <c r="M87" s="1677"/>
      <c r="N87" s="1556">
        <f t="shared" si="8"/>
        <v>860000</v>
      </c>
      <c r="O87" s="1101"/>
      <c r="P87" s="1529"/>
      <c r="Q87" s="8"/>
      <c r="R87" s="697" t="s">
        <v>58</v>
      </c>
    </row>
    <row r="88" spans="1:18" x14ac:dyDescent="0.2">
      <c r="A88" s="1184">
        <f t="shared" si="11"/>
        <v>79</v>
      </c>
      <c r="B88" s="1097" t="s">
        <v>409</v>
      </c>
      <c r="C88" s="1420">
        <v>43079748</v>
      </c>
      <c r="D88" s="1186">
        <f t="shared" si="10"/>
        <v>7</v>
      </c>
      <c r="E88" s="1185">
        <f>_xlfn.XLOOKUP(B88,Códigos!$B$8:$B$406,Códigos!$A$8:$A$406,"Verificar",0)</f>
        <v>46</v>
      </c>
      <c r="F88" s="1527">
        <f>SUMIF(Facturas!$B$9:$B$79,B88,Facturas!$F$9:$F$79)</f>
        <v>0</v>
      </c>
      <c r="G88" s="1138">
        <f>SUMIF(Facturas!$B$9:$B$79,B88,Facturas!$G$9:$G$79)</f>
        <v>0</v>
      </c>
      <c r="H88" s="1187">
        <f>SUMIF(Facturas!$B$9:$B$79,B88,Facturas!$I$9:$I$79)</f>
        <v>0</v>
      </c>
      <c r="I88" s="1187">
        <f>SUMIF(Facturas!$B$9:$B$79,B88,Facturas!$J$9:$J$79)</f>
        <v>0</v>
      </c>
      <c r="J88" s="1138">
        <f>SUMIF(Facturas!$B$9:$B$79,B88,Facturas!$K$9:$K$79)</f>
        <v>0</v>
      </c>
      <c r="K88" s="1193"/>
      <c r="L88" s="1449">
        <f>IF(J88&gt;0,0,SUMIF('Cuentas de Cobro'!$B$9:$B$216,B88,'Cuentas de Cobro'!$F$9:$F$216))</f>
        <v>420000</v>
      </c>
      <c r="M88" s="1677"/>
      <c r="N88" s="1556">
        <f t="shared" si="8"/>
        <v>420000</v>
      </c>
      <c r="O88" s="1101"/>
      <c r="P88" s="1529"/>
      <c r="Q88" s="8"/>
      <c r="R88" s="697" t="s">
        <v>409</v>
      </c>
    </row>
    <row r="89" spans="1:18" x14ac:dyDescent="0.2">
      <c r="A89" s="1184">
        <f t="shared" si="11"/>
        <v>80</v>
      </c>
      <c r="B89" s="1097" t="s">
        <v>390</v>
      </c>
      <c r="C89" s="1420">
        <v>43422834</v>
      </c>
      <c r="D89" s="1186">
        <f t="shared" si="10"/>
        <v>3</v>
      </c>
      <c r="E89" s="1185">
        <f>_xlfn.XLOOKUP(B89,Códigos!$B$8:$B$406,Códigos!$A$8:$A$406,"Verificar",0)</f>
        <v>54</v>
      </c>
      <c r="F89" s="1527">
        <f>SUMIF(Facturas!$B$9:$B$79,B89,Facturas!$F$9:$F$79)</f>
        <v>610000</v>
      </c>
      <c r="G89" s="1138">
        <f>SUMIF(Facturas!$B$9:$B$79,B89,Facturas!$G$9:$G$79)</f>
        <v>115900</v>
      </c>
      <c r="H89" s="1187">
        <f>SUMIF(Facturas!$B$9:$B$79,B89,Facturas!$I$9:$I$79)</f>
        <v>-67100</v>
      </c>
      <c r="I89" s="1187">
        <f>SUMIF(Facturas!$B$9:$B$79,B89,Facturas!$J$9:$J$79)</f>
        <v>725900</v>
      </c>
      <c r="J89" s="1138">
        <f>SUMIF(Facturas!$B$9:$B$79,B89,Facturas!$K$9:$K$79)</f>
        <v>658800</v>
      </c>
      <c r="K89" s="1193"/>
      <c r="L89" s="1449">
        <f>IF(J89&gt;0,0,SUMIF('Cuentas de Cobro'!$B$9:$B$216,B89,'Cuentas de Cobro'!$F$9:$F$216))</f>
        <v>0</v>
      </c>
      <c r="M89" s="1677"/>
      <c r="N89" s="1556">
        <f t="shared" si="8"/>
        <v>658800</v>
      </c>
      <c r="O89" s="1101"/>
      <c r="P89" s="1529"/>
      <c r="Q89" s="8"/>
      <c r="R89" s="1434" t="s">
        <v>390</v>
      </c>
    </row>
    <row r="90" spans="1:18" x14ac:dyDescent="0.2">
      <c r="A90" s="1184">
        <f t="shared" si="11"/>
        <v>81</v>
      </c>
      <c r="B90" s="1097" t="s">
        <v>59</v>
      </c>
      <c r="C90" s="1420">
        <v>43422711</v>
      </c>
      <c r="D90" s="1186">
        <f t="shared" si="10"/>
        <v>6</v>
      </c>
      <c r="E90" s="1185">
        <f>_xlfn.XLOOKUP(B90,Códigos!$B$8:$B$406,Códigos!$A$8:$A$406,"Verificar",0)</f>
        <v>99</v>
      </c>
      <c r="F90" s="1527">
        <f>SUMIF(Facturas!$B$9:$B$79,B90,Facturas!$F$9:$F$79)</f>
        <v>1410000</v>
      </c>
      <c r="G90" s="1138">
        <f>SUMIF(Facturas!$B$9:$B$79,B90,Facturas!$G$9:$G$79)</f>
        <v>267900</v>
      </c>
      <c r="H90" s="1187">
        <f>SUMIF(Facturas!$B$9:$B$79,B90,Facturas!$I$9:$I$79)</f>
        <v>-155100</v>
      </c>
      <c r="I90" s="1187">
        <f>SUMIF(Facturas!$B$9:$B$79,B90,Facturas!$J$9:$J$79)</f>
        <v>1677900</v>
      </c>
      <c r="J90" s="1138">
        <f>SUMIF(Facturas!$B$9:$B$79,B90,Facturas!$K$9:$K$79)</f>
        <v>1522800</v>
      </c>
      <c r="K90" s="1193"/>
      <c r="L90" s="1449">
        <f>IF(J90&gt;0,0,SUMIF('Cuentas de Cobro'!$B$9:$B$216,B90,'Cuentas de Cobro'!$F$9:$F$216))</f>
        <v>0</v>
      </c>
      <c r="M90" s="1677"/>
      <c r="N90" s="1556">
        <f t="shared" si="8"/>
        <v>1522800</v>
      </c>
      <c r="O90" s="1101"/>
      <c r="P90" s="1529"/>
      <c r="Q90" s="8"/>
      <c r="R90" s="1434" t="s">
        <v>59</v>
      </c>
    </row>
    <row r="91" spans="1:18" x14ac:dyDescent="0.2">
      <c r="A91" s="1184">
        <f t="shared" si="11"/>
        <v>82</v>
      </c>
      <c r="B91" s="1694" t="s">
        <v>60</v>
      </c>
      <c r="C91" s="1695">
        <v>43052310</v>
      </c>
      <c r="D91" s="1685">
        <f t="shared" si="10"/>
        <v>8</v>
      </c>
      <c r="E91" s="1686">
        <f>_xlfn.XLOOKUP(B91,Códigos!$B$8:$B$406,Códigos!$A$8:$A$406,"Verificar",0)</f>
        <v>55</v>
      </c>
      <c r="F91" s="1687">
        <f>SUMIF(Facturas!$B$9:$B$79,B91,Facturas!$F$9:$F$79)</f>
        <v>0</v>
      </c>
      <c r="G91" s="1210">
        <f>SUMIF(Facturas!$B$9:$B$79,B91,Facturas!$G$9:$G$79)</f>
        <v>0</v>
      </c>
      <c r="H91" s="1473">
        <f>SUMIF(Facturas!$B$9:$B$79,B91,Facturas!$I$9:$I$79)</f>
        <v>0</v>
      </c>
      <c r="I91" s="1473">
        <f>SUMIF(Facturas!$B$9:$B$79,B91,Facturas!$J$9:$J$79)</f>
        <v>0</v>
      </c>
      <c r="J91" s="1210">
        <f>SUMIF(Facturas!$B$9:$B$79,B91,Facturas!$K$9:$K$79)</f>
        <v>0</v>
      </c>
      <c r="K91" s="1688"/>
      <c r="L91" s="1696">
        <f>IF(J91&gt;0,0,SUMIF('Cuentas de Cobro'!$B$9:$B$216,B91,'Cuentas de Cobro'!$F$9:$F$216))</f>
        <v>0</v>
      </c>
      <c r="M91" s="1697"/>
      <c r="N91" s="1660">
        <f t="shared" si="8"/>
        <v>0</v>
      </c>
      <c r="O91" s="1690"/>
      <c r="P91" s="1691"/>
      <c r="Q91" s="8"/>
      <c r="R91" s="1379" t="s">
        <v>805</v>
      </c>
    </row>
    <row r="92" spans="1:18" x14ac:dyDescent="0.2">
      <c r="A92" s="1184">
        <f t="shared" si="11"/>
        <v>83</v>
      </c>
      <c r="B92" s="1201" t="s">
        <v>650</v>
      </c>
      <c r="C92" s="1420">
        <v>71274022</v>
      </c>
      <c r="D92" s="1186">
        <f t="shared" si="10"/>
        <v>6</v>
      </c>
      <c r="E92" s="1185">
        <v>224</v>
      </c>
      <c r="F92" s="1527">
        <f>SUMIF(Facturas!$B$9:$B$79,B92,Facturas!$F$9:$F$79)</f>
        <v>0</v>
      </c>
      <c r="G92" s="1138">
        <f>SUMIF(Facturas!$B$9:$B$79,B92,Facturas!$G$9:$G$79)</f>
        <v>0</v>
      </c>
      <c r="H92" s="1187">
        <f>SUMIF(Facturas!$B$9:$B$79,B92,Facturas!$I$9:$I$79)</f>
        <v>0</v>
      </c>
      <c r="I92" s="1187">
        <f>SUMIF(Facturas!$B$9:$B$79,B92,Facturas!$J$9:$J$79)</f>
        <v>0</v>
      </c>
      <c r="J92" s="1138">
        <f>SUMIF(Facturas!$B$9:$B$79,B92,Facturas!$K$9:$K$79)</f>
        <v>0</v>
      </c>
      <c r="K92" s="1193"/>
      <c r="L92" s="1449">
        <f>IF(J92&gt;0,0,SUMIF('Cuentas de Cobro'!$B$9:$B$216,B92,'Cuentas de Cobro'!$F$9:$F$216))</f>
        <v>400000</v>
      </c>
      <c r="M92" s="1677"/>
      <c r="N92" s="1556">
        <f t="shared" ref="N92:N93" si="13">+J92+L92</f>
        <v>400000</v>
      </c>
      <c r="O92" s="1101"/>
      <c r="P92" s="1529"/>
      <c r="Q92" s="8"/>
      <c r="R92" s="357" t="s">
        <v>650</v>
      </c>
    </row>
    <row r="93" spans="1:18" x14ac:dyDescent="0.2">
      <c r="A93" s="1184">
        <f t="shared" si="11"/>
        <v>84</v>
      </c>
      <c r="B93" s="1201" t="s">
        <v>294</v>
      </c>
      <c r="C93" s="1420">
        <v>3473739</v>
      </c>
      <c r="D93" s="1186">
        <f t="shared" si="10"/>
        <v>4</v>
      </c>
      <c r="E93" s="1185">
        <v>228</v>
      </c>
      <c r="F93" s="1527">
        <f>SUMIF(Facturas!$B$9:$B$79,B93,Facturas!$F$9:$F$79)</f>
        <v>0</v>
      </c>
      <c r="G93" s="1138">
        <f>SUMIF(Facturas!$B$9:$B$79,B93,Facturas!$G$9:$G$79)</f>
        <v>0</v>
      </c>
      <c r="H93" s="1187">
        <f>SUMIF(Facturas!$B$9:$B$79,B93,Facturas!$I$9:$I$79)</f>
        <v>0</v>
      </c>
      <c r="I93" s="1187">
        <f>SUMIF(Facturas!$B$9:$B$79,B93,Facturas!$J$9:$J$79)</f>
        <v>0</v>
      </c>
      <c r="J93" s="1138">
        <f>SUMIF(Facturas!$B$9:$B$79,B93,Facturas!$K$9:$K$79)</f>
        <v>0</v>
      </c>
      <c r="K93" s="1193"/>
      <c r="L93" s="1449">
        <f>IF(J93&gt;0,0,SUMIF('Cuentas de Cobro'!$B$9:$B$216,B93,'Cuentas de Cobro'!$F$9:$F$216))</f>
        <v>1060000</v>
      </c>
      <c r="M93" s="1677"/>
      <c r="N93" s="1556">
        <f t="shared" si="13"/>
        <v>1060000</v>
      </c>
      <c r="O93" s="1101"/>
      <c r="P93" s="1529"/>
      <c r="Q93" s="8"/>
      <c r="R93" s="697" t="s">
        <v>294</v>
      </c>
    </row>
    <row r="94" spans="1:18" x14ac:dyDescent="0.2">
      <c r="A94" s="1184">
        <f t="shared" si="11"/>
        <v>85</v>
      </c>
      <c r="B94" s="1097" t="s">
        <v>62</v>
      </c>
      <c r="C94" s="1420">
        <v>1037601220</v>
      </c>
      <c r="D94" s="1186">
        <f t="shared" si="10"/>
        <v>9</v>
      </c>
      <c r="E94" s="1185">
        <f>_xlfn.XLOOKUP(B94,Códigos!$B$8:$B$406,Códigos!$A$8:$A$406,"Verificar",0)</f>
        <v>223</v>
      </c>
      <c r="F94" s="1527">
        <f>SUMIF(Facturas!$B$9:$B$79,B94,Facturas!$F$9:$F$79)</f>
        <v>0</v>
      </c>
      <c r="G94" s="1138">
        <f>SUMIF(Facturas!$B$9:$B$79,B94,Facturas!$G$9:$G$79)</f>
        <v>0</v>
      </c>
      <c r="H94" s="1187">
        <f>SUMIF(Facturas!$B$9:$B$79,B94,Facturas!$I$9:$I$79)</f>
        <v>0</v>
      </c>
      <c r="I94" s="1187">
        <f>SUMIF(Facturas!$B$9:$B$79,B94,Facturas!$J$9:$J$79)</f>
        <v>0</v>
      </c>
      <c r="J94" s="1138">
        <f>SUMIF(Facturas!$B$9:$B$79,B94,Facturas!$K$9:$K$79)</f>
        <v>0</v>
      </c>
      <c r="K94" s="1193"/>
      <c r="L94" s="1449">
        <f>IF(J94&gt;0,0,SUMIF('Cuentas de Cobro'!$B$9:$B$216,B94,'Cuentas de Cobro'!$F$9:$F$216))</f>
        <v>450000</v>
      </c>
      <c r="M94" s="1677"/>
      <c r="N94" s="1556">
        <f t="shared" si="8"/>
        <v>450000</v>
      </c>
      <c r="O94" s="1101"/>
      <c r="P94" s="1529"/>
      <c r="Q94" s="8"/>
      <c r="R94" s="697" t="s">
        <v>62</v>
      </c>
    </row>
    <row r="95" spans="1:18" x14ac:dyDescent="0.2">
      <c r="A95" s="1184">
        <f t="shared" si="11"/>
        <v>86</v>
      </c>
      <c r="B95" s="1097" t="s">
        <v>63</v>
      </c>
      <c r="C95" s="1420">
        <v>15502980</v>
      </c>
      <c r="D95" s="1186">
        <f t="shared" si="10"/>
        <v>2</v>
      </c>
      <c r="E95" s="1185">
        <f>_xlfn.XLOOKUP(B95,Códigos!$B$8:$B$406,Códigos!$A$8:$A$406,"Verificar",0)</f>
        <v>101</v>
      </c>
      <c r="F95" s="1527">
        <f>SUMIF(Facturas!$B$9:$B$79,B95,Facturas!$F$9:$F$79)</f>
        <v>0</v>
      </c>
      <c r="G95" s="1138">
        <f>SUMIF(Facturas!$B$9:$B$79,B95,Facturas!$G$9:$G$79)</f>
        <v>0</v>
      </c>
      <c r="H95" s="1187">
        <f>SUMIF(Facturas!$B$9:$B$79,B95,Facturas!$I$9:$I$79)</f>
        <v>0</v>
      </c>
      <c r="I95" s="1187">
        <f>SUMIF(Facturas!$B$9:$B$79,B95,Facturas!$J$9:$J$79)</f>
        <v>0</v>
      </c>
      <c r="J95" s="1138">
        <f>SUMIF(Facturas!$B$9:$B$79,B95,Facturas!$K$9:$K$79)</f>
        <v>0</v>
      </c>
      <c r="K95" s="1193"/>
      <c r="L95" s="1449">
        <f>IF(J95&gt;0,0,SUMIF('Cuentas de Cobro'!$B$9:$B$216,B95,'Cuentas de Cobro'!$F$9:$F$216))</f>
        <v>1380000</v>
      </c>
      <c r="M95" s="1677"/>
      <c r="N95" s="1556">
        <f t="shared" si="8"/>
        <v>1380000</v>
      </c>
      <c r="O95" s="1101"/>
      <c r="P95" s="1529"/>
      <c r="Q95" s="8"/>
      <c r="R95" s="697" t="s">
        <v>63</v>
      </c>
    </row>
    <row r="96" spans="1:18" x14ac:dyDescent="0.2">
      <c r="A96" s="1184">
        <f t="shared" si="11"/>
        <v>87</v>
      </c>
      <c r="B96" s="1097" t="s">
        <v>65</v>
      </c>
      <c r="C96" s="1420">
        <v>42681418</v>
      </c>
      <c r="D96" s="1186">
        <f t="shared" si="10"/>
        <v>9</v>
      </c>
      <c r="E96" s="1185">
        <f>_xlfn.XLOOKUP(B96,Códigos!$B$8:$B$406,Códigos!$A$8:$A$406,"Verificar",0)</f>
        <v>263</v>
      </c>
      <c r="F96" s="1527">
        <f>SUMIF(Facturas!$B$9:$B$79,B96,Facturas!$F$9:$F$79)</f>
        <v>0</v>
      </c>
      <c r="G96" s="1138">
        <f>SUMIF(Facturas!$B$9:$B$79,B96,Facturas!$G$9:$G$79)</f>
        <v>0</v>
      </c>
      <c r="H96" s="1187">
        <f>SUMIF(Facturas!$B$9:$B$79,B96,Facturas!$I$9:$I$79)</f>
        <v>0</v>
      </c>
      <c r="I96" s="1187">
        <f>SUMIF(Facturas!$B$9:$B$79,B96,Facturas!$J$9:$J$79)</f>
        <v>0</v>
      </c>
      <c r="J96" s="1138">
        <f>SUMIF(Facturas!$B$9:$B$79,B96,Facturas!$K$9:$K$79)</f>
        <v>0</v>
      </c>
      <c r="K96" s="1193"/>
      <c r="L96" s="1449">
        <f>IF(J96&gt;0,0,SUMIF('Cuentas de Cobro'!$B$9:$B$216,B96,'Cuentas de Cobro'!$F$9:$F$216))</f>
        <v>360000</v>
      </c>
      <c r="M96" s="1677"/>
      <c r="N96" s="1556">
        <f t="shared" si="8"/>
        <v>360000</v>
      </c>
      <c r="O96" s="1101"/>
      <c r="P96" s="1529"/>
      <c r="Q96" s="8"/>
      <c r="R96" s="697" t="s">
        <v>65</v>
      </c>
    </row>
    <row r="97" spans="1:18" x14ac:dyDescent="0.2">
      <c r="A97" s="1184">
        <f t="shared" si="11"/>
        <v>88</v>
      </c>
      <c r="B97" s="1097" t="s">
        <v>406</v>
      </c>
      <c r="C97" s="1420">
        <v>32415325</v>
      </c>
      <c r="D97" s="1186">
        <f t="shared" si="10"/>
        <v>7</v>
      </c>
      <c r="E97" s="1185">
        <f>_xlfn.XLOOKUP(B97,Códigos!$B$8:$B$406,Códigos!$A$8:$A$406,"Verificar",0)</f>
        <v>57</v>
      </c>
      <c r="F97" s="1527">
        <f>SUMIF(Facturas!$B$9:$B$79,B97,Facturas!$F$9:$F$79)</f>
        <v>0</v>
      </c>
      <c r="G97" s="1138">
        <f>SUMIF(Facturas!$B$9:$B$79,B97,Facturas!$G$9:$G$79)</f>
        <v>0</v>
      </c>
      <c r="H97" s="1187">
        <f>SUMIF(Facturas!$B$9:$B$79,B97,Facturas!$I$9:$I$79)</f>
        <v>0</v>
      </c>
      <c r="I97" s="1187">
        <f>SUMIF(Facturas!$B$9:$B$79,B97,Facturas!$J$9:$J$79)</f>
        <v>0</v>
      </c>
      <c r="J97" s="1138">
        <f>SUMIF(Facturas!$B$9:$B$79,B97,Facturas!$K$9:$K$79)</f>
        <v>0</v>
      </c>
      <c r="K97" s="1193"/>
      <c r="L97" s="1449">
        <f>IF(J97&gt;0,0,SUMIF('Cuentas de Cobro'!$B$9:$B$216,B97,'Cuentas de Cobro'!$F$9:$F$216))</f>
        <v>430000</v>
      </c>
      <c r="M97" s="1677"/>
      <c r="N97" s="1556">
        <f t="shared" si="8"/>
        <v>430000</v>
      </c>
      <c r="O97" s="1101"/>
      <c r="P97" s="1529"/>
      <c r="Q97" s="8"/>
      <c r="R97" s="697" t="s">
        <v>406</v>
      </c>
    </row>
    <row r="98" spans="1:18" x14ac:dyDescent="0.2">
      <c r="A98" s="1184">
        <f t="shared" si="11"/>
        <v>89</v>
      </c>
      <c r="B98" s="1097" t="s">
        <v>384</v>
      </c>
      <c r="C98" s="1420">
        <v>15925921</v>
      </c>
      <c r="D98" s="1186">
        <f t="shared" si="10"/>
        <v>3</v>
      </c>
      <c r="E98" s="1185">
        <f>_xlfn.XLOOKUP(B98,Códigos!$B$8:$B$406,Códigos!$A$8:$A$406,"Verificar",0)</f>
        <v>24</v>
      </c>
      <c r="F98" s="1527">
        <f>SUMIF(Facturas!$B$9:$B$79,B98,Facturas!$F$9:$F$79)</f>
        <v>0</v>
      </c>
      <c r="G98" s="1138">
        <f>SUMIF(Facturas!$B$9:$B$79,B98,Facturas!$G$9:$G$79)</f>
        <v>0</v>
      </c>
      <c r="H98" s="1187">
        <f>SUMIF(Facturas!$B$9:$B$79,B98,Facturas!$I$9:$I$79)</f>
        <v>0</v>
      </c>
      <c r="I98" s="1187">
        <f>SUMIF(Facturas!$B$9:$B$79,B98,Facturas!$J$9:$J$79)</f>
        <v>0</v>
      </c>
      <c r="J98" s="1138">
        <f>SUMIF(Facturas!$B$9:$B$79,B98,Facturas!$K$9:$K$79)</f>
        <v>0</v>
      </c>
      <c r="K98" s="1193"/>
      <c r="L98" s="1449">
        <f>IF(J98&gt;0,0,SUMIF('Cuentas de Cobro'!$B$9:$B$216,B98,'Cuentas de Cobro'!$F$9:$F$216))</f>
        <v>500000</v>
      </c>
      <c r="M98" s="1677"/>
      <c r="N98" s="1556">
        <f t="shared" ref="N98" si="14">+J98+L98</f>
        <v>500000</v>
      </c>
      <c r="O98" s="1101"/>
      <c r="P98" s="1529"/>
      <c r="Q98" s="8"/>
      <c r="R98" s="697" t="s">
        <v>384</v>
      </c>
    </row>
    <row r="99" spans="1:18" x14ac:dyDescent="0.2">
      <c r="A99" s="1184">
        <f t="shared" si="11"/>
        <v>90</v>
      </c>
      <c r="B99" s="1097" t="s">
        <v>67</v>
      </c>
      <c r="C99" s="1420">
        <v>98619761</v>
      </c>
      <c r="D99" s="1186">
        <f t="shared" si="10"/>
        <v>1</v>
      </c>
      <c r="E99" s="1185">
        <f>_xlfn.XLOOKUP(B99,Códigos!$B$8:$B$406,Códigos!$A$8:$A$406,"Verificar",0)</f>
        <v>110</v>
      </c>
      <c r="F99" s="1527">
        <f>SUMIF(Facturas!$B$9:$B$79,B99,Facturas!$F$9:$F$79)</f>
        <v>0</v>
      </c>
      <c r="G99" s="1138">
        <f>SUMIF(Facturas!$B$9:$B$79,B99,Facturas!$G$9:$G$79)</f>
        <v>0</v>
      </c>
      <c r="H99" s="1187">
        <f>SUMIF(Facturas!$B$9:$B$79,B99,Facturas!$I$9:$I$79)</f>
        <v>0</v>
      </c>
      <c r="I99" s="1187">
        <f>SUMIF(Facturas!$B$9:$B$79,B99,Facturas!$J$9:$J$79)</f>
        <v>0</v>
      </c>
      <c r="J99" s="1138">
        <f>SUMIF(Facturas!$B$9:$B$79,B99,Facturas!$K$9:$K$79)</f>
        <v>0</v>
      </c>
      <c r="K99" s="1193"/>
      <c r="L99" s="1449">
        <f>IF(J99&gt;0,0,SUMIF('Cuentas de Cobro'!$B$9:$B$216,B99,'Cuentas de Cobro'!$F$9:$F$216))</f>
        <v>1850000</v>
      </c>
      <c r="M99" s="1677"/>
      <c r="N99" s="1556">
        <f t="shared" si="8"/>
        <v>1850000</v>
      </c>
      <c r="O99" s="1101"/>
      <c r="P99" s="1529"/>
      <c r="Q99" s="8"/>
      <c r="R99" s="697" t="s">
        <v>67</v>
      </c>
    </row>
    <row r="100" spans="1:18" x14ac:dyDescent="0.2">
      <c r="A100" s="1184">
        <f t="shared" si="11"/>
        <v>91</v>
      </c>
      <c r="B100" s="1201" t="s">
        <v>68</v>
      </c>
      <c r="C100" s="1679">
        <v>98570880</v>
      </c>
      <c r="D100" s="1186">
        <f t="shared" si="10"/>
        <v>6</v>
      </c>
      <c r="E100" s="1199">
        <f>_xlfn.XLOOKUP(B100,Códigos!$B$8:$B$406,Códigos!$A$8:$A$406,"Verificar",0)</f>
        <v>111</v>
      </c>
      <c r="F100" s="1527">
        <f>SUMIF(Facturas!$B$9:$B$79,B100,Facturas!$F$9:$F$79)</f>
        <v>0</v>
      </c>
      <c r="G100" s="1138">
        <f>SUMIF(Facturas!$B$9:$B$79,B100,Facturas!$G$9:$G$79)</f>
        <v>0</v>
      </c>
      <c r="H100" s="1187">
        <f>SUMIF(Facturas!$B$9:$B$79,B100,Facturas!$I$9:$I$79)</f>
        <v>0</v>
      </c>
      <c r="I100" s="1187">
        <f>SUMIF(Facturas!$B$9:$B$79,B100,Facturas!$J$9:$J$79)</f>
        <v>0</v>
      </c>
      <c r="J100" s="1138">
        <f>SUMIF(Facturas!$B$9:$B$79,B100,Facturas!$K$9:$K$79)</f>
        <v>0</v>
      </c>
      <c r="K100" s="1193"/>
      <c r="L100" s="1449">
        <f>IF(J100&gt;0,0,SUMIF('Cuentas de Cobro'!$B$9:$B$216,B100,'Cuentas de Cobro'!$F$9:$F$216))</f>
        <v>1300000</v>
      </c>
      <c r="M100" s="1677"/>
      <c r="N100" s="1556">
        <f t="shared" si="8"/>
        <v>1300000</v>
      </c>
      <c r="O100" s="1101"/>
      <c r="P100" s="1529"/>
      <c r="Q100" s="8"/>
      <c r="R100" s="697" t="s">
        <v>68</v>
      </c>
    </row>
    <row r="101" spans="1:18" x14ac:dyDescent="0.2">
      <c r="A101" s="1184">
        <f t="shared" si="11"/>
        <v>92</v>
      </c>
      <c r="B101" s="1097" t="s">
        <v>332</v>
      </c>
      <c r="C101" s="1420">
        <v>98570881</v>
      </c>
      <c r="D101" s="1186">
        <f t="shared" si="10"/>
        <v>3</v>
      </c>
      <c r="E101" s="1185">
        <f>_xlfn.XLOOKUP(B101,Códigos!$B$8:$B$406,Códigos!$A$8:$A$406,"Verificar",0)</f>
        <v>343</v>
      </c>
      <c r="F101" s="1527">
        <f>SUMIF(Facturas!$B$9:$B$79,B101,Facturas!$F$9:$F$79)</f>
        <v>0</v>
      </c>
      <c r="G101" s="1138">
        <f>SUMIF(Facturas!$B$9:$B$79,B101,Facturas!$G$9:$G$79)</f>
        <v>0</v>
      </c>
      <c r="H101" s="1187">
        <f>SUMIF(Facturas!$B$9:$B$79,B101,Facturas!$I$9:$I$79)</f>
        <v>0</v>
      </c>
      <c r="I101" s="1187">
        <f>SUMIF(Facturas!$B$9:$B$79,B101,Facturas!$J$9:$J$79)</f>
        <v>0</v>
      </c>
      <c r="J101" s="1138">
        <f>SUMIF(Facturas!$B$9:$B$79,B101,Facturas!$K$9:$K$79)</f>
        <v>0</v>
      </c>
      <c r="K101" s="1193"/>
      <c r="L101" s="1449">
        <f>IF(J101&gt;0,0,SUMIF('Cuentas de Cobro'!$B$9:$B$216,B101,'Cuentas de Cobro'!$F$9:$F$216))</f>
        <v>270000</v>
      </c>
      <c r="M101" s="1677"/>
      <c r="N101" s="1556">
        <f t="shared" si="8"/>
        <v>270000</v>
      </c>
      <c r="O101" s="1101"/>
      <c r="P101" s="1529"/>
      <c r="Q101" s="8"/>
      <c r="R101" s="697" t="s">
        <v>332</v>
      </c>
    </row>
    <row r="102" spans="1:18" x14ac:dyDescent="0.2">
      <c r="A102" s="1184">
        <f t="shared" si="11"/>
        <v>93</v>
      </c>
      <c r="B102" s="1097" t="s">
        <v>69</v>
      </c>
      <c r="C102" s="1420">
        <v>98549455</v>
      </c>
      <c r="D102" s="1186">
        <f t="shared" si="10"/>
        <v>1</v>
      </c>
      <c r="E102" s="1185">
        <f>_xlfn.XLOOKUP(B102,Códigos!$B$8:$B$406,Códigos!$A$8:$A$406,"Verificar",0)</f>
        <v>305</v>
      </c>
      <c r="F102" s="1527">
        <f>SUMIF(Facturas!$B$9:$B$79,B102,Facturas!$F$9:$F$79)</f>
        <v>0</v>
      </c>
      <c r="G102" s="1138">
        <f>SUMIF(Facturas!$B$9:$B$79,B102,Facturas!$G$9:$G$79)</f>
        <v>0</v>
      </c>
      <c r="H102" s="1187">
        <f>SUMIF(Facturas!$B$9:$B$79,B102,Facturas!$I$9:$I$79)</f>
        <v>0</v>
      </c>
      <c r="I102" s="1187">
        <f>SUMIF(Facturas!$B$9:$B$79,B102,Facturas!$J$9:$J$79)</f>
        <v>0</v>
      </c>
      <c r="J102" s="1138">
        <f>SUMIF(Facturas!$B$9:$B$79,B102,Facturas!$K$9:$K$79)</f>
        <v>0</v>
      </c>
      <c r="K102" s="1193"/>
      <c r="L102" s="1449">
        <f>IF(J102&gt;0,0,SUMIF('Cuentas de Cobro'!$B$9:$B$216,B102,'Cuentas de Cobro'!$F$9:$F$216))</f>
        <v>390000</v>
      </c>
      <c r="M102" s="1677"/>
      <c r="N102" s="1556">
        <f t="shared" si="8"/>
        <v>390000</v>
      </c>
      <c r="O102" s="1101"/>
      <c r="P102" s="1529"/>
      <c r="Q102" s="8"/>
      <c r="R102" s="697" t="s">
        <v>69</v>
      </c>
    </row>
    <row r="103" spans="1:18" x14ac:dyDescent="0.2">
      <c r="A103" s="1184">
        <f t="shared" si="11"/>
        <v>94</v>
      </c>
      <c r="B103" s="1097" t="s">
        <v>659</v>
      </c>
      <c r="C103" s="1420">
        <v>1034995481</v>
      </c>
      <c r="D103" s="1186">
        <f t="shared" si="10"/>
        <v>3</v>
      </c>
      <c r="E103" s="1185">
        <f>_xlfn.XLOOKUP(B103,Códigos!$B$8:$B$406,Códigos!$A$8:$A$406,"Verificar",0)</f>
        <v>224</v>
      </c>
      <c r="F103" s="1527">
        <f>SUMIF(Facturas!$B$9:$B$79,B103,Facturas!$F$9:$F$79)</f>
        <v>0</v>
      </c>
      <c r="G103" s="1138">
        <f>SUMIF(Facturas!$B$9:$B$79,B103,Facturas!$G$9:$G$79)</f>
        <v>0</v>
      </c>
      <c r="H103" s="1187">
        <f>SUMIF(Facturas!$B$9:$B$79,B103,Facturas!$I$9:$I$79)</f>
        <v>0</v>
      </c>
      <c r="I103" s="1187">
        <f>SUMIF(Facturas!$B$9:$B$79,B103,Facturas!$J$9:$J$79)</f>
        <v>0</v>
      </c>
      <c r="J103" s="1138">
        <f>SUMIF(Facturas!$B$9:$B$79,B103,Facturas!$K$9:$K$79)</f>
        <v>0</v>
      </c>
      <c r="K103" s="1193"/>
      <c r="L103" s="1449">
        <f>IF(J103&gt;0,0,SUMIF('Cuentas de Cobro'!$B$9:$B$216,B103,'Cuentas de Cobro'!$F$9:$F$216))</f>
        <v>360000</v>
      </c>
      <c r="M103" s="1677"/>
      <c r="N103" s="1556">
        <f t="shared" si="8"/>
        <v>360000</v>
      </c>
      <c r="O103" s="1101"/>
      <c r="P103" s="1529"/>
      <c r="Q103" s="8"/>
      <c r="R103" s="1438" t="s">
        <v>659</v>
      </c>
    </row>
    <row r="104" spans="1:18" x14ac:dyDescent="0.2">
      <c r="A104" s="1184">
        <f t="shared" si="11"/>
        <v>95</v>
      </c>
      <c r="B104" s="1491" t="s">
        <v>646</v>
      </c>
      <c r="C104" s="1420">
        <v>1034991081</v>
      </c>
      <c r="D104" s="1186">
        <f t="shared" si="10"/>
        <v>2</v>
      </c>
      <c r="E104" s="1678">
        <f>_xlfn.XLOOKUP(B104,Códigos!$B$8:$B$406,Códigos!$A$8:$A$406,"Verificar",0)</f>
        <v>228</v>
      </c>
      <c r="F104" s="1527">
        <f>SUMIF(Facturas!$B$9:$B$79,B104,Facturas!$F$9:$F$79)</f>
        <v>0</v>
      </c>
      <c r="G104" s="1138">
        <f>SUMIF(Facturas!$B$9:$B$79,B104,Facturas!$G$9:$G$79)</f>
        <v>0</v>
      </c>
      <c r="H104" s="1187">
        <f>SUMIF(Facturas!$B$9:$B$79,B104,Facturas!$I$9:$I$79)</f>
        <v>0</v>
      </c>
      <c r="I104" s="1187">
        <f>SUMIF(Facturas!$B$9:$B$79,B104,Facturas!$J$9:$J$79)</f>
        <v>0</v>
      </c>
      <c r="J104" s="1138">
        <f>SUMIF(Facturas!$B$9:$B$79,B104,Facturas!$K$9:$K$79)</f>
        <v>0</v>
      </c>
      <c r="K104" s="1193"/>
      <c r="L104" s="1449">
        <f>IF(J104&gt;0,0,SUMIF('Cuentas de Cobro'!$B$9:$B$216,B104,'Cuentas de Cobro'!$F$9:$F$216))</f>
        <v>360000</v>
      </c>
      <c r="M104" s="1677"/>
      <c r="N104" s="1556">
        <f t="shared" si="8"/>
        <v>360000</v>
      </c>
      <c r="O104" s="1101"/>
      <c r="P104" s="1529"/>
      <c r="Q104" s="8"/>
      <c r="R104" s="357" t="s">
        <v>646</v>
      </c>
    </row>
    <row r="105" spans="1:18" x14ac:dyDescent="0.2">
      <c r="A105" s="1184">
        <f t="shared" si="11"/>
        <v>96</v>
      </c>
      <c r="B105" s="1491" t="s">
        <v>70</v>
      </c>
      <c r="C105" s="1200">
        <v>32517259</v>
      </c>
      <c r="D105" s="1186">
        <f t="shared" si="10"/>
        <v>7</v>
      </c>
      <c r="E105" s="1678">
        <v>230</v>
      </c>
      <c r="F105" s="1527">
        <f>SUMIF(Facturas!$B$9:$B$79,B105,Facturas!$F$9:$F$79)</f>
        <v>0</v>
      </c>
      <c r="G105" s="1138">
        <f>SUMIF(Facturas!$B$9:$B$79,B105,Facturas!$G$9:$G$79)</f>
        <v>0</v>
      </c>
      <c r="H105" s="1187">
        <f>SUMIF(Facturas!$B$9:$B$79,B105,Facturas!$I$9:$I$79)</f>
        <v>0</v>
      </c>
      <c r="I105" s="1187">
        <f>SUMIF(Facturas!$B$9:$B$79,B105,Facturas!$J$9:$J$79)</f>
        <v>0</v>
      </c>
      <c r="J105" s="1138">
        <f>SUMIF(Facturas!$B$9:$B$79,B105,Facturas!$K$9:$K$79)</f>
        <v>0</v>
      </c>
      <c r="K105" s="1193"/>
      <c r="L105" s="1449">
        <f>IF(J105&gt;0,0,SUMIF('Cuentas de Cobro'!$B$9:$B$216,B105,'Cuentas de Cobro'!$F$9:$F$216))</f>
        <v>470000</v>
      </c>
      <c r="M105" s="1677"/>
      <c r="N105" s="1556">
        <f t="shared" ref="N105" si="15">+J105+L105</f>
        <v>470000</v>
      </c>
      <c r="O105" s="1101"/>
      <c r="P105" s="1529"/>
      <c r="Q105" s="8"/>
      <c r="R105" s="697" t="s">
        <v>70</v>
      </c>
    </row>
    <row r="106" spans="1:18" x14ac:dyDescent="0.2">
      <c r="A106" s="1184">
        <f t="shared" si="11"/>
        <v>97</v>
      </c>
      <c r="B106" s="1097" t="s">
        <v>71</v>
      </c>
      <c r="C106" s="1420">
        <v>32476412</v>
      </c>
      <c r="D106" s="1186">
        <f t="shared" si="10"/>
        <v>0</v>
      </c>
      <c r="E106" s="1185">
        <f>_xlfn.XLOOKUP(B106,Códigos!$B$8:$B$406,Códigos!$A$8:$A$406,"Verificar",0)</f>
        <v>112</v>
      </c>
      <c r="F106" s="1527">
        <f>SUMIF(Facturas!$B$9:$B$79,B106,Facturas!$F$9:$F$79)</f>
        <v>0</v>
      </c>
      <c r="G106" s="1138">
        <f>SUMIF(Facturas!$B$9:$B$79,B106,Facturas!$G$9:$G$79)</f>
        <v>0</v>
      </c>
      <c r="H106" s="1187">
        <f>SUMIF(Facturas!$B$9:$B$79,B106,Facturas!$I$9:$I$79)</f>
        <v>0</v>
      </c>
      <c r="I106" s="1187">
        <f>SUMIF(Facturas!$B$9:$B$79,B106,Facturas!$J$9:$J$79)</f>
        <v>0</v>
      </c>
      <c r="J106" s="1138">
        <f>SUMIF(Facturas!$B$9:$B$79,B106,Facturas!$K$9:$K$79)</f>
        <v>0</v>
      </c>
      <c r="K106" s="1193"/>
      <c r="L106" s="1449">
        <f>IF(J106&gt;0,0,SUMIF('Cuentas de Cobro'!$B$9:$B$216,B106,'Cuentas de Cobro'!$F$9:$F$216))</f>
        <v>410000</v>
      </c>
      <c r="M106" s="1677"/>
      <c r="N106" s="1556">
        <f t="shared" si="8"/>
        <v>410000</v>
      </c>
      <c r="O106" s="1101"/>
      <c r="P106" s="1529"/>
      <c r="Q106" s="8"/>
      <c r="R106" s="697" t="s">
        <v>71</v>
      </c>
    </row>
    <row r="107" spans="1:18" x14ac:dyDescent="0.2">
      <c r="A107" s="1184">
        <f t="shared" si="11"/>
        <v>98</v>
      </c>
      <c r="B107" s="1097" t="s">
        <v>73</v>
      </c>
      <c r="C107" s="1420">
        <v>33166790</v>
      </c>
      <c r="D107" s="1186">
        <f t="shared" si="10"/>
        <v>3</v>
      </c>
      <c r="E107" s="1185">
        <f>_xlfn.XLOOKUP(B107,Códigos!$B$8:$B$406,Códigos!$A$8:$A$406,"Verificar",0)</f>
        <v>116</v>
      </c>
      <c r="F107" s="1527">
        <f>SUMIF(Facturas!$B$9:$B$79,B107,Facturas!$F$9:$F$79)</f>
        <v>0</v>
      </c>
      <c r="G107" s="1138">
        <f>SUMIF(Facturas!$B$9:$B$79,B107,Facturas!$G$9:$G$79)</f>
        <v>0</v>
      </c>
      <c r="H107" s="1187">
        <f>SUMIF(Facturas!$B$9:$B$79,B107,Facturas!$I$9:$I$79)</f>
        <v>0</v>
      </c>
      <c r="I107" s="1187">
        <f>SUMIF(Facturas!$B$9:$B$79,B107,Facturas!$J$9:$J$79)</f>
        <v>0</v>
      </c>
      <c r="J107" s="1138">
        <f>SUMIF(Facturas!$B$9:$B$79,B107,Facturas!$K$9:$K$79)</f>
        <v>0</v>
      </c>
      <c r="K107" s="1193"/>
      <c r="L107" s="1449">
        <f>IF(J107&gt;0,0,SUMIF('Cuentas de Cobro'!$B$9:$B$216,B107,'Cuentas de Cobro'!$F$9:$F$216))</f>
        <v>470000</v>
      </c>
      <c r="M107" s="1677"/>
      <c r="N107" s="1556">
        <f t="shared" si="8"/>
        <v>470000</v>
      </c>
      <c r="O107" s="1101"/>
      <c r="P107" s="1529"/>
      <c r="Q107" s="8"/>
      <c r="R107" s="697" t="s">
        <v>73</v>
      </c>
    </row>
    <row r="108" spans="1:18" x14ac:dyDescent="0.2">
      <c r="A108" s="1184">
        <f t="shared" si="11"/>
        <v>99</v>
      </c>
      <c r="B108" s="1097" t="s">
        <v>295</v>
      </c>
      <c r="C108" s="1420">
        <v>21350229</v>
      </c>
      <c r="D108" s="1186">
        <f t="shared" si="10"/>
        <v>7</v>
      </c>
      <c r="E108" s="1185">
        <f>_xlfn.XLOOKUP(B108,Códigos!$B$8:$B$406,Códigos!$A$8:$A$406,"Verificar",0)</f>
        <v>331</v>
      </c>
      <c r="F108" s="1527">
        <f>SUMIF(Facturas!$B$9:$B$79,B108,Facturas!$F$9:$F$79)</f>
        <v>0</v>
      </c>
      <c r="G108" s="1138">
        <f>SUMIF(Facturas!$B$9:$B$79,B108,Facturas!$G$9:$G$79)</f>
        <v>0</v>
      </c>
      <c r="H108" s="1187">
        <f>SUMIF(Facturas!$B$9:$B$79,B108,Facturas!$I$9:$I$79)</f>
        <v>0</v>
      </c>
      <c r="I108" s="1187">
        <f>SUMIF(Facturas!$B$9:$B$79,B108,Facturas!$J$9:$J$79)</f>
        <v>0</v>
      </c>
      <c r="J108" s="1138">
        <f>SUMIF(Facturas!$B$9:$B$79,B108,Facturas!$K$9:$K$79)</f>
        <v>0</v>
      </c>
      <c r="K108" s="1193"/>
      <c r="L108" s="1449">
        <f>IF(J108&gt;0,0,SUMIF('Cuentas de Cobro'!$B$9:$B$216,B108,'Cuentas de Cobro'!$F$9:$F$216))</f>
        <v>1060000</v>
      </c>
      <c r="M108" s="1677"/>
      <c r="N108" s="1556">
        <f t="shared" si="8"/>
        <v>1060000</v>
      </c>
      <c r="O108" s="1101"/>
      <c r="P108" s="1529"/>
      <c r="Q108" s="8"/>
      <c r="R108" s="697" t="s">
        <v>295</v>
      </c>
    </row>
    <row r="109" spans="1:18" x14ac:dyDescent="0.2">
      <c r="A109" s="1184">
        <f t="shared" si="11"/>
        <v>100</v>
      </c>
      <c r="B109" s="1433" t="s">
        <v>652</v>
      </c>
      <c r="C109" s="1420">
        <v>10192638</v>
      </c>
      <c r="D109" s="1186">
        <f t="shared" si="10"/>
        <v>8</v>
      </c>
      <c r="E109" s="1185">
        <f>_xlfn.XLOOKUP(B109,Códigos!$B$8:$B$406,Códigos!$A$8:$A$406,"Verificar",0)</f>
        <v>256</v>
      </c>
      <c r="F109" s="1527">
        <f>SUMIF(Facturas!$B$9:$B$79,B109,Facturas!$F$9:$F$79)</f>
        <v>0</v>
      </c>
      <c r="G109" s="1138">
        <f>SUMIF(Facturas!$B$9:$B$79,B109,Facturas!$G$9:$G$79)</f>
        <v>0</v>
      </c>
      <c r="H109" s="1187">
        <f>SUMIF(Facturas!$B$9:$B$79,B109,Facturas!$I$9:$I$79)</f>
        <v>0</v>
      </c>
      <c r="I109" s="1187">
        <f>SUMIF(Facturas!$B$9:$B$79,B109,Facturas!$J$9:$J$79)</f>
        <v>0</v>
      </c>
      <c r="J109" s="1138">
        <f>SUMIF(Facturas!$B$9:$B$79,B109,Facturas!$K$9:$K$79)</f>
        <v>0</v>
      </c>
      <c r="K109" s="1193"/>
      <c r="L109" s="1449">
        <f>IF(J109&gt;0,0,SUMIF('Cuentas de Cobro'!$B$9:$B$216,B109,'Cuentas de Cobro'!$F$9:$F$216))</f>
        <v>0</v>
      </c>
      <c r="M109" s="1677"/>
      <c r="N109" s="1556">
        <f t="shared" ref="N109" si="16">+J109+L109</f>
        <v>0</v>
      </c>
      <c r="O109" s="1101"/>
      <c r="P109" s="1529"/>
      <c r="Q109" s="8"/>
      <c r="R109" s="1384" t="s">
        <v>654</v>
      </c>
    </row>
    <row r="110" spans="1:18" x14ac:dyDescent="0.2">
      <c r="A110" s="1184">
        <f t="shared" si="11"/>
        <v>101</v>
      </c>
      <c r="B110" s="1491" t="s">
        <v>74</v>
      </c>
      <c r="C110" s="1420">
        <v>71776283</v>
      </c>
      <c r="D110" s="1186">
        <f t="shared" si="10"/>
        <v>6</v>
      </c>
      <c r="E110" s="1678">
        <f>_xlfn.XLOOKUP(B110,Códigos!$B$8:$B$406,Códigos!$A$8:$A$406,"Verificar",0)</f>
        <v>242</v>
      </c>
      <c r="F110" s="1527">
        <f>SUMIF(Facturas!$B$9:$B$79,B110,Facturas!$F$9:$F$79)</f>
        <v>0</v>
      </c>
      <c r="G110" s="1138">
        <f>SUMIF(Facturas!$B$9:$B$79,B110,Facturas!$G$9:$G$79)</f>
        <v>0</v>
      </c>
      <c r="H110" s="1187">
        <f>SUMIF(Facturas!$B$9:$B$79,B110,Facturas!$I$9:$I$79)</f>
        <v>0</v>
      </c>
      <c r="I110" s="1187">
        <f>SUMIF(Facturas!$B$9:$B$79,B110,Facturas!$J$9:$J$79)</f>
        <v>0</v>
      </c>
      <c r="J110" s="1138">
        <f>SUMIF(Facturas!$B$9:$B$79,B110,Facturas!$K$9:$K$79)</f>
        <v>0</v>
      </c>
      <c r="K110" s="1193"/>
      <c r="L110" s="1449">
        <f>IF(J110&gt;0,0,SUMIF('Cuentas de Cobro'!$B$9:$B$216,B110,'Cuentas de Cobro'!$F$9:$F$216))</f>
        <v>470000</v>
      </c>
      <c r="M110" s="1677"/>
      <c r="N110" s="1556">
        <f t="shared" si="8"/>
        <v>470000</v>
      </c>
      <c r="O110" s="1101"/>
      <c r="P110" s="1529"/>
      <c r="Q110" s="8"/>
      <c r="R110" s="697" t="s">
        <v>74</v>
      </c>
    </row>
    <row r="111" spans="1:18" x14ac:dyDescent="0.2">
      <c r="A111" s="1184">
        <f t="shared" si="11"/>
        <v>102</v>
      </c>
      <c r="B111" s="1097" t="s">
        <v>75</v>
      </c>
      <c r="C111" s="1420">
        <v>32408192</v>
      </c>
      <c r="D111" s="1186">
        <f t="shared" si="10"/>
        <v>5</v>
      </c>
      <c r="E111" s="1185">
        <f>_xlfn.XLOOKUP(B111,Códigos!$B$8:$B$406,Códigos!$A$8:$A$406,"Verificar",0)</f>
        <v>248</v>
      </c>
      <c r="F111" s="1527">
        <f>SUMIF(Facturas!$B$9:$B$79,B111,Facturas!$F$9:$F$79)</f>
        <v>0</v>
      </c>
      <c r="G111" s="1138">
        <f>SUMIF(Facturas!$B$9:$B$79,B111,Facturas!$G$9:$G$79)</f>
        <v>0</v>
      </c>
      <c r="H111" s="1187">
        <f>SUMIF(Facturas!$B$9:$B$79,B111,Facturas!$I$9:$I$79)</f>
        <v>0</v>
      </c>
      <c r="I111" s="1187">
        <f>SUMIF(Facturas!$B$9:$B$79,B111,Facturas!$J$9:$J$79)</f>
        <v>0</v>
      </c>
      <c r="J111" s="1138">
        <f>SUMIF(Facturas!$B$9:$B$79,B111,Facturas!$K$9:$K$79)</f>
        <v>0</v>
      </c>
      <c r="K111" s="1193"/>
      <c r="L111" s="1449">
        <f>IF(J111&gt;0,0,SUMIF('Cuentas de Cobro'!$B$9:$B$216,B111,'Cuentas de Cobro'!$F$9:$F$216))</f>
        <v>260000</v>
      </c>
      <c r="M111" s="1677"/>
      <c r="N111" s="1556">
        <f t="shared" si="8"/>
        <v>260000</v>
      </c>
      <c r="O111" s="1101"/>
      <c r="P111" s="1529"/>
      <c r="Q111" s="8"/>
      <c r="R111" s="1439" t="s">
        <v>812</v>
      </c>
    </row>
    <row r="112" spans="1:18" x14ac:dyDescent="0.2">
      <c r="A112" s="1184">
        <f t="shared" si="11"/>
        <v>103</v>
      </c>
      <c r="B112" s="1694" t="s">
        <v>329</v>
      </c>
      <c r="C112" s="1695">
        <v>42962503</v>
      </c>
      <c r="D112" s="1685">
        <f t="shared" si="10"/>
        <v>3</v>
      </c>
      <c r="E112" s="1686">
        <f>_xlfn.XLOOKUP(B112,Códigos!$B$8:$B$406,Códigos!$A$8:$A$406,"Verificar",0)</f>
        <v>251</v>
      </c>
      <c r="F112" s="1687">
        <f>SUMIF(Facturas!$B$9:$B$79,B112,Facturas!$F$9:$F$79)</f>
        <v>0</v>
      </c>
      <c r="G112" s="1210">
        <f>SUMIF(Facturas!$B$9:$B$79,B112,Facturas!$G$9:$G$79)</f>
        <v>0</v>
      </c>
      <c r="H112" s="1473">
        <f>SUMIF(Facturas!$B$9:$B$79,B112,Facturas!$I$9:$I$79)</f>
        <v>0</v>
      </c>
      <c r="I112" s="1473">
        <f>SUMIF(Facturas!$B$9:$B$79,B112,Facturas!$J$9:$J$79)</f>
        <v>0</v>
      </c>
      <c r="J112" s="1210">
        <f>SUMIF(Facturas!$B$9:$B$79,B112,Facturas!$K$9:$K$79)</f>
        <v>0</v>
      </c>
      <c r="K112" s="1688"/>
      <c r="L112" s="1696">
        <f>IF(J112&gt;0,0,SUMIF('Cuentas de Cobro'!$B$9:$B$216,B112,'Cuentas de Cobro'!$F$9:$F$216))</f>
        <v>0</v>
      </c>
      <c r="M112" s="1697"/>
      <c r="N112" s="1660">
        <f t="shared" si="8"/>
        <v>0</v>
      </c>
      <c r="O112" s="1690"/>
      <c r="P112" s="1691"/>
      <c r="Q112" s="8"/>
      <c r="R112" s="1379" t="s">
        <v>805</v>
      </c>
    </row>
    <row r="113" spans="1:18" x14ac:dyDescent="0.2">
      <c r="A113" s="1184">
        <f t="shared" si="11"/>
        <v>104</v>
      </c>
      <c r="B113" s="1694" t="s">
        <v>660</v>
      </c>
      <c r="C113" s="1695">
        <v>42760284</v>
      </c>
      <c r="D113" s="1685">
        <f t="shared" si="10"/>
        <v>8</v>
      </c>
      <c r="E113" s="1686">
        <f>_xlfn.XLOOKUP(B113,Códigos!$B$8:$B$406,Códigos!$A$8:$A$406,"Verificar",0)</f>
        <v>261</v>
      </c>
      <c r="F113" s="1687">
        <f>SUMIF(Facturas!$B$9:$B$79,B113,Facturas!$F$9:$F$79)</f>
        <v>0</v>
      </c>
      <c r="G113" s="1210">
        <f>SUMIF(Facturas!$B$9:$B$79,B113,Facturas!$G$9:$G$79)</f>
        <v>0</v>
      </c>
      <c r="H113" s="1473">
        <f>SUMIF(Facturas!$B$9:$B$79,B113,Facturas!$I$9:$I$79)</f>
        <v>0</v>
      </c>
      <c r="I113" s="1473">
        <f>SUMIF(Facturas!$B$9:$B$79,B113,Facturas!$J$9:$J$79)</f>
        <v>0</v>
      </c>
      <c r="J113" s="1210">
        <f>SUMIF(Facturas!$B$9:$B$79,B113,Facturas!$K$9:$K$79)</f>
        <v>0</v>
      </c>
      <c r="K113" s="1688"/>
      <c r="L113" s="1696">
        <f>IF(J113&gt;0,0,SUMIF('Cuentas de Cobro'!$B$9:$B$216,B113,'Cuentas de Cobro'!$F$9:$F$216))</f>
        <v>0</v>
      </c>
      <c r="M113" s="1697"/>
      <c r="N113" s="1660">
        <f t="shared" si="8"/>
        <v>0</v>
      </c>
      <c r="O113" s="1690"/>
      <c r="P113" s="1691"/>
      <c r="Q113" s="8"/>
      <c r="R113" s="1379" t="s">
        <v>805</v>
      </c>
    </row>
    <row r="114" spans="1:18" x14ac:dyDescent="0.2">
      <c r="A114" s="1184">
        <f t="shared" si="11"/>
        <v>105</v>
      </c>
      <c r="B114" s="1097" t="s">
        <v>76</v>
      </c>
      <c r="C114" s="1420">
        <v>1040182444</v>
      </c>
      <c r="D114" s="1186">
        <f t="shared" si="10"/>
        <v>3</v>
      </c>
      <c r="E114" s="1185">
        <f>_xlfn.XLOOKUP(B114,Códigos!$B$8:$B$406,Códigos!$A$8:$A$406,"Verificar",0)</f>
        <v>118</v>
      </c>
      <c r="F114" s="1527">
        <f>SUMIF(Facturas!$B$9:$B$79,B114,Facturas!$F$9:$F$79)</f>
        <v>0</v>
      </c>
      <c r="G114" s="1138">
        <f>SUMIF(Facturas!$B$9:$B$79,B114,Facturas!$G$9:$G$79)</f>
        <v>0</v>
      </c>
      <c r="H114" s="1187">
        <f>SUMIF(Facturas!$B$9:$B$79,B114,Facturas!$I$9:$I$79)</f>
        <v>0</v>
      </c>
      <c r="I114" s="1187">
        <f>SUMIF(Facturas!$B$9:$B$79,B114,Facturas!$J$9:$J$79)</f>
        <v>0</v>
      </c>
      <c r="J114" s="1138">
        <f>SUMIF(Facturas!$B$9:$B$79,B114,Facturas!$K$9:$K$79)</f>
        <v>0</v>
      </c>
      <c r="K114" s="1193"/>
      <c r="L114" s="1449">
        <f>IF(J114&gt;0,0,SUMIF('Cuentas de Cobro'!$B$9:$B$216,B114,'Cuentas de Cobro'!$F$9:$F$216))</f>
        <v>360000</v>
      </c>
      <c r="M114" s="1677"/>
      <c r="N114" s="1556">
        <f t="shared" si="8"/>
        <v>360000</v>
      </c>
      <c r="O114" s="1101"/>
      <c r="P114" s="1529"/>
      <c r="Q114" s="8"/>
      <c r="R114" s="697" t="s">
        <v>76</v>
      </c>
    </row>
    <row r="115" spans="1:18" x14ac:dyDescent="0.2">
      <c r="A115" s="1184">
        <f t="shared" si="11"/>
        <v>106</v>
      </c>
      <c r="B115" s="1097" t="s">
        <v>77</v>
      </c>
      <c r="C115" s="1420">
        <v>71557380</v>
      </c>
      <c r="D115" s="1186">
        <f t="shared" si="10"/>
        <v>3</v>
      </c>
      <c r="E115" s="1185">
        <f>_xlfn.XLOOKUP(B115,Códigos!$B$8:$B$406,Códigos!$A$8:$A$406,"Verificar",0)</f>
        <v>275</v>
      </c>
      <c r="F115" s="1527">
        <f>SUMIF(Facturas!$B$9:$B$79,B115,Facturas!$F$9:$F$79)</f>
        <v>0</v>
      </c>
      <c r="G115" s="1138">
        <f>SUMIF(Facturas!$B$9:$B$79,B115,Facturas!$G$9:$G$79)</f>
        <v>0</v>
      </c>
      <c r="H115" s="1187">
        <f>SUMIF(Facturas!$B$9:$B$79,B115,Facturas!$I$9:$I$79)</f>
        <v>0</v>
      </c>
      <c r="I115" s="1187">
        <f>SUMIF(Facturas!$B$9:$B$79,B115,Facturas!$J$9:$J$79)</f>
        <v>0</v>
      </c>
      <c r="J115" s="1138">
        <f>SUMIF(Facturas!$B$9:$B$79,B115,Facturas!$K$9:$K$79)</f>
        <v>0</v>
      </c>
      <c r="K115" s="1193"/>
      <c r="L115" s="1449">
        <f>IF(J115&gt;0,0,SUMIF('Cuentas de Cobro'!$B$9:$B$216,B115,'Cuentas de Cobro'!$F$9:$F$216))</f>
        <v>360000</v>
      </c>
      <c r="M115" s="1677"/>
      <c r="N115" s="1556">
        <f t="shared" ref="N115" si="17">+J115+L115</f>
        <v>360000</v>
      </c>
      <c r="O115" s="1101"/>
      <c r="P115" s="1529"/>
      <c r="Q115" s="8"/>
      <c r="R115" s="697" t="s">
        <v>77</v>
      </c>
    </row>
    <row r="116" spans="1:18" x14ac:dyDescent="0.2">
      <c r="A116" s="1184">
        <f t="shared" si="11"/>
        <v>107</v>
      </c>
      <c r="B116" s="1097" t="s">
        <v>79</v>
      </c>
      <c r="C116" s="1420">
        <v>43166841</v>
      </c>
      <c r="D116" s="1186">
        <f t="shared" si="10"/>
        <v>7</v>
      </c>
      <c r="E116" s="1185">
        <f>_xlfn.XLOOKUP(B116,Códigos!$B$8:$B$406,Códigos!$A$8:$A$406,"Verificar",0)</f>
        <v>119</v>
      </c>
      <c r="F116" s="1527">
        <f>SUMIF(Facturas!$B$9:$B$79,B116,Facturas!$F$9:$F$79)</f>
        <v>0</v>
      </c>
      <c r="G116" s="1138">
        <f>SUMIF(Facturas!$B$9:$B$79,B116,Facturas!$G$9:$G$79)</f>
        <v>0</v>
      </c>
      <c r="H116" s="1187">
        <f>SUMIF(Facturas!$B$9:$B$79,B116,Facturas!$I$9:$I$79)</f>
        <v>0</v>
      </c>
      <c r="I116" s="1187">
        <f>SUMIF(Facturas!$B$9:$B$79,B116,Facturas!$J$9:$J$79)</f>
        <v>0</v>
      </c>
      <c r="J116" s="1138">
        <f>SUMIF(Facturas!$B$9:$B$79,B116,Facturas!$K$9:$K$79)</f>
        <v>0</v>
      </c>
      <c r="K116" s="1193"/>
      <c r="L116" s="1449">
        <f>IF(J116&gt;0,0,SUMIF('Cuentas de Cobro'!$B$9:$B$216,B116,'Cuentas de Cobro'!$F$9:$F$216))</f>
        <v>330000</v>
      </c>
      <c r="M116" s="1677"/>
      <c r="N116" s="1556">
        <f t="shared" si="8"/>
        <v>330000</v>
      </c>
      <c r="O116" s="1101"/>
      <c r="P116" s="1529"/>
      <c r="Q116" s="8"/>
      <c r="R116" s="697" t="s">
        <v>79</v>
      </c>
    </row>
    <row r="117" spans="1:18" x14ac:dyDescent="0.2">
      <c r="A117" s="1184">
        <f t="shared" si="11"/>
        <v>108</v>
      </c>
      <c r="B117" s="1097" t="s">
        <v>242</v>
      </c>
      <c r="C117" s="1420">
        <v>20270143</v>
      </c>
      <c r="D117" s="1186">
        <f t="shared" si="10"/>
        <v>5</v>
      </c>
      <c r="E117" s="1185">
        <f>_xlfn.XLOOKUP(B117,Códigos!$B$8:$B$406,Códigos!$A$8:$A$406,"Verificar",0)</f>
        <v>315</v>
      </c>
      <c r="F117" s="1527">
        <f>SUMIF(Facturas!$B$9:$B$79,B117,Facturas!$F$9:$F$79)</f>
        <v>0</v>
      </c>
      <c r="G117" s="1138">
        <f>SUMIF(Facturas!$B$9:$B$79,B117,Facturas!$G$9:$G$79)</f>
        <v>0</v>
      </c>
      <c r="H117" s="1187">
        <f>SUMIF(Facturas!$B$9:$B$79,B117,Facturas!$I$9:$I$79)</f>
        <v>0</v>
      </c>
      <c r="I117" s="1187">
        <f>SUMIF(Facturas!$B$9:$B$79,B117,Facturas!$J$9:$J$79)</f>
        <v>0</v>
      </c>
      <c r="J117" s="1138">
        <f>SUMIF(Facturas!$B$9:$B$79,B117,Facturas!$K$9:$K$79)</f>
        <v>0</v>
      </c>
      <c r="K117" s="1193"/>
      <c r="L117" s="1449">
        <f>IF(J117&gt;0,0,SUMIF('Cuentas de Cobro'!$B$9:$B$216,B117,'Cuentas de Cobro'!$F$9:$F$216))</f>
        <v>500000</v>
      </c>
      <c r="M117" s="1677"/>
      <c r="N117" s="1556">
        <f t="shared" si="8"/>
        <v>500000</v>
      </c>
      <c r="O117" s="1101"/>
      <c r="P117" s="1529"/>
      <c r="Q117" s="8"/>
      <c r="R117" s="1432" t="s">
        <v>242</v>
      </c>
    </row>
    <row r="118" spans="1:18" x14ac:dyDescent="0.2">
      <c r="A118" s="1184">
        <f t="shared" si="11"/>
        <v>109</v>
      </c>
      <c r="B118" s="1097" t="s">
        <v>649</v>
      </c>
      <c r="C118" s="1420">
        <v>1036958916</v>
      </c>
      <c r="D118" s="1186">
        <f t="shared" si="10"/>
        <v>5</v>
      </c>
      <c r="E118" s="1185">
        <f>_xlfn.XLOOKUP(B118,Códigos!$B$8:$B$406,Códigos!$A$8:$A$406,"Verificar",0)</f>
        <v>230</v>
      </c>
      <c r="F118" s="1527">
        <f>SUMIF(Facturas!$B$9:$B$79,B118,Facturas!$F$9:$F$79)</f>
        <v>0</v>
      </c>
      <c r="G118" s="1138">
        <f>SUMIF(Facturas!$B$9:$B$79,B118,Facturas!$G$9:$G$79)</f>
        <v>0</v>
      </c>
      <c r="H118" s="1187">
        <f>SUMIF(Facturas!$B$9:$B$79,B118,Facturas!$I$9:$I$79)</f>
        <v>0</v>
      </c>
      <c r="I118" s="1187">
        <f>SUMIF(Facturas!$B$9:$B$79,B118,Facturas!$J$9:$J$79)</f>
        <v>0</v>
      </c>
      <c r="J118" s="1138">
        <f>SUMIF(Facturas!$B$9:$B$79,B118,Facturas!$K$9:$K$79)</f>
        <v>0</v>
      </c>
      <c r="K118" s="1193"/>
      <c r="L118" s="1449">
        <f>IF(J118&gt;0,0,SUMIF('Cuentas de Cobro'!$B$9:$B$216,B118,'Cuentas de Cobro'!$F$9:$F$216))</f>
        <v>300000</v>
      </c>
      <c r="M118" s="1677"/>
      <c r="N118" s="1556">
        <f t="shared" si="8"/>
        <v>300000</v>
      </c>
      <c r="O118" s="1101"/>
      <c r="P118" s="1529"/>
      <c r="Q118" s="8"/>
      <c r="R118" s="357" t="s">
        <v>649</v>
      </c>
    </row>
    <row r="119" spans="1:18" x14ac:dyDescent="0.2">
      <c r="A119" s="1184">
        <f t="shared" si="11"/>
        <v>110</v>
      </c>
      <c r="B119" s="631" t="s">
        <v>243</v>
      </c>
      <c r="C119" s="1420">
        <v>42872098</v>
      </c>
      <c r="D119" s="1186">
        <f t="shared" si="10"/>
        <v>5</v>
      </c>
      <c r="E119" s="1185">
        <f>_xlfn.XLOOKUP(B119,Códigos!$B$8:$B$406,Códigos!$A$8:$A$406,"Verificar",0)</f>
        <v>259</v>
      </c>
      <c r="F119" s="1527">
        <f>SUMIF(Facturas!$B$9:$B$79,B119,Facturas!$F$9:$F$79)</f>
        <v>0</v>
      </c>
      <c r="G119" s="1138">
        <f>SUMIF(Facturas!$B$9:$B$79,B119,Facturas!$G$9:$G$79)</f>
        <v>0</v>
      </c>
      <c r="H119" s="1187">
        <f>SUMIF(Facturas!$B$9:$B$79,B119,Facturas!$I$9:$I$79)</f>
        <v>0</v>
      </c>
      <c r="I119" s="1187">
        <f>SUMIF(Facturas!$B$9:$B$79,B119,Facturas!$J$9:$J$79)</f>
        <v>0</v>
      </c>
      <c r="J119" s="1138">
        <f>SUMIF(Facturas!$B$9:$B$79,B119,Facturas!$K$9:$K$79)</f>
        <v>0</v>
      </c>
      <c r="K119" s="1193"/>
      <c r="L119" s="1449">
        <f>IF(J119&gt;0,0,SUMIF('Cuentas de Cobro'!$B$9:$B$216,B119,'Cuentas de Cobro'!$F$9:$F$216))</f>
        <v>500000</v>
      </c>
      <c r="M119" s="1677"/>
      <c r="N119" s="1556">
        <f t="shared" si="8"/>
        <v>500000</v>
      </c>
      <c r="O119" s="1101"/>
      <c r="P119" s="1529"/>
      <c r="Q119" s="8"/>
      <c r="R119" s="697" t="s">
        <v>243</v>
      </c>
    </row>
    <row r="120" spans="1:18" x14ac:dyDescent="0.2">
      <c r="A120" s="1184">
        <f t="shared" si="11"/>
        <v>111</v>
      </c>
      <c r="B120" s="1097" t="s">
        <v>83</v>
      </c>
      <c r="C120" s="1420">
        <v>21331840</v>
      </c>
      <c r="D120" s="1186">
        <f t="shared" si="10"/>
        <v>7</v>
      </c>
      <c r="E120" s="1185">
        <f>_xlfn.XLOOKUP(B120,Códigos!$B$8:$B$406,Códigos!$A$8:$A$406,"Verificar",0)</f>
        <v>122</v>
      </c>
      <c r="F120" s="1527">
        <f>SUMIF(Facturas!$B$9:$B$79,B120,Facturas!$F$9:$F$79)</f>
        <v>0</v>
      </c>
      <c r="G120" s="1138">
        <f>SUMIF(Facturas!$B$9:$B$79,B120,Facturas!$G$9:$G$79)</f>
        <v>0</v>
      </c>
      <c r="H120" s="1187">
        <f>SUMIF(Facturas!$B$9:$B$79,B120,Facturas!$I$9:$I$79)</f>
        <v>0</v>
      </c>
      <c r="I120" s="1187">
        <f>SUMIF(Facturas!$B$9:$B$79,B120,Facturas!$J$9:$J$79)</f>
        <v>0</v>
      </c>
      <c r="J120" s="1138">
        <f>SUMIF(Facturas!$B$9:$B$79,B120,Facturas!$K$9:$K$79)</f>
        <v>0</v>
      </c>
      <c r="K120" s="1193"/>
      <c r="L120" s="1449">
        <f>IF(J120&gt;0,0,SUMIF('Cuentas de Cobro'!$B$9:$B$216,B120,'Cuentas de Cobro'!$F$9:$F$216))</f>
        <v>720000</v>
      </c>
      <c r="M120" s="1677"/>
      <c r="N120" s="1556">
        <f t="shared" si="8"/>
        <v>720000</v>
      </c>
      <c r="O120" s="1101"/>
      <c r="P120" s="1529"/>
      <c r="Q120" s="8"/>
      <c r="R120" s="697" t="s">
        <v>83</v>
      </c>
    </row>
    <row r="121" spans="1:18" x14ac:dyDescent="0.2">
      <c r="A121" s="1184">
        <f t="shared" si="11"/>
        <v>112</v>
      </c>
      <c r="B121" s="1097" t="s">
        <v>400</v>
      </c>
      <c r="C121" s="1420">
        <v>1036609920</v>
      </c>
      <c r="D121" s="1186">
        <f t="shared" si="10"/>
        <v>9</v>
      </c>
      <c r="E121" s="1185">
        <f>_xlfn.XLOOKUP(B121,Códigos!$B$8:$B$406,Códigos!$A$8:$A$406,"Verificar",0)</f>
        <v>58</v>
      </c>
      <c r="F121" s="1527">
        <f>SUMIF(Facturas!$B$9:$B$79,B121,Facturas!$F$9:$F$79)</f>
        <v>0</v>
      </c>
      <c r="G121" s="1138">
        <f>SUMIF(Facturas!$B$9:$B$79,B121,Facturas!$G$9:$G$79)</f>
        <v>0</v>
      </c>
      <c r="H121" s="1187">
        <f>SUMIF(Facturas!$B$9:$B$79,B121,Facturas!$I$9:$I$79)</f>
        <v>0</v>
      </c>
      <c r="I121" s="1187">
        <f>SUMIF(Facturas!$B$9:$B$79,B121,Facturas!$J$9:$J$79)</f>
        <v>0</v>
      </c>
      <c r="J121" s="1138">
        <f>SUMIF(Facturas!$B$9:$B$79,B121,Facturas!$K$9:$K$79)</f>
        <v>0</v>
      </c>
      <c r="K121" s="1193"/>
      <c r="L121" s="1449">
        <f>IF(J121&gt;0,0,SUMIF('Cuentas de Cobro'!$B$9:$B$216,B121,'Cuentas de Cobro'!$F$9:$F$216))</f>
        <v>0</v>
      </c>
      <c r="M121" s="1677"/>
      <c r="N121" s="1556">
        <f t="shared" si="8"/>
        <v>0</v>
      </c>
      <c r="O121" s="1101"/>
      <c r="P121" s="1529"/>
      <c r="Q121" s="8"/>
      <c r="R121" s="697" t="s">
        <v>400</v>
      </c>
    </row>
    <row r="122" spans="1:18" x14ac:dyDescent="0.2">
      <c r="A122" s="1184">
        <f t="shared" si="11"/>
        <v>113</v>
      </c>
      <c r="B122" s="1097" t="s">
        <v>486</v>
      </c>
      <c r="C122" s="1420">
        <v>1040746114</v>
      </c>
      <c r="D122" s="1186">
        <f t="shared" si="10"/>
        <v>1</v>
      </c>
      <c r="E122" s="1185">
        <f>_xlfn.XLOOKUP(B122,Códigos!$B$8:$B$406,Códigos!$A$8:$A$406,"Verificar",0)</f>
        <v>162</v>
      </c>
      <c r="F122" s="1527">
        <f>SUMIF(Facturas!$B$9:$B$79,B122,Facturas!$F$9:$F$79)</f>
        <v>0</v>
      </c>
      <c r="G122" s="1138">
        <f>SUMIF(Facturas!$B$9:$B$79,B122,Facturas!$G$9:$G$79)</f>
        <v>0</v>
      </c>
      <c r="H122" s="1187">
        <f>SUMIF(Facturas!$B$9:$B$79,B122,Facturas!$I$9:$I$79)</f>
        <v>0</v>
      </c>
      <c r="I122" s="1187">
        <f>SUMIF(Facturas!$B$9:$B$79,B122,Facturas!$J$9:$J$79)</f>
        <v>0</v>
      </c>
      <c r="J122" s="1138">
        <f>SUMIF(Facturas!$B$9:$B$79,B122,Facturas!$K$9:$K$79)</f>
        <v>0</v>
      </c>
      <c r="K122" s="1193"/>
      <c r="L122" s="1449">
        <f>IF(J122&gt;0,0,SUMIF('Cuentas de Cobro'!$B$9:$B$216,B122,'Cuentas de Cobro'!$F$9:$F$216))</f>
        <v>240000</v>
      </c>
      <c r="M122" s="1677"/>
      <c r="N122" s="1556">
        <f t="shared" si="8"/>
        <v>240000</v>
      </c>
      <c r="O122" s="1101"/>
      <c r="P122" s="1529"/>
      <c r="Q122" s="8"/>
      <c r="R122" s="697" t="s">
        <v>486</v>
      </c>
    </row>
    <row r="123" spans="1:18" x14ac:dyDescent="0.2">
      <c r="A123" s="1184">
        <f t="shared" si="11"/>
        <v>114</v>
      </c>
      <c r="B123" s="1097" t="s">
        <v>354</v>
      </c>
      <c r="C123" s="1420">
        <v>71587495</v>
      </c>
      <c r="D123" s="1186">
        <f t="shared" si="10"/>
        <v>1</v>
      </c>
      <c r="E123" s="1185">
        <f>_xlfn.XLOOKUP(B123,Códigos!$B$8:$B$406,Códigos!$A$8:$A$406,"Verificar",0)</f>
        <v>123</v>
      </c>
      <c r="F123" s="1527">
        <f>SUMIF(Facturas!$B$9:$B$79,B123,Facturas!$F$9:$F$79)</f>
        <v>0</v>
      </c>
      <c r="G123" s="1138">
        <f>SUMIF(Facturas!$B$9:$B$79,B123,Facturas!$G$9:$G$79)</f>
        <v>0</v>
      </c>
      <c r="H123" s="1187">
        <f>SUMIF(Facturas!$B$9:$B$79,B123,Facturas!$I$9:$I$79)</f>
        <v>0</v>
      </c>
      <c r="I123" s="1187">
        <f>SUMIF(Facturas!$B$9:$B$79,B123,Facturas!$J$9:$J$79)</f>
        <v>0</v>
      </c>
      <c r="J123" s="1138">
        <f>SUMIF(Facturas!$B$9:$B$79,B123,Facturas!$K$9:$K$79)</f>
        <v>0</v>
      </c>
      <c r="K123" s="1193"/>
      <c r="L123" s="1449">
        <f>IF(J123&gt;0,0,SUMIF('Cuentas de Cobro'!$B$9:$B$216,B123,'Cuentas de Cobro'!$F$9:$F$216))</f>
        <v>6000000</v>
      </c>
      <c r="M123" s="1677"/>
      <c r="N123" s="1556">
        <f t="shared" si="8"/>
        <v>6000000</v>
      </c>
      <c r="O123" s="1101"/>
      <c r="P123" s="1529"/>
      <c r="Q123" s="8"/>
      <c r="R123" s="1432" t="s">
        <v>354</v>
      </c>
    </row>
    <row r="124" spans="1:18" x14ac:dyDescent="0.2">
      <c r="A124" s="1184">
        <f t="shared" si="11"/>
        <v>115</v>
      </c>
      <c r="B124" s="1097" t="s">
        <v>323</v>
      </c>
      <c r="C124" s="1420">
        <v>32409980</v>
      </c>
      <c r="D124" s="1186">
        <f t="shared" si="10"/>
        <v>7</v>
      </c>
      <c r="E124" s="1185">
        <f>_xlfn.XLOOKUP(B124,Códigos!$B$8:$B$406,Códigos!$A$8:$A$406,"Verificar",0)</f>
        <v>345</v>
      </c>
      <c r="F124" s="1527">
        <f>SUMIF(Facturas!$B$9:$B$79,B124,Facturas!$F$9:$F$79)</f>
        <v>0</v>
      </c>
      <c r="G124" s="1138">
        <f>SUMIF(Facturas!$B$9:$B$79,B124,Facturas!$G$9:$G$79)</f>
        <v>0</v>
      </c>
      <c r="H124" s="1187">
        <f>SUMIF(Facturas!$B$9:$B$79,B124,Facturas!$I$9:$I$79)</f>
        <v>0</v>
      </c>
      <c r="I124" s="1187">
        <f>SUMIF(Facturas!$B$9:$B$79,B124,Facturas!$J$9:$J$79)</f>
        <v>0</v>
      </c>
      <c r="J124" s="1138">
        <f>SUMIF(Facturas!$B$9:$B$79,B124,Facturas!$K$9:$K$79)</f>
        <v>0</v>
      </c>
      <c r="K124" s="1193"/>
      <c r="L124" s="1449">
        <f>IF(J124&gt;0,0,SUMIF('Cuentas de Cobro'!$B$9:$B$216,B124,'Cuentas de Cobro'!$F$9:$F$216))</f>
        <v>240000</v>
      </c>
      <c r="M124" s="1677"/>
      <c r="N124" s="1556">
        <f t="shared" si="8"/>
        <v>240000</v>
      </c>
      <c r="O124" s="1101"/>
      <c r="P124" s="1529"/>
      <c r="Q124" s="8"/>
      <c r="R124" s="697" t="s">
        <v>323</v>
      </c>
    </row>
    <row r="125" spans="1:18" x14ac:dyDescent="0.2">
      <c r="A125" s="1184">
        <f t="shared" si="11"/>
        <v>116</v>
      </c>
      <c r="B125" s="1097" t="s">
        <v>327</v>
      </c>
      <c r="C125" s="1420">
        <v>8162809</v>
      </c>
      <c r="D125" s="1186">
        <f t="shared" si="10"/>
        <v>5</v>
      </c>
      <c r="E125" s="1185">
        <f>_xlfn.XLOOKUP(B125,Códigos!$B$8:$B$406,Códigos!$A$8:$A$406,"Verificar",0)</f>
        <v>350</v>
      </c>
      <c r="F125" s="1527">
        <f>SUMIF(Facturas!$B$9:$B$79,B125,Facturas!$F$9:$F$79)</f>
        <v>0</v>
      </c>
      <c r="G125" s="1138">
        <f>SUMIF(Facturas!$B$9:$B$79,B125,Facturas!$G$9:$G$79)</f>
        <v>0</v>
      </c>
      <c r="H125" s="1187">
        <f>SUMIF(Facturas!$B$9:$B$79,B125,Facturas!$I$9:$I$79)</f>
        <v>0</v>
      </c>
      <c r="I125" s="1187">
        <f>SUMIF(Facturas!$B$9:$B$79,B125,Facturas!$J$9:$J$79)</f>
        <v>0</v>
      </c>
      <c r="J125" s="1138">
        <f>SUMIF(Facturas!$B$9:$B$79,B125,Facturas!$K$9:$K$79)</f>
        <v>0</v>
      </c>
      <c r="K125" s="1193"/>
      <c r="L125" s="1449">
        <f>IF(J125&gt;0,0,SUMIF('Cuentas de Cobro'!$B$9:$B$216,B125,'Cuentas de Cobro'!$F$9:$F$216))</f>
        <v>2090000</v>
      </c>
      <c r="M125" s="1677"/>
      <c r="N125" s="1556">
        <f t="shared" si="8"/>
        <v>2090000</v>
      </c>
      <c r="O125" s="1101"/>
      <c r="P125" s="1529"/>
      <c r="Q125" s="8"/>
      <c r="R125" s="694" t="s">
        <v>327</v>
      </c>
    </row>
    <row r="126" spans="1:18" x14ac:dyDescent="0.2">
      <c r="A126" s="1184">
        <f t="shared" si="11"/>
        <v>117</v>
      </c>
      <c r="B126" s="1097" t="s">
        <v>325</v>
      </c>
      <c r="C126" s="1420">
        <v>43220534</v>
      </c>
      <c r="D126" s="1186">
        <f t="shared" si="10"/>
        <v>1</v>
      </c>
      <c r="E126" s="1185">
        <f>_xlfn.XLOOKUP(B126,Códigos!$B$8:$B$406,Códigos!$A$8:$A$406,"Verificar",0)</f>
        <v>351</v>
      </c>
      <c r="F126" s="1527">
        <f>SUMIF(Facturas!$B$9:$B$79,B126,Facturas!$F$9:$F$79)</f>
        <v>0</v>
      </c>
      <c r="G126" s="1138">
        <f>SUMIF(Facturas!$B$9:$B$79,B126,Facturas!$G$9:$G$79)</f>
        <v>0</v>
      </c>
      <c r="H126" s="1187">
        <f>SUMIF(Facturas!$B$9:$B$79,B126,Facturas!$I$9:$I$79)</f>
        <v>0</v>
      </c>
      <c r="I126" s="1187">
        <f>SUMIF(Facturas!$B$9:$B$79,B126,Facturas!$J$9:$J$79)</f>
        <v>0</v>
      </c>
      <c r="J126" s="1138">
        <f>SUMIF(Facturas!$B$9:$B$79,B126,Facturas!$K$9:$K$79)</f>
        <v>0</v>
      </c>
      <c r="K126" s="1193"/>
      <c r="L126" s="1449">
        <f>IF(J126&gt;0,0,SUMIF('Cuentas de Cobro'!$B$9:$B$216,B126,'Cuentas de Cobro'!$F$9:$F$216))</f>
        <v>930000</v>
      </c>
      <c r="M126" s="1677"/>
      <c r="N126" s="1556">
        <f t="shared" ref="N126:N175" si="18">+J126+L126</f>
        <v>930000</v>
      </c>
      <c r="O126" s="1101"/>
      <c r="P126" s="1529"/>
      <c r="Q126" s="8"/>
      <c r="R126" s="697" t="s">
        <v>325</v>
      </c>
    </row>
    <row r="127" spans="1:18" x14ac:dyDescent="0.2">
      <c r="A127" s="1184">
        <f t="shared" si="11"/>
        <v>118</v>
      </c>
      <c r="B127" s="1097" t="s">
        <v>664</v>
      </c>
      <c r="C127" s="1420">
        <v>1023302299</v>
      </c>
      <c r="D127" s="1186">
        <f t="shared" si="10"/>
        <v>6</v>
      </c>
      <c r="E127" s="1185">
        <f>_xlfn.XLOOKUP(B127,Códigos!$B$8:$B$406,Códigos!$A$8:$A$406,"Verificar",0)</f>
        <v>247</v>
      </c>
      <c r="F127" s="1527">
        <f>SUMIF(Facturas!$B$9:$B$79,B127,Facturas!$F$9:$F$79)</f>
        <v>0</v>
      </c>
      <c r="G127" s="1138">
        <f>SUMIF(Facturas!$B$9:$B$79,B127,Facturas!$G$9:$G$79)</f>
        <v>0</v>
      </c>
      <c r="H127" s="1187">
        <f>SUMIF(Facturas!$B$9:$B$79,B127,Facturas!$I$9:$I$79)</f>
        <v>0</v>
      </c>
      <c r="I127" s="1187">
        <f>SUMIF(Facturas!$B$9:$B$79,B127,Facturas!$J$9:$J$79)</f>
        <v>0</v>
      </c>
      <c r="J127" s="1138">
        <f>SUMIF(Facturas!$B$9:$B$79,B127,Facturas!$K$9:$K$79)</f>
        <v>0</v>
      </c>
      <c r="K127" s="1193"/>
      <c r="L127" s="1449">
        <f>IF(J127&gt;0,0,SUMIF('Cuentas de Cobro'!$B$9:$B$216,B127,'Cuentas de Cobro'!$F$9:$F$216))</f>
        <v>270000</v>
      </c>
      <c r="M127" s="1677"/>
      <c r="N127" s="1556">
        <f t="shared" si="18"/>
        <v>270000</v>
      </c>
      <c r="O127" s="1101"/>
      <c r="P127" s="1529"/>
      <c r="Q127" s="8"/>
      <c r="R127" s="357" t="s">
        <v>664</v>
      </c>
    </row>
    <row r="128" spans="1:18" x14ac:dyDescent="0.2">
      <c r="A128" s="1184">
        <f t="shared" si="11"/>
        <v>119</v>
      </c>
      <c r="B128" s="1097" t="s">
        <v>326</v>
      </c>
      <c r="C128" s="1420">
        <v>1000717826</v>
      </c>
      <c r="D128" s="1186">
        <f t="shared" si="10"/>
        <v>6</v>
      </c>
      <c r="E128" s="1185">
        <f>_xlfn.XLOOKUP(B128,Códigos!$B$8:$B$406,Códigos!$A$8:$A$406,"Verificar",0)</f>
        <v>26</v>
      </c>
      <c r="F128" s="1527">
        <f>SUMIF(Facturas!$B$9:$B$79,B128,Facturas!$F$9:$F$79)</f>
        <v>0</v>
      </c>
      <c r="G128" s="1138">
        <f>SUMIF(Facturas!$B$9:$B$79,B128,Facturas!$G$9:$G$79)</f>
        <v>0</v>
      </c>
      <c r="H128" s="1187">
        <f>SUMIF(Facturas!$B$9:$B$79,B128,Facturas!$I$9:$I$79)</f>
        <v>0</v>
      </c>
      <c r="I128" s="1187">
        <f>SUMIF(Facturas!$B$9:$B$79,B128,Facturas!$J$9:$J$79)</f>
        <v>0</v>
      </c>
      <c r="J128" s="1138">
        <f>SUMIF(Facturas!$B$9:$B$79,B128,Facturas!$K$9:$K$79)</f>
        <v>0</v>
      </c>
      <c r="K128" s="1193"/>
      <c r="L128" s="1449">
        <f>IF(J128&gt;0,0,SUMIF('Cuentas de Cobro'!$B$9:$B$216,B128,'Cuentas de Cobro'!$F$9:$F$216))</f>
        <v>270000</v>
      </c>
      <c r="M128" s="1677"/>
      <c r="N128" s="1556">
        <f t="shared" si="18"/>
        <v>270000</v>
      </c>
      <c r="O128" s="1101"/>
      <c r="P128" s="1529"/>
      <c r="Q128" s="8"/>
      <c r="R128" s="697" t="s">
        <v>326</v>
      </c>
    </row>
    <row r="129" spans="1:18" x14ac:dyDescent="0.2">
      <c r="A129" s="1184">
        <f t="shared" si="11"/>
        <v>120</v>
      </c>
      <c r="B129" s="1097" t="s">
        <v>405</v>
      </c>
      <c r="C129" s="1420">
        <v>98549908</v>
      </c>
      <c r="D129" s="1186">
        <f t="shared" si="10"/>
        <v>6</v>
      </c>
      <c r="E129" s="1185">
        <f>_xlfn.XLOOKUP(B129,Códigos!$B$8:$B$406,Códigos!$A$8:$A$406,"Verificar",0)</f>
        <v>64</v>
      </c>
      <c r="F129" s="1527">
        <f>SUMIF(Facturas!$B$9:$B$79,B129,Facturas!$F$9:$F$79)</f>
        <v>0</v>
      </c>
      <c r="G129" s="1138">
        <f>SUMIF(Facturas!$B$9:$B$79,B129,Facturas!$G$9:$G$79)</f>
        <v>0</v>
      </c>
      <c r="H129" s="1187">
        <f>SUMIF(Facturas!$B$9:$B$79,B129,Facturas!$I$9:$I$79)</f>
        <v>0</v>
      </c>
      <c r="I129" s="1187">
        <f>SUMIF(Facturas!$B$9:$B$79,B129,Facturas!$J$9:$J$79)</f>
        <v>0</v>
      </c>
      <c r="J129" s="1138">
        <f>SUMIF(Facturas!$B$9:$B$79,B129,Facturas!$K$9:$K$79)</f>
        <v>0</v>
      </c>
      <c r="K129" s="1193"/>
      <c r="L129" s="1449">
        <f>IF(J129&gt;0,0,SUMIF('Cuentas de Cobro'!$B$9:$B$216,B129,'Cuentas de Cobro'!$F$9:$F$216))</f>
        <v>170000</v>
      </c>
      <c r="M129" s="1677"/>
      <c r="N129" s="1556">
        <f t="shared" si="18"/>
        <v>170000</v>
      </c>
      <c r="O129" s="1101"/>
      <c r="P129" s="1529"/>
      <c r="Q129" s="8"/>
      <c r="R129" s="697" t="s">
        <v>405</v>
      </c>
    </row>
    <row r="130" spans="1:18" x14ac:dyDescent="0.2">
      <c r="A130" s="1184">
        <f t="shared" si="11"/>
        <v>121</v>
      </c>
      <c r="B130" s="1097" t="s">
        <v>247</v>
      </c>
      <c r="C130" s="1420">
        <v>39183561</v>
      </c>
      <c r="D130" s="1186">
        <f t="shared" si="10"/>
        <v>7</v>
      </c>
      <c r="E130" s="1185">
        <f>_xlfn.XLOOKUP(B130,Códigos!$B$8:$B$406,Códigos!$A$8:$A$406,"Verificar",0)</f>
        <v>333</v>
      </c>
      <c r="F130" s="1527">
        <f>SUMIF(Facturas!$B$9:$B$79,B130,Facturas!$F$9:$F$79)</f>
        <v>0</v>
      </c>
      <c r="G130" s="1138">
        <f>SUMIF(Facturas!$B$9:$B$79,B130,Facturas!$G$9:$G$79)</f>
        <v>0</v>
      </c>
      <c r="H130" s="1187">
        <f>SUMIF(Facturas!$B$9:$B$79,B130,Facturas!$I$9:$I$79)</f>
        <v>0</v>
      </c>
      <c r="I130" s="1187">
        <f>SUMIF(Facturas!$B$9:$B$79,B130,Facturas!$J$9:$J$79)</f>
        <v>0</v>
      </c>
      <c r="J130" s="1138">
        <f>SUMIF(Facturas!$B$9:$B$79,B130,Facturas!$K$9:$K$79)</f>
        <v>0</v>
      </c>
      <c r="K130" s="1193"/>
      <c r="L130" s="1449">
        <f>IF(J130&gt;0,0,SUMIF('Cuentas de Cobro'!$B$9:$B$216,B130,'Cuentas de Cobro'!$F$9:$F$216))</f>
        <v>170000</v>
      </c>
      <c r="M130" s="1677"/>
      <c r="N130" s="1556">
        <f t="shared" si="18"/>
        <v>170000</v>
      </c>
      <c r="O130" s="1101"/>
      <c r="P130" s="1529"/>
      <c r="Q130" s="8"/>
      <c r="R130" s="697" t="s">
        <v>247</v>
      </c>
    </row>
    <row r="131" spans="1:18" x14ac:dyDescent="0.2">
      <c r="A131" s="1184">
        <f t="shared" si="11"/>
        <v>122</v>
      </c>
      <c r="B131" s="1097" t="s">
        <v>328</v>
      </c>
      <c r="C131" s="1420">
        <v>8269485</v>
      </c>
      <c r="D131" s="1186">
        <f t="shared" si="10"/>
        <v>3</v>
      </c>
      <c r="E131" s="1185">
        <f>_xlfn.XLOOKUP(B131,Códigos!$B$8:$B$406,Códigos!$A$8:$A$406,"Verificar",0)</f>
        <v>344</v>
      </c>
      <c r="F131" s="1527">
        <f>SUMIF(Facturas!$B$9:$B$79,B131,Facturas!$F$9:$F$79)</f>
        <v>0</v>
      </c>
      <c r="G131" s="1138">
        <f>SUMIF(Facturas!$B$9:$B$79,B131,Facturas!$G$9:$G$79)</f>
        <v>0</v>
      </c>
      <c r="H131" s="1187">
        <f>SUMIF(Facturas!$B$9:$B$79,B131,Facturas!$I$9:$I$79)</f>
        <v>0</v>
      </c>
      <c r="I131" s="1187">
        <f>SUMIF(Facturas!$B$9:$B$79,B131,Facturas!$J$9:$J$79)</f>
        <v>0</v>
      </c>
      <c r="J131" s="1138">
        <f>SUMIF(Facturas!$B$9:$B$79,B131,Facturas!$K$9:$K$79)</f>
        <v>0</v>
      </c>
      <c r="K131" s="1193"/>
      <c r="L131" s="1449">
        <f>IF(J131&gt;0,0,SUMIF('Cuentas de Cobro'!$B$9:$B$216,B131,'Cuentas de Cobro'!$F$9:$F$216))</f>
        <v>240000</v>
      </c>
      <c r="M131" s="1677"/>
      <c r="N131" s="1556">
        <f t="shared" si="18"/>
        <v>240000</v>
      </c>
      <c r="O131" s="1101"/>
      <c r="P131" s="1529"/>
      <c r="Q131" s="8"/>
      <c r="R131" s="697" t="s">
        <v>328</v>
      </c>
    </row>
    <row r="132" spans="1:18" x14ac:dyDescent="0.2">
      <c r="A132" s="1184">
        <f t="shared" si="11"/>
        <v>123</v>
      </c>
      <c r="B132" s="1097" t="s">
        <v>483</v>
      </c>
      <c r="C132" s="1420">
        <v>71680954</v>
      </c>
      <c r="D132" s="1186">
        <f t="shared" si="10"/>
        <v>6</v>
      </c>
      <c r="E132" s="1185">
        <f>_xlfn.XLOOKUP(B132,Códigos!$B$8:$B$406,Códigos!$A$8:$A$406,"Verificar",0)</f>
        <v>186</v>
      </c>
      <c r="F132" s="1527">
        <f>SUMIF(Facturas!$B$9:$B$79,B132,Facturas!$F$9:$F$79)</f>
        <v>0</v>
      </c>
      <c r="G132" s="1138">
        <f>SUMIF(Facturas!$B$9:$B$79,B132,Facturas!$G$9:$G$79)</f>
        <v>0</v>
      </c>
      <c r="H132" s="1187">
        <f>SUMIF(Facturas!$B$9:$B$79,B132,Facturas!$I$9:$I$79)</f>
        <v>0</v>
      </c>
      <c r="I132" s="1187">
        <f>SUMIF(Facturas!$B$9:$B$79,B132,Facturas!$J$9:$J$79)</f>
        <v>0</v>
      </c>
      <c r="J132" s="1138">
        <f>SUMIF(Facturas!$B$9:$B$79,B132,Facturas!$K$9:$K$79)</f>
        <v>0</v>
      </c>
      <c r="K132" s="1193"/>
      <c r="L132" s="1449">
        <f>IF(J132&gt;0,0,SUMIF('Cuentas de Cobro'!$B$9:$B$216,B132,'Cuentas de Cobro'!$F$9:$F$216))</f>
        <v>170000</v>
      </c>
      <c r="M132" s="1677"/>
      <c r="N132" s="1556">
        <f t="shared" si="18"/>
        <v>170000</v>
      </c>
      <c r="O132" s="1101"/>
      <c r="P132" s="1529"/>
      <c r="Q132" s="8"/>
      <c r="R132" s="1091" t="s">
        <v>483</v>
      </c>
    </row>
    <row r="133" spans="1:18" x14ac:dyDescent="0.2">
      <c r="A133" s="1184">
        <f t="shared" si="11"/>
        <v>124</v>
      </c>
      <c r="B133" s="1097" t="s">
        <v>84</v>
      </c>
      <c r="C133" s="1420">
        <v>52009137</v>
      </c>
      <c r="D133" s="1186">
        <f t="shared" si="10"/>
        <v>0</v>
      </c>
      <c r="E133" s="1185">
        <f>_xlfn.XLOOKUP(B133,Códigos!$B$8:$B$406,Códigos!$A$8:$A$406,"Verificar",0)</f>
        <v>126</v>
      </c>
      <c r="F133" s="1527">
        <f>SUMIF(Facturas!$B$9:$B$79,B133,Facturas!$F$9:$F$79)</f>
        <v>0</v>
      </c>
      <c r="G133" s="1138">
        <f>SUMIF(Facturas!$B$9:$B$79,B133,Facturas!$G$9:$G$79)</f>
        <v>0</v>
      </c>
      <c r="H133" s="1187">
        <f>SUMIF(Facturas!$B$9:$B$79,B133,Facturas!$I$9:$I$79)</f>
        <v>0</v>
      </c>
      <c r="I133" s="1187">
        <f>SUMIF(Facturas!$B$9:$B$79,B133,Facturas!$J$9:$J$79)</f>
        <v>0</v>
      </c>
      <c r="J133" s="1138">
        <f>SUMIF(Facturas!$B$9:$B$79,B133,Facturas!$K$9:$K$79)</f>
        <v>0</v>
      </c>
      <c r="K133" s="1193"/>
      <c r="L133" s="1449">
        <f>IF(J133&gt;0,0,SUMIF('Cuentas de Cobro'!$B$9:$B$216,B133,'Cuentas de Cobro'!$F$9:$F$216))</f>
        <v>360000</v>
      </c>
      <c r="M133" s="1677"/>
      <c r="N133" s="1556">
        <f t="shared" si="18"/>
        <v>360000</v>
      </c>
      <c r="O133" s="1101"/>
      <c r="P133" s="1529"/>
      <c r="Q133" s="8"/>
      <c r="R133" s="697" t="s">
        <v>84</v>
      </c>
    </row>
    <row r="134" spans="1:18" x14ac:dyDescent="0.2">
      <c r="A134" s="1184">
        <f t="shared" si="11"/>
        <v>125</v>
      </c>
      <c r="B134" s="1694" t="s">
        <v>85</v>
      </c>
      <c r="C134" s="1695">
        <v>71576106</v>
      </c>
      <c r="D134" s="1685">
        <f t="shared" si="10"/>
        <v>2</v>
      </c>
      <c r="E134" s="1686">
        <f>_xlfn.XLOOKUP(B134,Códigos!$B$8:$B$406,Códigos!$A$8:$A$406,"Verificar",0)</f>
        <v>66</v>
      </c>
      <c r="F134" s="1687">
        <f>SUMIF(Facturas!$B$9:$B$79,B134,Facturas!$F$9:$F$79)</f>
        <v>0</v>
      </c>
      <c r="G134" s="1210">
        <f>SUMIF(Facturas!$B$9:$B$79,B134,Facturas!$G$9:$G$79)</f>
        <v>0</v>
      </c>
      <c r="H134" s="1473">
        <f>SUMIF(Facturas!$B$9:$B$79,B134,Facturas!$I$9:$I$79)</f>
        <v>0</v>
      </c>
      <c r="I134" s="1473">
        <f>SUMIF(Facturas!$B$9:$B$79,B134,Facturas!$J$9:$J$79)</f>
        <v>0</v>
      </c>
      <c r="J134" s="1210">
        <f>SUMIF(Facturas!$B$9:$B$79,B134,Facturas!$K$9:$K$79)</f>
        <v>0</v>
      </c>
      <c r="K134" s="1688"/>
      <c r="L134" s="1696">
        <f>IF(J134&gt;0,0,SUMIF('Cuentas de Cobro'!$B$9:$B$216,B134,'Cuentas de Cobro'!$F$9:$F$216))</f>
        <v>0</v>
      </c>
      <c r="M134" s="1697"/>
      <c r="N134" s="1660">
        <f t="shared" si="18"/>
        <v>0</v>
      </c>
      <c r="O134" s="1690"/>
      <c r="P134" s="1691"/>
      <c r="Q134" s="8"/>
      <c r="R134" s="1379" t="s">
        <v>805</v>
      </c>
    </row>
    <row r="135" spans="1:18" x14ac:dyDescent="0.2">
      <c r="A135" s="1184">
        <f t="shared" si="11"/>
        <v>126</v>
      </c>
      <c r="B135" s="1097" t="s">
        <v>86</v>
      </c>
      <c r="C135" s="1420">
        <v>32416024</v>
      </c>
      <c r="D135" s="1186">
        <f t="shared" si="10"/>
        <v>1</v>
      </c>
      <c r="E135" s="1185">
        <f>_xlfn.XLOOKUP(B135,Códigos!$B$8:$B$406,Códigos!$A$8:$A$406,"Verificar",0)</f>
        <v>127</v>
      </c>
      <c r="F135" s="1527">
        <f>SUMIF(Facturas!$B$9:$B$79,B135,Facturas!$F$9:$F$79)</f>
        <v>0</v>
      </c>
      <c r="G135" s="1138">
        <f>SUMIF(Facturas!$B$9:$B$79,B135,Facturas!$G$9:$G$79)</f>
        <v>0</v>
      </c>
      <c r="H135" s="1187">
        <f>SUMIF(Facturas!$B$9:$B$79,B135,Facturas!$I$9:$I$79)</f>
        <v>0</v>
      </c>
      <c r="I135" s="1187">
        <f>SUMIF(Facturas!$B$9:$B$79,B135,Facturas!$J$9:$J$79)</f>
        <v>0</v>
      </c>
      <c r="J135" s="1138">
        <f>SUMIF(Facturas!$B$9:$B$79,B135,Facturas!$K$9:$K$79)</f>
        <v>0</v>
      </c>
      <c r="K135" s="1193"/>
      <c r="L135" s="1449">
        <f>IF(J135&gt;0,0,SUMIF('Cuentas de Cobro'!$B$9:$B$216,B135,'Cuentas de Cobro'!$F$9:$F$216))</f>
        <v>760000</v>
      </c>
      <c r="M135" s="1677"/>
      <c r="N135" s="1556">
        <f t="shared" si="18"/>
        <v>760000</v>
      </c>
      <c r="O135" s="1101"/>
      <c r="P135" s="1529"/>
      <c r="Q135" s="8"/>
      <c r="R135" s="697" t="s">
        <v>86</v>
      </c>
    </row>
    <row r="136" spans="1:18" x14ac:dyDescent="0.2">
      <c r="A136" s="1184">
        <f t="shared" si="11"/>
        <v>127</v>
      </c>
      <c r="B136" s="1097" t="s">
        <v>88</v>
      </c>
      <c r="C136" s="1420">
        <v>15502041</v>
      </c>
      <c r="D136" s="1186">
        <f t="shared" si="10"/>
        <v>1</v>
      </c>
      <c r="E136" s="1185">
        <f>_xlfn.XLOOKUP(B136,Códigos!$B$8:$B$406,Códigos!$A$8:$A$406,"Verificar",0)</f>
        <v>221</v>
      </c>
      <c r="F136" s="1527">
        <f>SUMIF(Facturas!$B$9:$B$79,B136,Facturas!$F$9:$F$79)</f>
        <v>0</v>
      </c>
      <c r="G136" s="1138">
        <f>SUMIF(Facturas!$B$9:$B$79,B136,Facturas!$G$9:$G$79)</f>
        <v>0</v>
      </c>
      <c r="H136" s="1187">
        <f>SUMIF(Facturas!$B$9:$B$79,B136,Facturas!$I$9:$I$79)</f>
        <v>0</v>
      </c>
      <c r="I136" s="1187">
        <f>SUMIF(Facturas!$B$9:$B$79,B136,Facturas!$J$9:$J$79)</f>
        <v>0</v>
      </c>
      <c r="J136" s="1138">
        <f>SUMIF(Facturas!$B$9:$B$79,B136,Facturas!$K$9:$K$79)</f>
        <v>0</v>
      </c>
      <c r="K136" s="1193"/>
      <c r="L136" s="1449">
        <f>IF(J136&gt;0,0,SUMIF('Cuentas de Cobro'!$B$9:$B$216,B136,'Cuentas de Cobro'!$F$9:$F$216))</f>
        <v>360000</v>
      </c>
      <c r="M136" s="1677"/>
      <c r="N136" s="1556">
        <f t="shared" si="18"/>
        <v>360000</v>
      </c>
      <c r="O136" s="1101"/>
      <c r="P136" s="1529"/>
      <c r="Q136" s="8"/>
      <c r="R136" s="697" t="s">
        <v>88</v>
      </c>
    </row>
    <row r="137" spans="1:18" x14ac:dyDescent="0.2">
      <c r="A137" s="1184">
        <f t="shared" si="11"/>
        <v>128</v>
      </c>
      <c r="B137" s="1791" t="s">
        <v>918</v>
      </c>
      <c r="C137" s="1420">
        <v>1001370893</v>
      </c>
      <c r="D137" s="1186">
        <f t="shared" ref="D137" si="19">IF((MOD((VALUE(MID(TEXT(C137,"000000000000000"),15,1))*3+VALUE(MID(TEXT(C137,"000000000000000"),14,1))*7+VALUE(MID(TEXT(C137,"000000000000000"),13,1))*13+VALUE(MID(TEXT(C137,"000000000000000"),12,1))*17+VALUE(MID(TEXT(C137,"000000000000000"),11,1))*19+VALUE(MID(TEXT(C137,"000000000000000"),10,1))*23+VALUE(MID(TEXT(C137,"000000000000000"),9,1))*29+VALUE(MID(TEXT(C137,"000000000000000"),8,1))*37+VALUE(MID(TEXT(C137,"000000000000000"),7,1))*41+VALUE(MID(TEXT(C137,"000000000000000"),6,1))*43+VALUE(MID(TEXT(C137,"000000000000000"),5,1))*47+VALUE(MID(TEXT(C137,"000000000000000"),4,1))*53+VALUE(MID(TEXT(C137,"000000000000000"),3,1))*59+VALUE(MID(TEXT(C137,"000000000000000"),2,1))*67+VALUE(MID(TEXT(C137,"000000000000000"),1,1))*71),11))=0,0,IF((MOD((VALUE(MID(TEXT(C137,"000000000000000"),15,1))*3+VALUE(MID(TEXT(C137,"000000000000000"),14,1))*7+VALUE(MID(TEXT(C137,"000000000000000"),13,1))*13+VALUE(MID(TEXT(C137,"000000000000000"),12,1))*17+VALUE(MID(TEXT(C137,"000000000000000"),11,1))*19+VALUE(MID(TEXT(C137,"000000000000000"),10,1))*23+VALUE(MID(TEXT(C137,"000000000000000"),9,1))*29+VALUE(MID(TEXT(C137,"000000000000000"),8,1))*37+VALUE(MID(TEXT(C137,"000000000000000"),7,1))*41+VALUE(MID(TEXT(C137,"000000000000000"),6,1))*43+VALUE(MID(TEXT(C137,"000000000000000"),5,1))*47+VALUE(MID(TEXT(C137,"000000000000000"),4,1))*53+VALUE(MID(TEXT(C137,"000000000000000"),3,1))*59+VALUE(MID(TEXT(C137,"000000000000000"),2,1))*67+VALUE(MID(TEXT(C137,"000000000000000"),1,1))*71),11))=1,1,11-(MOD((VALUE(MID(TEXT(C137,"000000000000000"),15,1))*3+VALUE(MID(TEXT(C137,"000000000000000"),14,1))*7+VALUE(MID(TEXT(C137,"000000000000000"),13,1))*13+VALUE(MID(TEXT(C137,"000000000000000"),12,1))*17+VALUE(MID(TEXT(C137,"000000000000000"),11,1))*19+VALUE(MID(TEXT(C137,"000000000000000"),10,1))*23+VALUE(MID(TEXT(C137,"000000000000000"),9,1))*29+VALUE(MID(TEXT(C137,"000000000000000"),8,1))*37+VALUE(MID(TEXT(C137,"000000000000000"),7,1))*41+VALUE(MID(TEXT(C137,"000000000000000"),6,1))*43+VALUE(MID(TEXT(C137,"000000000000000"),5,1))*47+VALUE(MID(TEXT(C137,"000000000000000"),4,1))*53+VALUE(MID(TEXT(C137,"000000000000000"),3,1))*59+VALUE(MID(TEXT(C137,"000000000000000"),2,1))*67+VALUE(MID(TEXT(C137,"000000000000000"),1,1))*71),11))))</f>
        <v>1</v>
      </c>
      <c r="E137" s="1185">
        <f>_xlfn.XLOOKUP(B137,Códigos!$B$8:$B$406,Códigos!$A$8:$A$406,"Verificar",0)</f>
        <v>369</v>
      </c>
      <c r="F137" s="1527">
        <f>SUMIF(Facturas!$B$9:$B$79,B137,Facturas!$F$9:$F$79)</f>
        <v>0</v>
      </c>
      <c r="G137" s="1138">
        <f>SUMIF(Facturas!$B$9:$B$79,B137,Facturas!$G$9:$G$79)</f>
        <v>0</v>
      </c>
      <c r="H137" s="1187">
        <f>SUMIF(Facturas!$B$9:$B$79,B137,Facturas!$I$9:$I$79)</f>
        <v>0</v>
      </c>
      <c r="I137" s="1187">
        <f>SUMIF(Facturas!$B$9:$B$79,B137,Facturas!$J$9:$J$79)</f>
        <v>0</v>
      </c>
      <c r="J137" s="1138">
        <f>SUMIF(Facturas!$B$9:$B$79,B137,Facturas!$K$9:$K$79)</f>
        <v>0</v>
      </c>
      <c r="K137" s="1193"/>
      <c r="L137" s="1449">
        <f>IF(J137&gt;0,0,SUMIF('Cuentas de Cobro'!$B$9:$B$216,B137,'Cuentas de Cobro'!$F$9:$F$216))</f>
        <v>250000</v>
      </c>
      <c r="M137" s="1677"/>
      <c r="N137" s="1556">
        <f t="shared" ref="N137" si="20">+J137+L137</f>
        <v>250000</v>
      </c>
      <c r="O137" s="1101"/>
      <c r="P137" s="1529"/>
      <c r="Q137" s="8"/>
      <c r="R137" s="1803" t="s">
        <v>918</v>
      </c>
    </row>
    <row r="138" spans="1:18" x14ac:dyDescent="0.2">
      <c r="A138" s="1184">
        <f t="shared" si="11"/>
        <v>129</v>
      </c>
      <c r="B138" s="1097" t="s">
        <v>397</v>
      </c>
      <c r="C138" s="1420">
        <v>1037630601</v>
      </c>
      <c r="D138" s="1186">
        <f t="shared" si="10"/>
        <v>5</v>
      </c>
      <c r="E138" s="1185">
        <f>_xlfn.XLOOKUP(B138,Códigos!$B$8:$B$406,Códigos!$A$8:$A$406,"Verificar",0)</f>
        <v>80</v>
      </c>
      <c r="F138" s="1527">
        <f>SUMIF(Facturas!$B$9:$B$79,B138,Facturas!$F$9:$F$79)</f>
        <v>220000</v>
      </c>
      <c r="G138" s="1138">
        <f>SUMIF(Facturas!$B$9:$B$79,B138,Facturas!$G$9:$G$79)</f>
        <v>41800</v>
      </c>
      <c r="H138" s="1187">
        <f>SUMIF(Facturas!$B$9:$B$79,B138,Facturas!$I$9:$I$79)</f>
        <v>-24200</v>
      </c>
      <c r="I138" s="1187">
        <f>SUMIF(Facturas!$B$9:$B$79,B138,Facturas!$J$9:$J$79)</f>
        <v>261800</v>
      </c>
      <c r="J138" s="1138">
        <f>SUMIF(Facturas!$B$9:$B$79,B138,Facturas!$K$9:$K$79)</f>
        <v>237600</v>
      </c>
      <c r="K138" s="1193"/>
      <c r="L138" s="1449">
        <f>IF(J138&gt;0,0,SUMIF('Cuentas de Cobro'!$B$9:$B$216,B138,'Cuentas de Cobro'!$F$9:$F$216))</f>
        <v>0</v>
      </c>
      <c r="M138" s="1677"/>
      <c r="N138" s="1556">
        <f t="shared" si="18"/>
        <v>237600</v>
      </c>
      <c r="O138" s="1101"/>
      <c r="P138" s="1529"/>
      <c r="Q138" s="8"/>
      <c r="R138" s="1434" t="s">
        <v>397</v>
      </c>
    </row>
    <row r="139" spans="1:18" x14ac:dyDescent="0.2">
      <c r="A139" s="1184">
        <f t="shared" si="11"/>
        <v>130</v>
      </c>
      <c r="B139" s="1097" t="s">
        <v>89</v>
      </c>
      <c r="C139" s="1420">
        <v>32523581</v>
      </c>
      <c r="D139" s="1186">
        <f t="shared" si="10"/>
        <v>9</v>
      </c>
      <c r="E139" s="1185">
        <f>_xlfn.XLOOKUP(B139,Códigos!$B$8:$B$406,Códigos!$A$8:$A$406,"Verificar",0)</f>
        <v>216</v>
      </c>
      <c r="F139" s="1527">
        <f>SUMIF(Facturas!$B$9:$B$79,B139,Facturas!$F$9:$F$79)</f>
        <v>1480000</v>
      </c>
      <c r="G139" s="1138">
        <f>SUMIF(Facturas!$B$9:$B$79,B139,Facturas!$G$9:$G$79)</f>
        <v>281200</v>
      </c>
      <c r="H139" s="1187">
        <f>SUMIF(Facturas!$B$9:$B$79,B139,Facturas!$I$9:$I$79)</f>
        <v>-162800</v>
      </c>
      <c r="I139" s="1187">
        <f>SUMIF(Facturas!$B$9:$B$79,B139,Facturas!$J$9:$J$79)</f>
        <v>1761200</v>
      </c>
      <c r="J139" s="1138">
        <f>SUMIF(Facturas!$B$9:$B$79,B139,Facturas!$K$9:$K$79)</f>
        <v>1598400</v>
      </c>
      <c r="K139" s="1193"/>
      <c r="L139" s="1449">
        <f>IF(J139&gt;0,0,SUMIF('Cuentas de Cobro'!$B$9:$B$216,B139,'Cuentas de Cobro'!$F$9:$F$216))</f>
        <v>0</v>
      </c>
      <c r="M139" s="1677"/>
      <c r="N139" s="1556">
        <f t="shared" si="18"/>
        <v>1598400</v>
      </c>
      <c r="O139" s="1101"/>
      <c r="P139" s="1529"/>
      <c r="Q139" s="8"/>
      <c r="R139" s="1434" t="s">
        <v>89</v>
      </c>
    </row>
    <row r="140" spans="1:18" x14ac:dyDescent="0.2">
      <c r="A140" s="1184">
        <f t="shared" ref="A140:A203" si="21">+A139+1</f>
        <v>131</v>
      </c>
      <c r="B140" s="631" t="s">
        <v>90</v>
      </c>
      <c r="C140" s="1420">
        <v>43064007</v>
      </c>
      <c r="D140" s="1186">
        <f t="shared" ref="D140:D203" si="22">IF((MOD((VALUE(MID(TEXT(C140,"000000000000000"),15,1))*3+VALUE(MID(TEXT(C140,"000000000000000"),14,1))*7+VALUE(MID(TEXT(C140,"000000000000000"),13,1))*13+VALUE(MID(TEXT(C140,"000000000000000"),12,1))*17+VALUE(MID(TEXT(C140,"000000000000000"),11,1))*19+VALUE(MID(TEXT(C140,"000000000000000"),10,1))*23+VALUE(MID(TEXT(C140,"000000000000000"),9,1))*29+VALUE(MID(TEXT(C140,"000000000000000"),8,1))*37+VALUE(MID(TEXT(C140,"000000000000000"),7,1))*41+VALUE(MID(TEXT(C140,"000000000000000"),6,1))*43+VALUE(MID(TEXT(C140,"000000000000000"),5,1))*47+VALUE(MID(TEXT(C140,"000000000000000"),4,1))*53+VALUE(MID(TEXT(C140,"000000000000000"),3,1))*59+VALUE(MID(TEXT(C140,"000000000000000"),2,1))*67+VALUE(MID(TEXT(C140,"000000000000000"),1,1))*71),11))=0,0,IF((MOD((VALUE(MID(TEXT(C140,"000000000000000"),15,1))*3+VALUE(MID(TEXT(C140,"000000000000000"),14,1))*7+VALUE(MID(TEXT(C140,"000000000000000"),13,1))*13+VALUE(MID(TEXT(C140,"000000000000000"),12,1))*17+VALUE(MID(TEXT(C140,"000000000000000"),11,1))*19+VALUE(MID(TEXT(C140,"000000000000000"),10,1))*23+VALUE(MID(TEXT(C140,"000000000000000"),9,1))*29+VALUE(MID(TEXT(C140,"000000000000000"),8,1))*37+VALUE(MID(TEXT(C140,"000000000000000"),7,1))*41+VALUE(MID(TEXT(C140,"000000000000000"),6,1))*43+VALUE(MID(TEXT(C140,"000000000000000"),5,1))*47+VALUE(MID(TEXT(C140,"000000000000000"),4,1))*53+VALUE(MID(TEXT(C140,"000000000000000"),3,1))*59+VALUE(MID(TEXT(C140,"000000000000000"),2,1))*67+VALUE(MID(TEXT(C140,"000000000000000"),1,1))*71),11))=1,1,11-(MOD((VALUE(MID(TEXT(C140,"000000000000000"),15,1))*3+VALUE(MID(TEXT(C140,"000000000000000"),14,1))*7+VALUE(MID(TEXT(C140,"000000000000000"),13,1))*13+VALUE(MID(TEXT(C140,"000000000000000"),12,1))*17+VALUE(MID(TEXT(C140,"000000000000000"),11,1))*19+VALUE(MID(TEXT(C140,"000000000000000"),10,1))*23+VALUE(MID(TEXT(C140,"000000000000000"),9,1))*29+VALUE(MID(TEXT(C140,"000000000000000"),8,1))*37+VALUE(MID(TEXT(C140,"000000000000000"),7,1))*41+VALUE(MID(TEXT(C140,"000000000000000"),6,1))*43+VALUE(MID(TEXT(C140,"000000000000000"),5,1))*47+VALUE(MID(TEXT(C140,"000000000000000"),4,1))*53+VALUE(MID(TEXT(C140,"000000000000000"),3,1))*59+VALUE(MID(TEXT(C140,"000000000000000"),2,1))*67+VALUE(MID(TEXT(C140,"000000000000000"),1,1))*71),11))))</f>
        <v>2</v>
      </c>
      <c r="E140" s="1185">
        <f>_xlfn.XLOOKUP(B140,Códigos!$B$8:$B$406,Códigos!$A$8:$A$406,"Verificar",0)</f>
        <v>129</v>
      </c>
      <c r="F140" s="1527">
        <f>SUMIF(Facturas!$B$9:$B$79,B140,Facturas!$F$9:$F$79)</f>
        <v>0</v>
      </c>
      <c r="G140" s="1138">
        <f>SUMIF(Facturas!$B$9:$B$79,B140,Facturas!$G$9:$G$79)</f>
        <v>0</v>
      </c>
      <c r="H140" s="1187">
        <f>SUMIF(Facturas!$B$9:$B$79,B140,Facturas!$I$9:$I$79)</f>
        <v>0</v>
      </c>
      <c r="I140" s="1187">
        <f>SUMIF(Facturas!$B$9:$B$79,B140,Facturas!$J$9:$J$79)</f>
        <v>0</v>
      </c>
      <c r="J140" s="1138">
        <f>SUMIF(Facturas!$B$9:$B$79,B140,Facturas!$K$9:$K$79)</f>
        <v>0</v>
      </c>
      <c r="K140" s="1193"/>
      <c r="L140" s="1449">
        <f>IF(J140&gt;0,0,SUMIF('Cuentas de Cobro'!$B$9:$B$216,B140,'Cuentas de Cobro'!$F$9:$F$216))</f>
        <v>990000</v>
      </c>
      <c r="M140" s="1677"/>
      <c r="N140" s="1556">
        <f t="shared" si="18"/>
        <v>990000</v>
      </c>
      <c r="O140" s="1101"/>
      <c r="P140" s="1529"/>
      <c r="Q140" s="8"/>
      <c r="R140" s="697" t="s">
        <v>90</v>
      </c>
    </row>
    <row r="141" spans="1:18" x14ac:dyDescent="0.2">
      <c r="A141" s="1184">
        <f t="shared" si="21"/>
        <v>132</v>
      </c>
      <c r="B141" s="1201" t="s">
        <v>91</v>
      </c>
      <c r="C141" s="1420">
        <v>8264986</v>
      </c>
      <c r="D141" s="1186">
        <f t="shared" si="22"/>
        <v>9</v>
      </c>
      <c r="E141" s="1185">
        <f>_xlfn.XLOOKUP(B141,Códigos!$B$8:$B$406,Códigos!$A$8:$A$406,"Verificar",0)</f>
        <v>132</v>
      </c>
      <c r="F141" s="1527">
        <f>SUMIF(Facturas!$B$9:$B$79,B141,Facturas!$F$9:$F$79)</f>
        <v>0</v>
      </c>
      <c r="G141" s="1138">
        <f>SUMIF(Facturas!$B$9:$B$79,B141,Facturas!$G$9:$G$79)</f>
        <v>0</v>
      </c>
      <c r="H141" s="1187">
        <f>SUMIF(Facturas!$B$9:$B$79,B141,Facturas!$I$9:$I$79)</f>
        <v>0</v>
      </c>
      <c r="I141" s="1187">
        <f>SUMIF(Facturas!$B$9:$B$79,B141,Facturas!$J$9:$J$79)</f>
        <v>0</v>
      </c>
      <c r="J141" s="1138">
        <f>SUMIF(Facturas!$B$9:$B$79,B141,Facturas!$K$9:$K$79)</f>
        <v>0</v>
      </c>
      <c r="K141" s="1193"/>
      <c r="L141" s="1449">
        <f>IF(J141&gt;0,0,SUMIF('Cuentas de Cobro'!$B$9:$B$216,B141,'Cuentas de Cobro'!$F$9:$F$216))</f>
        <v>0</v>
      </c>
      <c r="M141" s="1677"/>
      <c r="N141" s="1556">
        <f t="shared" si="18"/>
        <v>0</v>
      </c>
      <c r="O141" s="1101"/>
      <c r="P141" s="1529"/>
      <c r="Q141" s="8"/>
      <c r="R141" s="697" t="s">
        <v>91</v>
      </c>
    </row>
    <row r="142" spans="1:18" x14ac:dyDescent="0.2">
      <c r="A142" s="1184">
        <f t="shared" si="21"/>
        <v>133</v>
      </c>
      <c r="B142" s="1097" t="s">
        <v>92</v>
      </c>
      <c r="C142" s="1420">
        <v>95022700775</v>
      </c>
      <c r="D142" s="1186">
        <f t="shared" si="22"/>
        <v>3</v>
      </c>
      <c r="E142" s="1185">
        <f>_xlfn.XLOOKUP(B142,Códigos!$B$8:$B$406,Códigos!$A$8:$A$406,"Verificar",0)</f>
        <v>133</v>
      </c>
      <c r="F142" s="1527">
        <f>SUMIF(Facturas!$B$9:$B$79,B142,Facturas!$F$9:$F$79)</f>
        <v>0</v>
      </c>
      <c r="G142" s="1138">
        <f>SUMIF(Facturas!$B$9:$B$79,B142,Facturas!$G$9:$G$79)</f>
        <v>0</v>
      </c>
      <c r="H142" s="1187">
        <f>SUMIF(Facturas!$B$9:$B$79,B142,Facturas!$I$9:$I$79)</f>
        <v>0</v>
      </c>
      <c r="I142" s="1187">
        <f>SUMIF(Facturas!$B$9:$B$79,B142,Facturas!$J$9:$J$79)</f>
        <v>0</v>
      </c>
      <c r="J142" s="1138">
        <f>SUMIF(Facturas!$B$9:$B$79,B142,Facturas!$K$9:$K$79)</f>
        <v>0</v>
      </c>
      <c r="K142" s="1193"/>
      <c r="L142" s="1449">
        <f>IF(J142&gt;0,0,SUMIF('Cuentas de Cobro'!$B$9:$B$216,B142,'Cuentas de Cobro'!$F$9:$F$216))</f>
        <v>0</v>
      </c>
      <c r="M142" s="1677"/>
      <c r="N142" s="1556">
        <f t="shared" si="18"/>
        <v>0</v>
      </c>
      <c r="O142" s="1101"/>
      <c r="P142" s="1529"/>
      <c r="Q142" s="8"/>
      <c r="R142" s="697" t="s">
        <v>92</v>
      </c>
    </row>
    <row r="143" spans="1:18" x14ac:dyDescent="0.2">
      <c r="A143" s="1184">
        <f t="shared" si="21"/>
        <v>134</v>
      </c>
      <c r="B143" s="1097" t="s">
        <v>93</v>
      </c>
      <c r="C143" s="1420">
        <v>1152198312</v>
      </c>
      <c r="D143" s="1186">
        <f t="shared" si="22"/>
        <v>6</v>
      </c>
      <c r="E143" s="1185">
        <f>_xlfn.XLOOKUP(B143,Códigos!$B$8:$B$406,Códigos!$A$8:$A$406,"Verificar",0)</f>
        <v>134</v>
      </c>
      <c r="F143" s="1527">
        <f>SUMIF(Facturas!$B$9:$B$79,B143,Facturas!$F$9:$F$79)</f>
        <v>0</v>
      </c>
      <c r="G143" s="1138">
        <f>SUMIF(Facturas!$B$9:$B$79,B143,Facturas!$G$9:$G$79)</f>
        <v>0</v>
      </c>
      <c r="H143" s="1187">
        <f>SUMIF(Facturas!$B$9:$B$79,B143,Facturas!$I$9:$I$79)</f>
        <v>0</v>
      </c>
      <c r="I143" s="1187">
        <f>SUMIF(Facturas!$B$9:$B$79,B143,Facturas!$J$9:$J$79)</f>
        <v>0</v>
      </c>
      <c r="J143" s="1138">
        <f>SUMIF(Facturas!$B$9:$B$79,B143,Facturas!$K$9:$K$79)</f>
        <v>0</v>
      </c>
      <c r="K143" s="1193"/>
      <c r="L143" s="1449">
        <f>IF(J143&gt;0,0,SUMIF('Cuentas de Cobro'!$B$9:$B$216,B143,'Cuentas de Cobro'!$F$9:$F$216))</f>
        <v>0</v>
      </c>
      <c r="M143" s="1677"/>
      <c r="N143" s="1556">
        <f t="shared" si="18"/>
        <v>0</v>
      </c>
      <c r="O143" s="1101"/>
      <c r="P143" s="1529"/>
      <c r="Q143" s="8"/>
      <c r="R143" s="697" t="s">
        <v>93</v>
      </c>
    </row>
    <row r="144" spans="1:18" x14ac:dyDescent="0.2">
      <c r="A144" s="1184">
        <f t="shared" si="21"/>
        <v>135</v>
      </c>
      <c r="B144" s="1097" t="s">
        <v>94</v>
      </c>
      <c r="C144" s="1420">
        <v>71780372</v>
      </c>
      <c r="D144" s="1186">
        <f t="shared" si="22"/>
        <v>9</v>
      </c>
      <c r="E144" s="1185">
        <f>_xlfn.XLOOKUP(B144,Códigos!$B$8:$B$406,Códigos!$A$8:$A$406,"Verificar",0)</f>
        <v>269</v>
      </c>
      <c r="F144" s="1527">
        <f>SUMIF(Facturas!$B$9:$B$79,B144,Facturas!$F$9:$F$79)</f>
        <v>0</v>
      </c>
      <c r="G144" s="1138">
        <f>SUMIF(Facturas!$B$9:$B$79,B144,Facturas!$G$9:$G$79)</f>
        <v>0</v>
      </c>
      <c r="H144" s="1187">
        <f>SUMIF(Facturas!$B$9:$B$79,B144,Facturas!$I$9:$I$79)</f>
        <v>0</v>
      </c>
      <c r="I144" s="1187">
        <f>SUMIF(Facturas!$B$9:$B$79,B144,Facturas!$J$9:$J$79)</f>
        <v>0</v>
      </c>
      <c r="J144" s="1138">
        <f>SUMIF(Facturas!$B$9:$B$79,B144,Facturas!$K$9:$K$79)</f>
        <v>0</v>
      </c>
      <c r="K144" s="1193"/>
      <c r="L144" s="1449">
        <f>IF(J144&gt;0,0,SUMIF('Cuentas de Cobro'!$B$9:$B$216,B144,'Cuentas de Cobro'!$F$9:$F$216))</f>
        <v>330000</v>
      </c>
      <c r="M144" s="1677"/>
      <c r="N144" s="1556">
        <f t="shared" si="18"/>
        <v>330000</v>
      </c>
      <c r="O144" s="1101"/>
      <c r="P144" s="1529"/>
      <c r="Q144" s="8"/>
      <c r="R144" s="697" t="s">
        <v>94</v>
      </c>
    </row>
    <row r="145" spans="1:18" x14ac:dyDescent="0.2">
      <c r="A145" s="1184">
        <f t="shared" si="21"/>
        <v>136</v>
      </c>
      <c r="B145" s="1097" t="s">
        <v>309</v>
      </c>
      <c r="C145" s="1420">
        <v>73097181</v>
      </c>
      <c r="D145" s="1186">
        <f t="shared" si="22"/>
        <v>7</v>
      </c>
      <c r="E145" s="1185">
        <f>_xlfn.XLOOKUP(B145,Códigos!$B$8:$B$406,Códigos!$A$8:$A$406,"Verificar",0)</f>
        <v>252</v>
      </c>
      <c r="F145" s="1527">
        <f>SUMIF(Facturas!$B$9:$B$79,B145,Facturas!$F$9:$F$79)</f>
        <v>0</v>
      </c>
      <c r="G145" s="1138">
        <f>SUMIF(Facturas!$B$9:$B$79,B145,Facturas!$G$9:$G$79)</f>
        <v>0</v>
      </c>
      <c r="H145" s="1187">
        <f>SUMIF(Facturas!$B$9:$B$79,B145,Facturas!$I$9:$I$79)</f>
        <v>0</v>
      </c>
      <c r="I145" s="1187">
        <f>SUMIF(Facturas!$B$9:$B$79,B145,Facturas!$J$9:$J$79)</f>
        <v>0</v>
      </c>
      <c r="J145" s="1138">
        <f>SUMIF(Facturas!$B$9:$B$79,B145,Facturas!$K$9:$K$79)</f>
        <v>0</v>
      </c>
      <c r="K145" s="1193"/>
      <c r="L145" s="1449">
        <f>IF(J145&gt;0,0,SUMIF('Cuentas de Cobro'!$B$9:$B$216,B145,'Cuentas de Cobro'!$F$9:$F$216))</f>
        <v>170000</v>
      </c>
      <c r="M145" s="1677"/>
      <c r="N145" s="1556">
        <f t="shared" si="18"/>
        <v>170000</v>
      </c>
      <c r="O145" s="1101"/>
      <c r="P145" s="1529"/>
      <c r="Q145" s="8"/>
      <c r="R145" s="697" t="s">
        <v>309</v>
      </c>
    </row>
    <row r="146" spans="1:18" x14ac:dyDescent="0.2">
      <c r="A146" s="1184">
        <f t="shared" si="21"/>
        <v>137</v>
      </c>
      <c r="B146" s="1694" t="s">
        <v>95</v>
      </c>
      <c r="C146" s="1695">
        <v>549117</v>
      </c>
      <c r="D146" s="1685">
        <f t="shared" si="22"/>
        <v>0</v>
      </c>
      <c r="E146" s="1686">
        <f>_xlfn.XLOOKUP(B146,Códigos!$B$8:$B$406,Códigos!$A$8:$A$406,"Verificar",0)</f>
        <v>249</v>
      </c>
      <c r="F146" s="1687">
        <f>SUMIF(Facturas!$B$9:$B$79,B146,Facturas!$F$9:$F$79)</f>
        <v>0</v>
      </c>
      <c r="G146" s="1210">
        <f>SUMIF(Facturas!$B$9:$B$79,B146,Facturas!$G$9:$G$79)</f>
        <v>0</v>
      </c>
      <c r="H146" s="1473">
        <f>SUMIF(Facturas!$B$9:$B$79,B146,Facturas!$I$9:$I$79)</f>
        <v>0</v>
      </c>
      <c r="I146" s="1473">
        <f>SUMIF(Facturas!$B$9:$B$79,B146,Facturas!$J$9:$J$79)</f>
        <v>0</v>
      </c>
      <c r="J146" s="1210">
        <f>SUMIF(Facturas!$B$9:$B$79,B146,Facturas!$K$9:$K$79)</f>
        <v>0</v>
      </c>
      <c r="K146" s="1688"/>
      <c r="L146" s="1696">
        <f>IF(J146&gt;0,0,SUMIF('Cuentas de Cobro'!$B$9:$B$216,B146,'Cuentas de Cobro'!$F$9:$F$216))</f>
        <v>0</v>
      </c>
      <c r="M146" s="1697"/>
      <c r="N146" s="1660">
        <f t="shared" si="18"/>
        <v>0</v>
      </c>
      <c r="O146" s="1690"/>
      <c r="P146" s="1691"/>
      <c r="Q146" s="8"/>
      <c r="R146" s="1379" t="s">
        <v>805</v>
      </c>
    </row>
    <row r="147" spans="1:18" x14ac:dyDescent="0.2">
      <c r="A147" s="1184">
        <f t="shared" si="21"/>
        <v>138</v>
      </c>
      <c r="B147" s="1694" t="s">
        <v>96</v>
      </c>
      <c r="C147" s="1695">
        <v>42886207</v>
      </c>
      <c r="D147" s="1685">
        <f t="shared" si="22"/>
        <v>2</v>
      </c>
      <c r="E147" s="1686">
        <f>_xlfn.XLOOKUP(B147,Códigos!$B$8:$B$406,Códigos!$A$8:$A$406,"Verificar",0)</f>
        <v>82</v>
      </c>
      <c r="F147" s="1687">
        <f>SUMIF(Facturas!$B$9:$B$79,B147,Facturas!$F$9:$F$79)</f>
        <v>0</v>
      </c>
      <c r="G147" s="1210">
        <f>SUMIF(Facturas!$B$9:$B$79,B147,Facturas!$G$9:$G$79)</f>
        <v>0</v>
      </c>
      <c r="H147" s="1473">
        <f>SUMIF(Facturas!$B$9:$B$79,B147,Facturas!$I$9:$I$79)</f>
        <v>0</v>
      </c>
      <c r="I147" s="1473">
        <f>SUMIF(Facturas!$B$9:$B$79,B147,Facturas!$J$9:$J$79)</f>
        <v>0</v>
      </c>
      <c r="J147" s="1210">
        <f>SUMIF(Facturas!$B$9:$B$79,B147,Facturas!$K$9:$K$79)</f>
        <v>0</v>
      </c>
      <c r="K147" s="1688"/>
      <c r="L147" s="1696">
        <f>IF(J147&gt;0,0,SUMIF('Cuentas de Cobro'!$B$9:$B$216,B147,'Cuentas de Cobro'!$F$9:$F$216))</f>
        <v>0</v>
      </c>
      <c r="M147" s="1697"/>
      <c r="N147" s="1660">
        <f t="shared" si="18"/>
        <v>0</v>
      </c>
      <c r="O147" s="1690"/>
      <c r="P147" s="1691"/>
      <c r="Q147" s="8"/>
      <c r="R147" s="1379" t="s">
        <v>805</v>
      </c>
    </row>
    <row r="148" spans="1:18" x14ac:dyDescent="0.2">
      <c r="A148" s="1184">
        <f t="shared" si="21"/>
        <v>139</v>
      </c>
      <c r="B148" s="1097" t="s">
        <v>98</v>
      </c>
      <c r="C148" s="1420">
        <v>43628064</v>
      </c>
      <c r="D148" s="1186">
        <f t="shared" si="22"/>
        <v>4</v>
      </c>
      <c r="E148" s="1185">
        <f>_xlfn.XLOOKUP(B148,Códigos!$B$8:$B$406,Códigos!$A$8:$A$406,"Verificar",0)</f>
        <v>136</v>
      </c>
      <c r="F148" s="1527">
        <f>SUMIF(Facturas!$B$9:$B$79,B148,Facturas!$F$9:$F$79)</f>
        <v>0</v>
      </c>
      <c r="G148" s="1138">
        <f>SUMIF(Facturas!$B$9:$B$79,B148,Facturas!$G$9:$G$79)</f>
        <v>0</v>
      </c>
      <c r="H148" s="1187">
        <f>SUMIF(Facturas!$B$9:$B$79,B148,Facturas!$I$9:$I$79)</f>
        <v>0</v>
      </c>
      <c r="I148" s="1187">
        <f>SUMIF(Facturas!$B$9:$B$79,B148,Facturas!$J$9:$J$79)</f>
        <v>0</v>
      </c>
      <c r="J148" s="1138">
        <f>SUMIF(Facturas!$B$9:$B$79,B148,Facturas!$K$9:$K$79)</f>
        <v>0</v>
      </c>
      <c r="K148" s="1193"/>
      <c r="L148" s="1449">
        <f>IF(J148&gt;0,0,SUMIF('Cuentas de Cobro'!$B$9:$B$216,B148,'Cuentas de Cobro'!$F$9:$F$216))</f>
        <v>940000</v>
      </c>
      <c r="M148" s="1677"/>
      <c r="N148" s="1556">
        <f t="shared" si="18"/>
        <v>940000</v>
      </c>
      <c r="O148" s="1101"/>
      <c r="P148" s="1529"/>
      <c r="Q148" s="8"/>
      <c r="R148" s="1433" t="s">
        <v>98</v>
      </c>
    </row>
    <row r="149" spans="1:18" x14ac:dyDescent="0.2">
      <c r="A149" s="1184">
        <f t="shared" si="21"/>
        <v>140</v>
      </c>
      <c r="B149" s="1097" t="s">
        <v>99</v>
      </c>
      <c r="C149" s="1420">
        <v>32330774</v>
      </c>
      <c r="D149" s="1186">
        <f t="shared" si="22"/>
        <v>4</v>
      </c>
      <c r="E149" s="1185">
        <f>_xlfn.XLOOKUP(B149,Códigos!$B$8:$B$406,Códigos!$A$8:$A$406,"Verificar",0)</f>
        <v>137</v>
      </c>
      <c r="F149" s="1527">
        <f>SUMIF(Facturas!$B$9:$B$79,B149,Facturas!$F$9:$F$79)</f>
        <v>0</v>
      </c>
      <c r="G149" s="1138">
        <f>SUMIF(Facturas!$B$9:$B$79,B149,Facturas!$G$9:$G$79)</f>
        <v>0</v>
      </c>
      <c r="H149" s="1187">
        <f>SUMIF(Facturas!$B$9:$B$79,B149,Facturas!$I$9:$I$79)</f>
        <v>0</v>
      </c>
      <c r="I149" s="1187">
        <f>SUMIF(Facturas!$B$9:$B$79,B149,Facturas!$J$9:$J$79)</f>
        <v>0</v>
      </c>
      <c r="J149" s="1138">
        <f>SUMIF(Facturas!$B$9:$B$79,B149,Facturas!$K$9:$K$79)</f>
        <v>0</v>
      </c>
      <c r="K149" s="1193"/>
      <c r="L149" s="1449">
        <f>IF(J149&gt;0,0,SUMIF('Cuentas de Cobro'!$B$9:$B$216,B149,'Cuentas de Cobro'!$F$9:$F$216))</f>
        <v>520000</v>
      </c>
      <c r="M149" s="1677"/>
      <c r="N149" s="1556">
        <f t="shared" si="18"/>
        <v>520000</v>
      </c>
      <c r="O149" s="1101"/>
      <c r="P149" s="1529"/>
      <c r="Q149" s="8"/>
      <c r="R149" s="697" t="s">
        <v>99</v>
      </c>
    </row>
    <row r="150" spans="1:18" x14ac:dyDescent="0.2">
      <c r="A150" s="1184">
        <f t="shared" si="21"/>
        <v>141</v>
      </c>
      <c r="B150" s="1097" t="s">
        <v>100</v>
      </c>
      <c r="C150" s="1420">
        <v>71769178</v>
      </c>
      <c r="D150" s="1186">
        <f t="shared" si="22"/>
        <v>1</v>
      </c>
      <c r="E150" s="1185">
        <f>_xlfn.XLOOKUP(B150,Códigos!$B$8:$B$406,Códigos!$A$8:$A$406,"Verificar",0)</f>
        <v>267</v>
      </c>
      <c r="F150" s="1527">
        <f>SUMIF(Facturas!$B$9:$B$79,B150,Facturas!$F$9:$F$79)</f>
        <v>0</v>
      </c>
      <c r="G150" s="1138">
        <f>SUMIF(Facturas!$B$9:$B$79,B150,Facturas!$G$9:$G$79)</f>
        <v>0</v>
      </c>
      <c r="H150" s="1187">
        <f>SUMIF(Facturas!$B$9:$B$79,B150,Facturas!$I$9:$I$79)</f>
        <v>0</v>
      </c>
      <c r="I150" s="1187">
        <f>SUMIF(Facturas!$B$9:$B$79,B150,Facturas!$J$9:$J$79)</f>
        <v>0</v>
      </c>
      <c r="J150" s="1138">
        <f>SUMIF(Facturas!$B$9:$B$79,B150,Facturas!$K$9:$K$79)</f>
        <v>0</v>
      </c>
      <c r="K150" s="1193"/>
      <c r="L150" s="1449">
        <f>IF(J150&gt;0,0,SUMIF('Cuentas de Cobro'!$B$9:$B$216,B150,'Cuentas de Cobro'!$F$9:$F$216))</f>
        <v>330000</v>
      </c>
      <c r="M150" s="1677"/>
      <c r="N150" s="1556">
        <f t="shared" si="18"/>
        <v>330000</v>
      </c>
      <c r="O150" s="1101"/>
      <c r="P150" s="1529"/>
      <c r="Q150" s="8"/>
      <c r="R150" s="697" t="s">
        <v>100</v>
      </c>
    </row>
    <row r="151" spans="1:18" x14ac:dyDescent="0.2">
      <c r="A151" s="1184">
        <f t="shared" si="21"/>
        <v>142</v>
      </c>
      <c r="B151" s="1433" t="s">
        <v>101</v>
      </c>
      <c r="C151" s="1420">
        <v>98514541</v>
      </c>
      <c r="D151" s="1186">
        <f t="shared" si="22"/>
        <v>6</v>
      </c>
      <c r="E151" s="1185">
        <f>_xlfn.XLOOKUP(B151,Códigos!$B$8:$B$406,Códigos!$A$8:$A$406,"Verificar",0)</f>
        <v>280</v>
      </c>
      <c r="F151" s="1527">
        <f>SUMIF(Facturas!$B$9:$B$79,B151,Facturas!$F$9:$F$79)</f>
        <v>0</v>
      </c>
      <c r="G151" s="1138">
        <f>SUMIF(Facturas!$B$9:$B$79,B151,Facturas!$G$9:$G$79)</f>
        <v>0</v>
      </c>
      <c r="H151" s="1187">
        <f>SUMIF(Facturas!$B$9:$B$79,B151,Facturas!$I$9:$I$79)</f>
        <v>0</v>
      </c>
      <c r="I151" s="1187">
        <f>SUMIF(Facturas!$B$9:$B$79,B151,Facturas!$J$9:$J$79)</f>
        <v>0</v>
      </c>
      <c r="J151" s="1138">
        <f>SUMIF(Facturas!$B$9:$B$79,B151,Facturas!$K$9:$K$79)</f>
        <v>0</v>
      </c>
      <c r="K151" s="1193"/>
      <c r="L151" s="1449">
        <f>IF(J151&gt;0,0,SUMIF('Cuentas de Cobro'!$B$9:$B$216,B151,'Cuentas de Cobro'!$F$9:$F$216))</f>
        <v>0</v>
      </c>
      <c r="M151" s="1677"/>
      <c r="N151" s="1556">
        <f t="shared" si="18"/>
        <v>0</v>
      </c>
      <c r="O151" s="1101"/>
      <c r="P151" s="1529"/>
      <c r="Q151" s="8"/>
      <c r="R151" s="697" t="s">
        <v>101</v>
      </c>
    </row>
    <row r="152" spans="1:18" x14ac:dyDescent="0.2">
      <c r="A152" s="1184">
        <f t="shared" si="21"/>
        <v>143</v>
      </c>
      <c r="B152" s="1097" t="s">
        <v>408</v>
      </c>
      <c r="C152" s="1420">
        <v>21831445</v>
      </c>
      <c r="D152" s="1186">
        <f t="shared" si="22"/>
        <v>6</v>
      </c>
      <c r="E152" s="1185">
        <f>_xlfn.XLOOKUP(B152,Códigos!$B$8:$B$406,Códigos!$A$8:$A$406,"Verificar",0)</f>
        <v>89</v>
      </c>
      <c r="F152" s="1527">
        <f>SUMIF(Facturas!$B$9:$B$79,B152,Facturas!$F$9:$F$79)</f>
        <v>0</v>
      </c>
      <c r="G152" s="1138">
        <f>SUMIF(Facturas!$B$9:$B$79,B152,Facturas!$G$9:$G$79)</f>
        <v>0</v>
      </c>
      <c r="H152" s="1187">
        <f>SUMIF(Facturas!$B$9:$B$79,B152,Facturas!$I$9:$I$79)</f>
        <v>0</v>
      </c>
      <c r="I152" s="1187">
        <f>SUMIF(Facturas!$B$9:$B$79,B152,Facturas!$J$9:$J$79)</f>
        <v>0</v>
      </c>
      <c r="J152" s="1138">
        <f>SUMIF(Facturas!$B$9:$B$79,B152,Facturas!$K$9:$K$79)</f>
        <v>0</v>
      </c>
      <c r="K152" s="1193"/>
      <c r="L152" s="1449">
        <f>IF(J152&gt;0,0,SUMIF('Cuentas de Cobro'!$B$9:$B$216,B152,'Cuentas de Cobro'!$F$9:$F$216))</f>
        <v>420000</v>
      </c>
      <c r="M152" s="1677"/>
      <c r="N152" s="1556">
        <f t="shared" si="18"/>
        <v>420000</v>
      </c>
      <c r="O152" s="1101"/>
      <c r="P152" s="1529"/>
      <c r="Q152" s="8"/>
      <c r="R152" s="697" t="s">
        <v>408</v>
      </c>
    </row>
    <row r="153" spans="1:18" x14ac:dyDescent="0.2">
      <c r="A153" s="1184">
        <f t="shared" si="21"/>
        <v>144</v>
      </c>
      <c r="B153" s="1097" t="s">
        <v>783</v>
      </c>
      <c r="C153" s="1420">
        <v>1038869450</v>
      </c>
      <c r="D153" s="1186">
        <f t="shared" si="22"/>
        <v>0</v>
      </c>
      <c r="E153" s="1185">
        <f>_xlfn.XLOOKUP(B153,Códigos!$B$8:$B$406,Códigos!$A$8:$A$406,"Verificar",0)</f>
        <v>141</v>
      </c>
      <c r="F153" s="1527">
        <f>SUMIF(Facturas!$B$9:$B$79,B153,Facturas!$F$9:$F$79)</f>
        <v>0</v>
      </c>
      <c r="G153" s="1138">
        <f>SUMIF(Facturas!$B$9:$B$79,B153,Facturas!$G$9:$G$79)</f>
        <v>0</v>
      </c>
      <c r="H153" s="1187">
        <f>SUMIF(Facturas!$B$9:$B$79,B153,Facturas!$I$9:$I$79)</f>
        <v>0</v>
      </c>
      <c r="I153" s="1187">
        <f>SUMIF(Facturas!$B$9:$B$79,B153,Facturas!$J$9:$J$79)</f>
        <v>0</v>
      </c>
      <c r="J153" s="1138">
        <f>SUMIF(Facturas!$B$9:$B$79,B153,Facturas!$K$9:$K$79)</f>
        <v>0</v>
      </c>
      <c r="K153" s="1193"/>
      <c r="L153" s="1449">
        <f>IF(J153&gt;0,0,SUMIF('Cuentas de Cobro'!$B$9:$B$216,B153,'Cuentas de Cobro'!$F$9:$F$216))</f>
        <v>170000</v>
      </c>
      <c r="M153" s="1677"/>
      <c r="N153" s="1556">
        <f t="shared" si="18"/>
        <v>170000</v>
      </c>
      <c r="O153" s="1101"/>
      <c r="P153" s="1529"/>
      <c r="Q153" s="8"/>
      <c r="R153" s="1437" t="s">
        <v>783</v>
      </c>
    </row>
    <row r="154" spans="1:18" x14ac:dyDescent="0.2">
      <c r="A154" s="1184">
        <f t="shared" si="21"/>
        <v>145</v>
      </c>
      <c r="B154" s="1097" t="s">
        <v>102</v>
      </c>
      <c r="C154" s="1420">
        <v>3306009</v>
      </c>
      <c r="D154" s="1186">
        <f t="shared" si="22"/>
        <v>1</v>
      </c>
      <c r="E154" s="1185">
        <f>_xlfn.XLOOKUP(B154,Códigos!$B$8:$B$406,Códigos!$A$8:$A$406,"Verificar",0)</f>
        <v>138</v>
      </c>
      <c r="F154" s="1527">
        <f>SUMIF(Facturas!$B$9:$B$79,B154,Facturas!$F$9:$F$79)</f>
        <v>0</v>
      </c>
      <c r="G154" s="1138">
        <f>SUMIF(Facturas!$B$9:$B$79,B154,Facturas!$G$9:$G$79)</f>
        <v>0</v>
      </c>
      <c r="H154" s="1187">
        <f>SUMIF(Facturas!$B$9:$B$79,B154,Facturas!$I$9:$I$79)</f>
        <v>0</v>
      </c>
      <c r="I154" s="1187">
        <f>SUMIF(Facturas!$B$9:$B$79,B154,Facturas!$J$9:$J$79)</f>
        <v>0</v>
      </c>
      <c r="J154" s="1138">
        <f>SUMIF(Facturas!$B$9:$B$79,B154,Facturas!$K$9:$K$79)</f>
        <v>0</v>
      </c>
      <c r="K154" s="1193"/>
      <c r="L154" s="1449">
        <f>IF(J154&gt;0,0,SUMIF('Cuentas de Cobro'!$B$9:$B$216,B154,'Cuentas de Cobro'!$F$9:$F$216))</f>
        <v>470000</v>
      </c>
      <c r="M154" s="1677"/>
      <c r="N154" s="1556">
        <f t="shared" si="18"/>
        <v>470000</v>
      </c>
      <c r="O154" s="1101"/>
      <c r="P154" s="1529"/>
      <c r="Q154" s="8"/>
      <c r="R154" s="697" t="s">
        <v>102</v>
      </c>
    </row>
    <row r="155" spans="1:18" x14ac:dyDescent="0.2">
      <c r="A155" s="1184">
        <f t="shared" si="21"/>
        <v>146</v>
      </c>
      <c r="B155" s="1097" t="s">
        <v>103</v>
      </c>
      <c r="C155" s="1420">
        <v>21668232</v>
      </c>
      <c r="D155" s="1186">
        <f t="shared" si="22"/>
        <v>6</v>
      </c>
      <c r="E155" s="1185">
        <f>_xlfn.XLOOKUP(B155,Códigos!$B$8:$B$406,Códigos!$A$8:$A$406,"Verificar",0)</f>
        <v>139</v>
      </c>
      <c r="F155" s="1527">
        <f>SUMIF(Facturas!$B$9:$B$79,B155,Facturas!$F$9:$F$79)</f>
        <v>0</v>
      </c>
      <c r="G155" s="1138">
        <f>SUMIF(Facturas!$B$9:$B$79,B155,Facturas!$G$9:$G$79)</f>
        <v>0</v>
      </c>
      <c r="H155" s="1187">
        <f>SUMIF(Facturas!$B$9:$B$79,B155,Facturas!$I$9:$I$79)</f>
        <v>0</v>
      </c>
      <c r="I155" s="1187">
        <f>SUMIF(Facturas!$B$9:$B$79,B155,Facturas!$J$9:$J$79)</f>
        <v>0</v>
      </c>
      <c r="J155" s="1138">
        <f>SUMIF(Facturas!$B$9:$B$79,B155,Facturas!$K$9:$K$79)</f>
        <v>0</v>
      </c>
      <c r="K155" s="1193"/>
      <c r="L155" s="1449">
        <f>IF(J155&gt;0,0,SUMIF('Cuentas de Cobro'!$B$9:$B$216,B155,'Cuentas de Cobro'!$F$9:$F$216))</f>
        <v>470000</v>
      </c>
      <c r="M155" s="1677"/>
      <c r="N155" s="1556">
        <f t="shared" si="18"/>
        <v>470000</v>
      </c>
      <c r="O155" s="1101"/>
      <c r="P155" s="1529"/>
      <c r="Q155" s="8"/>
      <c r="R155" s="697" t="s">
        <v>103</v>
      </c>
    </row>
    <row r="156" spans="1:18" x14ac:dyDescent="0.2">
      <c r="A156" s="1184">
        <f t="shared" si="21"/>
        <v>147</v>
      </c>
      <c r="B156" s="1097" t="s">
        <v>104</v>
      </c>
      <c r="C156" s="1420">
        <v>98473805</v>
      </c>
      <c r="D156" s="1186">
        <f t="shared" si="22"/>
        <v>8</v>
      </c>
      <c r="E156" s="1185">
        <f>_xlfn.XLOOKUP(B156,Códigos!$B$8:$B$406,Códigos!$A$8:$A$406,"Verificar",0)</f>
        <v>140</v>
      </c>
      <c r="F156" s="1527">
        <f>SUMIF(Facturas!$B$9:$B$79,B156,Facturas!$F$9:$F$79)</f>
        <v>0</v>
      </c>
      <c r="G156" s="1138">
        <f>SUMIF(Facturas!$B$9:$B$79,B156,Facturas!$G$9:$G$79)</f>
        <v>0</v>
      </c>
      <c r="H156" s="1187">
        <f>SUMIF(Facturas!$B$9:$B$79,B156,Facturas!$I$9:$I$79)</f>
        <v>0</v>
      </c>
      <c r="I156" s="1187">
        <f>SUMIF(Facturas!$B$9:$B$79,B156,Facturas!$J$9:$J$79)</f>
        <v>0</v>
      </c>
      <c r="J156" s="1138">
        <f>SUMIF(Facturas!$B$9:$B$79,B156,Facturas!$K$9:$K$79)</f>
        <v>0</v>
      </c>
      <c r="K156" s="1193"/>
      <c r="L156" s="1449">
        <f>IF(J156&gt;0,0,SUMIF('Cuentas de Cobro'!$B$9:$B$216,B156,'Cuentas de Cobro'!$F$9:$F$216))</f>
        <v>470000</v>
      </c>
      <c r="M156" s="1677"/>
      <c r="N156" s="1556">
        <f t="shared" si="18"/>
        <v>470000</v>
      </c>
      <c r="O156" s="1101"/>
      <c r="P156" s="1529"/>
      <c r="Q156" s="8"/>
      <c r="R156" s="697" t="s">
        <v>104</v>
      </c>
    </row>
    <row r="157" spans="1:18" x14ac:dyDescent="0.2">
      <c r="A157" s="1184">
        <f t="shared" si="21"/>
        <v>148</v>
      </c>
      <c r="B157" s="1097" t="s">
        <v>482</v>
      </c>
      <c r="C157" s="1420">
        <v>1037606586</v>
      </c>
      <c r="D157" s="1186">
        <f t="shared" si="22"/>
        <v>1</v>
      </c>
      <c r="E157" s="1185">
        <f>_xlfn.XLOOKUP(B157,Códigos!$B$8:$B$406,Códigos!$A$8:$A$406,"Verificar",0)</f>
        <v>195</v>
      </c>
      <c r="F157" s="1527">
        <f>SUMIF(Facturas!$B$9:$B$79,B157,Facturas!$F$9:$F$79)</f>
        <v>0</v>
      </c>
      <c r="G157" s="1138">
        <f>SUMIF(Facturas!$B$9:$B$79,B157,Facturas!$G$9:$G$79)</f>
        <v>0</v>
      </c>
      <c r="H157" s="1187">
        <f>SUMIF(Facturas!$B$9:$B$79,B157,Facturas!$I$9:$I$79)</f>
        <v>0</v>
      </c>
      <c r="I157" s="1187">
        <f>SUMIF(Facturas!$B$9:$B$79,B157,Facturas!$J$9:$J$79)</f>
        <v>0</v>
      </c>
      <c r="J157" s="1138">
        <f>SUMIF(Facturas!$B$9:$B$79,B157,Facturas!$K$9:$K$79)</f>
        <v>0</v>
      </c>
      <c r="K157" s="1193"/>
      <c r="L157" s="1449">
        <f>IF(J157&gt;0,0,SUMIF('Cuentas de Cobro'!$B$9:$B$216,B157,'Cuentas de Cobro'!$F$9:$F$216))</f>
        <v>500000</v>
      </c>
      <c r="M157" s="1677"/>
      <c r="N157" s="1556">
        <f t="shared" si="18"/>
        <v>500000</v>
      </c>
      <c r="O157" s="1101"/>
      <c r="P157" s="1529"/>
      <c r="Q157" s="8"/>
      <c r="R157" s="1091" t="s">
        <v>482</v>
      </c>
    </row>
    <row r="158" spans="1:18" x14ac:dyDescent="0.2">
      <c r="A158" s="1184">
        <f t="shared" si="21"/>
        <v>149</v>
      </c>
      <c r="B158" s="1097" t="s">
        <v>474</v>
      </c>
      <c r="C158" s="1420">
        <v>32459508</v>
      </c>
      <c r="D158" s="1186">
        <f t="shared" si="22"/>
        <v>7</v>
      </c>
      <c r="E158" s="1185">
        <f>_xlfn.XLOOKUP(B158,Códigos!$B$8:$B$406,Códigos!$A$8:$A$406,"Verificar",0)</f>
        <v>170</v>
      </c>
      <c r="F158" s="1527">
        <f>SUMIF(Facturas!$B$9:$B$79,B158,Facturas!$F$9:$F$79)</f>
        <v>0</v>
      </c>
      <c r="G158" s="1138">
        <f>SUMIF(Facturas!$B$9:$B$79,B158,Facturas!$G$9:$G$79)</f>
        <v>0</v>
      </c>
      <c r="H158" s="1187">
        <f>SUMIF(Facturas!$B$9:$B$79,B158,Facturas!$I$9:$I$79)</f>
        <v>0</v>
      </c>
      <c r="I158" s="1187">
        <f>SUMIF(Facturas!$B$9:$B$79,B158,Facturas!$J$9:$J$79)</f>
        <v>0</v>
      </c>
      <c r="J158" s="1138">
        <f>SUMIF(Facturas!$B$9:$B$79,B158,Facturas!$K$9:$K$79)</f>
        <v>0</v>
      </c>
      <c r="K158" s="1193"/>
      <c r="L158" s="1449">
        <f>IF(J158&gt;0,0,SUMIF('Cuentas de Cobro'!$B$9:$B$216,B158,'Cuentas de Cobro'!$F$9:$F$216))</f>
        <v>410000</v>
      </c>
      <c r="M158" s="1677"/>
      <c r="N158" s="1556">
        <f t="shared" si="18"/>
        <v>410000</v>
      </c>
      <c r="O158" s="1101"/>
      <c r="P158" s="1529"/>
      <c r="Q158" s="8"/>
      <c r="R158" s="1091" t="s">
        <v>474</v>
      </c>
    </row>
    <row r="159" spans="1:18" x14ac:dyDescent="0.2">
      <c r="A159" s="1184">
        <f t="shared" si="21"/>
        <v>150</v>
      </c>
      <c r="B159" s="1097" t="s">
        <v>105</v>
      </c>
      <c r="C159" s="1420">
        <v>3305848</v>
      </c>
      <c r="D159" s="1186">
        <f t="shared" si="22"/>
        <v>1</v>
      </c>
      <c r="E159" s="1185">
        <f>_xlfn.XLOOKUP(B159,Códigos!$B$8:$B$406,Códigos!$A$8:$A$406,"Verificar",0)</f>
        <v>142</v>
      </c>
      <c r="F159" s="1527">
        <f>SUMIF(Facturas!$B$9:$B$79,B159,Facturas!$F$9:$F$79)</f>
        <v>0</v>
      </c>
      <c r="G159" s="1138">
        <f>SUMIF(Facturas!$B$9:$B$79,B159,Facturas!$G$9:$G$79)</f>
        <v>0</v>
      </c>
      <c r="H159" s="1187">
        <f>SUMIF(Facturas!$B$9:$B$79,B159,Facturas!$I$9:$I$79)</f>
        <v>0</v>
      </c>
      <c r="I159" s="1187">
        <f>SUMIF(Facturas!$B$9:$B$79,B159,Facturas!$J$9:$J$79)</f>
        <v>0</v>
      </c>
      <c r="J159" s="1138">
        <f>SUMIF(Facturas!$B$9:$B$79,B159,Facturas!$K$9:$K$79)</f>
        <v>0</v>
      </c>
      <c r="K159" s="1193"/>
      <c r="L159" s="1449">
        <f>IF(J159&gt;0,0,SUMIF('Cuentas de Cobro'!$B$9:$B$216,B159,'Cuentas de Cobro'!$F$9:$F$216))</f>
        <v>1000000</v>
      </c>
      <c r="M159" s="1677"/>
      <c r="N159" s="1556">
        <f t="shared" si="18"/>
        <v>1000000</v>
      </c>
      <c r="O159" s="1101"/>
      <c r="P159" s="1529"/>
      <c r="Q159" s="8"/>
      <c r="R159" s="697" t="s">
        <v>105</v>
      </c>
    </row>
    <row r="160" spans="1:18" x14ac:dyDescent="0.2">
      <c r="A160" s="1184">
        <f t="shared" si="21"/>
        <v>151</v>
      </c>
      <c r="B160" s="1097" t="s">
        <v>106</v>
      </c>
      <c r="C160" s="1420">
        <v>98581002</v>
      </c>
      <c r="D160" s="1186">
        <f t="shared" si="22"/>
        <v>3</v>
      </c>
      <c r="E160" s="1185">
        <f>_xlfn.XLOOKUP(B160,Códigos!$B$8:$B$406,Códigos!$A$8:$A$406,"Verificar",0)</f>
        <v>143</v>
      </c>
      <c r="F160" s="1527">
        <f>SUMIF(Facturas!$B$9:$B$79,B160,Facturas!$F$9:$F$79)</f>
        <v>0</v>
      </c>
      <c r="G160" s="1138">
        <f>SUMIF(Facturas!$B$9:$B$79,B160,Facturas!$G$9:$G$79)</f>
        <v>0</v>
      </c>
      <c r="H160" s="1187">
        <f>SUMIF(Facturas!$B$9:$B$79,B160,Facturas!$I$9:$I$79)</f>
        <v>0</v>
      </c>
      <c r="I160" s="1187">
        <f>SUMIF(Facturas!$B$9:$B$79,B160,Facturas!$J$9:$J$79)</f>
        <v>0</v>
      </c>
      <c r="J160" s="1138">
        <f>SUMIF(Facturas!$B$9:$B$79,B160,Facturas!$K$9:$K$79)</f>
        <v>0</v>
      </c>
      <c r="K160" s="1193"/>
      <c r="L160" s="1449">
        <f>IF(J160&gt;0,0,SUMIF('Cuentas de Cobro'!$B$9:$B$216,B160,'Cuentas de Cobro'!$F$9:$F$216))</f>
        <v>1410000</v>
      </c>
      <c r="M160" s="1677"/>
      <c r="N160" s="1556">
        <f t="shared" si="18"/>
        <v>1410000</v>
      </c>
      <c r="O160" s="1101"/>
      <c r="P160" s="1529"/>
      <c r="Q160" s="8"/>
      <c r="R160" s="697" t="s">
        <v>106</v>
      </c>
    </row>
    <row r="161" spans="1:18" x14ac:dyDescent="0.2">
      <c r="A161" s="1184">
        <f t="shared" si="21"/>
        <v>152</v>
      </c>
      <c r="B161" s="1097" t="s">
        <v>107</v>
      </c>
      <c r="C161" s="1420">
        <v>43075419</v>
      </c>
      <c r="D161" s="1186">
        <f t="shared" si="22"/>
        <v>0</v>
      </c>
      <c r="E161" s="1185">
        <f>_xlfn.XLOOKUP(B161,Códigos!$B$8:$B$406,Códigos!$A$8:$A$406,"Verificar",0)</f>
        <v>144</v>
      </c>
      <c r="F161" s="1527">
        <f>SUMIF(Facturas!$B$9:$B$79,B161,Facturas!$F$9:$F$79)</f>
        <v>0</v>
      </c>
      <c r="G161" s="1138">
        <f>SUMIF(Facturas!$B$9:$B$79,B161,Facturas!$G$9:$G$79)</f>
        <v>0</v>
      </c>
      <c r="H161" s="1187">
        <f>SUMIF(Facturas!$B$9:$B$79,B161,Facturas!$I$9:$I$79)</f>
        <v>0</v>
      </c>
      <c r="I161" s="1187">
        <f>SUMIF(Facturas!$B$9:$B$79,B161,Facturas!$J$9:$J$79)</f>
        <v>0</v>
      </c>
      <c r="J161" s="1138">
        <f>SUMIF(Facturas!$B$9:$B$79,B161,Facturas!$K$9:$K$79)</f>
        <v>0</v>
      </c>
      <c r="K161" s="1193"/>
      <c r="L161" s="1449">
        <f>IF(J161&gt;0,0,SUMIF('Cuentas de Cobro'!$B$9:$B$216,B161,'Cuentas de Cobro'!$F$9:$F$216))</f>
        <v>470000</v>
      </c>
      <c r="M161" s="1677"/>
      <c r="N161" s="1556">
        <f t="shared" si="18"/>
        <v>470000</v>
      </c>
      <c r="O161" s="1101"/>
      <c r="P161" s="1529"/>
      <c r="Q161" s="8"/>
      <c r="R161" s="697" t="s">
        <v>107</v>
      </c>
    </row>
    <row r="162" spans="1:18" x14ac:dyDescent="0.2">
      <c r="A162" s="1184">
        <f t="shared" si="21"/>
        <v>153</v>
      </c>
      <c r="B162" s="1097" t="s">
        <v>108</v>
      </c>
      <c r="C162" s="1420">
        <v>71653411</v>
      </c>
      <c r="D162" s="1186">
        <f t="shared" si="22"/>
        <v>4</v>
      </c>
      <c r="E162" s="1185">
        <f>_xlfn.XLOOKUP(B162,Códigos!$B$8:$B$406,Códigos!$A$8:$A$406,"Verificar",0)</f>
        <v>145</v>
      </c>
      <c r="F162" s="1527">
        <f>SUMIF(Facturas!$B$9:$B$79,B162,Facturas!$F$9:$F$79)</f>
        <v>0</v>
      </c>
      <c r="G162" s="1138">
        <f>SUMIF(Facturas!$B$9:$B$79,B162,Facturas!$G$9:$G$79)</f>
        <v>0</v>
      </c>
      <c r="H162" s="1187">
        <f>SUMIF(Facturas!$B$9:$B$79,B162,Facturas!$I$9:$I$79)</f>
        <v>0</v>
      </c>
      <c r="I162" s="1187">
        <f>SUMIF(Facturas!$B$9:$B$79,B162,Facturas!$J$9:$J$79)</f>
        <v>0</v>
      </c>
      <c r="J162" s="1138">
        <f>SUMIF(Facturas!$B$9:$B$79,B162,Facturas!$K$9:$K$79)</f>
        <v>0</v>
      </c>
      <c r="K162" s="1193"/>
      <c r="L162" s="1449">
        <f>IF(J162&gt;0,0,SUMIF('Cuentas de Cobro'!$B$9:$B$216,B162,'Cuentas de Cobro'!$F$9:$F$216))</f>
        <v>0</v>
      </c>
      <c r="M162" s="1677"/>
      <c r="N162" s="1556">
        <f t="shared" si="18"/>
        <v>0</v>
      </c>
      <c r="O162" s="1101"/>
      <c r="P162" s="1529"/>
      <c r="Q162" s="8"/>
      <c r="R162" s="1384" t="s">
        <v>654</v>
      </c>
    </row>
    <row r="163" spans="1:18" x14ac:dyDescent="0.2">
      <c r="A163" s="1184">
        <f t="shared" si="21"/>
        <v>154</v>
      </c>
      <c r="B163" s="1097" t="s">
        <v>109</v>
      </c>
      <c r="C163" s="1420">
        <v>549095</v>
      </c>
      <c r="D163" s="1186">
        <f t="shared" si="22"/>
        <v>7</v>
      </c>
      <c r="E163" s="1185">
        <f>_xlfn.XLOOKUP(B163,Códigos!$B$8:$B$406,Códigos!$A$8:$A$406,"Verificar",0)</f>
        <v>146</v>
      </c>
      <c r="F163" s="1527">
        <f>SUMIF(Facturas!$B$9:$B$79,B163,Facturas!$F$9:$F$79)</f>
        <v>0</v>
      </c>
      <c r="G163" s="1138">
        <f>SUMIF(Facturas!$B$9:$B$79,B163,Facturas!$G$9:$G$79)</f>
        <v>0</v>
      </c>
      <c r="H163" s="1187">
        <f>SUMIF(Facturas!$B$9:$B$79,B163,Facturas!$I$9:$I$79)</f>
        <v>0</v>
      </c>
      <c r="I163" s="1187">
        <f>SUMIF(Facturas!$B$9:$B$79,B163,Facturas!$J$9:$J$79)</f>
        <v>0</v>
      </c>
      <c r="J163" s="1138">
        <f>SUMIF(Facturas!$B$9:$B$79,B163,Facturas!$K$9:$K$79)</f>
        <v>0</v>
      </c>
      <c r="K163" s="1193"/>
      <c r="L163" s="1449">
        <f>IF(J163&gt;0,0,SUMIF('Cuentas de Cobro'!$B$9:$B$216,B163,'Cuentas de Cobro'!$F$9:$F$216))</f>
        <v>0</v>
      </c>
      <c r="M163" s="1677"/>
      <c r="N163" s="1556">
        <f t="shared" si="18"/>
        <v>0</v>
      </c>
      <c r="O163" s="1101"/>
      <c r="P163" s="1529"/>
      <c r="Q163" s="8"/>
      <c r="R163" s="697" t="s">
        <v>109</v>
      </c>
    </row>
    <row r="164" spans="1:18" x14ac:dyDescent="0.2">
      <c r="A164" s="1184">
        <f t="shared" si="21"/>
        <v>155</v>
      </c>
      <c r="B164" s="1097" t="s">
        <v>110</v>
      </c>
      <c r="C164" s="1420">
        <v>42995829</v>
      </c>
      <c r="D164" s="1186">
        <f t="shared" si="22"/>
        <v>0</v>
      </c>
      <c r="E164" s="1185">
        <f>_xlfn.XLOOKUP(B164,Códigos!$B$8:$B$406,Códigos!$A$8:$A$406,"Verificar",0)</f>
        <v>147</v>
      </c>
      <c r="F164" s="1527">
        <f>SUMIF(Facturas!$B$9:$B$79,B164,Facturas!$F$9:$F$79)</f>
        <v>0</v>
      </c>
      <c r="G164" s="1138">
        <f>SUMIF(Facturas!$B$9:$B$79,B164,Facturas!$G$9:$G$79)</f>
        <v>0</v>
      </c>
      <c r="H164" s="1187">
        <f>SUMIF(Facturas!$B$9:$B$79,B164,Facturas!$I$9:$I$79)</f>
        <v>0</v>
      </c>
      <c r="I164" s="1187">
        <f>SUMIF(Facturas!$B$9:$B$79,B164,Facturas!$J$9:$J$79)</f>
        <v>0</v>
      </c>
      <c r="J164" s="1138">
        <f>SUMIF(Facturas!$B$9:$B$79,B164,Facturas!$K$9:$K$79)</f>
        <v>0</v>
      </c>
      <c r="K164" s="1193"/>
      <c r="L164" s="1449">
        <f>IF(J164&gt;0,0,SUMIF('Cuentas de Cobro'!$B$9:$B$216,B164,'Cuentas de Cobro'!$F$9:$F$216))</f>
        <v>860000</v>
      </c>
      <c r="M164" s="1677"/>
      <c r="N164" s="1556">
        <f t="shared" si="18"/>
        <v>860000</v>
      </c>
      <c r="O164" s="1101"/>
      <c r="P164" s="1529"/>
      <c r="Q164" s="8"/>
      <c r="R164" s="697" t="s">
        <v>110</v>
      </c>
    </row>
    <row r="165" spans="1:18" x14ac:dyDescent="0.2">
      <c r="A165" s="1184">
        <f t="shared" si="21"/>
        <v>156</v>
      </c>
      <c r="B165" s="1097" t="s">
        <v>244</v>
      </c>
      <c r="C165" s="1420">
        <v>33069779</v>
      </c>
      <c r="D165" s="1186">
        <f t="shared" si="22"/>
        <v>6</v>
      </c>
      <c r="E165" s="1185">
        <f>_xlfn.XLOOKUP(B165,Códigos!$B$8:$B$406,Códigos!$A$8:$A$406,"Verificar",0)</f>
        <v>320</v>
      </c>
      <c r="F165" s="1527">
        <f>SUMIF(Facturas!$B$9:$B$79,B165,Facturas!$F$9:$F$79)</f>
        <v>0</v>
      </c>
      <c r="G165" s="1138">
        <f>SUMIF(Facturas!$B$9:$B$79,B165,Facturas!$G$9:$G$79)</f>
        <v>0</v>
      </c>
      <c r="H165" s="1187">
        <f>SUMIF(Facturas!$B$9:$B$79,B165,Facturas!$I$9:$I$79)</f>
        <v>0</v>
      </c>
      <c r="I165" s="1187">
        <f>SUMIF(Facturas!$B$9:$B$79,B165,Facturas!$J$9:$J$79)</f>
        <v>0</v>
      </c>
      <c r="J165" s="1138">
        <f>SUMIF(Facturas!$B$9:$B$79,B165,Facturas!$K$9:$K$79)</f>
        <v>0</v>
      </c>
      <c r="K165" s="1193"/>
      <c r="L165" s="1449">
        <f>IF(J165&gt;0,0,SUMIF('Cuentas de Cobro'!$B$9:$B$216,B165,'Cuentas de Cobro'!$F$9:$F$216))</f>
        <v>360000</v>
      </c>
      <c r="M165" s="1677"/>
      <c r="N165" s="1556">
        <f t="shared" si="18"/>
        <v>360000</v>
      </c>
      <c r="O165" s="1101"/>
      <c r="P165" s="1529"/>
      <c r="Q165" s="8"/>
      <c r="R165" s="1433" t="s">
        <v>244</v>
      </c>
    </row>
    <row r="166" spans="1:18" x14ac:dyDescent="0.2">
      <c r="A166" s="1184">
        <f t="shared" si="21"/>
        <v>157</v>
      </c>
      <c r="B166" s="1097" t="s">
        <v>312</v>
      </c>
      <c r="C166" s="1420">
        <v>43865562</v>
      </c>
      <c r="D166" s="1186">
        <f t="shared" si="22"/>
        <v>6</v>
      </c>
      <c r="E166" s="1185">
        <f>_xlfn.XLOOKUP(B166,Códigos!$B$8:$B$406,Códigos!$A$8:$A$406,"Verificar",0)</f>
        <v>93</v>
      </c>
      <c r="F166" s="1527">
        <f>SUMIF(Facturas!$B$9:$B$79,B166,Facturas!$F$9:$F$79)</f>
        <v>0</v>
      </c>
      <c r="G166" s="1138">
        <f>SUMIF(Facturas!$B$9:$B$79,B166,Facturas!$G$9:$G$79)</f>
        <v>0</v>
      </c>
      <c r="H166" s="1187">
        <f>SUMIF(Facturas!$B$9:$B$79,B166,Facturas!$I$9:$I$79)</f>
        <v>0</v>
      </c>
      <c r="I166" s="1187">
        <f>SUMIF(Facturas!$B$9:$B$79,B166,Facturas!$J$9:$J$79)</f>
        <v>0</v>
      </c>
      <c r="J166" s="1138">
        <f>SUMIF(Facturas!$B$9:$B$79,B166,Facturas!$K$9:$K$79)</f>
        <v>0</v>
      </c>
      <c r="K166" s="1193"/>
      <c r="L166" s="1449">
        <f>IF(J166&gt;0,0,SUMIF('Cuentas de Cobro'!$B$9:$B$216,B166,'Cuentas de Cobro'!$F$9:$F$216))</f>
        <v>120000</v>
      </c>
      <c r="M166" s="1677"/>
      <c r="N166" s="1556">
        <f t="shared" ref="N166" si="23">+J166+L166</f>
        <v>120000</v>
      </c>
      <c r="O166" s="1101"/>
      <c r="P166" s="1529"/>
      <c r="Q166" s="8"/>
      <c r="R166" s="697" t="s">
        <v>312</v>
      </c>
    </row>
    <row r="167" spans="1:18" x14ac:dyDescent="0.2">
      <c r="A167" s="1184">
        <f t="shared" si="21"/>
        <v>158</v>
      </c>
      <c r="B167" s="1097" t="s">
        <v>111</v>
      </c>
      <c r="C167" s="1420">
        <v>43152033</v>
      </c>
      <c r="D167" s="1186">
        <f t="shared" si="22"/>
        <v>1</v>
      </c>
      <c r="E167" s="1185">
        <f>_xlfn.XLOOKUP(B167,Códigos!$B$8:$B$406,Códigos!$A$8:$A$406,"Verificar",0)</f>
        <v>149</v>
      </c>
      <c r="F167" s="1527">
        <f>SUMIF(Facturas!$B$9:$B$79,B167,Facturas!$F$9:$F$79)</f>
        <v>0</v>
      </c>
      <c r="G167" s="1138">
        <f>SUMIF(Facturas!$B$9:$B$79,B167,Facturas!$G$9:$G$79)</f>
        <v>0</v>
      </c>
      <c r="H167" s="1187">
        <f>SUMIF(Facturas!$B$9:$B$79,B167,Facturas!$I$9:$I$79)</f>
        <v>0</v>
      </c>
      <c r="I167" s="1187">
        <f>SUMIF(Facturas!$B$9:$B$79,B167,Facturas!$J$9:$J$79)</f>
        <v>0</v>
      </c>
      <c r="J167" s="1138">
        <f>SUMIF(Facturas!$B$9:$B$79,B167,Facturas!$K$9:$K$79)</f>
        <v>0</v>
      </c>
      <c r="K167" s="1193"/>
      <c r="L167" s="1449">
        <f>IF(J167&gt;0,0,SUMIF('Cuentas de Cobro'!$B$9:$B$216,B167,'Cuentas de Cobro'!$F$9:$F$216))</f>
        <v>720000</v>
      </c>
      <c r="M167" s="1677"/>
      <c r="N167" s="1556">
        <f t="shared" ref="N167" si="24">+J167+L167</f>
        <v>720000</v>
      </c>
      <c r="O167" s="1101"/>
      <c r="P167" s="1529"/>
      <c r="Q167" s="8"/>
      <c r="R167" s="697" t="s">
        <v>111</v>
      </c>
    </row>
    <row r="168" spans="1:18" x14ac:dyDescent="0.2">
      <c r="A168" s="1184">
        <f t="shared" si="21"/>
        <v>159</v>
      </c>
      <c r="B168" s="1137" t="s">
        <v>494</v>
      </c>
      <c r="C168" s="1420">
        <v>1036631072</v>
      </c>
      <c r="D168" s="1186">
        <f t="shared" si="22"/>
        <v>1</v>
      </c>
      <c r="E168" s="1185">
        <f>_xlfn.XLOOKUP(B168,Códigos!$B$8:$B$406,Códigos!$A$8:$A$406,"Verificar",0)</f>
        <v>184</v>
      </c>
      <c r="F168" s="1527">
        <f>SUMIF(Facturas!$B$9:$B$79,B168,Facturas!$F$9:$F$79)</f>
        <v>0</v>
      </c>
      <c r="G168" s="1138">
        <f>SUMIF(Facturas!$B$9:$B$79,B168,Facturas!$G$9:$G$79)</f>
        <v>0</v>
      </c>
      <c r="H168" s="1187">
        <f>SUMIF(Facturas!$B$9:$B$79,B168,Facturas!$I$9:$I$79)</f>
        <v>0</v>
      </c>
      <c r="I168" s="1187">
        <f>SUMIF(Facturas!$B$9:$B$79,B168,Facturas!$J$9:$J$79)</f>
        <v>0</v>
      </c>
      <c r="J168" s="1138">
        <f>SUMIF(Facturas!$B$9:$B$79,B168,Facturas!$K$9:$K$79)</f>
        <v>0</v>
      </c>
      <c r="K168" s="1193"/>
      <c r="L168" s="1449">
        <f>IF(J168&gt;0,0,SUMIF('Cuentas de Cobro'!$B$9:$B$216,B168,'Cuentas de Cobro'!$F$9:$F$216))</f>
        <v>0</v>
      </c>
      <c r="M168" s="1677"/>
      <c r="N168" s="1556">
        <f t="shared" si="18"/>
        <v>0</v>
      </c>
      <c r="O168" s="1101"/>
      <c r="P168" s="1529"/>
      <c r="Q168" s="8"/>
      <c r="R168" s="1384" t="s">
        <v>654</v>
      </c>
    </row>
    <row r="169" spans="1:18" x14ac:dyDescent="0.2">
      <c r="A169" s="1184">
        <f t="shared" si="21"/>
        <v>160</v>
      </c>
      <c r="B169" s="1097" t="s">
        <v>112</v>
      </c>
      <c r="C169" s="1420">
        <v>42975259</v>
      </c>
      <c r="D169" s="1186">
        <f t="shared" si="22"/>
        <v>7</v>
      </c>
      <c r="E169" s="1185">
        <f>_xlfn.XLOOKUP(B169,Códigos!$B$8:$B$406,Códigos!$A$8:$A$406,"Verificar",0)</f>
        <v>265</v>
      </c>
      <c r="F169" s="1527">
        <f>SUMIF(Facturas!$B$9:$B$79,B169,Facturas!$F$9:$F$79)</f>
        <v>0</v>
      </c>
      <c r="G169" s="1138">
        <f>SUMIF(Facturas!$B$9:$B$79,B169,Facturas!$G$9:$G$79)</f>
        <v>0</v>
      </c>
      <c r="H169" s="1187">
        <f>SUMIF(Facturas!$B$9:$B$79,B169,Facturas!$I$9:$I$79)</f>
        <v>0</v>
      </c>
      <c r="I169" s="1187">
        <f>SUMIF(Facturas!$B$9:$B$79,B169,Facturas!$J$9:$J$79)</f>
        <v>0</v>
      </c>
      <c r="J169" s="1138">
        <f>SUMIF(Facturas!$B$9:$B$79,B169,Facturas!$K$9:$K$79)</f>
        <v>0</v>
      </c>
      <c r="K169" s="1193"/>
      <c r="L169" s="1449">
        <f>IF(J169&gt;0,0,SUMIF('Cuentas de Cobro'!$B$9:$B$216,B169,'Cuentas de Cobro'!$F$9:$F$216))</f>
        <v>390000</v>
      </c>
      <c r="M169" s="1677"/>
      <c r="N169" s="1556">
        <f t="shared" si="18"/>
        <v>390000</v>
      </c>
      <c r="O169" s="1101"/>
      <c r="P169" s="1529"/>
      <c r="Q169" s="8"/>
      <c r="R169" s="697" t="s">
        <v>112</v>
      </c>
    </row>
    <row r="170" spans="1:18" x14ac:dyDescent="0.2">
      <c r="A170" s="1184">
        <f t="shared" si="21"/>
        <v>161</v>
      </c>
      <c r="B170" s="1486" t="s">
        <v>113</v>
      </c>
      <c r="C170" s="1475">
        <v>32439160</v>
      </c>
      <c r="D170" s="1186">
        <f t="shared" si="22"/>
        <v>2</v>
      </c>
      <c r="E170" s="1185">
        <f>_xlfn.XLOOKUP(B170,Códigos!$B$8:$B$406,Códigos!$A$8:$A$406,"Verificar",0)</f>
        <v>151</v>
      </c>
      <c r="F170" s="1527">
        <f>SUMIF(Facturas!$B$9:$B$79,B170,Facturas!$F$9:$F$79)</f>
        <v>0</v>
      </c>
      <c r="G170" s="1138">
        <f>SUMIF(Facturas!$B$9:$B$79,B170,Facturas!$G$9:$G$79)</f>
        <v>0</v>
      </c>
      <c r="H170" s="1187">
        <f>SUMIF(Facturas!$B$9:$B$79,B170,Facturas!$I$9:$I$79)</f>
        <v>0</v>
      </c>
      <c r="I170" s="1187">
        <f>SUMIF(Facturas!$B$9:$B$79,B170,Facturas!$J$9:$J$79)</f>
        <v>0</v>
      </c>
      <c r="J170" s="1138">
        <f>SUMIF(Facturas!$B$9:$B$79,B170,Facturas!$K$9:$K$79)</f>
        <v>0</v>
      </c>
      <c r="K170" s="1193"/>
      <c r="L170" s="1449">
        <f>IF(J170&gt;0,0,SUMIF('Cuentas de Cobro'!$B$9:$B$216,B170,'Cuentas de Cobro'!$F$9:$F$216))</f>
        <v>3860000</v>
      </c>
      <c r="M170" s="1677"/>
      <c r="N170" s="1556">
        <f t="shared" ref="N170" si="25">+J170+L170</f>
        <v>3860000</v>
      </c>
      <c r="O170" s="1101"/>
      <c r="P170" s="1529"/>
      <c r="Q170" s="8"/>
      <c r="R170" s="697" t="s">
        <v>113</v>
      </c>
    </row>
    <row r="171" spans="1:18" x14ac:dyDescent="0.2">
      <c r="A171" s="1184">
        <f t="shared" si="21"/>
        <v>162</v>
      </c>
      <c r="B171" s="1097" t="s">
        <v>114</v>
      </c>
      <c r="C171" s="1420">
        <v>70547628</v>
      </c>
      <c r="D171" s="1186">
        <f t="shared" si="22"/>
        <v>8</v>
      </c>
      <c r="E171" s="1185">
        <f>_xlfn.XLOOKUP(B171,Códigos!$B$8:$B$406,Códigos!$A$8:$A$406,"Verificar",0)</f>
        <v>152</v>
      </c>
      <c r="F171" s="1527">
        <f>SUMIF(Facturas!$B$9:$B$79,B171,Facturas!$F$9:$F$79)</f>
        <v>0</v>
      </c>
      <c r="G171" s="1138">
        <f>SUMIF(Facturas!$B$9:$B$79,B171,Facturas!$G$9:$G$79)</f>
        <v>0</v>
      </c>
      <c r="H171" s="1187">
        <f>SUMIF(Facturas!$B$9:$B$79,B171,Facturas!$I$9:$I$79)</f>
        <v>0</v>
      </c>
      <c r="I171" s="1187">
        <f>SUMIF(Facturas!$B$9:$B$79,B171,Facturas!$J$9:$J$79)</f>
        <v>0</v>
      </c>
      <c r="J171" s="1138">
        <f>SUMIF(Facturas!$B$9:$B$79,B171,Facturas!$K$9:$K$79)</f>
        <v>0</v>
      </c>
      <c r="K171" s="1193"/>
      <c r="L171" s="1449">
        <f>IF(J171&gt;0,0,SUMIF('Cuentas de Cobro'!$B$9:$B$216,B171,'Cuentas de Cobro'!$F$9:$F$216))</f>
        <v>2310000</v>
      </c>
      <c r="M171" s="1677"/>
      <c r="N171" s="1556">
        <f t="shared" si="18"/>
        <v>2310000</v>
      </c>
      <c r="O171" s="1101"/>
      <c r="P171" s="1529"/>
      <c r="Q171" s="8"/>
      <c r="R171" s="697" t="s">
        <v>114</v>
      </c>
    </row>
    <row r="172" spans="1:18" x14ac:dyDescent="0.2">
      <c r="A172" s="1184">
        <f t="shared" si="21"/>
        <v>163</v>
      </c>
      <c r="B172" s="1097" t="s">
        <v>413</v>
      </c>
      <c r="C172" s="1420">
        <v>1037639929</v>
      </c>
      <c r="D172" s="1186">
        <f t="shared" si="22"/>
        <v>6</v>
      </c>
      <c r="E172" s="1185">
        <f>_xlfn.XLOOKUP(B172,Códigos!$B$8:$B$406,Códigos!$A$8:$A$406,"Verificar",0)</f>
        <v>94</v>
      </c>
      <c r="F172" s="1527">
        <f>SUMIF(Facturas!$B$9:$B$79,B172,Facturas!$F$9:$F$79)</f>
        <v>0</v>
      </c>
      <c r="G172" s="1138">
        <f>SUMIF(Facturas!$B$9:$B$79,B172,Facturas!$G$9:$G$79)</f>
        <v>0</v>
      </c>
      <c r="H172" s="1187">
        <f>SUMIF(Facturas!$B$9:$B$79,B172,Facturas!$I$9:$I$79)</f>
        <v>0</v>
      </c>
      <c r="I172" s="1187">
        <f>SUMIF(Facturas!$B$9:$B$79,B172,Facturas!$J$9:$J$79)</f>
        <v>0</v>
      </c>
      <c r="J172" s="1138">
        <f>SUMIF(Facturas!$B$9:$B$79,B172,Facturas!$K$9:$K$79)</f>
        <v>0</v>
      </c>
      <c r="K172" s="1193"/>
      <c r="L172" s="1449">
        <f>IF(J172&gt;0,0,SUMIF('Cuentas de Cobro'!$B$9:$B$216,B172,'Cuentas de Cobro'!$F$9:$F$216))</f>
        <v>390000</v>
      </c>
      <c r="M172" s="1677"/>
      <c r="N172" s="1556">
        <f t="shared" si="18"/>
        <v>390000</v>
      </c>
      <c r="O172" s="1101"/>
      <c r="P172" s="1529"/>
      <c r="Q172" s="8"/>
      <c r="R172" s="1440" t="s">
        <v>813</v>
      </c>
    </row>
    <row r="173" spans="1:18" x14ac:dyDescent="0.2">
      <c r="A173" s="1184">
        <f t="shared" si="21"/>
        <v>164</v>
      </c>
      <c r="B173" s="1097" t="s">
        <v>116</v>
      </c>
      <c r="C173" s="1420">
        <v>9094854</v>
      </c>
      <c r="D173" s="1186">
        <f t="shared" si="22"/>
        <v>9</v>
      </c>
      <c r="E173" s="1185">
        <f>_xlfn.XLOOKUP(B173,Códigos!$B$8:$B$406,Códigos!$A$8:$A$406,"Verificar",0)</f>
        <v>277</v>
      </c>
      <c r="F173" s="1527">
        <f>SUMIF(Facturas!$B$9:$B$79,B173,Facturas!$F$9:$F$79)</f>
        <v>0</v>
      </c>
      <c r="G173" s="1138">
        <f>SUMIF(Facturas!$B$9:$B$79,B173,Facturas!$G$9:$G$79)</f>
        <v>0</v>
      </c>
      <c r="H173" s="1187">
        <f>SUMIF(Facturas!$B$9:$B$79,B173,Facturas!$I$9:$I$79)</f>
        <v>0</v>
      </c>
      <c r="I173" s="1187">
        <f>SUMIF(Facturas!$B$9:$B$79,B173,Facturas!$J$9:$J$79)</f>
        <v>0</v>
      </c>
      <c r="J173" s="1138">
        <f>SUMIF(Facturas!$B$9:$B$79,B173,Facturas!$K$9:$K$79)</f>
        <v>0</v>
      </c>
      <c r="K173" s="1193"/>
      <c r="L173" s="1449">
        <f>IF(J173&gt;0,0,SUMIF('Cuentas de Cobro'!$B$9:$B$216,B173,'Cuentas de Cobro'!$F$9:$F$216))</f>
        <v>330000</v>
      </c>
      <c r="M173" s="1677"/>
      <c r="N173" s="1556">
        <f t="shared" si="18"/>
        <v>330000</v>
      </c>
      <c r="O173" s="1101"/>
      <c r="P173" s="1529"/>
      <c r="Q173" s="8"/>
      <c r="R173" s="697" t="s">
        <v>116</v>
      </c>
    </row>
    <row r="174" spans="1:18" x14ac:dyDescent="0.2">
      <c r="A174" s="1184">
        <f t="shared" si="21"/>
        <v>165</v>
      </c>
      <c r="B174" s="1097" t="s">
        <v>117</v>
      </c>
      <c r="C174" s="1420">
        <v>92102300043</v>
      </c>
      <c r="D174" s="1186">
        <f t="shared" si="22"/>
        <v>1</v>
      </c>
      <c r="E174" s="1185">
        <f>_xlfn.XLOOKUP(B174,Códigos!$B$8:$B$406,Códigos!$A$8:$A$406,"Verificar",0)</f>
        <v>155</v>
      </c>
      <c r="F174" s="1527">
        <f>SUMIF(Facturas!$B$9:$B$79,B174,Facturas!$F$9:$F$79)</f>
        <v>800000</v>
      </c>
      <c r="G174" s="1138">
        <f>SUMIF(Facturas!$B$9:$B$79,B174,Facturas!$G$9:$G$79)</f>
        <v>152000</v>
      </c>
      <c r="H174" s="1187">
        <f>SUMIF(Facturas!$B$9:$B$79,B174,Facturas!$I$9:$I$79)</f>
        <v>-88000</v>
      </c>
      <c r="I174" s="1187">
        <f>SUMIF(Facturas!$B$9:$B$79,B174,Facturas!$J$9:$J$79)</f>
        <v>952000</v>
      </c>
      <c r="J174" s="1138">
        <f>SUMIF(Facturas!$B$9:$B$79,B174,Facturas!$K$9:$K$79)</f>
        <v>864000</v>
      </c>
      <c r="K174" s="1193"/>
      <c r="L174" s="1449">
        <f>IF(J174&gt;0,0,SUMIF('Cuentas de Cobro'!$B$9:$B$216,B174,'Cuentas de Cobro'!$F$9:$F$216))</f>
        <v>0</v>
      </c>
      <c r="M174" s="1677"/>
      <c r="N174" s="1556">
        <f t="shared" si="18"/>
        <v>864000</v>
      </c>
      <c r="O174" s="1101"/>
      <c r="P174" s="1529"/>
      <c r="Q174" s="8"/>
      <c r="R174" s="1434" t="s">
        <v>117</v>
      </c>
    </row>
    <row r="175" spans="1:18" x14ac:dyDescent="0.2">
      <c r="A175" s="1184">
        <f t="shared" si="21"/>
        <v>166</v>
      </c>
      <c r="B175" s="1097" t="s">
        <v>119</v>
      </c>
      <c r="C175" s="1420">
        <v>21345431</v>
      </c>
      <c r="D175" s="1186">
        <f t="shared" si="22"/>
        <v>9</v>
      </c>
      <c r="E175" s="1185">
        <f>_xlfn.XLOOKUP(B175,Códigos!$B$8:$B$406,Códigos!$A$8:$A$406,"Verificar",0)</f>
        <v>103</v>
      </c>
      <c r="F175" s="1527">
        <f>SUMIF(Facturas!$B$9:$B$79,B175,Facturas!$F$9:$F$79)</f>
        <v>0</v>
      </c>
      <c r="G175" s="1138">
        <f>SUMIF(Facturas!$B$9:$B$79,B175,Facturas!$G$9:$G$79)</f>
        <v>0</v>
      </c>
      <c r="H175" s="1187">
        <f>SUMIF(Facturas!$B$9:$B$79,B175,Facturas!$I$9:$I$79)</f>
        <v>0</v>
      </c>
      <c r="I175" s="1187">
        <f>SUMIF(Facturas!$B$9:$B$79,B175,Facturas!$J$9:$J$79)</f>
        <v>0</v>
      </c>
      <c r="J175" s="1138">
        <f>SUMIF(Facturas!$B$9:$B$79,B175,Facturas!$K$9:$K$79)</f>
        <v>0</v>
      </c>
      <c r="K175" s="1193"/>
      <c r="L175" s="1449">
        <f>IF(J175&gt;0,0,SUMIF('Cuentas de Cobro'!$B$9:$B$216,B175,'Cuentas de Cobro'!$F$9:$F$216))</f>
        <v>0</v>
      </c>
      <c r="M175" s="1677"/>
      <c r="N175" s="1556">
        <f t="shared" si="18"/>
        <v>0</v>
      </c>
      <c r="O175" s="1101"/>
      <c r="P175" s="1529"/>
      <c r="Q175" s="8"/>
      <c r="R175" s="1384" t="s">
        <v>654</v>
      </c>
    </row>
    <row r="176" spans="1:18" x14ac:dyDescent="0.2">
      <c r="A176" s="1184">
        <f t="shared" si="21"/>
        <v>167</v>
      </c>
      <c r="B176" s="1097" t="s">
        <v>120</v>
      </c>
      <c r="C176" s="1420">
        <v>21356663</v>
      </c>
      <c r="D176" s="1186">
        <f t="shared" si="22"/>
        <v>8</v>
      </c>
      <c r="E176" s="1185">
        <f>_xlfn.XLOOKUP(B176,Códigos!$B$8:$B$406,Códigos!$A$8:$A$406,"Verificar",0)</f>
        <v>158</v>
      </c>
      <c r="F176" s="1527">
        <f>SUMIF(Facturas!$B$9:$B$79,B176,Facturas!$F$9:$F$79)</f>
        <v>1790000</v>
      </c>
      <c r="G176" s="1138">
        <f>SUMIF(Facturas!$B$9:$B$79,B176,Facturas!$G$9:$G$79)</f>
        <v>340100</v>
      </c>
      <c r="H176" s="1187">
        <f>SUMIF(Facturas!$B$9:$B$79,B176,Facturas!$I$9:$I$79)</f>
        <v>0</v>
      </c>
      <c r="I176" s="1187">
        <f>SUMIF(Facturas!$B$9:$B$79,B176,Facturas!$J$9:$J$79)</f>
        <v>2130100</v>
      </c>
      <c r="J176" s="1138">
        <f>SUMIF(Facturas!$B$9:$B$79,B176,Facturas!$K$9:$K$79)</f>
        <v>2130100</v>
      </c>
      <c r="K176" s="1193"/>
      <c r="L176" s="1449">
        <f>IF(J176&gt;0,0,SUMIF('Cuentas de Cobro'!$B$9:$B$216,B176,'Cuentas de Cobro'!$F$9:$F$216))</f>
        <v>0</v>
      </c>
      <c r="M176" s="1677"/>
      <c r="N176" s="1556">
        <f t="shared" ref="N176:N216" si="26">+J176+L176</f>
        <v>2130100</v>
      </c>
      <c r="O176" s="1101"/>
      <c r="P176" s="1529"/>
      <c r="Q176" s="8"/>
      <c r="R176" s="1434" t="s">
        <v>120</v>
      </c>
    </row>
    <row r="177" spans="1:18" x14ac:dyDescent="0.2">
      <c r="A177" s="1184">
        <f t="shared" si="21"/>
        <v>168</v>
      </c>
      <c r="B177" s="1097" t="s">
        <v>310</v>
      </c>
      <c r="C177" s="1420">
        <v>15256982</v>
      </c>
      <c r="D177" s="1186">
        <f t="shared" si="22"/>
        <v>1</v>
      </c>
      <c r="E177" s="1185">
        <f>_xlfn.XLOOKUP(B177,Códigos!$B$8:$B$406,Códigos!$A$8:$A$406,"Verificar",0)</f>
        <v>334</v>
      </c>
      <c r="F177" s="1527">
        <f>SUMIF(Facturas!$B$9:$B$79,B177,Facturas!$F$9:$F$79)</f>
        <v>0</v>
      </c>
      <c r="G177" s="1138">
        <f>SUMIF(Facturas!$B$9:$B$79,B177,Facturas!$G$9:$G$79)</f>
        <v>0</v>
      </c>
      <c r="H177" s="1187">
        <f>SUMIF(Facturas!$B$9:$B$79,B177,Facturas!$I$9:$I$79)</f>
        <v>0</v>
      </c>
      <c r="I177" s="1187">
        <f>SUMIF(Facturas!$B$9:$B$79,B177,Facturas!$J$9:$J$79)</f>
        <v>0</v>
      </c>
      <c r="J177" s="1138">
        <f>SUMIF(Facturas!$B$9:$B$79,B177,Facturas!$K$9:$K$79)</f>
        <v>0</v>
      </c>
      <c r="K177" s="1193"/>
      <c r="L177" s="1449">
        <f>IF(J177&gt;0,0,SUMIF('Cuentas de Cobro'!$B$9:$B$216,B177,'Cuentas de Cobro'!$F$9:$F$216))</f>
        <v>120000</v>
      </c>
      <c r="M177" s="1677"/>
      <c r="N177" s="1556">
        <f t="shared" si="26"/>
        <v>120000</v>
      </c>
      <c r="O177" s="1101"/>
      <c r="P177" s="1529"/>
      <c r="Q177" s="8"/>
      <c r="R177" s="697" t="s">
        <v>310</v>
      </c>
    </row>
    <row r="178" spans="1:18" x14ac:dyDescent="0.2">
      <c r="A178" s="1184">
        <f t="shared" si="21"/>
        <v>169</v>
      </c>
      <c r="B178" s="1097" t="s">
        <v>320</v>
      </c>
      <c r="C178" s="1420">
        <v>71642392</v>
      </c>
      <c r="D178" s="1186">
        <f t="shared" si="22"/>
        <v>5</v>
      </c>
      <c r="E178" s="1185">
        <f>_xlfn.XLOOKUP(B178,Códigos!$B$8:$B$406,Códigos!$A$8:$A$406,"Verificar",0)</f>
        <v>342</v>
      </c>
      <c r="F178" s="1527">
        <f>SUMIF(Facturas!$B$9:$B$79,B178,Facturas!$F$9:$F$79)</f>
        <v>0</v>
      </c>
      <c r="G178" s="1138">
        <f>SUMIF(Facturas!$B$9:$B$79,B178,Facturas!$G$9:$G$79)</f>
        <v>0</v>
      </c>
      <c r="H178" s="1187">
        <f>SUMIF(Facturas!$B$9:$B$79,B178,Facturas!$I$9:$I$79)</f>
        <v>0</v>
      </c>
      <c r="I178" s="1187">
        <f>SUMIF(Facturas!$B$9:$B$79,B178,Facturas!$J$9:$J$79)</f>
        <v>0</v>
      </c>
      <c r="J178" s="1138">
        <f>SUMIF(Facturas!$B$9:$B$79,B178,Facturas!$K$9:$K$79)</f>
        <v>0</v>
      </c>
      <c r="K178" s="1193"/>
      <c r="L178" s="1449">
        <f>IF(J178&gt;0,0,SUMIF('Cuentas de Cobro'!$B$9:$B$216,B178,'Cuentas de Cobro'!$F$9:$F$216))</f>
        <v>120000</v>
      </c>
      <c r="M178" s="1677"/>
      <c r="N178" s="1556">
        <f t="shared" si="26"/>
        <v>120000</v>
      </c>
      <c r="O178" s="1101"/>
      <c r="P178" s="1529"/>
      <c r="Q178" s="8"/>
      <c r="R178" s="697" t="s">
        <v>320</v>
      </c>
    </row>
    <row r="179" spans="1:18" x14ac:dyDescent="0.2">
      <c r="A179" s="1184">
        <f t="shared" si="21"/>
        <v>170</v>
      </c>
      <c r="B179" s="1097" t="s">
        <v>121</v>
      </c>
      <c r="C179" s="1420">
        <v>87101474230</v>
      </c>
      <c r="D179" s="1186">
        <f t="shared" si="22"/>
        <v>2</v>
      </c>
      <c r="E179" s="1185">
        <f>_xlfn.XLOOKUP(B179,Códigos!$B$8:$B$406,Códigos!$A$8:$A$406,"Verificar",0)</f>
        <v>159</v>
      </c>
      <c r="F179" s="1527">
        <f>SUMIF(Facturas!$B$9:$B$79,B179,Facturas!$F$9:$F$79)</f>
        <v>610000</v>
      </c>
      <c r="G179" s="1138">
        <f>SUMIF(Facturas!$B$9:$B$79,B179,Facturas!$G$9:$G$79)</f>
        <v>115900</v>
      </c>
      <c r="H179" s="1187">
        <f>SUMIF(Facturas!$B$9:$B$79,B179,Facturas!$I$9:$I$79)</f>
        <v>-67100</v>
      </c>
      <c r="I179" s="1187">
        <f>SUMIF(Facturas!$B$9:$B$79,B179,Facturas!$J$9:$J$79)</f>
        <v>725900</v>
      </c>
      <c r="J179" s="1138">
        <f>SUMIF(Facturas!$B$9:$B$79,B179,Facturas!$K$9:$K$79)</f>
        <v>658800</v>
      </c>
      <c r="K179" s="1193"/>
      <c r="L179" s="1449">
        <f>IF(J179&gt;0,0,SUMIF('Cuentas de Cobro'!$B$9:$B$216,B179,'Cuentas de Cobro'!$F$9:$F$216))</f>
        <v>0</v>
      </c>
      <c r="M179" s="1677"/>
      <c r="N179" s="1556">
        <f t="shared" si="26"/>
        <v>658800</v>
      </c>
      <c r="O179" s="1101"/>
      <c r="P179" s="1529"/>
      <c r="Q179" s="8"/>
      <c r="R179" s="1434" t="s">
        <v>121</v>
      </c>
    </row>
    <row r="180" spans="1:18" x14ac:dyDescent="0.2">
      <c r="A180" s="1184">
        <f t="shared" si="21"/>
        <v>171</v>
      </c>
      <c r="B180" s="1097" t="s">
        <v>122</v>
      </c>
      <c r="C180" s="1420">
        <v>71368472</v>
      </c>
      <c r="D180" s="1186">
        <f t="shared" si="22"/>
        <v>1</v>
      </c>
      <c r="E180" s="1185">
        <f>_xlfn.XLOOKUP(B180,Códigos!$B$8:$B$406,Códigos!$A$8:$A$406,"Verificar",0)</f>
        <v>160</v>
      </c>
      <c r="F180" s="1527">
        <f>SUMIF(Facturas!$B$9:$B$79,B180,Facturas!$F$9:$F$79)</f>
        <v>1280000</v>
      </c>
      <c r="G180" s="1138">
        <f>SUMIF(Facturas!$B$9:$B$79,B180,Facturas!$G$9:$G$79)</f>
        <v>243200</v>
      </c>
      <c r="H180" s="1187">
        <f>SUMIF(Facturas!$B$9:$B$79,B180,Facturas!$I$9:$I$79)</f>
        <v>-140800</v>
      </c>
      <c r="I180" s="1187">
        <f>SUMIF(Facturas!$B$9:$B$79,B180,Facturas!$J$9:$J$79)</f>
        <v>1523200</v>
      </c>
      <c r="J180" s="1138">
        <f>SUMIF(Facturas!$B$9:$B$79,B180,Facturas!$K$9:$K$79)</f>
        <v>1382400</v>
      </c>
      <c r="K180" s="1193"/>
      <c r="L180" s="1449">
        <f>IF(J180&gt;0,0,SUMIF('Cuentas de Cobro'!$B$9:$B$216,B180,'Cuentas de Cobro'!$F$9:$F$216))</f>
        <v>0</v>
      </c>
      <c r="M180" s="1677"/>
      <c r="N180" s="1556">
        <f t="shared" si="26"/>
        <v>1382400</v>
      </c>
      <c r="O180" s="1101"/>
      <c r="P180" s="1529"/>
      <c r="Q180" s="8"/>
      <c r="R180" s="1441" t="s">
        <v>122</v>
      </c>
    </row>
    <row r="181" spans="1:18" x14ac:dyDescent="0.2">
      <c r="A181" s="1184">
        <f t="shared" si="21"/>
        <v>172</v>
      </c>
      <c r="B181" s="1097" t="s">
        <v>125</v>
      </c>
      <c r="C181" s="1420">
        <v>32404117</v>
      </c>
      <c r="D181" s="1186">
        <f t="shared" si="22"/>
        <v>4</v>
      </c>
      <c r="E181" s="1185">
        <f>_xlfn.XLOOKUP(B181,Códigos!$B$8:$B$406,Códigos!$A$8:$A$406,"Verificar",0)</f>
        <v>165</v>
      </c>
      <c r="F181" s="1527">
        <f>SUMIF(Facturas!$B$9:$B$79,B181,Facturas!$F$9:$F$79)</f>
        <v>1830000</v>
      </c>
      <c r="G181" s="1138">
        <f>SUMIF(Facturas!$B$9:$B$79,B181,Facturas!$G$9:$G$79)</f>
        <v>347700</v>
      </c>
      <c r="H181" s="1187">
        <f>SUMIF(Facturas!$B$9:$B$79,B181,Facturas!$I$9:$I$79)</f>
        <v>-201300</v>
      </c>
      <c r="I181" s="1187">
        <f>SUMIF(Facturas!$B$9:$B$79,B181,Facturas!$J$9:$J$79)</f>
        <v>2177700</v>
      </c>
      <c r="J181" s="1138">
        <f>SUMIF(Facturas!$B$9:$B$79,B181,Facturas!$K$9:$K$79)</f>
        <v>1976400</v>
      </c>
      <c r="K181" s="1193"/>
      <c r="L181" s="1449">
        <f>IF(J181&gt;0,0,SUMIF('Cuentas de Cobro'!$B$9:$B$216,B181,'Cuentas de Cobro'!$F$9:$F$216))</f>
        <v>0</v>
      </c>
      <c r="M181" s="1677"/>
      <c r="N181" s="1556">
        <f t="shared" si="26"/>
        <v>1976400</v>
      </c>
      <c r="O181" s="1101"/>
      <c r="P181" s="1529"/>
      <c r="Q181" s="8"/>
      <c r="R181" s="1434" t="s">
        <v>125</v>
      </c>
    </row>
    <row r="182" spans="1:18" x14ac:dyDescent="0.2">
      <c r="A182" s="1184">
        <f t="shared" si="21"/>
        <v>173</v>
      </c>
      <c r="B182" s="1097" t="s">
        <v>126</v>
      </c>
      <c r="C182" s="1420">
        <v>8248980</v>
      </c>
      <c r="D182" s="1186">
        <f t="shared" si="22"/>
        <v>8</v>
      </c>
      <c r="E182" s="1185">
        <f>_xlfn.XLOOKUP(B182,Códigos!$B$8:$B$406,Códigos!$A$8:$A$406,"Verificar",0)</f>
        <v>166</v>
      </c>
      <c r="F182" s="1527">
        <f>SUMIF(Facturas!$B$9:$B$79,B182,Facturas!$F$9:$F$79)</f>
        <v>2430000</v>
      </c>
      <c r="G182" s="1138">
        <f>SUMIF(Facturas!$B$9:$B$79,B182,Facturas!$G$9:$G$79)</f>
        <v>461700</v>
      </c>
      <c r="H182" s="1187">
        <f>SUMIF(Facturas!$B$9:$B$79,B182,Facturas!$I$9:$I$79)</f>
        <v>-267300</v>
      </c>
      <c r="I182" s="1187">
        <f>SUMIF(Facturas!$B$9:$B$79,B182,Facturas!$J$9:$J$79)</f>
        <v>2891700</v>
      </c>
      <c r="J182" s="1138">
        <f>SUMIF(Facturas!$B$9:$B$79,B182,Facturas!$K$9:$K$79)</f>
        <v>2624400</v>
      </c>
      <c r="K182" s="1193"/>
      <c r="L182" s="1449">
        <f>IF(J182&gt;0,0,SUMIF('Cuentas de Cobro'!$B$9:$B$216,B182,'Cuentas de Cobro'!$F$9:$F$216))</f>
        <v>0</v>
      </c>
      <c r="M182" s="1677"/>
      <c r="N182" s="1556">
        <f t="shared" si="26"/>
        <v>2624400</v>
      </c>
      <c r="O182" s="1101"/>
      <c r="P182" s="1529"/>
      <c r="Q182" s="8"/>
      <c r="R182" s="1434" t="s">
        <v>126</v>
      </c>
    </row>
    <row r="183" spans="1:18" x14ac:dyDescent="0.2">
      <c r="A183" s="1184">
        <f t="shared" si="21"/>
        <v>174</v>
      </c>
      <c r="B183" s="1097" t="s">
        <v>127</v>
      </c>
      <c r="C183" s="1420">
        <v>8290656</v>
      </c>
      <c r="D183" s="1186">
        <f t="shared" si="22"/>
        <v>3</v>
      </c>
      <c r="E183" s="1185">
        <f>_xlfn.XLOOKUP(B183,Códigos!$B$8:$B$406,Códigos!$A$8:$A$406,"Verificar",0)</f>
        <v>167</v>
      </c>
      <c r="F183" s="1527">
        <f>SUMIF(Facturas!$B$9:$B$79,B183,Facturas!$F$9:$F$79)</f>
        <v>1410000</v>
      </c>
      <c r="G183" s="1138">
        <f>SUMIF(Facturas!$B$9:$B$79,B183,Facturas!$G$9:$G$79)</f>
        <v>267900</v>
      </c>
      <c r="H183" s="1187">
        <f>SUMIF(Facturas!$B$9:$B$79,B183,Facturas!$I$9:$I$79)</f>
        <v>-155100</v>
      </c>
      <c r="I183" s="1187">
        <f>SUMIF(Facturas!$B$9:$B$79,B183,Facturas!$J$9:$J$79)</f>
        <v>1677900</v>
      </c>
      <c r="J183" s="1138">
        <f>SUMIF(Facturas!$B$9:$B$79,B183,Facturas!$K$9:$K$79)</f>
        <v>1522800</v>
      </c>
      <c r="K183" s="1193"/>
      <c r="L183" s="1449">
        <f>IF(J183&gt;0,0,SUMIF('Cuentas de Cobro'!$B$9:$B$216,B183,'Cuentas de Cobro'!$F$9:$F$216))</f>
        <v>0</v>
      </c>
      <c r="M183" s="1677"/>
      <c r="N183" s="1556">
        <f t="shared" si="26"/>
        <v>1522800</v>
      </c>
      <c r="O183" s="1101"/>
      <c r="P183" s="1529"/>
      <c r="Q183" s="8"/>
      <c r="R183" s="1434" t="s">
        <v>127</v>
      </c>
    </row>
    <row r="184" spans="1:18" x14ac:dyDescent="0.2">
      <c r="A184" s="1184">
        <f t="shared" si="21"/>
        <v>175</v>
      </c>
      <c r="B184" s="1097" t="s">
        <v>128</v>
      </c>
      <c r="C184" s="1420">
        <v>32524963</v>
      </c>
      <c r="D184" s="1186">
        <f t="shared" si="22"/>
        <v>3</v>
      </c>
      <c r="E184" s="1185">
        <f>_xlfn.XLOOKUP(B184,Códigos!$B$8:$B$406,Códigos!$A$8:$A$406,"Verificar",0)</f>
        <v>168</v>
      </c>
      <c r="F184" s="1527">
        <f>SUMIF(Facturas!$B$9:$B$79,B184,Facturas!$F$9:$F$79)</f>
        <v>2530000</v>
      </c>
      <c r="G184" s="1138">
        <f>SUMIF(Facturas!$B$9:$B$79,B184,Facturas!$G$9:$G$79)</f>
        <v>480700</v>
      </c>
      <c r="H184" s="1187">
        <f>SUMIF(Facturas!$B$9:$B$79,B184,Facturas!$I$9:$I$79)</f>
        <v>0</v>
      </c>
      <c r="I184" s="1187">
        <f>SUMIF(Facturas!$B$9:$B$79,B184,Facturas!$J$9:$J$79)</f>
        <v>3010700</v>
      </c>
      <c r="J184" s="1138">
        <f>SUMIF(Facturas!$B$9:$B$79,B184,Facturas!$K$9:$K$79)</f>
        <v>3010700</v>
      </c>
      <c r="K184" s="1193"/>
      <c r="L184" s="1449">
        <f>IF(J184&gt;0,0,SUMIF('Cuentas de Cobro'!$B$9:$B$216,B184,'Cuentas de Cobro'!$F$9:$F$216))</f>
        <v>0</v>
      </c>
      <c r="M184" s="1677"/>
      <c r="N184" s="1556">
        <f t="shared" si="26"/>
        <v>3010700</v>
      </c>
      <c r="O184" s="1101"/>
      <c r="P184" s="1529"/>
      <c r="Q184" s="8"/>
      <c r="R184" s="1434" t="s">
        <v>128</v>
      </c>
    </row>
    <row r="185" spans="1:18" x14ac:dyDescent="0.2">
      <c r="A185" s="1184">
        <f t="shared" si="21"/>
        <v>176</v>
      </c>
      <c r="B185" s="1097" t="s">
        <v>398</v>
      </c>
      <c r="C185" s="1420">
        <v>1039683603</v>
      </c>
      <c r="D185" s="1186">
        <f t="shared" si="22"/>
        <v>4</v>
      </c>
      <c r="E185" s="1185">
        <f>_xlfn.XLOOKUP(B185,Códigos!$B$8:$B$406,Códigos!$A$8:$A$406,"Verificar",0)</f>
        <v>104</v>
      </c>
      <c r="F185" s="1527">
        <f>SUMIF(Facturas!$B$9:$B$79,B185,Facturas!$F$9:$F$79)</f>
        <v>0</v>
      </c>
      <c r="G185" s="1138">
        <f>SUMIF(Facturas!$B$9:$B$79,B185,Facturas!$G$9:$G$79)</f>
        <v>0</v>
      </c>
      <c r="H185" s="1187">
        <f>SUMIF(Facturas!$B$9:$B$79,B185,Facturas!$I$9:$I$79)</f>
        <v>0</v>
      </c>
      <c r="I185" s="1187">
        <f>SUMIF(Facturas!$B$9:$B$79,B185,Facturas!$J$9:$J$79)</f>
        <v>0</v>
      </c>
      <c r="J185" s="1138">
        <f>SUMIF(Facturas!$B$9:$B$79,B185,Facturas!$K$9:$K$79)</f>
        <v>0</v>
      </c>
      <c r="K185" s="1193"/>
      <c r="L185" s="1449">
        <f>IF(J185&gt;0,0,SUMIF('Cuentas de Cobro'!$B$9:$B$216,B185,'Cuentas de Cobro'!$F$9:$F$216))</f>
        <v>0</v>
      </c>
      <c r="M185" s="1677"/>
      <c r="N185" s="1556">
        <f t="shared" si="26"/>
        <v>0</v>
      </c>
      <c r="O185" s="1101"/>
      <c r="P185" s="1529"/>
      <c r="Q185" s="8"/>
      <c r="R185" s="1384" t="s">
        <v>654</v>
      </c>
    </row>
    <row r="186" spans="1:18" x14ac:dyDescent="0.2">
      <c r="A186" s="1184">
        <f t="shared" si="21"/>
        <v>177</v>
      </c>
      <c r="B186" s="1097" t="s">
        <v>767</v>
      </c>
      <c r="C186" s="1420">
        <v>39295015</v>
      </c>
      <c r="D186" s="1186">
        <f t="shared" si="22"/>
        <v>8</v>
      </c>
      <c r="E186" s="1185">
        <f>_xlfn.XLOOKUP(B186,Códigos!$B$8:$B$406,Códigos!$A$8:$A$406,"Verificar",0)</f>
        <v>308</v>
      </c>
      <c r="F186" s="1527">
        <f>SUMIF(Facturas!$B$9:$B$79,B186,Facturas!$F$9:$F$79)</f>
        <v>0</v>
      </c>
      <c r="G186" s="1138">
        <f>SUMIF(Facturas!$B$9:$B$79,B186,Facturas!$G$9:$G$79)</f>
        <v>0</v>
      </c>
      <c r="H186" s="1187">
        <f>SUMIF(Facturas!$B$9:$B$79,B186,Facturas!$I$9:$I$79)</f>
        <v>0</v>
      </c>
      <c r="I186" s="1187">
        <f>SUMIF(Facturas!$B$9:$B$79,B186,Facturas!$J$9:$J$79)</f>
        <v>0</v>
      </c>
      <c r="J186" s="1138">
        <f>SUMIF(Facturas!$B$9:$B$79,B186,Facturas!$K$9:$K$79)</f>
        <v>0</v>
      </c>
      <c r="K186" s="1193"/>
      <c r="L186" s="1449">
        <f>IF(J186&gt;0,0,SUMIF('Cuentas de Cobro'!$B$9:$B$216,B186,'Cuentas de Cobro'!$F$9:$F$216))</f>
        <v>240000</v>
      </c>
      <c r="M186" s="1677"/>
      <c r="N186" s="1556">
        <f t="shared" si="26"/>
        <v>240000</v>
      </c>
      <c r="O186" s="1101"/>
      <c r="P186" s="1529"/>
      <c r="Q186" s="8"/>
      <c r="R186" s="1437" t="s">
        <v>767</v>
      </c>
    </row>
    <row r="187" spans="1:18" x14ac:dyDescent="0.2">
      <c r="A187" s="1184">
        <f t="shared" si="21"/>
        <v>178</v>
      </c>
      <c r="B187" s="1097" t="s">
        <v>759</v>
      </c>
      <c r="C187" s="1420">
        <v>3361134</v>
      </c>
      <c r="D187" s="1186">
        <f t="shared" si="22"/>
        <v>8</v>
      </c>
      <c r="E187" s="1185">
        <f>_xlfn.XLOOKUP(B187,Códigos!$B$8:$B$406,Códigos!$A$8:$A$406,"Verificar",0)</f>
        <v>304</v>
      </c>
      <c r="F187" s="1527">
        <f>SUMIF(Facturas!$B$9:$B$79,B187,Facturas!$F$9:$F$79)</f>
        <v>0</v>
      </c>
      <c r="G187" s="1138">
        <f>SUMIF(Facturas!$B$9:$B$79,B187,Facturas!$G$9:$G$79)</f>
        <v>0</v>
      </c>
      <c r="H187" s="1187">
        <f>SUMIF(Facturas!$B$9:$B$79,B187,Facturas!$I$9:$I$79)</f>
        <v>0</v>
      </c>
      <c r="I187" s="1187">
        <f>SUMIF(Facturas!$B$9:$B$79,B187,Facturas!$J$9:$J$79)</f>
        <v>0</v>
      </c>
      <c r="J187" s="1138">
        <f>SUMIF(Facturas!$B$9:$B$79,B187,Facturas!$K$9:$K$79)</f>
        <v>0</v>
      </c>
      <c r="K187" s="1193"/>
      <c r="L187" s="1449">
        <f>IF(J187&gt;0,0,SUMIF('Cuentas de Cobro'!$B$9:$B$216,B187,'Cuentas de Cobro'!$F$9:$F$216))</f>
        <v>0</v>
      </c>
      <c r="M187" s="1677"/>
      <c r="N187" s="1556">
        <f t="shared" si="26"/>
        <v>0</v>
      </c>
      <c r="O187" s="1101"/>
      <c r="P187" s="1529"/>
      <c r="Q187" s="8"/>
      <c r="R187" s="1384" t="s">
        <v>654</v>
      </c>
    </row>
    <row r="188" spans="1:18" x14ac:dyDescent="0.2">
      <c r="A188" s="1184">
        <f t="shared" si="21"/>
        <v>179</v>
      </c>
      <c r="B188" s="1097" t="s">
        <v>607</v>
      </c>
      <c r="C188" s="1420">
        <v>1128457837</v>
      </c>
      <c r="D188" s="1186">
        <f t="shared" si="22"/>
        <v>5</v>
      </c>
      <c r="E188" s="1185">
        <f>_xlfn.XLOOKUP(B188,Códigos!$B$8:$B$406,Códigos!$A$8:$A$406,"Verificar",0)</f>
        <v>237</v>
      </c>
      <c r="F188" s="1527">
        <f>SUMIF(Facturas!$B$9:$B$79,B188,Facturas!$F$9:$F$79)</f>
        <v>0</v>
      </c>
      <c r="G188" s="1138">
        <f>SUMIF(Facturas!$B$9:$B$79,B188,Facturas!$G$9:$G$79)</f>
        <v>0</v>
      </c>
      <c r="H188" s="1187">
        <f>SUMIF(Facturas!$B$9:$B$79,B188,Facturas!$I$9:$I$79)</f>
        <v>0</v>
      </c>
      <c r="I188" s="1187">
        <f>SUMIF(Facturas!$B$9:$B$79,B188,Facturas!$J$9:$J$79)</f>
        <v>0</v>
      </c>
      <c r="J188" s="1138">
        <f>SUMIF(Facturas!$B$9:$B$79,B188,Facturas!$K$9:$K$79)</f>
        <v>0</v>
      </c>
      <c r="K188" s="1193"/>
      <c r="L188" s="1449">
        <f>IF(J188&gt;0,0,SUMIF('Cuentas de Cobro'!$B$9:$B$216,B188,'Cuentas de Cobro'!$F$9:$F$216))</f>
        <v>300000</v>
      </c>
      <c r="M188" s="1677"/>
      <c r="N188" s="1556">
        <f t="shared" si="26"/>
        <v>300000</v>
      </c>
      <c r="O188" s="1101"/>
      <c r="P188" s="1529"/>
      <c r="Q188" s="8"/>
      <c r="R188" s="697" t="s">
        <v>607</v>
      </c>
    </row>
    <row r="189" spans="1:18" x14ac:dyDescent="0.2">
      <c r="A189" s="1184">
        <f t="shared" si="21"/>
        <v>180</v>
      </c>
      <c r="B189" s="1097" t="s">
        <v>130</v>
      </c>
      <c r="C189" s="1420">
        <v>71728652</v>
      </c>
      <c r="D189" s="1186">
        <f t="shared" si="22"/>
        <v>6</v>
      </c>
      <c r="E189" s="1185">
        <f>_xlfn.XLOOKUP(B189,Códigos!$B$8:$B$406,Códigos!$A$8:$A$406,"Verificar",0)</f>
        <v>298</v>
      </c>
      <c r="F189" s="1527">
        <f>SUMIF(Facturas!$B$9:$B$79,B189,Facturas!$F$9:$F$79)</f>
        <v>0</v>
      </c>
      <c r="G189" s="1138">
        <f>SUMIF(Facturas!$B$9:$B$79,B189,Facturas!$G$9:$G$79)</f>
        <v>0</v>
      </c>
      <c r="H189" s="1187">
        <f>SUMIF(Facturas!$B$9:$B$79,B189,Facturas!$I$9:$I$79)</f>
        <v>0</v>
      </c>
      <c r="I189" s="1187">
        <f>SUMIF(Facturas!$B$9:$B$79,B189,Facturas!$J$9:$J$79)</f>
        <v>0</v>
      </c>
      <c r="J189" s="1138">
        <f>SUMIF(Facturas!$B$9:$B$79,B189,Facturas!$K$9:$K$79)</f>
        <v>0</v>
      </c>
      <c r="K189" s="1193"/>
      <c r="L189" s="1449">
        <f>IF(J189&gt;0,0,SUMIF('Cuentas de Cobro'!$B$9:$B$216,B189,'Cuentas de Cobro'!$F$9:$F$216))</f>
        <v>1500000</v>
      </c>
      <c r="M189" s="1677"/>
      <c r="N189" s="1556">
        <f t="shared" si="26"/>
        <v>1500000</v>
      </c>
      <c r="O189" s="1101"/>
      <c r="P189" s="1529"/>
      <c r="Q189" s="8"/>
      <c r="R189" s="357" t="s">
        <v>130</v>
      </c>
    </row>
    <row r="190" spans="1:18" x14ac:dyDescent="0.2">
      <c r="A190" s="1184">
        <f t="shared" si="21"/>
        <v>181</v>
      </c>
      <c r="B190" s="1097" t="s">
        <v>131</v>
      </c>
      <c r="C190" s="1420">
        <v>675024</v>
      </c>
      <c r="D190" s="1186">
        <f t="shared" si="22"/>
        <v>3</v>
      </c>
      <c r="E190" s="1185">
        <v>201</v>
      </c>
      <c r="F190" s="1527">
        <f>SUMIF(Facturas!$B$9:$B$79,B190,Facturas!$F$9:$F$79)</f>
        <v>990000</v>
      </c>
      <c r="G190" s="1138">
        <f>SUMIF(Facturas!$B$9:$B$79,B190,Facturas!$G$9:$G$79)</f>
        <v>188100</v>
      </c>
      <c r="H190" s="1187">
        <f>SUMIF(Facturas!$B$9:$B$79,B190,Facturas!$I$9:$I$79)</f>
        <v>-108900</v>
      </c>
      <c r="I190" s="1187">
        <f>SUMIF(Facturas!$B$9:$B$79,B190,Facturas!$J$9:$J$79)</f>
        <v>1178100</v>
      </c>
      <c r="J190" s="1138">
        <f>SUMIF(Facturas!$B$9:$B$79,B190,Facturas!$K$9:$K$79)</f>
        <v>1069200</v>
      </c>
      <c r="K190" s="1193"/>
      <c r="L190" s="1449">
        <f>IF(J190&gt;0,0,SUMIF('Cuentas de Cobro'!$B$9:$B$216,B190,'Cuentas de Cobro'!$F$9:$F$216))</f>
        <v>0</v>
      </c>
      <c r="M190" s="1677"/>
      <c r="N190" s="1556">
        <f t="shared" ref="N190:N191" si="27">+J190+L190</f>
        <v>1069200</v>
      </c>
      <c r="O190" s="1101"/>
      <c r="P190" s="1529"/>
      <c r="Q190" s="8"/>
      <c r="R190" s="1436" t="s">
        <v>131</v>
      </c>
    </row>
    <row r="191" spans="1:18" x14ac:dyDescent="0.2">
      <c r="A191" s="1184">
        <f t="shared" si="21"/>
        <v>182</v>
      </c>
      <c r="B191" s="1694" t="s">
        <v>780</v>
      </c>
      <c r="C191" s="1695">
        <v>43617037</v>
      </c>
      <c r="D191" s="1685">
        <f t="shared" si="22"/>
        <v>8</v>
      </c>
      <c r="E191" s="1686">
        <v>205</v>
      </c>
      <c r="F191" s="1687">
        <f>SUMIF(Facturas!$B$9:$B$79,B191,Facturas!$F$9:$F$79)</f>
        <v>0</v>
      </c>
      <c r="G191" s="1210">
        <f>SUMIF(Facturas!$B$9:$B$79,B191,Facturas!$G$9:$G$79)</f>
        <v>0</v>
      </c>
      <c r="H191" s="1473">
        <f>SUMIF(Facturas!$B$9:$B$79,B191,Facturas!$I$9:$I$79)</f>
        <v>0</v>
      </c>
      <c r="I191" s="1473">
        <f>SUMIF(Facturas!$B$9:$B$79,B191,Facturas!$J$9:$J$79)</f>
        <v>0</v>
      </c>
      <c r="J191" s="1210">
        <f>SUMIF(Facturas!$B$9:$B$79,B191,Facturas!$K$9:$K$79)</f>
        <v>0</v>
      </c>
      <c r="K191" s="1688"/>
      <c r="L191" s="1696">
        <f>IF(J191&gt;0,0,SUMIF('Cuentas de Cobro'!$B$9:$B$216,B191,'Cuentas de Cobro'!$F$9:$F$216))</f>
        <v>0</v>
      </c>
      <c r="M191" s="1697"/>
      <c r="N191" s="1660">
        <f t="shared" si="27"/>
        <v>0</v>
      </c>
      <c r="O191" s="1690"/>
      <c r="P191" s="1691"/>
      <c r="Q191" s="8"/>
      <c r="R191" s="1379" t="s">
        <v>805</v>
      </c>
    </row>
    <row r="192" spans="1:18" x14ac:dyDescent="0.2">
      <c r="A192" s="1184">
        <f t="shared" si="21"/>
        <v>183</v>
      </c>
      <c r="B192" s="1201" t="s">
        <v>475</v>
      </c>
      <c r="C192" s="1420">
        <v>20197189</v>
      </c>
      <c r="D192" s="1186">
        <f t="shared" si="22"/>
        <v>1</v>
      </c>
      <c r="E192" s="1185">
        <f>_xlfn.XLOOKUP(B192,Códigos!$B$8:$B$406,Códigos!$A$8:$A$406,"Verificar",0)</f>
        <v>181</v>
      </c>
      <c r="F192" s="1527">
        <f>SUMIF(Facturas!$B$9:$B$79,B192,Facturas!$F$9:$F$79)</f>
        <v>0</v>
      </c>
      <c r="G192" s="1138">
        <f>SUMIF(Facturas!$B$9:$B$79,B192,Facturas!$G$9:$G$79)</f>
        <v>0</v>
      </c>
      <c r="H192" s="1187">
        <f>SUMIF(Facturas!$B$9:$B$79,B192,Facturas!$I$9:$I$79)</f>
        <v>0</v>
      </c>
      <c r="I192" s="1187">
        <f>SUMIF(Facturas!$B$9:$B$79,B192,Facturas!$J$9:$J$79)</f>
        <v>0</v>
      </c>
      <c r="J192" s="1138">
        <f>SUMIF(Facturas!$B$9:$B$79,B192,Facturas!$K$9:$K$79)</f>
        <v>0</v>
      </c>
      <c r="K192" s="1193"/>
      <c r="L192" s="1449">
        <f>IF(J192&gt;0,0,SUMIF('Cuentas de Cobro'!$B$9:$B$216,B192,'Cuentas de Cobro'!$F$9:$F$216))</f>
        <v>0</v>
      </c>
      <c r="M192" s="1677"/>
      <c r="N192" s="1556">
        <f t="shared" si="26"/>
        <v>0</v>
      </c>
      <c r="O192" s="1101"/>
      <c r="P192" s="1529"/>
      <c r="Q192" s="8"/>
      <c r="R192" s="1384" t="s">
        <v>654</v>
      </c>
    </row>
    <row r="193" spans="1:18" x14ac:dyDescent="0.2">
      <c r="A193" s="1184">
        <f t="shared" si="21"/>
        <v>184</v>
      </c>
      <c r="B193" s="1097" t="s">
        <v>401</v>
      </c>
      <c r="C193" s="1420">
        <v>1152437125</v>
      </c>
      <c r="D193" s="1186">
        <f t="shared" si="22"/>
        <v>1</v>
      </c>
      <c r="E193" s="1185">
        <f>_xlfn.XLOOKUP(B193,Códigos!$B$8:$B$406,Códigos!$A$8:$A$406,"Verificar",0)</f>
        <v>107</v>
      </c>
      <c r="F193" s="1527">
        <f>SUMIF(Facturas!$B$9:$B$79,B193,Facturas!$F$9:$F$79)</f>
        <v>220000</v>
      </c>
      <c r="G193" s="1138">
        <f>SUMIF(Facturas!$B$9:$B$79,B193,Facturas!$G$9:$G$79)</f>
        <v>41800</v>
      </c>
      <c r="H193" s="1187">
        <f>SUMIF(Facturas!$B$9:$B$79,B193,Facturas!$I$9:$I$79)</f>
        <v>-24200</v>
      </c>
      <c r="I193" s="1187">
        <f>SUMIF(Facturas!$B$9:$B$79,B193,Facturas!$J$9:$J$79)</f>
        <v>261800</v>
      </c>
      <c r="J193" s="1138">
        <f>SUMIF(Facturas!$B$9:$B$79,B193,Facturas!$K$9:$K$79)</f>
        <v>237600</v>
      </c>
      <c r="K193" s="1193"/>
      <c r="L193" s="1449">
        <f>IF(J193&gt;0,0,SUMIF('Cuentas de Cobro'!$B$9:$B$216,B193,'Cuentas de Cobro'!$F$9:$F$216))</f>
        <v>0</v>
      </c>
      <c r="M193" s="1677"/>
      <c r="N193" s="1556">
        <f t="shared" si="26"/>
        <v>237600</v>
      </c>
      <c r="O193" s="1101"/>
      <c r="P193" s="1529"/>
      <c r="Q193" s="8"/>
      <c r="R193" s="1434" t="s">
        <v>401</v>
      </c>
    </row>
    <row r="194" spans="1:18" x14ac:dyDescent="0.2">
      <c r="A194" s="1184">
        <f t="shared" si="21"/>
        <v>185</v>
      </c>
      <c r="B194" s="1491" t="s">
        <v>648</v>
      </c>
      <c r="C194" s="1420">
        <v>1037624491</v>
      </c>
      <c r="D194" s="1186">
        <f t="shared" si="22"/>
        <v>7</v>
      </c>
      <c r="E194" s="1678">
        <f>_xlfn.XLOOKUP(B194,Códigos!$B$8:$B$406,Códigos!$A$8:$A$406,"Verificar",0)</f>
        <v>229</v>
      </c>
      <c r="F194" s="1527">
        <f>SUMIF(Facturas!$B$9:$B$79,B194,Facturas!$F$9:$F$79)</f>
        <v>220000</v>
      </c>
      <c r="G194" s="1138">
        <f>SUMIF(Facturas!$B$9:$B$79,B194,Facturas!$G$9:$G$79)</f>
        <v>41800</v>
      </c>
      <c r="H194" s="1187">
        <f>SUMIF(Facturas!$B$9:$B$79,B194,Facturas!$I$9:$I$79)</f>
        <v>-24200</v>
      </c>
      <c r="I194" s="1187">
        <f>SUMIF(Facturas!$B$9:$B$79,B194,Facturas!$J$9:$J$79)</f>
        <v>261800</v>
      </c>
      <c r="J194" s="1138">
        <f>SUMIF(Facturas!$B$9:$B$79,B194,Facturas!$K$9:$K$79)</f>
        <v>237600</v>
      </c>
      <c r="K194" s="1193"/>
      <c r="L194" s="1449">
        <f>IF(J194&gt;0,0,SUMIF('Cuentas de Cobro'!$B$9:$B$216,B194,'Cuentas de Cobro'!$F$9:$F$216))</f>
        <v>0</v>
      </c>
      <c r="M194" s="1677"/>
      <c r="N194" s="1556">
        <f t="shared" si="26"/>
        <v>237600</v>
      </c>
      <c r="O194" s="1101"/>
      <c r="P194" s="1529"/>
      <c r="Q194" s="8"/>
      <c r="R194" s="1390" t="s">
        <v>648</v>
      </c>
    </row>
    <row r="195" spans="1:18" x14ac:dyDescent="0.2">
      <c r="A195" s="1184">
        <f t="shared" si="21"/>
        <v>186</v>
      </c>
      <c r="B195" s="1097" t="s">
        <v>267</v>
      </c>
      <c r="C195" s="1420">
        <v>71660993</v>
      </c>
      <c r="D195" s="1186">
        <f t="shared" si="22"/>
        <v>8</v>
      </c>
      <c r="E195" s="1185">
        <f>_xlfn.XLOOKUP(B195,Códigos!$B$8:$B$406,Códigos!$A$8:$A$406,"Verificar",0)</f>
        <v>171</v>
      </c>
      <c r="F195" s="1527">
        <f>SUMIF(Facturas!$B$9:$B$79,B195,Facturas!$F$9:$F$79)</f>
        <v>2280000</v>
      </c>
      <c r="G195" s="1138">
        <f>SUMIF(Facturas!$B$9:$B$79,B195,Facturas!$G$9:$G$79)</f>
        <v>433200</v>
      </c>
      <c r="H195" s="1187">
        <f>SUMIF(Facturas!$B$9:$B$79,B195,Facturas!$I$9:$I$79)</f>
        <v>-250800</v>
      </c>
      <c r="I195" s="1187">
        <f>SUMIF(Facturas!$B$9:$B$79,B195,Facturas!$J$9:$J$79)</f>
        <v>2713200</v>
      </c>
      <c r="J195" s="1138">
        <f>SUMIF(Facturas!$B$9:$B$79,B195,Facturas!$K$9:$K$79)</f>
        <v>2462400</v>
      </c>
      <c r="K195" s="1193"/>
      <c r="L195" s="1449">
        <f>IF(J195&gt;0,0,SUMIF('Cuentas de Cobro'!$B$9:$B$216,B195,'Cuentas de Cobro'!$F$9:$F$216))</f>
        <v>0</v>
      </c>
      <c r="M195" s="1677"/>
      <c r="N195" s="1556">
        <f t="shared" si="26"/>
        <v>2462400</v>
      </c>
      <c r="O195" s="1101"/>
      <c r="P195" s="1529"/>
      <c r="Q195" s="8"/>
      <c r="R195" s="697" t="s">
        <v>267</v>
      </c>
    </row>
    <row r="196" spans="1:18" x14ac:dyDescent="0.2">
      <c r="A196" s="1184">
        <f t="shared" si="21"/>
        <v>187</v>
      </c>
      <c r="B196" s="1097" t="s">
        <v>132</v>
      </c>
      <c r="C196" s="1420">
        <v>39456473</v>
      </c>
      <c r="D196" s="1186">
        <f t="shared" si="22"/>
        <v>1</v>
      </c>
      <c r="E196" s="1185">
        <f>_xlfn.XLOOKUP(B196,Códigos!$B$8:$B$406,Códigos!$A$8:$A$406,"Verificar",0)</f>
        <v>238</v>
      </c>
      <c r="F196" s="1527">
        <f>SUMIF(Facturas!$B$9:$B$79,B196,Facturas!$F$9:$F$79)</f>
        <v>0</v>
      </c>
      <c r="G196" s="1138">
        <f>SUMIF(Facturas!$B$9:$B$79,B196,Facturas!$G$9:$G$79)</f>
        <v>0</v>
      </c>
      <c r="H196" s="1187">
        <f>SUMIF(Facturas!$B$9:$B$79,B196,Facturas!$I$9:$I$79)</f>
        <v>0</v>
      </c>
      <c r="I196" s="1187">
        <f>SUMIF(Facturas!$B$9:$B$79,B196,Facturas!$J$9:$J$79)</f>
        <v>0</v>
      </c>
      <c r="J196" s="1138">
        <f>SUMIF(Facturas!$B$9:$B$79,B196,Facturas!$K$9:$K$79)</f>
        <v>0</v>
      </c>
      <c r="K196" s="1193"/>
      <c r="L196" s="1449">
        <f>IF(J196&gt;0,0,SUMIF('Cuentas de Cobro'!$B$9:$B$216,B196,'Cuentas de Cobro'!$F$9:$F$216))</f>
        <v>720000</v>
      </c>
      <c r="M196" s="1677"/>
      <c r="N196" s="1556">
        <f t="shared" si="26"/>
        <v>720000</v>
      </c>
      <c r="O196" s="1101"/>
      <c r="P196" s="1529"/>
      <c r="Q196" s="8"/>
      <c r="R196" s="697" t="s">
        <v>132</v>
      </c>
    </row>
    <row r="197" spans="1:18" x14ac:dyDescent="0.2">
      <c r="A197" s="1184">
        <f t="shared" si="21"/>
        <v>188</v>
      </c>
      <c r="B197" s="1097" t="s">
        <v>133</v>
      </c>
      <c r="C197" s="1420">
        <v>1128268578</v>
      </c>
      <c r="D197" s="1186">
        <f t="shared" si="22"/>
        <v>1</v>
      </c>
      <c r="E197" s="1185">
        <f>_xlfn.XLOOKUP(B197,Códigos!$B$8:$B$406,Códigos!$A$8:$A$406,"Verificar",0)</f>
        <v>282</v>
      </c>
      <c r="F197" s="1527">
        <f>SUMIF(Facturas!$B$9:$B$79,B197,Facturas!$F$9:$F$79)</f>
        <v>0</v>
      </c>
      <c r="G197" s="1138">
        <f>SUMIF(Facturas!$B$9:$B$79,B197,Facturas!$G$9:$G$79)</f>
        <v>0</v>
      </c>
      <c r="H197" s="1187">
        <f>SUMIF(Facturas!$B$9:$B$79,B197,Facturas!$I$9:$I$79)</f>
        <v>0</v>
      </c>
      <c r="I197" s="1187">
        <f>SUMIF(Facturas!$B$9:$B$79,B197,Facturas!$J$9:$J$79)</f>
        <v>0</v>
      </c>
      <c r="J197" s="1138">
        <f>SUMIF(Facturas!$B$9:$B$79,B197,Facturas!$K$9:$K$79)</f>
        <v>0</v>
      </c>
      <c r="K197" s="1193"/>
      <c r="L197" s="1449">
        <f>IF(J197&gt;0,0,SUMIF('Cuentas de Cobro'!$B$9:$B$216,B197,'Cuentas de Cobro'!$F$9:$F$216))</f>
        <v>720000</v>
      </c>
      <c r="M197" s="1677"/>
      <c r="N197" s="1556">
        <f t="shared" si="26"/>
        <v>720000</v>
      </c>
      <c r="O197" s="1101"/>
      <c r="P197" s="1529"/>
      <c r="Q197" s="8"/>
      <c r="R197" s="697" t="s">
        <v>133</v>
      </c>
    </row>
    <row r="198" spans="1:18" x14ac:dyDescent="0.2">
      <c r="A198" s="1184">
        <f t="shared" si="21"/>
        <v>189</v>
      </c>
      <c r="B198" s="1097" t="s">
        <v>135</v>
      </c>
      <c r="C198" s="1420">
        <v>32413027</v>
      </c>
      <c r="D198" s="1186">
        <f t="shared" si="22"/>
        <v>8</v>
      </c>
      <c r="E198" s="1185">
        <f>_xlfn.XLOOKUP(B198,Códigos!$B$8:$B$406,Códigos!$A$8:$A$406,"Verificar",0)</f>
        <v>173</v>
      </c>
      <c r="F198" s="1527">
        <f>SUMIF(Facturas!$B$9:$B$79,B198,Facturas!$F$9:$F$79)</f>
        <v>0</v>
      </c>
      <c r="G198" s="1138">
        <f>SUMIF(Facturas!$B$9:$B$79,B198,Facturas!$G$9:$G$79)</f>
        <v>0</v>
      </c>
      <c r="H198" s="1187">
        <f>SUMIF(Facturas!$B$9:$B$79,B198,Facturas!$I$9:$I$79)</f>
        <v>0</v>
      </c>
      <c r="I198" s="1187">
        <f>SUMIF(Facturas!$B$9:$B$79,B198,Facturas!$J$9:$J$79)</f>
        <v>0</v>
      </c>
      <c r="J198" s="1138">
        <f>SUMIF(Facturas!$B$9:$B$79,B198,Facturas!$K$9:$K$79)</f>
        <v>0</v>
      </c>
      <c r="K198" s="1193"/>
      <c r="L198" s="1449">
        <f>IF(J198&gt;0,0,SUMIF('Cuentas de Cobro'!$B$9:$B$216,B198,'Cuentas de Cobro'!$F$9:$F$216))</f>
        <v>4260000</v>
      </c>
      <c r="M198" s="1677"/>
      <c r="N198" s="1556">
        <f t="shared" si="26"/>
        <v>4260000</v>
      </c>
      <c r="O198" s="1101"/>
      <c r="P198" s="1529"/>
      <c r="Q198" s="8"/>
      <c r="R198" s="697" t="s">
        <v>135</v>
      </c>
    </row>
    <row r="199" spans="1:18" x14ac:dyDescent="0.2">
      <c r="A199" s="1184">
        <f t="shared" si="21"/>
        <v>190</v>
      </c>
      <c r="B199" s="1097" t="s">
        <v>136</v>
      </c>
      <c r="C199" s="1420">
        <v>43978133</v>
      </c>
      <c r="D199" s="1186">
        <f t="shared" si="22"/>
        <v>5</v>
      </c>
      <c r="E199" s="1185">
        <f>_xlfn.XLOOKUP(B199,Códigos!$B$8:$B$406,Códigos!$A$8:$A$406,"Verificar",0)</f>
        <v>243</v>
      </c>
      <c r="F199" s="1527">
        <f>SUMIF(Facturas!$B$9:$B$79,B199,Facturas!$F$9:$F$79)</f>
        <v>0</v>
      </c>
      <c r="G199" s="1138">
        <f>SUMIF(Facturas!$B$9:$B$79,B199,Facturas!$G$9:$G$79)</f>
        <v>0</v>
      </c>
      <c r="H199" s="1187">
        <f>SUMIF(Facturas!$B$9:$B$79,B199,Facturas!$I$9:$I$79)</f>
        <v>0</v>
      </c>
      <c r="I199" s="1187">
        <f>SUMIF(Facturas!$B$9:$B$79,B199,Facturas!$J$9:$J$79)</f>
        <v>0</v>
      </c>
      <c r="J199" s="1138">
        <f>SUMIF(Facturas!$B$9:$B$79,B199,Facturas!$K$9:$K$79)</f>
        <v>0</v>
      </c>
      <c r="K199" s="1193"/>
      <c r="L199" s="1449">
        <f>IF(J199&gt;0,0,SUMIF('Cuentas de Cobro'!$B$9:$B$216,B199,'Cuentas de Cobro'!$F$9:$F$216))</f>
        <v>470000</v>
      </c>
      <c r="M199" s="1677"/>
      <c r="N199" s="1556">
        <f t="shared" si="26"/>
        <v>470000</v>
      </c>
      <c r="O199" s="1101"/>
      <c r="P199" s="1529"/>
      <c r="Q199" s="8"/>
      <c r="R199" s="697" t="s">
        <v>136</v>
      </c>
    </row>
    <row r="200" spans="1:18" x14ac:dyDescent="0.2">
      <c r="A200" s="1184">
        <f t="shared" si="21"/>
        <v>191</v>
      </c>
      <c r="B200" s="1097" t="s">
        <v>137</v>
      </c>
      <c r="C200" s="1420">
        <v>71315509</v>
      </c>
      <c r="D200" s="1186">
        <f t="shared" si="22"/>
        <v>8</v>
      </c>
      <c r="E200" s="1185">
        <f>_xlfn.XLOOKUP(B200,Códigos!$B$8:$B$406,Códigos!$A$8:$A$406,"Verificar",0)</f>
        <v>175</v>
      </c>
      <c r="F200" s="1527">
        <f>SUMIF(Facturas!$B$9:$B$79,B200,Facturas!$F$9:$F$79)</f>
        <v>800000</v>
      </c>
      <c r="G200" s="1138">
        <f>SUMIF(Facturas!$B$9:$B$79,B200,Facturas!$G$9:$G$79)</f>
        <v>152000</v>
      </c>
      <c r="H200" s="1187">
        <f>SUMIF(Facturas!$B$9:$B$79,B200,Facturas!$I$9:$I$79)</f>
        <v>0</v>
      </c>
      <c r="I200" s="1187">
        <f>SUMIF(Facturas!$B$9:$B$79,B200,Facturas!$J$9:$J$79)</f>
        <v>952000</v>
      </c>
      <c r="J200" s="1138">
        <f>SUMIF(Facturas!$B$9:$B$79,B200,Facturas!$K$9:$K$79)</f>
        <v>952000</v>
      </c>
      <c r="K200" s="1193"/>
      <c r="L200" s="1449">
        <f>IF(J200&gt;0,0,SUMIF('Cuentas de Cobro'!$B$9:$B$216,B200,'Cuentas de Cobro'!$F$9:$F$216))</f>
        <v>0</v>
      </c>
      <c r="M200" s="1677"/>
      <c r="N200" s="1556">
        <f t="shared" si="26"/>
        <v>952000</v>
      </c>
      <c r="O200" s="1101"/>
      <c r="P200" s="1529"/>
      <c r="Q200" s="8"/>
      <c r="R200" s="1434" t="s">
        <v>137</v>
      </c>
    </row>
    <row r="201" spans="1:18" x14ac:dyDescent="0.2">
      <c r="A201" s="1184">
        <f t="shared" si="21"/>
        <v>192</v>
      </c>
      <c r="B201" s="1097" t="s">
        <v>138</v>
      </c>
      <c r="C201" s="1420">
        <v>43628444</v>
      </c>
      <c r="D201" s="1186">
        <f t="shared" si="22"/>
        <v>1</v>
      </c>
      <c r="E201" s="1185">
        <f>_xlfn.XLOOKUP(B201,Códigos!$B$8:$B$406,Códigos!$A$8:$A$406,"Verificar",0)</f>
        <v>296</v>
      </c>
      <c r="F201" s="1527">
        <f>SUMIF(Facturas!$B$9:$B$79,B201,Facturas!$F$9:$F$79)</f>
        <v>1000000</v>
      </c>
      <c r="G201" s="1138">
        <f>SUMIF(Facturas!$B$9:$B$79,B201,Facturas!$G$9:$G$79)</f>
        <v>190000</v>
      </c>
      <c r="H201" s="1187">
        <f>SUMIF(Facturas!$B$9:$B$79,B201,Facturas!$I$9:$I$79)</f>
        <v>0</v>
      </c>
      <c r="I201" s="1187">
        <f>SUMIF(Facturas!$B$9:$B$79,B201,Facturas!$J$9:$J$79)</f>
        <v>1190000</v>
      </c>
      <c r="J201" s="1138">
        <f>SUMIF(Facturas!$B$9:$B$79,B201,Facturas!$K$9:$K$79)</f>
        <v>1190000</v>
      </c>
      <c r="K201" s="1193"/>
      <c r="L201" s="1449">
        <f>IF(J201&gt;0,0,SUMIF('Cuentas de Cobro'!$B$9:$B$216,B201,'Cuentas de Cobro'!$F$9:$F$216))</f>
        <v>0</v>
      </c>
      <c r="M201" s="1677"/>
      <c r="N201" s="1556">
        <f t="shared" si="26"/>
        <v>1190000</v>
      </c>
      <c r="O201" s="1101"/>
      <c r="P201" s="1529"/>
      <c r="Q201" s="8"/>
      <c r="R201" s="1434" t="s">
        <v>138</v>
      </c>
    </row>
    <row r="202" spans="1:18" x14ac:dyDescent="0.2">
      <c r="A202" s="1184">
        <f t="shared" si="21"/>
        <v>193</v>
      </c>
      <c r="B202" s="1097" t="s">
        <v>139</v>
      </c>
      <c r="C202" s="1420">
        <v>1138258</v>
      </c>
      <c r="D202" s="1186">
        <f t="shared" si="22"/>
        <v>0</v>
      </c>
      <c r="E202" s="1185">
        <f>_xlfn.XLOOKUP(B202,Códigos!$B$8:$B$406,Códigos!$A$8:$A$406,"Verificar",0)</f>
        <v>176</v>
      </c>
      <c r="F202" s="1527">
        <f>SUMIF(Facturas!$B$9:$B$79,B202,Facturas!$F$9:$F$79)</f>
        <v>0</v>
      </c>
      <c r="G202" s="1138">
        <f>SUMIF(Facturas!$B$9:$B$79,B202,Facturas!$G$9:$G$79)</f>
        <v>0</v>
      </c>
      <c r="H202" s="1187">
        <f>SUMIF(Facturas!$B$9:$B$79,B202,Facturas!$I$9:$I$79)</f>
        <v>0</v>
      </c>
      <c r="I202" s="1187">
        <f>SUMIF(Facturas!$B$9:$B$79,B202,Facturas!$J$9:$J$79)</f>
        <v>0</v>
      </c>
      <c r="J202" s="1138">
        <f>SUMIF(Facturas!$B$9:$B$79,B202,Facturas!$K$9:$K$79)</f>
        <v>0</v>
      </c>
      <c r="K202" s="1193"/>
      <c r="L202" s="1449">
        <f>IF(J202&gt;0,0,SUMIF('Cuentas de Cobro'!$B$9:$B$216,B202,'Cuentas de Cobro'!$F$9:$F$216))</f>
        <v>0</v>
      </c>
      <c r="M202" s="1677"/>
      <c r="N202" s="1556">
        <f t="shared" si="26"/>
        <v>0</v>
      </c>
      <c r="O202" s="1101"/>
      <c r="P202" s="1529"/>
      <c r="Q202" s="8"/>
      <c r="R202" s="1434" t="s">
        <v>139</v>
      </c>
    </row>
    <row r="203" spans="1:18" x14ac:dyDescent="0.2">
      <c r="A203" s="1184">
        <f t="shared" si="21"/>
        <v>194</v>
      </c>
      <c r="B203" s="1097" t="s">
        <v>140</v>
      </c>
      <c r="C203" s="1420">
        <v>70058618</v>
      </c>
      <c r="D203" s="1186">
        <f t="shared" si="22"/>
        <v>6</v>
      </c>
      <c r="E203" s="1185">
        <f>_xlfn.XLOOKUP(B203,Códigos!$B$8:$B$406,Códigos!$A$8:$A$406,"Verificar",0)</f>
        <v>177</v>
      </c>
      <c r="F203" s="1527">
        <f>SUMIF(Facturas!$B$9:$B$79,B203,Facturas!$F$9:$F$79)</f>
        <v>0</v>
      </c>
      <c r="G203" s="1138">
        <f>SUMIF(Facturas!$B$9:$B$79,B203,Facturas!$G$9:$G$79)</f>
        <v>0</v>
      </c>
      <c r="H203" s="1187">
        <f>SUMIF(Facturas!$B$9:$B$79,B203,Facturas!$I$9:$I$79)</f>
        <v>0</v>
      </c>
      <c r="I203" s="1187">
        <f>SUMIF(Facturas!$B$9:$B$79,B203,Facturas!$J$9:$J$79)</f>
        <v>0</v>
      </c>
      <c r="J203" s="1138">
        <f>SUMIF(Facturas!$B$9:$B$79,B203,Facturas!$K$9:$K$79)</f>
        <v>0</v>
      </c>
      <c r="K203" s="1193"/>
      <c r="L203" s="1449">
        <f>IF(J203&gt;0,0,SUMIF('Cuentas de Cobro'!$B$9:$B$216,B203,'Cuentas de Cobro'!$F$9:$F$216))</f>
        <v>0</v>
      </c>
      <c r="M203" s="1677"/>
      <c r="N203" s="1556">
        <f t="shared" si="26"/>
        <v>0</v>
      </c>
      <c r="O203" s="1101"/>
      <c r="P203" s="1529"/>
      <c r="Q203" s="8"/>
      <c r="R203" s="697" t="s">
        <v>140</v>
      </c>
    </row>
    <row r="204" spans="1:18" x14ac:dyDescent="0.2">
      <c r="A204" s="1184">
        <f t="shared" ref="A204:A246" si="28">+A203+1</f>
        <v>195</v>
      </c>
      <c r="B204" s="1097" t="s">
        <v>141</v>
      </c>
      <c r="C204" s="1420">
        <v>43103382</v>
      </c>
      <c r="D204" s="1186">
        <f t="shared" ref="D204:D216" si="29">IF((MOD((VALUE(MID(TEXT(C204,"000000000000000"),15,1))*3+VALUE(MID(TEXT(C204,"000000000000000"),14,1))*7+VALUE(MID(TEXT(C204,"000000000000000"),13,1))*13+VALUE(MID(TEXT(C204,"000000000000000"),12,1))*17+VALUE(MID(TEXT(C204,"000000000000000"),11,1))*19+VALUE(MID(TEXT(C204,"000000000000000"),10,1))*23+VALUE(MID(TEXT(C204,"000000000000000"),9,1))*29+VALUE(MID(TEXT(C204,"000000000000000"),8,1))*37+VALUE(MID(TEXT(C204,"000000000000000"),7,1))*41+VALUE(MID(TEXT(C204,"000000000000000"),6,1))*43+VALUE(MID(TEXT(C204,"000000000000000"),5,1))*47+VALUE(MID(TEXT(C204,"000000000000000"),4,1))*53+VALUE(MID(TEXT(C204,"000000000000000"),3,1))*59+VALUE(MID(TEXT(C204,"000000000000000"),2,1))*67+VALUE(MID(TEXT(C204,"000000000000000"),1,1))*71),11))=0,0,IF((MOD((VALUE(MID(TEXT(C204,"000000000000000"),15,1))*3+VALUE(MID(TEXT(C204,"000000000000000"),14,1))*7+VALUE(MID(TEXT(C204,"000000000000000"),13,1))*13+VALUE(MID(TEXT(C204,"000000000000000"),12,1))*17+VALUE(MID(TEXT(C204,"000000000000000"),11,1))*19+VALUE(MID(TEXT(C204,"000000000000000"),10,1))*23+VALUE(MID(TEXT(C204,"000000000000000"),9,1))*29+VALUE(MID(TEXT(C204,"000000000000000"),8,1))*37+VALUE(MID(TEXT(C204,"000000000000000"),7,1))*41+VALUE(MID(TEXT(C204,"000000000000000"),6,1))*43+VALUE(MID(TEXT(C204,"000000000000000"),5,1))*47+VALUE(MID(TEXT(C204,"000000000000000"),4,1))*53+VALUE(MID(TEXT(C204,"000000000000000"),3,1))*59+VALUE(MID(TEXT(C204,"000000000000000"),2,1))*67+VALUE(MID(TEXT(C204,"000000000000000"),1,1))*71),11))=1,1,11-(MOD((VALUE(MID(TEXT(C204,"000000000000000"),15,1))*3+VALUE(MID(TEXT(C204,"000000000000000"),14,1))*7+VALUE(MID(TEXT(C204,"000000000000000"),13,1))*13+VALUE(MID(TEXT(C204,"000000000000000"),12,1))*17+VALUE(MID(TEXT(C204,"000000000000000"),11,1))*19+VALUE(MID(TEXT(C204,"000000000000000"),10,1))*23+VALUE(MID(TEXT(C204,"000000000000000"),9,1))*29+VALUE(MID(TEXT(C204,"000000000000000"),8,1))*37+VALUE(MID(TEXT(C204,"000000000000000"),7,1))*41+VALUE(MID(TEXT(C204,"000000000000000"),6,1))*43+VALUE(MID(TEXT(C204,"000000000000000"),5,1))*47+VALUE(MID(TEXT(C204,"000000000000000"),4,1))*53+VALUE(MID(TEXT(C204,"000000000000000"),3,1))*59+VALUE(MID(TEXT(C204,"000000000000000"),2,1))*67+VALUE(MID(TEXT(C204,"000000000000000"),1,1))*71),11))))</f>
        <v>8</v>
      </c>
      <c r="E204" s="1185">
        <f>_xlfn.XLOOKUP(B204,Códigos!$B$8:$B$406,Códigos!$A$8:$A$406,"Verificar",0)</f>
        <v>234</v>
      </c>
      <c r="F204" s="1527">
        <f>SUMIF(Facturas!$B$9:$B$79,B204,Facturas!$F$9:$F$79)</f>
        <v>0</v>
      </c>
      <c r="G204" s="1138">
        <f>SUMIF(Facturas!$B$9:$B$79,B204,Facturas!$G$9:$G$79)</f>
        <v>0</v>
      </c>
      <c r="H204" s="1187">
        <f>SUMIF(Facturas!$B$9:$B$79,B204,Facturas!$I$9:$I$79)</f>
        <v>0</v>
      </c>
      <c r="I204" s="1187">
        <f>SUMIF(Facturas!$B$9:$B$79,B204,Facturas!$J$9:$J$79)</f>
        <v>0</v>
      </c>
      <c r="J204" s="1138">
        <f>SUMIF(Facturas!$B$9:$B$79,B204,Facturas!$K$9:$K$79)</f>
        <v>0</v>
      </c>
      <c r="K204" s="1193"/>
      <c r="L204" s="1449">
        <f>IF(J204&gt;0,0,SUMIF('Cuentas de Cobro'!$B$9:$B$216,B204,'Cuentas de Cobro'!$F$9:$F$216))</f>
        <v>330000</v>
      </c>
      <c r="M204" s="1677"/>
      <c r="N204" s="1556">
        <f t="shared" si="26"/>
        <v>330000</v>
      </c>
      <c r="O204" s="1101"/>
      <c r="P204" s="1529"/>
      <c r="Q204" s="8"/>
      <c r="R204" s="697" t="s">
        <v>141</v>
      </c>
    </row>
    <row r="205" spans="1:18" x14ac:dyDescent="0.2">
      <c r="A205" s="1184">
        <f t="shared" si="28"/>
        <v>196</v>
      </c>
      <c r="B205" s="1097" t="s">
        <v>142</v>
      </c>
      <c r="C205" s="1420">
        <v>3520885</v>
      </c>
      <c r="D205" s="1186">
        <f t="shared" si="29"/>
        <v>3</v>
      </c>
      <c r="E205" s="1185">
        <f>_xlfn.XLOOKUP(B205,Códigos!$B$8:$B$406,Códigos!$A$8:$A$406,"Verificar",0)</f>
        <v>266</v>
      </c>
      <c r="F205" s="1527">
        <f>SUMIF(Facturas!$B$9:$B$79,B205,Facturas!$F$9:$F$79)</f>
        <v>0</v>
      </c>
      <c r="G205" s="1138">
        <f>SUMIF(Facturas!$B$9:$B$79,B205,Facturas!$G$9:$G$79)</f>
        <v>0</v>
      </c>
      <c r="H205" s="1187">
        <f>SUMIF(Facturas!$B$9:$B$79,B205,Facturas!$I$9:$I$79)</f>
        <v>0</v>
      </c>
      <c r="I205" s="1187">
        <f>SUMIF(Facturas!$B$9:$B$79,B205,Facturas!$J$9:$J$79)</f>
        <v>0</v>
      </c>
      <c r="J205" s="1138">
        <f>SUMIF(Facturas!$B$9:$B$79,B205,Facturas!$K$9:$K$79)</f>
        <v>0</v>
      </c>
      <c r="K205" s="1193"/>
      <c r="L205" s="1449">
        <f>IF(J205&gt;0,0,SUMIF('Cuentas de Cobro'!$B$9:$B$216,B205,'Cuentas de Cobro'!$F$9:$F$216))</f>
        <v>330000</v>
      </c>
      <c r="M205" s="1677"/>
      <c r="N205" s="1556">
        <f t="shared" si="26"/>
        <v>330000</v>
      </c>
      <c r="O205" s="1101"/>
      <c r="P205" s="1529"/>
      <c r="Q205" s="8"/>
      <c r="R205" s="697" t="s">
        <v>142</v>
      </c>
    </row>
    <row r="206" spans="1:18" x14ac:dyDescent="0.2">
      <c r="A206" s="1184">
        <f t="shared" si="28"/>
        <v>197</v>
      </c>
      <c r="B206" s="1201" t="s">
        <v>1060</v>
      </c>
      <c r="C206" s="1420">
        <v>1001018099</v>
      </c>
      <c r="D206" s="1186">
        <f t="shared" si="29"/>
        <v>2</v>
      </c>
      <c r="E206" s="1185">
        <f>_xlfn.XLOOKUP(B206,Códigos!$B$8:$B$406,Códigos!$A$8:$A$406,"Verificar",0)</f>
        <v>368</v>
      </c>
      <c r="F206" s="1527">
        <f>SUMIF(Facturas!$B$9:$B$79,B206,Facturas!$F$9:$F$79)</f>
        <v>0</v>
      </c>
      <c r="G206" s="1138">
        <f>SUMIF(Facturas!$B$9:$B$79,B206,Facturas!$G$9:$G$79)</f>
        <v>0</v>
      </c>
      <c r="H206" s="1187">
        <f>SUMIF(Facturas!$B$9:$B$79,B206,Facturas!$I$9:$I$79)</f>
        <v>0</v>
      </c>
      <c r="I206" s="1187">
        <f>SUMIF(Facturas!$B$9:$B$79,B206,Facturas!$J$9:$J$79)</f>
        <v>0</v>
      </c>
      <c r="J206" s="1138">
        <f>SUMIF(Facturas!$B$9:$B$79,B206,Facturas!$K$9:$K$79)</f>
        <v>0</v>
      </c>
      <c r="K206" s="1193"/>
      <c r="L206" s="1449">
        <f>IF(J206&gt;0,0,SUMIF('Cuentas de Cobro'!$B$9:$B$216,B206,'Cuentas de Cobro'!$F$9:$F$216))</f>
        <v>230000</v>
      </c>
      <c r="M206" s="1677"/>
      <c r="N206" s="1556">
        <f t="shared" ref="N206" si="30">+J206+L206</f>
        <v>230000</v>
      </c>
      <c r="O206" s="1101"/>
      <c r="P206" s="1529"/>
      <c r="Q206" s="8"/>
      <c r="R206" s="1201" t="s">
        <v>1060</v>
      </c>
    </row>
    <row r="207" spans="1:18" x14ac:dyDescent="0.2">
      <c r="A207" s="1184">
        <f t="shared" si="28"/>
        <v>198</v>
      </c>
      <c r="B207" s="1097" t="s">
        <v>199</v>
      </c>
      <c r="C207" s="1420">
        <v>70049729</v>
      </c>
      <c r="D207" s="1186">
        <f t="shared" si="29"/>
        <v>7</v>
      </c>
      <c r="E207" s="1185">
        <f>_xlfn.XLOOKUP(B207,Códigos!$B$8:$B$406,Códigos!$A$8:$A$406,"Verificar",0)</f>
        <v>317</v>
      </c>
      <c r="F207" s="1527">
        <f>SUMIF(Facturas!$B$9:$B$79,B207,Facturas!$F$9:$F$79)</f>
        <v>0</v>
      </c>
      <c r="G207" s="1138">
        <f>SUMIF(Facturas!$B$9:$B$79,B207,Facturas!$G$9:$G$79)</f>
        <v>0</v>
      </c>
      <c r="H207" s="1187">
        <f>SUMIF(Facturas!$B$9:$B$79,B207,Facturas!$I$9:$I$79)</f>
        <v>0</v>
      </c>
      <c r="I207" s="1187">
        <f>SUMIF(Facturas!$B$9:$B$79,B207,Facturas!$J$9:$J$79)</f>
        <v>0</v>
      </c>
      <c r="J207" s="1138">
        <f>SUMIF(Facturas!$B$9:$B$79,B207,Facturas!$K$9:$K$79)</f>
        <v>0</v>
      </c>
      <c r="K207" s="1193"/>
      <c r="L207" s="1449">
        <f>IF(J207&gt;0,0,SUMIF('Cuentas de Cobro'!$B$9:$B$216,B207,'Cuentas de Cobro'!$F$9:$F$216))</f>
        <v>500000</v>
      </c>
      <c r="M207" s="1677"/>
      <c r="N207" s="1556">
        <f t="shared" si="26"/>
        <v>500000</v>
      </c>
      <c r="O207" s="1101"/>
      <c r="P207" s="1529"/>
      <c r="Q207" s="8"/>
      <c r="R207" s="697" t="s">
        <v>199</v>
      </c>
    </row>
    <row r="208" spans="1:18" x14ac:dyDescent="0.2">
      <c r="A208" s="1184">
        <f t="shared" si="28"/>
        <v>199</v>
      </c>
      <c r="B208" s="1694" t="s">
        <v>322</v>
      </c>
      <c r="C208" s="1695">
        <v>39325884</v>
      </c>
      <c r="D208" s="1685">
        <f t="shared" si="29"/>
        <v>1</v>
      </c>
      <c r="E208" s="1686">
        <f>_xlfn.XLOOKUP(B208,Códigos!$B$8:$B$406,Códigos!$A$8:$A$406,"Verificar",0)</f>
        <v>114</v>
      </c>
      <c r="F208" s="1687">
        <f>SUMIF(Facturas!$B$9:$B$79,B208,Facturas!$F$9:$F$79)</f>
        <v>0</v>
      </c>
      <c r="G208" s="1210">
        <f>SUMIF(Facturas!$B$9:$B$79,B208,Facturas!$G$9:$G$79)</f>
        <v>0</v>
      </c>
      <c r="H208" s="1473">
        <f>SUMIF(Facturas!$B$9:$B$79,B208,Facturas!$I$9:$I$79)</f>
        <v>0</v>
      </c>
      <c r="I208" s="1473">
        <f>SUMIF(Facturas!$B$9:$B$79,B208,Facturas!$J$9:$J$79)</f>
        <v>0</v>
      </c>
      <c r="J208" s="1210">
        <f>SUMIF(Facturas!$B$9:$B$79,B208,Facturas!$K$9:$K$79)</f>
        <v>0</v>
      </c>
      <c r="K208" s="1688"/>
      <c r="L208" s="1696">
        <f>IF(J208&gt;0,0,SUMIF('Cuentas de Cobro'!$B$9:$B$216,B208,'Cuentas de Cobro'!$F$9:$F$216))</f>
        <v>0</v>
      </c>
      <c r="M208" s="1697"/>
      <c r="N208" s="1660">
        <f t="shared" si="26"/>
        <v>0</v>
      </c>
      <c r="O208" s="1690"/>
      <c r="P208" s="1691"/>
      <c r="Q208" s="8"/>
      <c r="R208" s="1379" t="s">
        <v>805</v>
      </c>
    </row>
    <row r="209" spans="1:18" x14ac:dyDescent="0.2">
      <c r="A209" s="1184">
        <f t="shared" si="28"/>
        <v>200</v>
      </c>
      <c r="B209" s="1694" t="s">
        <v>786</v>
      </c>
      <c r="C209" s="1695">
        <v>43710766</v>
      </c>
      <c r="D209" s="1685">
        <f t="shared" si="29"/>
        <v>6</v>
      </c>
      <c r="E209" s="1686">
        <f>_xlfn.XLOOKUP(B209,Códigos!$B$8:$B$406,Códigos!$A$8:$A$406,"Verificar",0)</f>
        <v>105</v>
      </c>
      <c r="F209" s="1687">
        <f>SUMIF(Facturas!$B$9:$B$79,B209,Facturas!$F$9:$F$79)</f>
        <v>0</v>
      </c>
      <c r="G209" s="1210">
        <f>SUMIF(Facturas!$B$9:$B$79,B209,Facturas!$G$9:$G$79)</f>
        <v>0</v>
      </c>
      <c r="H209" s="1473">
        <f>SUMIF(Facturas!$B$9:$B$79,B209,Facturas!$I$9:$I$79)</f>
        <v>0</v>
      </c>
      <c r="I209" s="1473">
        <f>SUMIF(Facturas!$B$9:$B$79,B209,Facturas!$J$9:$J$79)</f>
        <v>0</v>
      </c>
      <c r="J209" s="1210">
        <f>SUMIF(Facturas!$B$9:$B$79,B209,Facturas!$K$9:$K$79)</f>
        <v>0</v>
      </c>
      <c r="K209" s="1688"/>
      <c r="L209" s="1696">
        <f>IF(J209&gt;0,0,SUMIF('Cuentas de Cobro'!$B$9:$B$216,B209,'Cuentas de Cobro'!$F$9:$F$216))</f>
        <v>0</v>
      </c>
      <c r="M209" s="1697"/>
      <c r="N209" s="1660">
        <f t="shared" si="26"/>
        <v>0</v>
      </c>
      <c r="O209" s="1690"/>
      <c r="P209" s="1691"/>
      <c r="Q209" s="8"/>
      <c r="R209" s="1379" t="s">
        <v>805</v>
      </c>
    </row>
    <row r="210" spans="1:18" x14ac:dyDescent="0.2">
      <c r="A210" s="1184">
        <f t="shared" si="28"/>
        <v>201</v>
      </c>
      <c r="B210" s="1137" t="s">
        <v>143</v>
      </c>
      <c r="C210" s="1420">
        <v>32504732</v>
      </c>
      <c r="D210" s="1186">
        <f t="shared" si="29"/>
        <v>3</v>
      </c>
      <c r="E210" s="1185">
        <f>_xlfn.XLOOKUP(B210,Códigos!$B$8:$B$406,Códigos!$A$8:$A$406,"Verificar",0)</f>
        <v>264</v>
      </c>
      <c r="F210" s="1527">
        <f>SUMIF(Facturas!$B$9:$B$79,B210,Facturas!$F$9:$F$79)</f>
        <v>0</v>
      </c>
      <c r="G210" s="1138">
        <f>SUMIF(Facturas!$B$9:$B$79,B210,Facturas!$G$9:$G$79)</f>
        <v>0</v>
      </c>
      <c r="H210" s="1187">
        <f>SUMIF(Facturas!$B$9:$B$79,B210,Facturas!$I$9:$I$79)</f>
        <v>0</v>
      </c>
      <c r="I210" s="1187">
        <f>SUMIF(Facturas!$B$9:$B$79,B210,Facturas!$J$9:$J$79)</f>
        <v>0</v>
      </c>
      <c r="J210" s="1138">
        <f>SUMIF(Facturas!$B$9:$B$79,B210,Facturas!$K$9:$K$79)</f>
        <v>0</v>
      </c>
      <c r="K210" s="1193"/>
      <c r="L210" s="1449">
        <f>IF(J210&gt;0,0,SUMIF('Cuentas de Cobro'!$B$9:$B$216,B210,'Cuentas de Cobro'!$F$9:$F$216))</f>
        <v>360000</v>
      </c>
      <c r="M210" s="1677"/>
      <c r="N210" s="1556">
        <f t="shared" si="26"/>
        <v>360000</v>
      </c>
      <c r="O210" s="349"/>
      <c r="P210" s="1421"/>
      <c r="Q210" s="8"/>
      <c r="R210" s="697" t="s">
        <v>143</v>
      </c>
    </row>
    <row r="211" spans="1:18" x14ac:dyDescent="0.2">
      <c r="A211" s="1184">
        <f t="shared" si="28"/>
        <v>202</v>
      </c>
      <c r="B211" s="1137" t="s">
        <v>785</v>
      </c>
      <c r="C211" s="1420">
        <v>32403951</v>
      </c>
      <c r="D211" s="1186">
        <f t="shared" si="29"/>
        <v>6</v>
      </c>
      <c r="E211" s="1185">
        <f>_xlfn.XLOOKUP(B211,Códigos!$B$8:$B$406,Códigos!$A$8:$A$406,"Verificar",0)</f>
        <v>281</v>
      </c>
      <c r="F211" s="1527">
        <f>SUMIF(Facturas!$B$9:$B$79,B211,Facturas!$F$9:$F$79)</f>
        <v>0</v>
      </c>
      <c r="G211" s="1138">
        <f>SUMIF(Facturas!$B$9:$B$79,B211,Facturas!$G$9:$G$79)</f>
        <v>0</v>
      </c>
      <c r="H211" s="1187">
        <f>SUMIF(Facturas!$B$9:$B$79,B211,Facturas!$I$9:$I$79)</f>
        <v>0</v>
      </c>
      <c r="I211" s="1187">
        <f>SUMIF(Facturas!$B$9:$B$79,B211,Facturas!$J$9:$J$79)</f>
        <v>0</v>
      </c>
      <c r="J211" s="1138">
        <f>SUMIF(Facturas!$B$9:$B$79,B211,Facturas!$K$9:$K$79)</f>
        <v>0</v>
      </c>
      <c r="K211" s="1193"/>
      <c r="L211" s="1449">
        <f>IF(J211&gt;0,0,SUMIF('Cuentas de Cobro'!$B$9:$B$216,B211,'Cuentas de Cobro'!$F$9:$F$216))</f>
        <v>280000</v>
      </c>
      <c r="M211" s="1677"/>
      <c r="N211" s="1556">
        <f t="shared" si="26"/>
        <v>280000</v>
      </c>
      <c r="O211" s="349"/>
      <c r="P211" s="1421"/>
      <c r="Q211" s="8"/>
      <c r="R211" s="1437" t="s">
        <v>785</v>
      </c>
    </row>
    <row r="212" spans="1:18" x14ac:dyDescent="0.2">
      <c r="A212" s="1184">
        <f t="shared" si="28"/>
        <v>203</v>
      </c>
      <c r="B212" s="1097" t="s">
        <v>144</v>
      </c>
      <c r="C212" s="1420">
        <v>42871237</v>
      </c>
      <c r="D212" s="1186">
        <f t="shared" si="29"/>
        <v>8</v>
      </c>
      <c r="E212" s="1185">
        <f>_xlfn.XLOOKUP(B212,Códigos!$B$8:$B$406,Códigos!$A$8:$A$406,"Verificar",0)</f>
        <v>180</v>
      </c>
      <c r="F212" s="1527">
        <f>SUMIF(Facturas!$B$9:$B$79,B212,Facturas!$F$9:$F$79)</f>
        <v>0</v>
      </c>
      <c r="G212" s="1138">
        <f>SUMIF(Facturas!$B$9:$B$79,B212,Facturas!$G$9:$G$79)</f>
        <v>0</v>
      </c>
      <c r="H212" s="1187">
        <f>SUMIF(Facturas!$B$9:$B$79,B212,Facturas!$I$9:$I$79)</f>
        <v>0</v>
      </c>
      <c r="I212" s="1187">
        <f>SUMIF(Facturas!$B$9:$B$79,B212,Facturas!$J$9:$J$79)</f>
        <v>0</v>
      </c>
      <c r="J212" s="1138">
        <f>SUMIF(Facturas!$B$9:$B$79,B212,Facturas!$K$9:$K$79)</f>
        <v>0</v>
      </c>
      <c r="K212" s="1193"/>
      <c r="L212" s="1449">
        <f>IF(J212&gt;0,0,SUMIF('Cuentas de Cobro'!$B$9:$B$216,B212,'Cuentas de Cobro'!$F$9:$F$216))</f>
        <v>780000</v>
      </c>
      <c r="M212" s="1677"/>
      <c r="N212" s="1556">
        <f t="shared" si="26"/>
        <v>780000</v>
      </c>
      <c r="O212" s="349"/>
      <c r="P212" s="1421"/>
      <c r="Q212" s="8"/>
      <c r="R212" s="697" t="s">
        <v>144</v>
      </c>
    </row>
    <row r="213" spans="1:18" x14ac:dyDescent="0.2">
      <c r="A213" s="1184">
        <f t="shared" si="28"/>
        <v>204</v>
      </c>
      <c r="B213" s="1097" t="s">
        <v>249</v>
      </c>
      <c r="C213" s="1420">
        <v>21378911</v>
      </c>
      <c r="D213" s="1186">
        <f t="shared" si="29"/>
        <v>4</v>
      </c>
      <c r="E213" s="1185">
        <f>_xlfn.XLOOKUP(B213,Códigos!$B$8:$B$406,Códigos!$A$8:$A$406,"Verificar",0)</f>
        <v>311</v>
      </c>
      <c r="F213" s="1527">
        <f>SUMIF(Facturas!$B$9:$B$79,B213,Facturas!$F$9:$F$79)</f>
        <v>0</v>
      </c>
      <c r="G213" s="1138">
        <f>SUMIF(Facturas!$B$9:$B$79,B213,Facturas!$G$9:$G$79)</f>
        <v>0</v>
      </c>
      <c r="H213" s="1187">
        <f>SUMIF(Facturas!$B$9:$B$79,B213,Facturas!$I$9:$I$79)</f>
        <v>0</v>
      </c>
      <c r="I213" s="1187">
        <f>SUMIF(Facturas!$B$9:$B$79,B213,Facturas!$J$9:$J$79)</f>
        <v>0</v>
      </c>
      <c r="J213" s="1138">
        <f>SUMIF(Facturas!$B$9:$B$79,B213,Facturas!$K$9:$K$79)</f>
        <v>0</v>
      </c>
      <c r="K213" s="1193"/>
      <c r="L213" s="1449">
        <f>IF(J213&gt;0,0,SUMIF('Cuentas de Cobro'!$B$9:$B$216,B213,'Cuentas de Cobro'!$F$9:$F$216))</f>
        <v>520000</v>
      </c>
      <c r="M213" s="1677"/>
      <c r="N213" s="1556">
        <f t="shared" si="26"/>
        <v>520000</v>
      </c>
      <c r="O213" s="349"/>
      <c r="P213" s="1421"/>
      <c r="Q213" s="8"/>
      <c r="R213" s="1433" t="s">
        <v>249</v>
      </c>
    </row>
    <row r="214" spans="1:18" x14ac:dyDescent="0.2">
      <c r="A214" s="1184">
        <f t="shared" si="28"/>
        <v>205</v>
      </c>
      <c r="B214" s="1494" t="s">
        <v>145</v>
      </c>
      <c r="C214" s="1420">
        <v>43073222</v>
      </c>
      <c r="D214" s="1186">
        <f t="shared" si="29"/>
        <v>8</v>
      </c>
      <c r="E214" s="1678">
        <f>_xlfn.XLOOKUP(B214,Códigos!$B$8:$B$406,Códigos!$A$8:$A$406,"Verificar",0)</f>
        <v>241</v>
      </c>
      <c r="F214" s="1527">
        <f>SUMIF(Facturas!$B$9:$B$79,B214,Facturas!$F$9:$F$79)</f>
        <v>0</v>
      </c>
      <c r="G214" s="1138">
        <f>SUMIF(Facturas!$B$9:$B$79,B214,Facturas!$G$9:$G$79)</f>
        <v>0</v>
      </c>
      <c r="H214" s="1187">
        <f>SUMIF(Facturas!$B$9:$B$79,B214,Facturas!$I$9:$I$79)</f>
        <v>0</v>
      </c>
      <c r="I214" s="1187">
        <f>SUMIF(Facturas!$B$9:$B$79,B214,Facturas!$J$9:$J$79)</f>
        <v>0</v>
      </c>
      <c r="J214" s="1138">
        <f>SUMIF(Facturas!$B$9:$B$79,B214,Facturas!$K$9:$K$79)</f>
        <v>0</v>
      </c>
      <c r="K214" s="1193"/>
      <c r="L214" s="1449">
        <f>IF(J214&gt;0,0,SUMIF('Cuentas de Cobro'!$B$9:$B$216,B214,'Cuentas de Cobro'!$F$9:$F$216))</f>
        <v>520000</v>
      </c>
      <c r="M214" s="1677"/>
      <c r="N214" s="1556">
        <f t="shared" si="26"/>
        <v>520000</v>
      </c>
      <c r="O214" s="349"/>
      <c r="P214" s="1421"/>
      <c r="Q214" s="8"/>
      <c r="R214" s="697" t="s">
        <v>145</v>
      </c>
    </row>
    <row r="215" spans="1:18" x14ac:dyDescent="0.2">
      <c r="A215" s="1184">
        <f t="shared" si="28"/>
        <v>206</v>
      </c>
      <c r="B215" s="1097" t="s">
        <v>146</v>
      </c>
      <c r="C215" s="1420">
        <v>21371978</v>
      </c>
      <c r="D215" s="1186">
        <f t="shared" si="29"/>
        <v>5</v>
      </c>
      <c r="E215" s="1185">
        <f>_xlfn.XLOOKUP(B215,Códigos!$B$8:$B$406,Códigos!$A$8:$A$406,"Verificar",0)</f>
        <v>182</v>
      </c>
      <c r="F215" s="1527">
        <f>SUMIF(Facturas!$B$9:$B$79,B215,Facturas!$F$9:$F$79)</f>
        <v>0</v>
      </c>
      <c r="G215" s="1138">
        <f>SUMIF(Facturas!$B$9:$B$79,B215,Facturas!$G$9:$G$79)</f>
        <v>0</v>
      </c>
      <c r="H215" s="1187">
        <f>SUMIF(Facturas!$B$9:$B$79,B215,Facturas!$I$9:$I$79)</f>
        <v>0</v>
      </c>
      <c r="I215" s="1187">
        <f>SUMIF(Facturas!$B$9:$B$79,B215,Facturas!$J$9:$J$79)</f>
        <v>0</v>
      </c>
      <c r="J215" s="1138">
        <f>SUMIF(Facturas!$B$9:$B$79,B215,Facturas!$K$9:$K$79)</f>
        <v>0</v>
      </c>
      <c r="K215" s="1193"/>
      <c r="L215" s="1449">
        <f>IF(J215&gt;0,0,SUMIF('Cuentas de Cobro'!$B$9:$B$216,B215,'Cuentas de Cobro'!$F$9:$F$216))</f>
        <v>1440000</v>
      </c>
      <c r="M215" s="1677"/>
      <c r="N215" s="1556">
        <f t="shared" si="26"/>
        <v>1440000</v>
      </c>
      <c r="O215" s="349"/>
      <c r="P215" s="1421"/>
      <c r="Q215" s="8"/>
      <c r="R215" s="697" t="s">
        <v>146</v>
      </c>
    </row>
    <row r="216" spans="1:18" x14ac:dyDescent="0.2">
      <c r="A216" s="1184">
        <f t="shared" si="28"/>
        <v>207</v>
      </c>
      <c r="B216" s="1097" t="s">
        <v>361</v>
      </c>
      <c r="C216" s="1420">
        <v>8226721</v>
      </c>
      <c r="D216" s="1186">
        <f t="shared" si="29"/>
        <v>2</v>
      </c>
      <c r="E216" s="1185">
        <f>_xlfn.XLOOKUP(B216,Códigos!$B$8:$B$406,Códigos!$A$8:$A$406,"Verificar",0)</f>
        <v>183</v>
      </c>
      <c r="F216" s="1527">
        <f>SUMIF(Facturas!$B$9:$B$79,B216,Facturas!$F$9:$F$79)</f>
        <v>0</v>
      </c>
      <c r="G216" s="1138">
        <f>SUMIF(Facturas!$B$9:$B$79,B216,Facturas!$G$9:$G$79)</f>
        <v>0</v>
      </c>
      <c r="H216" s="1187">
        <f>SUMIF(Facturas!$B$9:$B$79,B216,Facturas!$I$9:$I$79)</f>
        <v>0</v>
      </c>
      <c r="I216" s="1187">
        <f>SUMIF(Facturas!$B$9:$B$79,B216,Facturas!$J$9:$J$79)</f>
        <v>0</v>
      </c>
      <c r="J216" s="1138">
        <f>SUMIF(Facturas!$B$9:$B$79,B216,Facturas!$K$9:$K$79)</f>
        <v>0</v>
      </c>
      <c r="K216" s="1193"/>
      <c r="L216" s="1449">
        <f>IF(J216&gt;0,0,SUMIF('Cuentas de Cobro'!$B$9:$B$216,B216,'Cuentas de Cobro'!$F$9:$F$216))</f>
        <v>240000</v>
      </c>
      <c r="M216" s="1677"/>
      <c r="N216" s="1556">
        <f t="shared" si="26"/>
        <v>240000</v>
      </c>
      <c r="O216" s="349"/>
      <c r="P216" s="1421"/>
      <c r="Q216" s="8"/>
      <c r="R216" s="697" t="s">
        <v>361</v>
      </c>
    </row>
    <row r="217" spans="1:18" x14ac:dyDescent="0.2">
      <c r="A217" s="1184">
        <f t="shared" si="28"/>
        <v>208</v>
      </c>
      <c r="B217" s="1097" t="s">
        <v>789</v>
      </c>
      <c r="C217" s="1420">
        <v>32517277</v>
      </c>
      <c r="D217" s="1186">
        <f t="shared" ref="D217:D245" si="31">IF((MOD((VALUE(MID(TEXT(C217,"000000000000000"),15,1))*3+VALUE(MID(TEXT(C217,"000000000000000"),14,1))*7+VALUE(MID(TEXT(C217,"000000000000000"),13,1))*13+VALUE(MID(TEXT(C217,"000000000000000"),12,1))*17+VALUE(MID(TEXT(C217,"000000000000000"),11,1))*19+VALUE(MID(TEXT(C217,"000000000000000"),10,1))*23+VALUE(MID(TEXT(C217,"000000000000000"),9,1))*29+VALUE(MID(TEXT(C217,"000000000000000"),8,1))*37+VALUE(MID(TEXT(C217,"000000000000000"),7,1))*41+VALUE(MID(TEXT(C217,"000000000000000"),6,1))*43+VALUE(MID(TEXT(C217,"000000000000000"),5,1))*47+VALUE(MID(TEXT(C217,"000000000000000"),4,1))*53+VALUE(MID(TEXT(C217,"000000000000000"),3,1))*59+VALUE(MID(TEXT(C217,"000000000000000"),2,1))*67+VALUE(MID(TEXT(C217,"000000000000000"),1,1))*71),11))=0,0,IF((MOD((VALUE(MID(TEXT(C217,"000000000000000"),15,1))*3+VALUE(MID(TEXT(C217,"000000000000000"),14,1))*7+VALUE(MID(TEXT(C217,"000000000000000"),13,1))*13+VALUE(MID(TEXT(C217,"000000000000000"),12,1))*17+VALUE(MID(TEXT(C217,"000000000000000"),11,1))*19+VALUE(MID(TEXT(C217,"000000000000000"),10,1))*23+VALUE(MID(TEXT(C217,"000000000000000"),9,1))*29+VALUE(MID(TEXT(C217,"000000000000000"),8,1))*37+VALUE(MID(TEXT(C217,"000000000000000"),7,1))*41+VALUE(MID(TEXT(C217,"000000000000000"),6,1))*43+VALUE(MID(TEXT(C217,"000000000000000"),5,1))*47+VALUE(MID(TEXT(C217,"000000000000000"),4,1))*53+VALUE(MID(TEXT(C217,"000000000000000"),3,1))*59+VALUE(MID(TEXT(C217,"000000000000000"),2,1))*67+VALUE(MID(TEXT(C217,"000000000000000"),1,1))*71),11))=1,1,11-(MOD((VALUE(MID(TEXT(C217,"000000000000000"),15,1))*3+VALUE(MID(TEXT(C217,"000000000000000"),14,1))*7+VALUE(MID(TEXT(C217,"000000000000000"),13,1))*13+VALUE(MID(TEXT(C217,"000000000000000"),12,1))*17+VALUE(MID(TEXT(C217,"000000000000000"),11,1))*19+VALUE(MID(TEXT(C217,"000000000000000"),10,1))*23+VALUE(MID(TEXT(C217,"000000000000000"),9,1))*29+VALUE(MID(TEXT(C217,"000000000000000"),8,1))*37+VALUE(MID(TEXT(C217,"000000000000000"),7,1))*41+VALUE(MID(TEXT(C217,"000000000000000"),6,1))*43+VALUE(MID(TEXT(C217,"000000000000000"),5,1))*47+VALUE(MID(TEXT(C217,"000000000000000"),4,1))*53+VALUE(MID(TEXT(C217,"000000000000000"),3,1))*59+VALUE(MID(TEXT(C217,"000000000000000"),2,1))*67+VALUE(MID(TEXT(C217,"000000000000000"),1,1))*71),11))))</f>
        <v>1</v>
      </c>
      <c r="E217" s="1185">
        <f>_xlfn.XLOOKUP(B217,Códigos!$B$8:$B$406,Códigos!$A$8:$A$406,"Verificar",0)</f>
        <v>327</v>
      </c>
      <c r="F217" s="1527">
        <f>SUMIF(Facturas!$B$9:$B$79,B217,Facturas!$F$9:$F$79)</f>
        <v>0</v>
      </c>
      <c r="G217" s="1138">
        <f>SUMIF(Facturas!$B$9:$B$79,B217,Facturas!$G$9:$G$79)</f>
        <v>0</v>
      </c>
      <c r="H217" s="1187">
        <f>SUMIF(Facturas!$B$9:$B$79,B217,Facturas!$I$9:$I$79)</f>
        <v>0</v>
      </c>
      <c r="I217" s="1187">
        <f>SUMIF(Facturas!$B$9:$B$79,B217,Facturas!$J$9:$J$79)</f>
        <v>0</v>
      </c>
      <c r="J217" s="1138">
        <f>SUMIF(Facturas!$B$9:$B$79,B217,Facturas!$K$9:$K$79)</f>
        <v>0</v>
      </c>
      <c r="K217" s="1193"/>
      <c r="L217" s="1449">
        <f>IF(J217&gt;0,0,SUMIF('Cuentas de Cobro'!$B$9:$B$216,B217,'Cuentas de Cobro'!$F$9:$F$216))</f>
        <v>0</v>
      </c>
      <c r="M217" s="1677"/>
      <c r="N217" s="1556">
        <f t="shared" ref="N217:N245" si="32">+J217+L217</f>
        <v>0</v>
      </c>
      <c r="O217" s="349"/>
      <c r="P217" s="1421"/>
      <c r="Q217" s="8"/>
      <c r="R217" s="1384" t="s">
        <v>654</v>
      </c>
    </row>
    <row r="218" spans="1:18" x14ac:dyDescent="0.2">
      <c r="A218" s="1184">
        <f t="shared" si="28"/>
        <v>209</v>
      </c>
      <c r="B218" s="1097" t="s">
        <v>651</v>
      </c>
      <c r="C218" s="1420">
        <v>32476227</v>
      </c>
      <c r="D218" s="1186">
        <f t="shared" si="31"/>
        <v>4</v>
      </c>
      <c r="E218" s="1185">
        <f>_xlfn.XLOOKUP(B218,Códigos!$B$8:$B$406,Códigos!$A$8:$A$406,"Verificar",0)</f>
        <v>201</v>
      </c>
      <c r="F218" s="1527">
        <f>SUMIF(Facturas!$B$9:$B$79,B218,Facturas!$F$9:$F$79)</f>
        <v>0</v>
      </c>
      <c r="G218" s="1138">
        <f>SUMIF(Facturas!$B$9:$B$79,B218,Facturas!$G$9:$G$79)</f>
        <v>0</v>
      </c>
      <c r="H218" s="1187">
        <f>SUMIF(Facturas!$B$9:$B$79,B218,Facturas!$I$9:$I$79)</f>
        <v>0</v>
      </c>
      <c r="I218" s="1187">
        <f>SUMIF(Facturas!$B$9:$B$79,B218,Facturas!$J$9:$J$79)</f>
        <v>0</v>
      </c>
      <c r="J218" s="1138">
        <f>SUMIF(Facturas!$B$9:$B$79,B218,Facturas!$K$9:$K$79)</f>
        <v>0</v>
      </c>
      <c r="K218" s="1193"/>
      <c r="L218" s="1449">
        <f>IF(J218&gt;0,0,SUMIF('Cuentas de Cobro'!$B$9:$B$216,B218,'Cuentas de Cobro'!$F$9:$F$216))</f>
        <v>120000</v>
      </c>
      <c r="M218" s="1677"/>
      <c r="N218" s="1556">
        <f t="shared" si="32"/>
        <v>120000</v>
      </c>
      <c r="O218" s="349"/>
      <c r="P218" s="1421"/>
      <c r="Q218" s="8"/>
      <c r="R218" s="1442" t="s">
        <v>651</v>
      </c>
    </row>
    <row r="219" spans="1:18" x14ac:dyDescent="0.2">
      <c r="A219" s="1184">
        <f t="shared" si="28"/>
        <v>210</v>
      </c>
      <c r="B219" s="1097" t="s">
        <v>645</v>
      </c>
      <c r="C219" s="1420">
        <v>42969424</v>
      </c>
      <c r="D219" s="1186">
        <f t="shared" si="31"/>
        <v>1</v>
      </c>
      <c r="E219" s="1185">
        <f>_xlfn.XLOOKUP(B219,Códigos!$B$8:$B$406,Códigos!$A$8:$A$406,"Verificar",0)</f>
        <v>205</v>
      </c>
      <c r="F219" s="1527">
        <f>SUMIF(Facturas!$B$9:$B$79,B219,Facturas!$F$9:$F$79)</f>
        <v>0</v>
      </c>
      <c r="G219" s="1138">
        <f>SUMIF(Facturas!$B$9:$B$79,B219,Facturas!$G$9:$G$79)</f>
        <v>0</v>
      </c>
      <c r="H219" s="1187">
        <f>SUMIF(Facturas!$B$9:$B$79,B219,Facturas!$I$9:$I$79)</f>
        <v>0</v>
      </c>
      <c r="I219" s="1187">
        <f>SUMIF(Facturas!$B$9:$B$79,B219,Facturas!$J$9:$J$79)</f>
        <v>0</v>
      </c>
      <c r="J219" s="1138">
        <f>SUMIF(Facturas!$B$9:$B$79,B219,Facturas!$K$9:$K$79)</f>
        <v>0</v>
      </c>
      <c r="K219" s="1193"/>
      <c r="L219" s="1449">
        <f>IF(J219&gt;0,0,SUMIF('Cuentas de Cobro'!$B$9:$B$216,B219,'Cuentas de Cobro'!$F$9:$F$216))</f>
        <v>120000</v>
      </c>
      <c r="M219" s="1677"/>
      <c r="N219" s="1556">
        <f t="shared" si="32"/>
        <v>120000</v>
      </c>
      <c r="O219" s="349"/>
      <c r="P219" s="1421"/>
      <c r="Q219" s="8"/>
      <c r="R219" s="1442" t="s">
        <v>645</v>
      </c>
    </row>
    <row r="220" spans="1:18" x14ac:dyDescent="0.2">
      <c r="A220" s="1184">
        <f t="shared" si="28"/>
        <v>211</v>
      </c>
      <c r="B220" s="1097" t="s">
        <v>147</v>
      </c>
      <c r="C220" s="1420">
        <v>43041519</v>
      </c>
      <c r="D220" s="1186">
        <f t="shared" si="31"/>
        <v>2</v>
      </c>
      <c r="E220" s="1185">
        <f>_xlfn.XLOOKUP(B220,Códigos!$B$8:$B$406,Códigos!$A$8:$A$406,"Verificar",0)</f>
        <v>185</v>
      </c>
      <c r="F220" s="1527">
        <f>SUMIF(Facturas!$B$9:$B$79,B220,Facturas!$F$9:$F$79)</f>
        <v>0</v>
      </c>
      <c r="G220" s="1138">
        <f>SUMIF(Facturas!$B$9:$B$79,B220,Facturas!$G$9:$G$79)</f>
        <v>0</v>
      </c>
      <c r="H220" s="1187">
        <f>SUMIF(Facturas!$B$9:$B$79,B220,Facturas!$I$9:$I$79)</f>
        <v>0</v>
      </c>
      <c r="I220" s="1187">
        <f>SUMIF(Facturas!$B$9:$B$79,B220,Facturas!$J$9:$J$79)</f>
        <v>0</v>
      </c>
      <c r="J220" s="1138">
        <f>SUMIF(Facturas!$B$9:$B$79,B220,Facturas!$K$9:$K$79)</f>
        <v>0</v>
      </c>
      <c r="K220" s="1193"/>
      <c r="L220" s="1449">
        <f>IF(J220&gt;0,0,SUMIF('Cuentas de Cobro'!$B$9:$B$216,B220,'Cuentas de Cobro'!$F$9:$F$216))</f>
        <v>0</v>
      </c>
      <c r="M220" s="1677"/>
      <c r="N220" s="1556">
        <f t="shared" si="32"/>
        <v>0</v>
      </c>
      <c r="O220" s="349"/>
      <c r="P220" s="1421"/>
      <c r="Q220" s="8"/>
      <c r="R220" s="697" t="s">
        <v>147</v>
      </c>
    </row>
    <row r="221" spans="1:18" x14ac:dyDescent="0.2">
      <c r="A221" s="1184">
        <f t="shared" si="28"/>
        <v>212</v>
      </c>
      <c r="B221" s="1097" t="s">
        <v>148</v>
      </c>
      <c r="C221" s="1420">
        <v>71595523</v>
      </c>
      <c r="D221" s="1186">
        <f t="shared" si="31"/>
        <v>1</v>
      </c>
      <c r="E221" s="1185">
        <f>_xlfn.XLOOKUP(B221,Códigos!$B$8:$B$406,Códigos!$A$8:$A$406,"Verificar",0)</f>
        <v>187</v>
      </c>
      <c r="F221" s="1527">
        <f>SUMIF(Facturas!$B$9:$B$79,B221,Facturas!$F$9:$F$79)</f>
        <v>500000</v>
      </c>
      <c r="G221" s="1138">
        <f>SUMIF(Facturas!$B$9:$B$79,B221,Facturas!$G$9:$G$79)</f>
        <v>95000</v>
      </c>
      <c r="H221" s="1187">
        <f>SUMIF(Facturas!$B$9:$B$79,B221,Facturas!$I$9:$I$79)</f>
        <v>-55000</v>
      </c>
      <c r="I221" s="1187">
        <f>SUMIF(Facturas!$B$9:$B$79,B221,Facturas!$J$9:$J$79)</f>
        <v>595000</v>
      </c>
      <c r="J221" s="1138">
        <f>SUMIF(Facturas!$B$9:$B$79,B221,Facturas!$K$9:$K$79)</f>
        <v>540000</v>
      </c>
      <c r="K221" s="1193"/>
      <c r="L221" s="1449">
        <f>IF(J221&gt;0,0,SUMIF('Cuentas de Cobro'!$B$9:$B$216,B221,'Cuentas de Cobro'!$F$9:$F$216))</f>
        <v>0</v>
      </c>
      <c r="M221" s="1677"/>
      <c r="N221" s="1556">
        <f t="shared" si="32"/>
        <v>540000</v>
      </c>
      <c r="O221" s="349"/>
      <c r="P221" s="1421"/>
      <c r="Q221" s="8"/>
      <c r="R221" s="1436" t="s">
        <v>148</v>
      </c>
    </row>
    <row r="222" spans="1:18" x14ac:dyDescent="0.2">
      <c r="A222" s="1184">
        <f t="shared" si="28"/>
        <v>213</v>
      </c>
      <c r="B222" s="1097" t="s">
        <v>662</v>
      </c>
      <c r="C222" s="1420">
        <v>1214737189</v>
      </c>
      <c r="D222" s="1186">
        <f t="shared" si="31"/>
        <v>4</v>
      </c>
      <c r="E222" s="1185">
        <f>_xlfn.XLOOKUP(B222,Códigos!$B$8:$B$406,Códigos!$A$8:$A$406,"Verificar",0)</f>
        <v>268</v>
      </c>
      <c r="F222" s="1527">
        <f>SUMIF(Facturas!$B$9:$B$79,B222,Facturas!$F$9:$F$79)</f>
        <v>0</v>
      </c>
      <c r="G222" s="1138">
        <f>SUMIF(Facturas!$B$9:$B$79,B222,Facturas!$G$9:$G$79)</f>
        <v>0</v>
      </c>
      <c r="H222" s="1187">
        <f>SUMIF(Facturas!$B$9:$B$79,B222,Facturas!$I$9:$I$79)</f>
        <v>0</v>
      </c>
      <c r="I222" s="1187">
        <f>SUMIF(Facturas!$B$9:$B$79,B222,Facturas!$J$9:$J$79)</f>
        <v>0</v>
      </c>
      <c r="J222" s="1138">
        <f>SUMIF(Facturas!$B$9:$B$79,B222,Facturas!$K$9:$K$79)</f>
        <v>0</v>
      </c>
      <c r="K222" s="1193"/>
      <c r="L222" s="1449">
        <f>IF(J222&gt;0,0,SUMIF('Cuentas de Cobro'!$B$9:$B$216,B222,'Cuentas de Cobro'!$F$9:$F$216))</f>
        <v>0</v>
      </c>
      <c r="M222" s="1677"/>
      <c r="N222" s="1556">
        <f t="shared" si="32"/>
        <v>0</v>
      </c>
      <c r="O222" s="349"/>
      <c r="P222" s="1421"/>
      <c r="Q222" s="8"/>
      <c r="R222" s="1384" t="s">
        <v>654</v>
      </c>
    </row>
    <row r="223" spans="1:18" x14ac:dyDescent="0.2">
      <c r="A223" s="1184">
        <f t="shared" si="28"/>
        <v>214</v>
      </c>
      <c r="B223" s="1097" t="s">
        <v>359</v>
      </c>
      <c r="C223" s="1420">
        <v>70567656</v>
      </c>
      <c r="D223" s="1186">
        <f t="shared" si="31"/>
        <v>1</v>
      </c>
      <c r="E223" s="1185">
        <f>_xlfn.XLOOKUP(B223,Códigos!$B$8:$B$406,Códigos!$A$8:$A$406,"Verificar",0)</f>
        <v>188</v>
      </c>
      <c r="F223" s="1527">
        <f>SUMIF(Facturas!$B$9:$B$79,B223,Facturas!$F$9:$F$79)</f>
        <v>0</v>
      </c>
      <c r="G223" s="1138">
        <f>SUMIF(Facturas!$B$9:$B$79,B223,Facturas!$G$9:$G$79)</f>
        <v>0</v>
      </c>
      <c r="H223" s="1187">
        <f>SUMIF(Facturas!$B$9:$B$79,B223,Facturas!$I$9:$I$79)</f>
        <v>0</v>
      </c>
      <c r="I223" s="1187">
        <f>SUMIF(Facturas!$B$9:$B$79,B223,Facturas!$J$9:$J$79)</f>
        <v>0</v>
      </c>
      <c r="J223" s="1138">
        <f>SUMIF(Facturas!$B$9:$B$79,B223,Facturas!$K$9:$K$79)</f>
        <v>0</v>
      </c>
      <c r="K223" s="1193"/>
      <c r="L223" s="1449">
        <f>IF(J223&gt;0,0,SUMIF('Cuentas de Cobro'!$B$9:$B$216,B223,'Cuentas de Cobro'!$F$9:$F$216))</f>
        <v>470000</v>
      </c>
      <c r="M223" s="1677"/>
      <c r="N223" s="1556">
        <f t="shared" si="32"/>
        <v>470000</v>
      </c>
      <c r="O223" s="349"/>
      <c r="P223" s="1421"/>
      <c r="Q223" s="8"/>
      <c r="R223" s="1432" t="s">
        <v>359</v>
      </c>
    </row>
    <row r="224" spans="1:18" x14ac:dyDescent="0.2">
      <c r="A224" s="1184">
        <f t="shared" si="28"/>
        <v>215</v>
      </c>
      <c r="B224" s="1097" t="s">
        <v>149</v>
      </c>
      <c r="C224" s="1420">
        <v>42877800</v>
      </c>
      <c r="D224" s="1186">
        <f t="shared" si="31"/>
        <v>2</v>
      </c>
      <c r="E224" s="1185">
        <f>_xlfn.XLOOKUP(B224,Códigos!$B$8:$B$406,Códigos!$A$8:$A$406,"Verificar",0)</f>
        <v>189</v>
      </c>
      <c r="F224" s="1527">
        <f>SUMIF(Facturas!$B$9:$B$79,B224,Facturas!$F$9:$F$79)</f>
        <v>0</v>
      </c>
      <c r="G224" s="1138">
        <f>SUMIF(Facturas!$B$9:$B$79,B224,Facturas!$G$9:$G$79)</f>
        <v>0</v>
      </c>
      <c r="H224" s="1187">
        <f>SUMIF(Facturas!$B$9:$B$79,B224,Facturas!$I$9:$I$79)</f>
        <v>0</v>
      </c>
      <c r="I224" s="1187">
        <f>SUMIF(Facturas!$B$9:$B$79,B224,Facturas!$J$9:$J$79)</f>
        <v>0</v>
      </c>
      <c r="J224" s="1138">
        <f>SUMIF(Facturas!$B$9:$B$79,B224,Facturas!$K$9:$K$79)</f>
        <v>0</v>
      </c>
      <c r="K224" s="1193"/>
      <c r="L224" s="1449">
        <f>IF(J224&gt;0,0,SUMIF('Cuentas de Cobro'!$B$9:$B$216,B224,'Cuentas de Cobro'!$F$9:$F$216))</f>
        <v>2120000</v>
      </c>
      <c r="M224" s="1677"/>
      <c r="N224" s="1556">
        <f t="shared" si="32"/>
        <v>2120000</v>
      </c>
      <c r="O224" s="349"/>
      <c r="P224" s="1421"/>
      <c r="Q224" s="8"/>
      <c r="R224" s="697" t="s">
        <v>149</v>
      </c>
    </row>
    <row r="225" spans="1:18" x14ac:dyDescent="0.2">
      <c r="A225" s="1184">
        <f t="shared" si="28"/>
        <v>216</v>
      </c>
      <c r="B225" s="1097" t="s">
        <v>150</v>
      </c>
      <c r="C225" s="1420">
        <v>21717463</v>
      </c>
      <c r="D225" s="1186">
        <f t="shared" si="31"/>
        <v>1</v>
      </c>
      <c r="E225" s="1185">
        <f>_xlfn.XLOOKUP(B225,Códigos!$B$8:$B$406,Códigos!$A$8:$A$406,"Verificar",0)</f>
        <v>190</v>
      </c>
      <c r="F225" s="1527">
        <f>SUMIF(Facturas!$B$9:$B$79,B225,Facturas!$F$9:$F$79)</f>
        <v>0</v>
      </c>
      <c r="G225" s="1138">
        <f>SUMIF(Facturas!$B$9:$B$79,B225,Facturas!$G$9:$G$79)</f>
        <v>0</v>
      </c>
      <c r="H225" s="1187">
        <f>SUMIF(Facturas!$B$9:$B$79,B225,Facturas!$I$9:$I$79)</f>
        <v>0</v>
      </c>
      <c r="I225" s="1187">
        <f>SUMIF(Facturas!$B$9:$B$79,B225,Facturas!$J$9:$J$79)</f>
        <v>0</v>
      </c>
      <c r="J225" s="1138">
        <f>SUMIF(Facturas!$B$9:$B$79,B225,Facturas!$K$9:$K$79)</f>
        <v>0</v>
      </c>
      <c r="K225" s="1193"/>
      <c r="L225" s="1449">
        <f>IF(J225&gt;0,0,SUMIF('Cuentas de Cobro'!$B$9:$B$216,B225,'Cuentas de Cobro'!$F$9:$F$216))</f>
        <v>770000</v>
      </c>
      <c r="M225" s="1677"/>
      <c r="N225" s="1556">
        <f t="shared" si="32"/>
        <v>770000</v>
      </c>
      <c r="O225" s="349"/>
      <c r="P225" s="1421"/>
      <c r="Q225" s="8"/>
      <c r="R225" s="697" t="s">
        <v>150</v>
      </c>
    </row>
    <row r="226" spans="1:18" x14ac:dyDescent="0.2">
      <c r="A226" s="1184">
        <f t="shared" si="28"/>
        <v>217</v>
      </c>
      <c r="B226" s="1097" t="s">
        <v>455</v>
      </c>
      <c r="C226" s="1420">
        <v>21717467</v>
      </c>
      <c r="D226" s="1186">
        <f t="shared" si="31"/>
        <v>0</v>
      </c>
      <c r="E226" s="1185">
        <f>_xlfn.XLOOKUP(B226,Códigos!$B$8:$B$406,Códigos!$A$8:$A$406,"Verificar",0)</f>
        <v>192</v>
      </c>
      <c r="F226" s="1527">
        <f>SUMIF(Facturas!$B$9:$B$79,B226,Facturas!$F$9:$F$79)</f>
        <v>0</v>
      </c>
      <c r="G226" s="1138">
        <f>SUMIF(Facturas!$B$9:$B$79,B226,Facturas!$G$9:$G$79)</f>
        <v>0</v>
      </c>
      <c r="H226" s="1187">
        <f>SUMIF(Facturas!$B$9:$B$79,B226,Facturas!$I$9:$I$79)</f>
        <v>0</v>
      </c>
      <c r="I226" s="1187">
        <f>SUMIF(Facturas!$B$9:$B$79,B226,Facturas!$J$9:$J$79)</f>
        <v>0</v>
      </c>
      <c r="J226" s="1138">
        <f>SUMIF(Facturas!$B$9:$B$79,B226,Facturas!$K$9:$K$79)</f>
        <v>0</v>
      </c>
      <c r="K226" s="1193"/>
      <c r="L226" s="1449">
        <f>IF(J226&gt;0,0,SUMIF('Cuentas de Cobro'!$B$9:$B$216,B226,'Cuentas de Cobro'!$F$9:$F$216))</f>
        <v>770000</v>
      </c>
      <c r="M226" s="1677"/>
      <c r="N226" s="1556">
        <f t="shared" si="32"/>
        <v>770000</v>
      </c>
      <c r="O226" s="349"/>
      <c r="P226" s="1421"/>
      <c r="Q226" s="8"/>
      <c r="R226" s="697" t="s">
        <v>455</v>
      </c>
    </row>
    <row r="227" spans="1:18" x14ac:dyDescent="0.2">
      <c r="A227" s="1184">
        <f t="shared" si="28"/>
        <v>218</v>
      </c>
      <c r="B227" s="1097" t="s">
        <v>152</v>
      </c>
      <c r="C227" s="1420">
        <v>32326870</v>
      </c>
      <c r="D227" s="1186">
        <f t="shared" si="31"/>
        <v>8</v>
      </c>
      <c r="E227" s="1185">
        <f>_xlfn.XLOOKUP(B227,Códigos!$B$8:$B$406,Códigos!$A$8:$A$406,"Verificar",0)</f>
        <v>193</v>
      </c>
      <c r="F227" s="1527">
        <f>SUMIF(Facturas!$B$9:$B$79,B227,Facturas!$F$9:$F$79)</f>
        <v>0</v>
      </c>
      <c r="G227" s="1138">
        <f>SUMIF(Facturas!$B$9:$B$79,B227,Facturas!$G$9:$G$79)</f>
        <v>0</v>
      </c>
      <c r="H227" s="1187">
        <f>SUMIF(Facturas!$B$9:$B$79,B227,Facturas!$I$9:$I$79)</f>
        <v>0</v>
      </c>
      <c r="I227" s="1187">
        <f>SUMIF(Facturas!$B$9:$B$79,B227,Facturas!$J$9:$J$79)</f>
        <v>0</v>
      </c>
      <c r="J227" s="1138">
        <f>SUMIF(Facturas!$B$9:$B$79,B227,Facturas!$K$9:$K$79)</f>
        <v>0</v>
      </c>
      <c r="K227" s="1193"/>
      <c r="L227" s="1449">
        <f>IF(J227&gt;0,0,SUMIF('Cuentas de Cobro'!$B$9:$B$216,B227,'Cuentas de Cobro'!$F$9:$F$216))</f>
        <v>500000</v>
      </c>
      <c r="M227" s="1677"/>
      <c r="N227" s="1556">
        <f t="shared" si="32"/>
        <v>500000</v>
      </c>
      <c r="O227" s="349"/>
      <c r="P227" s="1421"/>
      <c r="Q227" s="8"/>
      <c r="R227" s="697" t="s">
        <v>152</v>
      </c>
    </row>
    <row r="228" spans="1:18" x14ac:dyDescent="0.2">
      <c r="A228" s="1184">
        <f t="shared" si="28"/>
        <v>219</v>
      </c>
      <c r="B228" s="1097" t="s">
        <v>153</v>
      </c>
      <c r="C228" s="1420">
        <v>70562691</v>
      </c>
      <c r="D228" s="1186">
        <f t="shared" si="31"/>
        <v>5</v>
      </c>
      <c r="E228" s="1185">
        <f>_xlfn.XLOOKUP(B228,Códigos!$B$8:$B$406,Códigos!$A$8:$A$406,"Verificar",0)</f>
        <v>194</v>
      </c>
      <c r="F228" s="1527">
        <f>SUMIF(Facturas!$B$9:$B$79,B228,Facturas!$F$9:$F$79)</f>
        <v>0</v>
      </c>
      <c r="G228" s="1138">
        <f>SUMIF(Facturas!$B$9:$B$79,B228,Facturas!$G$9:$G$79)</f>
        <v>0</v>
      </c>
      <c r="H228" s="1187">
        <f>SUMIF(Facturas!$B$9:$B$79,B228,Facturas!$I$9:$I$79)</f>
        <v>0</v>
      </c>
      <c r="I228" s="1187">
        <f>SUMIF(Facturas!$B$9:$B$79,B228,Facturas!$J$9:$J$79)</f>
        <v>0</v>
      </c>
      <c r="J228" s="1138">
        <f>SUMIF(Facturas!$B$9:$B$79,B228,Facturas!$K$9:$K$79)</f>
        <v>0</v>
      </c>
      <c r="K228" s="1193"/>
      <c r="L228" s="1449">
        <f>IF(J228&gt;0,0,SUMIF('Cuentas de Cobro'!$B$9:$B$216,B228,'Cuentas de Cobro'!$F$9:$F$216))</f>
        <v>500000</v>
      </c>
      <c r="M228" s="1677"/>
      <c r="N228" s="1556">
        <f t="shared" si="32"/>
        <v>500000</v>
      </c>
      <c r="O228" s="349"/>
      <c r="P228" s="1421"/>
      <c r="Q228" s="8"/>
      <c r="R228" s="697" t="s">
        <v>153</v>
      </c>
    </row>
    <row r="229" spans="1:18" x14ac:dyDescent="0.2">
      <c r="A229" s="1184">
        <f t="shared" si="28"/>
        <v>220</v>
      </c>
      <c r="B229" s="1097" t="s">
        <v>154</v>
      </c>
      <c r="C229" s="1420">
        <v>21354620</v>
      </c>
      <c r="D229" s="1186">
        <f t="shared" si="31"/>
        <v>2</v>
      </c>
      <c r="E229" s="1185">
        <f>_xlfn.XLOOKUP(B229,Códigos!$B$8:$B$406,Códigos!$A$8:$A$406,"Verificar",0)</f>
        <v>197</v>
      </c>
      <c r="F229" s="1527">
        <f>SUMIF(Facturas!$B$9:$B$79,B229,Facturas!$F$9:$F$79)</f>
        <v>0</v>
      </c>
      <c r="G229" s="1138">
        <f>SUMIF(Facturas!$B$9:$B$79,B229,Facturas!$G$9:$G$79)</f>
        <v>0</v>
      </c>
      <c r="H229" s="1187">
        <f>SUMIF(Facturas!$B$9:$B$79,B229,Facturas!$I$9:$I$79)</f>
        <v>0</v>
      </c>
      <c r="I229" s="1187">
        <f>SUMIF(Facturas!$B$9:$B$79,B229,Facturas!$J$9:$J$79)</f>
        <v>0</v>
      </c>
      <c r="J229" s="1138">
        <f>SUMIF(Facturas!$B$9:$B$79,B229,Facturas!$K$9:$K$79)</f>
        <v>0</v>
      </c>
      <c r="K229" s="1193"/>
      <c r="L229" s="1449">
        <f>IF(J229&gt;0,0,SUMIF('Cuentas de Cobro'!$B$9:$B$216,B229,'Cuentas de Cobro'!$F$9:$F$216))</f>
        <v>1600000</v>
      </c>
      <c r="M229" s="1677"/>
      <c r="N229" s="1556">
        <f t="shared" si="32"/>
        <v>1600000</v>
      </c>
      <c r="O229" s="349"/>
      <c r="P229" s="1421"/>
      <c r="Q229" s="8"/>
      <c r="R229" s="697" t="s">
        <v>154</v>
      </c>
    </row>
    <row r="230" spans="1:18" x14ac:dyDescent="0.2">
      <c r="A230" s="1184">
        <f t="shared" si="28"/>
        <v>221</v>
      </c>
      <c r="B230" s="1097" t="s">
        <v>155</v>
      </c>
      <c r="C230" s="1420">
        <v>8291095</v>
      </c>
      <c r="D230" s="1186">
        <f t="shared" si="31"/>
        <v>6</v>
      </c>
      <c r="E230" s="1185">
        <f>_xlfn.XLOOKUP(B230,Códigos!$B$8:$B$406,Códigos!$A$8:$A$406,"Verificar",0)</f>
        <v>198</v>
      </c>
      <c r="F230" s="1527">
        <f>SUMIF(Facturas!$B$9:$B$79,B230,Facturas!$F$9:$F$79)</f>
        <v>0</v>
      </c>
      <c r="G230" s="1138">
        <f>SUMIF(Facturas!$B$9:$B$79,B230,Facturas!$G$9:$G$79)</f>
        <v>0</v>
      </c>
      <c r="H230" s="1187">
        <f>SUMIF(Facturas!$B$9:$B$79,B230,Facturas!$I$9:$I$79)</f>
        <v>0</v>
      </c>
      <c r="I230" s="1187">
        <f>SUMIF(Facturas!$B$9:$B$79,B230,Facturas!$J$9:$J$79)</f>
        <v>0</v>
      </c>
      <c r="J230" s="1138">
        <f>SUMIF(Facturas!$B$9:$B$79,B230,Facturas!$K$9:$K$79)</f>
        <v>0</v>
      </c>
      <c r="K230" s="1193"/>
      <c r="L230" s="1449">
        <f>IF(J230&gt;0,0,SUMIF('Cuentas de Cobro'!$B$9:$B$216,B230,'Cuentas de Cobro'!$F$9:$F$216))</f>
        <v>470000</v>
      </c>
      <c r="M230" s="1677"/>
      <c r="N230" s="1556">
        <f t="shared" si="32"/>
        <v>470000</v>
      </c>
      <c r="O230" s="349"/>
      <c r="P230" s="1421"/>
      <c r="Q230" s="8"/>
      <c r="R230" s="697" t="s">
        <v>155</v>
      </c>
    </row>
    <row r="231" spans="1:18" x14ac:dyDescent="0.2">
      <c r="A231" s="1184">
        <f t="shared" si="28"/>
        <v>222</v>
      </c>
      <c r="B231" s="1097" t="s">
        <v>156</v>
      </c>
      <c r="C231" s="1420">
        <v>32403117</v>
      </c>
      <c r="D231" s="1186">
        <f t="shared" si="31"/>
        <v>1</v>
      </c>
      <c r="E231" s="1185">
        <f>_xlfn.XLOOKUP(B231,Códigos!$B$8:$B$406,Códigos!$A$8:$A$406,"Verificar",0)</f>
        <v>199</v>
      </c>
      <c r="F231" s="1527">
        <f>SUMIF(Facturas!$B$9:$B$79,B231,Facturas!$F$9:$F$79)</f>
        <v>0</v>
      </c>
      <c r="G231" s="1138">
        <f>SUMIF(Facturas!$B$9:$B$79,B231,Facturas!$G$9:$G$79)</f>
        <v>0</v>
      </c>
      <c r="H231" s="1187">
        <f>SUMIF(Facturas!$B$9:$B$79,B231,Facturas!$I$9:$I$79)</f>
        <v>0</v>
      </c>
      <c r="I231" s="1187">
        <f>SUMIF(Facturas!$B$9:$B$79,B231,Facturas!$J$9:$J$79)</f>
        <v>0</v>
      </c>
      <c r="J231" s="1138">
        <f>SUMIF(Facturas!$B$9:$B$79,B231,Facturas!$K$9:$K$79)</f>
        <v>0</v>
      </c>
      <c r="K231" s="1193"/>
      <c r="L231" s="1449">
        <f>IF(J231&gt;0,0,SUMIF('Cuentas de Cobro'!$B$9:$B$216,B231,'Cuentas de Cobro'!$F$9:$F$216))</f>
        <v>0</v>
      </c>
      <c r="M231" s="1677"/>
      <c r="N231" s="1556">
        <f t="shared" si="32"/>
        <v>0</v>
      </c>
      <c r="O231" s="349"/>
      <c r="P231" s="1421"/>
      <c r="Q231" s="8"/>
      <c r="R231" s="697" t="s">
        <v>156</v>
      </c>
    </row>
    <row r="232" spans="1:18" x14ac:dyDescent="0.2">
      <c r="A232" s="1184">
        <f t="shared" si="28"/>
        <v>223</v>
      </c>
      <c r="B232" s="1097" t="s">
        <v>157</v>
      </c>
      <c r="C232" s="1420">
        <v>700004170</v>
      </c>
      <c r="D232" s="1186">
        <f t="shared" si="31"/>
        <v>1</v>
      </c>
      <c r="E232" s="1185">
        <f>_xlfn.XLOOKUP(B232,Códigos!$B$8:$B$406,Códigos!$A$8:$A$406,"Verificar",0)</f>
        <v>200</v>
      </c>
      <c r="F232" s="1527">
        <f>SUMIF(Facturas!$B$9:$B$79,B232,Facturas!$F$9:$F$79)</f>
        <v>0</v>
      </c>
      <c r="G232" s="1138">
        <f>SUMIF(Facturas!$B$9:$B$79,B232,Facturas!$G$9:$G$79)</f>
        <v>0</v>
      </c>
      <c r="H232" s="1187">
        <f>SUMIF(Facturas!$B$9:$B$79,B232,Facturas!$I$9:$I$79)</f>
        <v>0</v>
      </c>
      <c r="I232" s="1187">
        <f>SUMIF(Facturas!$B$9:$B$79,B232,Facturas!$J$9:$J$79)</f>
        <v>0</v>
      </c>
      <c r="J232" s="1138">
        <f>SUMIF(Facturas!$B$9:$B$79,B232,Facturas!$K$9:$K$79)</f>
        <v>0</v>
      </c>
      <c r="K232" s="1193"/>
      <c r="L232" s="1449">
        <f>IF(J232&gt;0,0,SUMIF('Cuentas de Cobro'!$B$9:$B$216,B232,'Cuentas de Cobro'!$F$9:$F$216))</f>
        <v>500000</v>
      </c>
      <c r="M232" s="1677"/>
      <c r="N232" s="1556">
        <f t="shared" si="32"/>
        <v>500000</v>
      </c>
      <c r="O232" s="349"/>
      <c r="P232" s="1421"/>
      <c r="Q232" s="8"/>
      <c r="R232" s="697" t="s">
        <v>157</v>
      </c>
    </row>
    <row r="233" spans="1:18" x14ac:dyDescent="0.2">
      <c r="A233" s="1184">
        <f t="shared" si="28"/>
        <v>224</v>
      </c>
      <c r="B233" s="1097" t="s">
        <v>403</v>
      </c>
      <c r="C233" s="1420">
        <v>70875845</v>
      </c>
      <c r="D233" s="1186">
        <f t="shared" si="31"/>
        <v>6</v>
      </c>
      <c r="E233" s="1185">
        <f>_xlfn.XLOOKUP(B233,Códigos!$B$8:$B$406,Códigos!$A$8:$A$406,"Verificar",0)</f>
        <v>117</v>
      </c>
      <c r="F233" s="1527">
        <f>SUMIF(Facturas!$B$9:$B$79,B233,Facturas!$F$9:$F$79)</f>
        <v>0</v>
      </c>
      <c r="G233" s="1138">
        <f>SUMIF(Facturas!$B$9:$B$79,B233,Facturas!$G$9:$G$79)</f>
        <v>0</v>
      </c>
      <c r="H233" s="1187">
        <f>SUMIF(Facturas!$B$9:$B$79,B233,Facturas!$I$9:$I$79)</f>
        <v>0</v>
      </c>
      <c r="I233" s="1187">
        <f>SUMIF(Facturas!$B$9:$B$79,B233,Facturas!$J$9:$J$79)</f>
        <v>0</v>
      </c>
      <c r="J233" s="1138">
        <f>SUMIF(Facturas!$B$9:$B$79,B233,Facturas!$K$9:$K$79)</f>
        <v>0</v>
      </c>
      <c r="K233" s="1193"/>
      <c r="L233" s="1449">
        <f>IF(J233&gt;0,0,SUMIF('Cuentas de Cobro'!$B$9:$B$216,B233,'Cuentas de Cobro'!$F$9:$F$216))</f>
        <v>360000</v>
      </c>
      <c r="M233" s="1677"/>
      <c r="N233" s="1556">
        <f t="shared" si="32"/>
        <v>360000</v>
      </c>
      <c r="O233" s="349"/>
      <c r="P233" s="1421"/>
      <c r="Q233" s="8"/>
      <c r="R233" s="697" t="s">
        <v>403</v>
      </c>
    </row>
    <row r="234" spans="1:18" x14ac:dyDescent="0.2">
      <c r="A234" s="1184">
        <f t="shared" si="28"/>
        <v>225</v>
      </c>
      <c r="B234" s="1097" t="s">
        <v>158</v>
      </c>
      <c r="C234" s="1420">
        <v>42795956</v>
      </c>
      <c r="D234" s="1186">
        <f t="shared" si="31"/>
        <v>1</v>
      </c>
      <c r="E234" s="1185">
        <f>_xlfn.XLOOKUP(B234,Códigos!$B$8:$B$406,Códigos!$A$8:$A$406,"Verificar",0)</f>
        <v>240</v>
      </c>
      <c r="F234" s="1527">
        <f>SUMIF(Facturas!$B$9:$B$79,B234,Facturas!$F$9:$F$79)</f>
        <v>0</v>
      </c>
      <c r="G234" s="1138">
        <f>SUMIF(Facturas!$B$9:$B$79,B234,Facturas!$G$9:$G$79)</f>
        <v>0</v>
      </c>
      <c r="H234" s="1187">
        <f>SUMIF(Facturas!$B$9:$B$79,B234,Facturas!$I$9:$I$79)</f>
        <v>0</v>
      </c>
      <c r="I234" s="1187">
        <f>SUMIF(Facturas!$B$9:$B$79,B234,Facturas!$J$9:$J$79)</f>
        <v>0</v>
      </c>
      <c r="J234" s="1138">
        <f>SUMIF(Facturas!$B$9:$B$79,B234,Facturas!$K$9:$K$79)</f>
        <v>0</v>
      </c>
      <c r="K234" s="1193"/>
      <c r="L234" s="1449">
        <f>IF(J234&gt;0,0,SUMIF('Cuentas de Cobro'!$B$9:$B$216,B234,'Cuentas de Cobro'!$F$9:$F$216))</f>
        <v>360000</v>
      </c>
      <c r="M234" s="1677"/>
      <c r="N234" s="1556">
        <f t="shared" si="32"/>
        <v>360000</v>
      </c>
      <c r="O234" s="349"/>
      <c r="P234" s="1421"/>
      <c r="Q234" s="8"/>
      <c r="R234" s="697" t="s">
        <v>158</v>
      </c>
    </row>
    <row r="235" spans="1:18" x14ac:dyDescent="0.2">
      <c r="A235" s="1184">
        <f t="shared" si="28"/>
        <v>226</v>
      </c>
      <c r="B235" s="1097" t="s">
        <v>159</v>
      </c>
      <c r="C235" s="1420">
        <v>42795057</v>
      </c>
      <c r="D235" s="1186">
        <f t="shared" si="31"/>
        <v>3</v>
      </c>
      <c r="E235" s="1185">
        <f>_xlfn.XLOOKUP(B235,Códigos!$B$8:$B$406,Códigos!$A$8:$A$406,"Verificar",0)</f>
        <v>202</v>
      </c>
      <c r="F235" s="1527">
        <f>SUMIF(Facturas!$B$9:$B$79,B235,Facturas!$F$9:$F$79)</f>
        <v>0</v>
      </c>
      <c r="G235" s="1138">
        <f>SUMIF(Facturas!$B$9:$B$79,B235,Facturas!$G$9:$G$79)</f>
        <v>0</v>
      </c>
      <c r="H235" s="1187">
        <f>SUMIF(Facturas!$B$9:$B$79,B235,Facturas!$I$9:$I$79)</f>
        <v>0</v>
      </c>
      <c r="I235" s="1187">
        <f>SUMIF(Facturas!$B$9:$B$79,B235,Facturas!$J$9:$J$79)</f>
        <v>0</v>
      </c>
      <c r="J235" s="1138">
        <f>SUMIF(Facturas!$B$9:$B$79,B235,Facturas!$K$9:$K$79)</f>
        <v>0</v>
      </c>
      <c r="K235" s="1193"/>
      <c r="L235" s="1449">
        <f>IF(J235&gt;0,0,SUMIF('Cuentas de Cobro'!$B$9:$B$216,B235,'Cuentas de Cobro'!$F$9:$F$216))</f>
        <v>360000</v>
      </c>
      <c r="M235" s="1677"/>
      <c r="N235" s="1556">
        <f t="shared" si="32"/>
        <v>360000</v>
      </c>
      <c r="O235" s="349"/>
      <c r="P235" s="1421"/>
      <c r="Q235" s="8"/>
      <c r="R235" s="697" t="s">
        <v>159</v>
      </c>
    </row>
    <row r="236" spans="1:18" x14ac:dyDescent="0.2">
      <c r="A236" s="1184">
        <f t="shared" si="28"/>
        <v>227</v>
      </c>
      <c r="B236" s="1097" t="s">
        <v>160</v>
      </c>
      <c r="C236" s="1420">
        <v>71641349</v>
      </c>
      <c r="D236" s="1186">
        <f t="shared" si="31"/>
        <v>3</v>
      </c>
      <c r="E236" s="1185">
        <f>_xlfn.XLOOKUP(B236,Códigos!$B$8:$B$406,Códigos!$A$8:$A$406,"Verificar",0)</f>
        <v>203</v>
      </c>
      <c r="F236" s="1527">
        <f>SUMIF(Facturas!$B$9:$B$79,B236,Facturas!$F$9:$F$79)</f>
        <v>0</v>
      </c>
      <c r="G236" s="1138">
        <f>SUMIF(Facturas!$B$9:$B$79,B236,Facturas!$G$9:$G$79)</f>
        <v>0</v>
      </c>
      <c r="H236" s="1187">
        <f>SUMIF(Facturas!$B$9:$B$79,B236,Facturas!$I$9:$I$79)</f>
        <v>0</v>
      </c>
      <c r="I236" s="1187">
        <f>SUMIF(Facturas!$B$9:$B$79,B236,Facturas!$J$9:$J$79)</f>
        <v>0</v>
      </c>
      <c r="J236" s="1138">
        <f>SUMIF(Facturas!$B$9:$B$79,B236,Facturas!$K$9:$K$79)</f>
        <v>0</v>
      </c>
      <c r="K236" s="1193"/>
      <c r="L236" s="1449">
        <f>IF(J236&gt;0,0,SUMIF('Cuentas de Cobro'!$B$9:$B$216,B236,'Cuentas de Cobro'!$F$9:$F$216))</f>
        <v>1760000</v>
      </c>
      <c r="M236" s="1677"/>
      <c r="N236" s="1556">
        <f t="shared" si="32"/>
        <v>1760000</v>
      </c>
      <c r="O236" s="349"/>
      <c r="P236" s="1421"/>
      <c r="Q236" s="8"/>
      <c r="R236" s="1443" t="s">
        <v>160</v>
      </c>
    </row>
    <row r="237" spans="1:18" x14ac:dyDescent="0.2">
      <c r="A237" s="1184">
        <f t="shared" si="28"/>
        <v>228</v>
      </c>
      <c r="B237" s="1097" t="s">
        <v>162</v>
      </c>
      <c r="C237" s="1420">
        <v>43976629</v>
      </c>
      <c r="D237" s="1186">
        <f t="shared" si="31"/>
        <v>7</v>
      </c>
      <c r="E237" s="1185">
        <f>_xlfn.XLOOKUP(B237,Códigos!$B$8:$B$406,Códigos!$A$8:$A$406,"Verificar",0)</f>
        <v>220</v>
      </c>
      <c r="F237" s="1527">
        <f>SUMIF(Facturas!$B$9:$B$79,B237,Facturas!$F$9:$F$79)</f>
        <v>0</v>
      </c>
      <c r="G237" s="1138">
        <f>SUMIF(Facturas!$B$9:$B$79,B237,Facturas!$G$9:$G$79)</f>
        <v>0</v>
      </c>
      <c r="H237" s="1187">
        <f>SUMIF(Facturas!$B$9:$B$79,B237,Facturas!$I$9:$I$79)</f>
        <v>0</v>
      </c>
      <c r="I237" s="1187">
        <f>SUMIF(Facturas!$B$9:$B$79,B237,Facturas!$J$9:$J$79)</f>
        <v>0</v>
      </c>
      <c r="J237" s="1138">
        <f>SUMIF(Facturas!$B$9:$B$79,B237,Facturas!$K$9:$K$79)</f>
        <v>0</v>
      </c>
      <c r="K237" s="1193"/>
      <c r="L237" s="1449">
        <f>IF(J237&gt;0,0,SUMIF('Cuentas de Cobro'!$B$9:$B$216,B237,'Cuentas de Cobro'!$F$9:$F$216))</f>
        <v>520000</v>
      </c>
      <c r="M237" s="1677"/>
      <c r="N237" s="1556">
        <f t="shared" si="32"/>
        <v>520000</v>
      </c>
      <c r="O237" s="349"/>
      <c r="P237" s="1421"/>
      <c r="Q237" s="8"/>
      <c r="R237" s="697" t="s">
        <v>162</v>
      </c>
    </row>
    <row r="238" spans="1:18" x14ac:dyDescent="0.2">
      <c r="A238" s="1184">
        <f t="shared" si="28"/>
        <v>229</v>
      </c>
      <c r="B238" s="1097" t="s">
        <v>163</v>
      </c>
      <c r="C238" s="1420">
        <v>32469463</v>
      </c>
      <c r="D238" s="1186">
        <f t="shared" si="31"/>
        <v>7</v>
      </c>
      <c r="E238" s="1185">
        <f>_xlfn.XLOOKUP(B238,Códigos!$B$8:$B$406,Códigos!$A$8:$A$406,"Verificar",0)</f>
        <v>206</v>
      </c>
      <c r="F238" s="1527">
        <f>SUMIF(Facturas!$B$9:$B$79,B238,Facturas!$F$9:$F$79)</f>
        <v>2280000</v>
      </c>
      <c r="G238" s="1138">
        <f>SUMIF(Facturas!$B$9:$B$79,B238,Facturas!$G$9:$G$79)</f>
        <v>433200</v>
      </c>
      <c r="H238" s="1187">
        <f>SUMIF(Facturas!$B$9:$B$79,B238,Facturas!$I$9:$I$79)</f>
        <v>-250800</v>
      </c>
      <c r="I238" s="1187">
        <f>SUMIF(Facturas!$B$9:$B$79,B238,Facturas!$J$9:$J$79)</f>
        <v>2713200</v>
      </c>
      <c r="J238" s="1138">
        <f>SUMIF(Facturas!$B$9:$B$79,B238,Facturas!$K$9:$K$79)</f>
        <v>2462400</v>
      </c>
      <c r="K238" s="1193"/>
      <c r="L238" s="1449">
        <f>IF(J238&gt;0,0,SUMIF('Cuentas de Cobro'!$B$9:$B$216,B238,'Cuentas de Cobro'!$F$9:$F$216))</f>
        <v>0</v>
      </c>
      <c r="M238" s="1677"/>
      <c r="N238" s="1556">
        <f t="shared" si="32"/>
        <v>2462400</v>
      </c>
      <c r="O238" s="349"/>
      <c r="P238" s="1421"/>
      <c r="Q238" s="8"/>
      <c r="R238" s="1401" t="s">
        <v>814</v>
      </c>
    </row>
    <row r="239" spans="1:18" x14ac:dyDescent="0.2">
      <c r="A239" s="1184">
        <f t="shared" si="28"/>
        <v>230</v>
      </c>
      <c r="B239" s="1097" t="s">
        <v>164</v>
      </c>
      <c r="C239" s="1420">
        <v>71720224</v>
      </c>
      <c r="D239" s="1186">
        <f t="shared" si="31"/>
        <v>0</v>
      </c>
      <c r="E239" s="1185">
        <f>_xlfn.XLOOKUP(B239,Códigos!$B$8:$B$406,Códigos!$A$8:$A$406,"Verificar",0)</f>
        <v>207</v>
      </c>
      <c r="F239" s="1527">
        <f>SUMIF(Facturas!$B$9:$B$79,B239,Facturas!$F$9:$F$79)</f>
        <v>1900000</v>
      </c>
      <c r="G239" s="1138">
        <f>SUMIF(Facturas!$B$9:$B$79,B239,Facturas!$G$9:$G$79)</f>
        <v>361000</v>
      </c>
      <c r="H239" s="1187">
        <f>SUMIF(Facturas!$B$9:$B$79,B239,Facturas!$I$9:$I$79)</f>
        <v>-209000</v>
      </c>
      <c r="I239" s="1187">
        <f>SUMIF(Facturas!$B$9:$B$79,B239,Facturas!$J$9:$J$79)</f>
        <v>2261000</v>
      </c>
      <c r="J239" s="1138">
        <f>SUMIF(Facturas!$B$9:$B$79,B239,Facturas!$K$9:$K$79)</f>
        <v>2052000</v>
      </c>
      <c r="K239" s="1193"/>
      <c r="L239" s="1449">
        <f>IF(J239&gt;0,0,SUMIF('Cuentas de Cobro'!$B$9:$B$216,B239,'Cuentas de Cobro'!$F$9:$F$216))</f>
        <v>0</v>
      </c>
      <c r="M239" s="1677"/>
      <c r="N239" s="1556">
        <f t="shared" si="32"/>
        <v>2052000</v>
      </c>
      <c r="O239" s="349"/>
      <c r="P239" s="1421"/>
      <c r="Q239" s="8"/>
      <c r="R239" s="357" t="s">
        <v>164</v>
      </c>
    </row>
    <row r="240" spans="1:18" x14ac:dyDescent="0.2">
      <c r="A240" s="1184">
        <f t="shared" si="28"/>
        <v>231</v>
      </c>
      <c r="B240" s="1097" t="s">
        <v>165</v>
      </c>
      <c r="C240" s="1420">
        <v>70569069</v>
      </c>
      <c r="D240" s="1186">
        <f t="shared" si="31"/>
        <v>5</v>
      </c>
      <c r="E240" s="1185">
        <f>_xlfn.XLOOKUP(B240,Códigos!$B$8:$B$406,Códigos!$A$8:$A$406,"Verificar",0)</f>
        <v>208</v>
      </c>
      <c r="F240" s="1527">
        <f>SUMIF(Facturas!$B$9:$B$79,B240,Facturas!$F$9:$F$79)</f>
        <v>1900000</v>
      </c>
      <c r="G240" s="1138">
        <f>SUMIF(Facturas!$B$9:$B$79,B240,Facturas!$G$9:$G$79)</f>
        <v>361000</v>
      </c>
      <c r="H240" s="1187">
        <f>SUMIF(Facturas!$B$9:$B$79,B240,Facturas!$I$9:$I$79)</f>
        <v>-209000</v>
      </c>
      <c r="I240" s="1187">
        <f>SUMIF(Facturas!$B$9:$B$79,B240,Facturas!$J$9:$J$79)</f>
        <v>2261000</v>
      </c>
      <c r="J240" s="1138">
        <f>SUMIF(Facturas!$B$9:$B$79,B240,Facturas!$K$9:$K$79)</f>
        <v>2052000</v>
      </c>
      <c r="K240" s="1193"/>
      <c r="L240" s="1449">
        <f>IF(J240&gt;0,0,SUMIF('Cuentas de Cobro'!$B$9:$B$216,B240,'Cuentas de Cobro'!$F$9:$F$216))</f>
        <v>0</v>
      </c>
      <c r="M240" s="1677"/>
      <c r="N240" s="1556">
        <f t="shared" si="32"/>
        <v>2052000</v>
      </c>
      <c r="O240" s="349"/>
      <c r="P240" s="1421"/>
      <c r="Q240" s="8"/>
      <c r="R240" s="1434" t="s">
        <v>165</v>
      </c>
    </row>
    <row r="241" spans="1:18" x14ac:dyDescent="0.2">
      <c r="A241" s="1184">
        <f t="shared" si="28"/>
        <v>232</v>
      </c>
      <c r="B241" s="1097" t="s">
        <v>168</v>
      </c>
      <c r="C241" s="1420">
        <v>8252575</v>
      </c>
      <c r="D241" s="1186">
        <f t="shared" si="31"/>
        <v>3</v>
      </c>
      <c r="E241" s="1185">
        <f>_xlfn.XLOOKUP(B241,Códigos!$B$8:$B$406,Códigos!$A$8:$A$406,"Verificar",0)</f>
        <v>211</v>
      </c>
      <c r="F241" s="1527">
        <f>SUMIF(Facturas!$B$9:$B$79,B241,Facturas!$F$9:$F$79)</f>
        <v>1900000</v>
      </c>
      <c r="G241" s="1138">
        <f>SUMIF(Facturas!$B$9:$B$79,B241,Facturas!$G$9:$G$79)</f>
        <v>361000</v>
      </c>
      <c r="H241" s="1187">
        <f>SUMIF(Facturas!$B$9:$B$79,B241,Facturas!$I$9:$I$79)</f>
        <v>-209000</v>
      </c>
      <c r="I241" s="1187">
        <f>SUMIF(Facturas!$B$9:$B$79,B241,Facturas!$J$9:$J$79)</f>
        <v>2261000</v>
      </c>
      <c r="J241" s="1138">
        <f>SUMIF(Facturas!$B$9:$B$79,B241,Facturas!$K$9:$K$79)</f>
        <v>2052000</v>
      </c>
      <c r="K241" s="1193"/>
      <c r="L241" s="1449">
        <f>IF(J241&gt;0,0,SUMIF('Cuentas de Cobro'!$B$9:$B$216,B241,'Cuentas de Cobro'!$F$9:$F$216))</f>
        <v>0</v>
      </c>
      <c r="M241" s="1677"/>
      <c r="N241" s="1556">
        <f t="shared" si="32"/>
        <v>2052000</v>
      </c>
      <c r="O241" s="349"/>
      <c r="P241" s="1421"/>
      <c r="Q241" s="8"/>
      <c r="R241" s="1434" t="s">
        <v>168</v>
      </c>
    </row>
    <row r="242" spans="1:18" x14ac:dyDescent="0.2">
      <c r="A242" s="1184">
        <f t="shared" si="28"/>
        <v>233</v>
      </c>
      <c r="B242" s="1097" t="s">
        <v>316</v>
      </c>
      <c r="C242" s="1420">
        <v>98496653</v>
      </c>
      <c r="D242" s="1186">
        <f t="shared" si="31"/>
        <v>4</v>
      </c>
      <c r="E242" s="1185">
        <f>_xlfn.XLOOKUP(B242,Códigos!$B$8:$B$406,Códigos!$A$8:$A$406,"Verificar",0)</f>
        <v>335</v>
      </c>
      <c r="F242" s="1527">
        <f>SUMIF(Facturas!$B$9:$B$79,B242,Facturas!$F$9:$F$79)</f>
        <v>0</v>
      </c>
      <c r="G242" s="1138">
        <f>SUMIF(Facturas!$B$9:$B$79,B242,Facturas!$G$9:$G$79)</f>
        <v>0</v>
      </c>
      <c r="H242" s="1187">
        <f>SUMIF(Facturas!$B$9:$B$79,B242,Facturas!$I$9:$I$79)</f>
        <v>0</v>
      </c>
      <c r="I242" s="1187">
        <f>SUMIF(Facturas!$B$9:$B$79,B242,Facturas!$J$9:$J$79)</f>
        <v>0</v>
      </c>
      <c r="J242" s="1138">
        <f>SUMIF(Facturas!$B$9:$B$79,B242,Facturas!$K$9:$K$79)</f>
        <v>0</v>
      </c>
      <c r="K242" s="1193"/>
      <c r="L242" s="1449">
        <f>IF(J242&gt;0,0,SUMIF('Cuentas de Cobro'!$B$9:$B$216,B242,'Cuentas de Cobro'!$F$9:$F$216))</f>
        <v>170000</v>
      </c>
      <c r="M242" s="1677"/>
      <c r="N242" s="1556">
        <f t="shared" si="32"/>
        <v>170000</v>
      </c>
      <c r="O242" s="349"/>
      <c r="P242" s="1421"/>
      <c r="Q242" s="8"/>
      <c r="R242" s="1444" t="s">
        <v>316</v>
      </c>
    </row>
    <row r="243" spans="1:18" x14ac:dyDescent="0.2">
      <c r="A243" s="1184">
        <f t="shared" si="28"/>
        <v>234</v>
      </c>
      <c r="B243" s="1097" t="s">
        <v>169</v>
      </c>
      <c r="C243" s="1420">
        <v>71629287</v>
      </c>
      <c r="D243" s="1186">
        <f t="shared" si="31"/>
        <v>6</v>
      </c>
      <c r="E243" s="1185">
        <f>_xlfn.XLOOKUP(B243,Códigos!$B$8:$B$406,Códigos!$A$8:$A$406,"Verificar",0)</f>
        <v>278</v>
      </c>
      <c r="F243" s="1527">
        <f>SUMIF(Facturas!$B$9:$B$79,B243,Facturas!$F$9:$F$79)</f>
        <v>0</v>
      </c>
      <c r="G243" s="1138">
        <f>SUMIF(Facturas!$B$9:$B$79,B243,Facturas!$G$9:$G$79)</f>
        <v>0</v>
      </c>
      <c r="H243" s="1187">
        <f>SUMIF(Facturas!$B$9:$B$79,B243,Facturas!$I$9:$I$79)</f>
        <v>0</v>
      </c>
      <c r="I243" s="1187">
        <f>SUMIF(Facturas!$B$9:$B$79,B243,Facturas!$J$9:$J$79)</f>
        <v>0</v>
      </c>
      <c r="J243" s="1138">
        <f>SUMIF(Facturas!$B$9:$B$79,B243,Facturas!$K$9:$K$79)</f>
        <v>0</v>
      </c>
      <c r="K243" s="1193"/>
      <c r="L243" s="1449">
        <f>IF(J243&gt;0,0,SUMIF('Cuentas de Cobro'!$B$9:$B$216,B243,'Cuentas de Cobro'!$F$9:$F$216))</f>
        <v>500000</v>
      </c>
      <c r="M243" s="1677"/>
      <c r="N243" s="1556">
        <f t="shared" si="32"/>
        <v>500000</v>
      </c>
      <c r="O243" s="349"/>
      <c r="P243" s="1421"/>
      <c r="Q243" s="8"/>
      <c r="R243" s="697" t="s">
        <v>169</v>
      </c>
    </row>
    <row r="244" spans="1:18" x14ac:dyDescent="0.2">
      <c r="A244" s="1184">
        <f t="shared" si="28"/>
        <v>235</v>
      </c>
      <c r="B244" s="1097" t="s">
        <v>778</v>
      </c>
      <c r="C244" s="1420">
        <v>43903734</v>
      </c>
      <c r="D244" s="1186">
        <f t="shared" si="31"/>
        <v>1</v>
      </c>
      <c r="E244" s="1185">
        <f>_xlfn.XLOOKUP(B244,Códigos!$B$8:$B$406,Códigos!$A$8:$A$406,"Verificar",0)</f>
        <v>363</v>
      </c>
      <c r="F244" s="1527">
        <f>SUMIF(Facturas!$B$9:$B$79,B244,Facturas!$F$9:$F$79)</f>
        <v>0</v>
      </c>
      <c r="G244" s="1138">
        <f>SUMIF(Facturas!$B$9:$B$79,B244,Facturas!$G$9:$G$79)</f>
        <v>0</v>
      </c>
      <c r="H244" s="1187">
        <f>SUMIF(Facturas!$B$9:$B$79,B244,Facturas!$I$9:$I$79)</f>
        <v>0</v>
      </c>
      <c r="I244" s="1187">
        <f>SUMIF(Facturas!$B$9:$B$79,B244,Facturas!$J$9:$J$79)</f>
        <v>0</v>
      </c>
      <c r="J244" s="1138">
        <f>SUMIF(Facturas!$B$9:$B$79,B244,Facturas!$K$9:$K$79)</f>
        <v>0</v>
      </c>
      <c r="K244" s="1193"/>
      <c r="L244" s="1449">
        <f>IF(J244&gt;0,0,SUMIF('Cuentas de Cobro'!$B$9:$B$216,B244,'Cuentas de Cobro'!$F$9:$F$216))</f>
        <v>260000</v>
      </c>
      <c r="M244" s="1677"/>
      <c r="N244" s="1556">
        <f t="shared" si="32"/>
        <v>260000</v>
      </c>
      <c r="O244" s="349"/>
      <c r="P244" s="1421"/>
      <c r="Q244" s="8"/>
      <c r="R244" s="1437" t="s">
        <v>778</v>
      </c>
    </row>
    <row r="245" spans="1:18" x14ac:dyDescent="0.2">
      <c r="A245" s="1184">
        <f t="shared" si="28"/>
        <v>236</v>
      </c>
      <c r="B245" s="1694" t="s">
        <v>383</v>
      </c>
      <c r="C245" s="1695">
        <v>43562001</v>
      </c>
      <c r="D245" s="1685">
        <f t="shared" si="31"/>
        <v>5</v>
      </c>
      <c r="E245" s="1686">
        <f>_xlfn.XLOOKUP(B245,Códigos!$B$8:$B$406,Códigos!$A$8:$A$406,"Verificar",0)</f>
        <v>130</v>
      </c>
      <c r="F245" s="1687">
        <f>SUMIF(Facturas!$B$9:$B$79,B245,Facturas!$F$9:$F$79)</f>
        <v>0</v>
      </c>
      <c r="G245" s="1210">
        <f>SUMIF(Facturas!$B$9:$B$79,B245,Facturas!$G$9:$G$79)</f>
        <v>0</v>
      </c>
      <c r="H245" s="1473">
        <f>SUMIF(Facturas!$B$9:$B$79,B245,Facturas!$I$9:$I$79)</f>
        <v>0</v>
      </c>
      <c r="I245" s="1473">
        <f>SUMIF(Facturas!$B$9:$B$79,B245,Facturas!$J$9:$J$79)</f>
        <v>0</v>
      </c>
      <c r="J245" s="1210">
        <f>SUMIF(Facturas!$B$9:$B$79,B245,Facturas!$K$9:$K$79)</f>
        <v>0</v>
      </c>
      <c r="K245" s="1688"/>
      <c r="L245" s="1696">
        <f>IF(J245&gt;0,0,SUMIF('Cuentas de Cobro'!$B$9:$B$216,B245,'Cuentas de Cobro'!$F$9:$F$216))</f>
        <v>0</v>
      </c>
      <c r="M245" s="1697"/>
      <c r="N245" s="1660">
        <f t="shared" si="32"/>
        <v>0</v>
      </c>
      <c r="O245" s="1698"/>
      <c r="P245" s="1699"/>
      <c r="Q245" s="8"/>
      <c r="R245" s="1379" t="s">
        <v>805</v>
      </c>
    </row>
    <row r="246" spans="1:18" x14ac:dyDescent="0.2">
      <c r="A246" s="1184">
        <f t="shared" si="28"/>
        <v>237</v>
      </c>
      <c r="B246" s="1694" t="s">
        <v>311</v>
      </c>
      <c r="C246" s="1695">
        <v>32503970</v>
      </c>
      <c r="D246" s="1685">
        <f t="shared" ref="D246" si="33">IF((MOD((VALUE(MID(TEXT(C246,"000000000000000"),15,1))*3+VALUE(MID(TEXT(C246,"000000000000000"),14,1))*7+VALUE(MID(TEXT(C246,"000000000000000"),13,1))*13+VALUE(MID(TEXT(C246,"000000000000000"),12,1))*17+VALUE(MID(TEXT(C246,"000000000000000"),11,1))*19+VALUE(MID(TEXT(C246,"000000000000000"),10,1))*23+VALUE(MID(TEXT(C246,"000000000000000"),9,1))*29+VALUE(MID(TEXT(C246,"000000000000000"),8,1))*37+VALUE(MID(TEXT(C246,"000000000000000"),7,1))*41+VALUE(MID(TEXT(C246,"000000000000000"),6,1))*43+VALUE(MID(TEXT(C246,"000000000000000"),5,1))*47+VALUE(MID(TEXT(C246,"000000000000000"),4,1))*53+VALUE(MID(TEXT(C246,"000000000000000"),3,1))*59+VALUE(MID(TEXT(C246,"000000000000000"),2,1))*67+VALUE(MID(TEXT(C246,"000000000000000"),1,1))*71),11))=0,0,IF((MOD((VALUE(MID(TEXT(C246,"000000000000000"),15,1))*3+VALUE(MID(TEXT(C246,"000000000000000"),14,1))*7+VALUE(MID(TEXT(C246,"000000000000000"),13,1))*13+VALUE(MID(TEXT(C246,"000000000000000"),12,1))*17+VALUE(MID(TEXT(C246,"000000000000000"),11,1))*19+VALUE(MID(TEXT(C246,"000000000000000"),10,1))*23+VALUE(MID(TEXT(C246,"000000000000000"),9,1))*29+VALUE(MID(TEXT(C246,"000000000000000"),8,1))*37+VALUE(MID(TEXT(C246,"000000000000000"),7,1))*41+VALUE(MID(TEXT(C246,"000000000000000"),6,1))*43+VALUE(MID(TEXT(C246,"000000000000000"),5,1))*47+VALUE(MID(TEXT(C246,"000000000000000"),4,1))*53+VALUE(MID(TEXT(C246,"000000000000000"),3,1))*59+VALUE(MID(TEXT(C246,"000000000000000"),2,1))*67+VALUE(MID(TEXT(C246,"000000000000000"),1,1))*71),11))=1,1,11-(MOD((VALUE(MID(TEXT(C246,"000000000000000"),15,1))*3+VALUE(MID(TEXT(C246,"000000000000000"),14,1))*7+VALUE(MID(TEXT(C246,"000000000000000"),13,1))*13+VALUE(MID(TEXT(C246,"000000000000000"),12,1))*17+VALUE(MID(TEXT(C246,"000000000000000"),11,1))*19+VALUE(MID(TEXT(C246,"000000000000000"),10,1))*23+VALUE(MID(TEXT(C246,"000000000000000"),9,1))*29+VALUE(MID(TEXT(C246,"000000000000000"),8,1))*37+VALUE(MID(TEXT(C246,"000000000000000"),7,1))*41+VALUE(MID(TEXT(C246,"000000000000000"),6,1))*43+VALUE(MID(TEXT(C246,"000000000000000"),5,1))*47+VALUE(MID(TEXT(C246,"000000000000000"),4,1))*53+VALUE(MID(TEXT(C246,"000000000000000"),3,1))*59+VALUE(MID(TEXT(C246,"000000000000000"),2,1))*67+VALUE(MID(TEXT(C246,"000000000000000"),1,1))*71),11))))</f>
        <v>5</v>
      </c>
      <c r="E246" s="1686">
        <f>_xlfn.XLOOKUP(B246,Códigos!$B$8:$B$406,Códigos!$A$8:$A$406,"Verificar",0)</f>
        <v>336</v>
      </c>
      <c r="F246" s="1687">
        <f>SUMIF(Facturas!$B$9:$B$79,B246,Facturas!$F$9:$F$79)</f>
        <v>0</v>
      </c>
      <c r="G246" s="1210">
        <f>SUMIF(Facturas!$B$9:$B$79,B246,Facturas!$G$9:$G$79)</f>
        <v>0</v>
      </c>
      <c r="H246" s="1473">
        <f>SUMIF(Facturas!$B$9:$B$79,B246,Facturas!$I$9:$I$79)</f>
        <v>0</v>
      </c>
      <c r="I246" s="1473">
        <f>SUMIF(Facturas!$B$9:$B$79,B246,Facturas!$J$9:$J$79)</f>
        <v>0</v>
      </c>
      <c r="J246" s="1210">
        <f>SUMIF(Facturas!$B$9:$B$79,B246,Facturas!$K$9:$K$79)</f>
        <v>0</v>
      </c>
      <c r="K246" s="1688"/>
      <c r="L246" s="1696">
        <f>IF(J246&gt;0,0,SUMIF('Cuentas de Cobro'!$B$9:$B$216,B246,'Cuentas de Cobro'!$F$9:$F$216))</f>
        <v>0</v>
      </c>
      <c r="M246" s="1697"/>
      <c r="N246" s="1660">
        <f t="shared" ref="N246" si="34">+J246+L246</f>
        <v>0</v>
      </c>
      <c r="O246" s="1698"/>
      <c r="P246" s="1699"/>
      <c r="Q246" s="8"/>
      <c r="R246" s="1379" t="s">
        <v>805</v>
      </c>
    </row>
    <row r="247" spans="1:18" x14ac:dyDescent="0.2">
      <c r="A247" s="1184"/>
      <c r="B247" s="1097"/>
      <c r="C247" s="1420"/>
      <c r="D247" s="1186"/>
      <c r="E247" s="1185"/>
      <c r="F247" s="1527"/>
      <c r="G247" s="1138"/>
      <c r="H247" s="1187"/>
      <c r="I247" s="1187"/>
      <c r="J247" s="1138"/>
      <c r="K247" s="1193"/>
      <c r="L247" s="1449"/>
      <c r="M247" s="1677"/>
      <c r="N247" s="1556"/>
      <c r="O247" s="349"/>
      <c r="P247" s="1421"/>
      <c r="Q247" s="8"/>
    </row>
    <row r="248" spans="1:18" x14ac:dyDescent="0.2">
      <c r="A248" s="1184"/>
      <c r="B248" s="1097"/>
      <c r="C248" s="1420"/>
      <c r="D248" s="1186"/>
      <c r="E248" s="1185"/>
      <c r="F248" s="1527"/>
      <c r="G248" s="1138"/>
      <c r="H248" s="1187"/>
      <c r="I248" s="1187"/>
      <c r="J248" s="1138"/>
      <c r="K248" s="1193"/>
      <c r="L248" s="1449"/>
      <c r="M248" s="1677"/>
      <c r="N248" s="1556"/>
      <c r="O248" s="349"/>
      <c r="P248" s="1421"/>
      <c r="Q248" s="8"/>
    </row>
    <row r="249" spans="1:18" x14ac:dyDescent="0.2">
      <c r="A249" s="1184"/>
      <c r="B249" s="1097"/>
      <c r="C249" s="1420"/>
      <c r="D249" s="1186"/>
      <c r="E249" s="1185"/>
      <c r="F249" s="1527"/>
      <c r="G249" s="1138"/>
      <c r="H249" s="1187"/>
      <c r="I249" s="1187"/>
      <c r="J249" s="1138"/>
      <c r="K249" s="1193"/>
      <c r="L249" s="1449"/>
      <c r="M249" s="1677"/>
      <c r="N249" s="1556"/>
      <c r="O249" s="349"/>
      <c r="P249" s="1421"/>
      <c r="Q249" s="8"/>
    </row>
    <row r="250" spans="1:18" x14ac:dyDescent="0.2">
      <c r="A250" s="1184"/>
      <c r="B250" s="1097"/>
      <c r="C250" s="1420"/>
      <c r="D250" s="1186"/>
      <c r="E250" s="1185"/>
      <c r="F250" s="1527"/>
      <c r="G250" s="1138"/>
      <c r="H250" s="1187"/>
      <c r="I250" s="1187"/>
      <c r="J250" s="1138"/>
      <c r="K250" s="1193"/>
      <c r="L250" s="1449"/>
      <c r="M250" s="1677"/>
      <c r="N250" s="1556"/>
      <c r="O250" s="349"/>
      <c r="P250" s="1421"/>
      <c r="Q250" s="8"/>
    </row>
    <row r="251" spans="1:18" x14ac:dyDescent="0.2">
      <c r="A251" s="1184"/>
      <c r="B251" s="1097"/>
      <c r="C251" s="1420"/>
      <c r="D251" s="1186"/>
      <c r="E251" s="1185"/>
      <c r="F251" s="1527"/>
      <c r="G251" s="1138"/>
      <c r="H251" s="1187"/>
      <c r="I251" s="1187"/>
      <c r="J251" s="1138"/>
      <c r="K251" s="1193"/>
      <c r="L251" s="1449"/>
      <c r="M251" s="1677"/>
      <c r="N251" s="1556"/>
      <c r="O251" s="349"/>
      <c r="P251" s="1421"/>
      <c r="Q251" s="8"/>
    </row>
    <row r="252" spans="1:18" x14ac:dyDescent="0.2">
      <c r="A252" s="1184"/>
      <c r="B252" s="1097"/>
      <c r="C252" s="1420"/>
      <c r="D252" s="1186"/>
      <c r="E252" s="1185"/>
      <c r="F252" s="1527"/>
      <c r="G252" s="1138"/>
      <c r="H252" s="1187"/>
      <c r="I252" s="1187"/>
      <c r="J252" s="1138"/>
      <c r="K252" s="1193"/>
      <c r="L252" s="1449"/>
      <c r="M252" s="1677"/>
      <c r="N252" s="1556"/>
      <c r="O252" s="349"/>
      <c r="P252" s="1421"/>
      <c r="Q252" s="8"/>
    </row>
    <row r="253" spans="1:18" x14ac:dyDescent="0.2">
      <c r="A253" s="1184"/>
      <c r="B253" s="1097"/>
      <c r="C253" s="1420"/>
      <c r="D253" s="1186"/>
      <c r="E253" s="1185"/>
      <c r="F253" s="1527"/>
      <c r="G253" s="1138"/>
      <c r="H253" s="1187"/>
      <c r="I253" s="1187"/>
      <c r="J253" s="1138"/>
      <c r="K253" s="1193"/>
      <c r="L253" s="1449"/>
      <c r="M253" s="1677"/>
      <c r="N253" s="1556"/>
      <c r="O253" s="349"/>
      <c r="P253" s="1421"/>
      <c r="Q253" s="8"/>
    </row>
    <row r="254" spans="1:18" x14ac:dyDescent="0.2">
      <c r="A254" s="1184"/>
      <c r="B254" s="1097"/>
      <c r="C254" s="1420"/>
      <c r="D254" s="1186"/>
      <c r="E254" s="1185"/>
      <c r="F254" s="1527"/>
      <c r="G254" s="1138"/>
      <c r="H254" s="1187"/>
      <c r="I254" s="1187"/>
      <c r="J254" s="1138"/>
      <c r="K254" s="1193"/>
      <c r="L254" s="1449"/>
      <c r="M254" s="1677"/>
      <c r="N254" s="1556"/>
      <c r="O254" s="349"/>
      <c r="P254" s="1421"/>
      <c r="Q254" s="8"/>
    </row>
    <row r="255" spans="1:18" x14ac:dyDescent="0.2">
      <c r="A255" s="1184"/>
      <c r="B255" s="1097"/>
      <c r="C255" s="1420"/>
      <c r="D255" s="1186"/>
      <c r="E255" s="1185"/>
      <c r="F255" s="1527"/>
      <c r="G255" s="1138"/>
      <c r="H255" s="1187"/>
      <c r="I255" s="1187"/>
      <c r="J255" s="1138"/>
      <c r="K255" s="1193"/>
      <c r="L255" s="1449"/>
      <c r="M255" s="1677"/>
      <c r="N255" s="1556"/>
      <c r="O255" s="349"/>
      <c r="P255" s="1421"/>
      <c r="Q255" s="8"/>
    </row>
    <row r="256" spans="1:18" x14ac:dyDescent="0.2">
      <c r="A256" s="1184"/>
      <c r="B256" s="1097"/>
      <c r="C256" s="1420"/>
      <c r="D256" s="1186"/>
      <c r="E256" s="1185"/>
      <c r="F256" s="1527"/>
      <c r="G256" s="1138"/>
      <c r="H256" s="1187"/>
      <c r="I256" s="1187"/>
      <c r="J256" s="1138"/>
      <c r="K256" s="1193"/>
      <c r="L256" s="1449"/>
      <c r="M256" s="1677"/>
      <c r="N256" s="1556"/>
      <c r="O256" s="349"/>
      <c r="P256" s="1421"/>
      <c r="Q256" s="8"/>
    </row>
    <row r="257" spans="1:17" x14ac:dyDescent="0.2">
      <c r="A257" s="1184"/>
      <c r="B257" s="1097"/>
      <c r="C257" s="1420"/>
      <c r="D257" s="1186"/>
      <c r="E257" s="1185"/>
      <c r="F257" s="1527"/>
      <c r="G257" s="1138"/>
      <c r="H257" s="1187"/>
      <c r="I257" s="1187"/>
      <c r="J257" s="1138"/>
      <c r="K257" s="1193"/>
      <c r="L257" s="1449"/>
      <c r="M257" s="1677"/>
      <c r="N257" s="1556"/>
      <c r="O257" s="349"/>
      <c r="P257" s="1421"/>
      <c r="Q257" s="8"/>
    </row>
    <row r="258" spans="1:17" x14ac:dyDescent="0.2">
      <c r="A258" s="1184"/>
      <c r="B258" s="1097"/>
      <c r="C258" s="1420"/>
      <c r="D258" s="1186"/>
      <c r="E258" s="1185"/>
      <c r="F258" s="1527"/>
      <c r="G258" s="1138"/>
      <c r="H258" s="1187"/>
      <c r="I258" s="1187"/>
      <c r="J258" s="1138"/>
      <c r="K258" s="1193"/>
      <c r="L258" s="1449"/>
      <c r="M258" s="1677"/>
      <c r="N258" s="1556"/>
      <c r="O258" s="349"/>
      <c r="P258" s="1421"/>
      <c r="Q258" s="8"/>
    </row>
    <row r="259" spans="1:17" x14ac:dyDescent="0.2">
      <c r="A259" s="1184"/>
      <c r="B259" s="1097"/>
      <c r="C259" s="1420"/>
      <c r="D259" s="1186"/>
      <c r="E259" s="1185"/>
      <c r="F259" s="1527"/>
      <c r="G259" s="1138"/>
      <c r="H259" s="1187"/>
      <c r="I259" s="1187"/>
      <c r="J259" s="1138"/>
      <c r="K259" s="1193"/>
      <c r="L259" s="1449"/>
      <c r="M259" s="1677"/>
      <c r="N259" s="1556"/>
      <c r="O259" s="349"/>
      <c r="P259" s="1421"/>
      <c r="Q259" s="8"/>
    </row>
    <row r="260" spans="1:17" x14ac:dyDescent="0.2">
      <c r="A260" s="1184"/>
      <c r="B260" s="1097"/>
      <c r="C260" s="1420"/>
      <c r="D260" s="1186"/>
      <c r="E260" s="1185"/>
      <c r="F260" s="1527"/>
      <c r="G260" s="1138"/>
      <c r="H260" s="1187"/>
      <c r="I260" s="1187"/>
      <c r="J260" s="1138"/>
      <c r="K260" s="1193"/>
      <c r="L260" s="1449"/>
      <c r="M260" s="1677"/>
      <c r="N260" s="1556"/>
      <c r="O260" s="349"/>
      <c r="P260" s="1421"/>
      <c r="Q260" s="8"/>
    </row>
    <row r="261" spans="1:17" x14ac:dyDescent="0.2">
      <c r="A261" s="1184"/>
      <c r="B261" s="1097"/>
      <c r="C261" s="1420"/>
      <c r="D261" s="1186"/>
      <c r="E261" s="1185"/>
      <c r="F261" s="1527"/>
      <c r="G261" s="1138"/>
      <c r="H261" s="1187"/>
      <c r="I261" s="1187"/>
      <c r="J261" s="1138"/>
      <c r="K261" s="1193"/>
      <c r="L261" s="1449"/>
      <c r="M261" s="1677"/>
      <c r="N261" s="1556"/>
      <c r="O261" s="349"/>
      <c r="P261" s="1421"/>
      <c r="Q261" s="8"/>
    </row>
    <row r="262" spans="1:17" x14ac:dyDescent="0.2">
      <c r="A262" s="1184"/>
      <c r="B262" s="1097"/>
      <c r="C262" s="1420"/>
      <c r="D262" s="1186"/>
      <c r="E262" s="1185"/>
      <c r="F262" s="1527"/>
      <c r="G262" s="1138"/>
      <c r="H262" s="1187"/>
      <c r="I262" s="1187"/>
      <c r="J262" s="1138"/>
      <c r="K262" s="1193"/>
      <c r="L262" s="1449"/>
      <c r="M262" s="1677"/>
      <c r="N262" s="1556"/>
      <c r="O262" s="349"/>
      <c r="P262" s="1421"/>
      <c r="Q262" s="8"/>
    </row>
    <row r="263" spans="1:17" x14ac:dyDescent="0.2">
      <c r="A263" s="1184"/>
      <c r="B263" s="1097"/>
      <c r="C263" s="1420"/>
      <c r="D263" s="1186"/>
      <c r="E263" s="1185"/>
      <c r="F263" s="1527"/>
      <c r="G263" s="1138"/>
      <c r="H263" s="1187"/>
      <c r="I263" s="1187"/>
      <c r="J263" s="1138"/>
      <c r="K263" s="1193"/>
      <c r="L263" s="1449"/>
      <c r="M263" s="1677"/>
      <c r="N263" s="1556"/>
      <c r="O263" s="349"/>
      <c r="P263" s="1421"/>
      <c r="Q263" s="8"/>
    </row>
    <row r="264" spans="1:17" x14ac:dyDescent="0.2">
      <c r="A264" s="1184"/>
      <c r="B264" s="1097"/>
      <c r="C264" s="1420"/>
      <c r="D264" s="1186"/>
      <c r="E264" s="1185"/>
      <c r="F264" s="1527"/>
      <c r="G264" s="1138"/>
      <c r="H264" s="1187"/>
      <c r="I264" s="1187"/>
      <c r="J264" s="1138"/>
      <c r="K264" s="1193"/>
      <c r="L264" s="1449"/>
      <c r="M264" s="1677"/>
      <c r="N264" s="1556"/>
      <c r="O264" s="349"/>
      <c r="P264" s="1421"/>
      <c r="Q264" s="8"/>
    </row>
    <row r="265" spans="1:17" x14ac:dyDescent="0.2">
      <c r="A265" s="1184"/>
      <c r="B265" s="1097"/>
      <c r="C265" s="1420"/>
      <c r="D265" s="1186"/>
      <c r="E265" s="1185"/>
      <c r="F265" s="1527"/>
      <c r="G265" s="1138"/>
      <c r="H265" s="1187"/>
      <c r="I265" s="1187"/>
      <c r="J265" s="1138"/>
      <c r="K265" s="1193"/>
      <c r="L265" s="1449"/>
      <c r="M265" s="1677"/>
      <c r="N265" s="1556"/>
      <c r="O265" s="349"/>
      <c r="P265" s="1421"/>
      <c r="Q265" s="8"/>
    </row>
    <row r="266" spans="1:17" x14ac:dyDescent="0.2">
      <c r="A266" s="1184"/>
      <c r="B266" s="1097"/>
      <c r="C266" s="1420"/>
      <c r="D266" s="1186"/>
      <c r="E266" s="1185"/>
      <c r="F266" s="1527"/>
      <c r="G266" s="1138"/>
      <c r="H266" s="1187"/>
      <c r="I266" s="1187"/>
      <c r="J266" s="1138"/>
      <c r="K266" s="1193"/>
      <c r="L266" s="1449"/>
      <c r="M266" s="1677"/>
      <c r="N266" s="1556"/>
      <c r="O266" s="349"/>
      <c r="P266" s="1421"/>
      <c r="Q266" s="8"/>
    </row>
    <row r="267" spans="1:17" x14ac:dyDescent="0.2">
      <c r="A267" s="1184"/>
      <c r="B267" s="1097"/>
      <c r="C267" s="1420"/>
      <c r="D267" s="1186"/>
      <c r="E267" s="1185"/>
      <c r="F267" s="1527"/>
      <c r="G267" s="1138"/>
      <c r="H267" s="1187"/>
      <c r="I267" s="1187"/>
      <c r="J267" s="1138"/>
      <c r="K267" s="1193"/>
      <c r="L267" s="1449"/>
      <c r="M267" s="1677"/>
      <c r="N267" s="1556"/>
      <c r="O267" s="349"/>
      <c r="P267" s="1421"/>
      <c r="Q267" s="8"/>
    </row>
    <row r="268" spans="1:17" x14ac:dyDescent="0.2">
      <c r="A268" s="1184"/>
      <c r="B268" s="1097"/>
      <c r="C268" s="1420"/>
      <c r="D268" s="1186"/>
      <c r="E268" s="1185"/>
      <c r="F268" s="1527"/>
      <c r="G268" s="1138"/>
      <c r="H268" s="1187"/>
      <c r="I268" s="1187"/>
      <c r="J268" s="1138"/>
      <c r="K268" s="1193"/>
      <c r="L268" s="1449"/>
      <c r="M268" s="1677"/>
      <c r="N268" s="1556"/>
      <c r="O268" s="349"/>
      <c r="P268" s="1421"/>
      <c r="Q268" s="8"/>
    </row>
    <row r="269" spans="1:17" ht="13.5" thickBot="1" x14ac:dyDescent="0.25">
      <c r="A269" s="393"/>
      <c r="B269" s="742"/>
      <c r="C269" s="1108"/>
      <c r="D269" s="1109"/>
      <c r="E269" s="822"/>
      <c r="F269" s="1453"/>
      <c r="G269" s="392"/>
      <c r="H269" s="517"/>
      <c r="I269" s="517"/>
      <c r="J269" s="392"/>
      <c r="K269" s="747"/>
      <c r="L269" s="1450"/>
      <c r="M269" s="1110"/>
      <c r="N269" s="1557"/>
      <c r="O269" s="622"/>
      <c r="P269" s="1680"/>
      <c r="Q269" s="8"/>
    </row>
    <row r="270" spans="1:17" ht="13.5" thickBot="1" x14ac:dyDescent="0.25">
      <c r="A270" s="260"/>
      <c r="B270" s="65"/>
      <c r="C270" s="65"/>
      <c r="D270" s="222"/>
      <c r="E270" s="222"/>
      <c r="F270" s="145"/>
      <c r="G270" s="65"/>
      <c r="H270" s="65"/>
      <c r="I270" s="65"/>
      <c r="J270" s="65"/>
      <c r="K270" s="65"/>
      <c r="L270" s="671"/>
      <c r="M270" s="65"/>
      <c r="N270" s="1558"/>
      <c r="Q270" s="8"/>
    </row>
    <row r="271" spans="1:17" ht="13.5" thickBot="1" x14ac:dyDescent="0.25">
      <c r="A271" s="162" t="s">
        <v>289</v>
      </c>
      <c r="B271" s="228"/>
      <c r="C271" s="228"/>
      <c r="D271" s="518"/>
      <c r="E271" s="518"/>
      <c r="F271" s="1454">
        <f>SUM(F10:F270)</f>
        <v>37600000</v>
      </c>
      <c r="G271" s="647">
        <f t="shared" ref="G271:J271" si="35">SUM(G10:G270)</f>
        <v>7144000</v>
      </c>
      <c r="H271" s="819">
        <f t="shared" si="35"/>
        <v>-3248300</v>
      </c>
      <c r="I271" s="819">
        <f t="shared" si="35"/>
        <v>44744000</v>
      </c>
      <c r="J271" s="647">
        <f t="shared" si="35"/>
        <v>41495700</v>
      </c>
      <c r="K271" s="647"/>
      <c r="L271" s="1451">
        <f>SUM(L10:L270)</f>
        <v>112650000</v>
      </c>
      <c r="M271" s="647"/>
      <c r="N271" s="819">
        <f>SUM(N10:N270)</f>
        <v>154145700</v>
      </c>
      <c r="Q271" s="8"/>
    </row>
    <row r="272" spans="1:17" x14ac:dyDescent="0.2">
      <c r="A272" s="198"/>
      <c r="B272" s="7"/>
      <c r="C272" s="7"/>
      <c r="D272" s="231"/>
      <c r="E272" s="231"/>
      <c r="F272" s="1455"/>
      <c r="G272" s="7"/>
      <c r="H272" s="231"/>
      <c r="I272" s="231"/>
      <c r="J272" s="7"/>
      <c r="K272" s="820"/>
      <c r="L272" s="7"/>
      <c r="M272" s="7"/>
      <c r="N272" s="156"/>
      <c r="Q272" s="8"/>
    </row>
    <row r="273" spans="1:19" x14ac:dyDescent="0.2">
      <c r="A273" s="65"/>
      <c r="B273" s="65"/>
      <c r="C273" s="65"/>
      <c r="D273" s="222"/>
      <c r="E273" s="222"/>
      <c r="F273" s="1456"/>
      <c r="G273" s="65"/>
      <c r="H273" s="222"/>
      <c r="I273" s="222"/>
      <c r="J273" s="65"/>
      <c r="K273" s="821"/>
      <c r="L273" s="158"/>
      <c r="M273" s="158"/>
      <c r="N273" s="218"/>
      <c r="Q273" s="8"/>
    </row>
    <row r="274" spans="1:19" ht="13.5" thickBot="1" x14ac:dyDescent="0.25">
      <c r="A274" s="148" t="s">
        <v>3</v>
      </c>
      <c r="F274" s="1457"/>
      <c r="G274" s="65"/>
      <c r="H274" s="222"/>
      <c r="I274" s="222"/>
      <c r="J274" s="65"/>
      <c r="K274" s="221"/>
      <c r="L274" s="65"/>
      <c r="M274" s="65"/>
      <c r="N274" s="358"/>
      <c r="Q274" s="8"/>
    </row>
    <row r="275" spans="1:19" x14ac:dyDescent="0.2">
      <c r="A275" s="808">
        <v>1</v>
      </c>
      <c r="B275" s="1681" t="s">
        <v>251</v>
      </c>
      <c r="C275" s="1674">
        <v>811032632</v>
      </c>
      <c r="D275" s="816">
        <f t="shared" ref="D275:D300" si="36">IF((MOD((VALUE(MID(TEXT(C275,"000000000000000"),15,1))*3+VALUE(MID(TEXT(C275,"000000000000000"),14,1))*7+VALUE(MID(TEXT(C275,"000000000000000"),13,1))*13+VALUE(MID(TEXT(C275,"000000000000000"),12,1))*17+VALUE(MID(TEXT(C275,"000000000000000"),11,1))*19+VALUE(MID(TEXT(C275,"000000000000000"),10,1))*23+VALUE(MID(TEXT(C275,"000000000000000"),9,1))*29+VALUE(MID(TEXT(C275,"000000000000000"),8,1))*37+VALUE(MID(TEXT(C275,"000000000000000"),7,1))*41+VALUE(MID(TEXT(C275,"000000000000000"),6,1))*43+VALUE(MID(TEXT(C275,"000000000000000"),5,1))*47+VALUE(MID(TEXT(C275,"000000000000000"),4,1))*53+VALUE(MID(TEXT(C275,"000000000000000"),3,1))*59+VALUE(MID(TEXT(C275,"000000000000000"),2,1))*67+VALUE(MID(TEXT(C275,"000000000000000"),1,1))*71),11))=0,0,IF((MOD((VALUE(MID(TEXT(C275,"000000000000000"),15,1))*3+VALUE(MID(TEXT(C275,"000000000000000"),14,1))*7+VALUE(MID(TEXT(C275,"000000000000000"),13,1))*13+VALUE(MID(TEXT(C275,"000000000000000"),12,1))*17+VALUE(MID(TEXT(C275,"000000000000000"),11,1))*19+VALUE(MID(TEXT(C275,"000000000000000"),10,1))*23+VALUE(MID(TEXT(C275,"000000000000000"),9,1))*29+VALUE(MID(TEXT(C275,"000000000000000"),8,1))*37+VALUE(MID(TEXT(C275,"000000000000000"),7,1))*41+VALUE(MID(TEXT(C275,"000000000000000"),6,1))*43+VALUE(MID(TEXT(C275,"000000000000000"),5,1))*47+VALUE(MID(TEXT(C275,"000000000000000"),4,1))*53+VALUE(MID(TEXT(C275,"000000000000000"),3,1))*59+VALUE(MID(TEXT(C275,"000000000000000"),2,1))*67+VALUE(MID(TEXT(C275,"000000000000000"),1,1))*71),11))=1,1,11-(MOD((VALUE(MID(TEXT(C275,"000000000000000"),15,1))*3+VALUE(MID(TEXT(C275,"000000000000000"),14,1))*7+VALUE(MID(TEXT(C275,"000000000000000"),13,1))*13+VALUE(MID(TEXT(C275,"000000000000000"),12,1))*17+VALUE(MID(TEXT(C275,"000000000000000"),11,1))*19+VALUE(MID(TEXT(C275,"000000000000000"),10,1))*23+VALUE(MID(TEXT(C275,"000000000000000"),9,1))*29+VALUE(MID(TEXT(C275,"000000000000000"),8,1))*37+VALUE(MID(TEXT(C275,"000000000000000"),7,1))*41+VALUE(MID(TEXT(C275,"000000000000000"),6,1))*43+VALUE(MID(TEXT(C275,"000000000000000"),5,1))*47+VALUE(MID(TEXT(C275,"000000000000000"),4,1))*53+VALUE(MID(TEXT(C275,"000000000000000"),3,1))*59+VALUE(MID(TEXT(C275,"000000000000000"),2,1))*67+VALUE(MID(TEXT(C275,"000000000000000"),1,1))*71),11))))</f>
        <v>4</v>
      </c>
      <c r="E275" s="1673">
        <f>_xlfn.XLOOKUP(B275,Códigos!$B$8:$B$406,Códigos!$A$8:$A$406,"Verificar",0)</f>
        <v>1</v>
      </c>
      <c r="F275" s="1452">
        <f>SUMIF(Facturas!$B$9:$B$79,B275,Facturas!$F$9:$F$79)</f>
        <v>2241000</v>
      </c>
      <c r="G275" s="1674">
        <f>SUMIF(Facturas!$B$9:$B$79,B275,Facturas!$G$9:$G$79)</f>
        <v>425790</v>
      </c>
      <c r="H275" s="1675">
        <f>SUMIF(Facturas!$B$9:$B$79,B275,Facturas!$I$9:$I$79)</f>
        <v>-246510</v>
      </c>
      <c r="I275" s="1675">
        <f>SUMIF(Facturas!$B$9:$B$79,B275,Facturas!$J$9:$J$79)</f>
        <v>2666790</v>
      </c>
      <c r="J275" s="1674">
        <f>SUMIF(Facturas!$B$9:$B$79,B275,Facturas!$K$9:$K$79)</f>
        <v>2420280</v>
      </c>
      <c r="K275" s="809"/>
      <c r="L275" s="1448">
        <f>IF(J275&gt;0,0,SUMIF('Cuentas de Cobro'!$B$9:$B$216,B275,'Cuentas de Cobro'!$F$9:$F$216))</f>
        <v>0</v>
      </c>
      <c r="M275" s="809"/>
      <c r="N275" s="1555">
        <f t="shared" ref="N275:N300" si="37">+J275+L275</f>
        <v>2420280</v>
      </c>
      <c r="O275" s="1682"/>
      <c r="P275" s="1683"/>
      <c r="Q275" s="8"/>
      <c r="S275" s="352"/>
    </row>
    <row r="276" spans="1:19" x14ac:dyDescent="0.2">
      <c r="A276" s="1525">
        <f>+A275+1</f>
        <v>2</v>
      </c>
      <c r="B276" s="1137" t="s">
        <v>173</v>
      </c>
      <c r="C276" s="1138">
        <v>900650238</v>
      </c>
      <c r="D276" s="1186">
        <f t="shared" si="36"/>
        <v>9</v>
      </c>
      <c r="E276" s="1185">
        <f>_xlfn.XLOOKUP(B276,Códigos!$B$8:$B$406,Códigos!$A$8:$A$406,"Verificar",0)</f>
        <v>246</v>
      </c>
      <c r="F276" s="1527">
        <f>SUMIF(Facturas!$B$9:$B$79,B276,Facturas!$F$9:$F$79)</f>
        <v>3004000</v>
      </c>
      <c r="G276" s="1138">
        <f>SUMIF(Facturas!$B$9:$B$79,B276,Facturas!$G$9:$G$79)</f>
        <v>570760</v>
      </c>
      <c r="H276" s="1187">
        <f>SUMIF(Facturas!$B$9:$B$79,B276,Facturas!$I$9:$I$79)</f>
        <v>-330440</v>
      </c>
      <c r="I276" s="1187">
        <f>SUMIF(Facturas!$B$9:$B$79,B276,Facturas!$J$9:$J$79)</f>
        <v>3574760</v>
      </c>
      <c r="J276" s="1138">
        <f>SUMIF(Facturas!$B$9:$B$79,B276,Facturas!$K$9:$K$79)</f>
        <v>3244320</v>
      </c>
      <c r="K276" s="1193"/>
      <c r="L276" s="1528">
        <f>IF(J276&gt;0,0,SUMIF('Cuentas de Cobro'!$B$9:$B$216,B276,'Cuentas de Cobro'!$F$9:$F$216))</f>
        <v>0</v>
      </c>
      <c r="M276" s="1193"/>
      <c r="N276" s="1556">
        <f t="shared" si="37"/>
        <v>3244320</v>
      </c>
      <c r="O276" s="1101"/>
      <c r="P276" s="1529"/>
      <c r="Q276" s="8"/>
      <c r="S276" s="352"/>
    </row>
    <row r="277" spans="1:19" x14ac:dyDescent="0.2">
      <c r="A277" s="1525">
        <f t="shared" ref="A277:A306" si="38">+A276+1</f>
        <v>3</v>
      </c>
      <c r="B277" s="1137" t="s">
        <v>673</v>
      </c>
      <c r="C277" s="1138">
        <v>811028472</v>
      </c>
      <c r="D277" s="1186">
        <f t="shared" si="36"/>
        <v>7</v>
      </c>
      <c r="E277" s="1185">
        <f>_xlfn.XLOOKUP(B277,Códigos!$B$8:$B$406,Códigos!$A$8:$A$406,"Verificar",0)</f>
        <v>8</v>
      </c>
      <c r="F277" s="1527">
        <f>SUMIF(Facturas!$B$9:$B$79,B277,Facturas!$F$9:$F$79)</f>
        <v>1707000</v>
      </c>
      <c r="G277" s="1138">
        <f>SUMIF(Facturas!$B$9:$B$79,B277,Facturas!$G$9:$G$79)</f>
        <v>324330</v>
      </c>
      <c r="H277" s="1187">
        <f>SUMIF(Facturas!$B$9:$B$79,B277,Facturas!$I$9:$I$79)</f>
        <v>-187770</v>
      </c>
      <c r="I277" s="1187">
        <f>SUMIF(Facturas!$B$9:$B$79,B277,Facturas!$J$9:$J$79)</f>
        <v>2031330</v>
      </c>
      <c r="J277" s="1138">
        <f>SUMIF(Facturas!$B$9:$B$79,B277,Facturas!$K$9:$K$79)</f>
        <v>1843560</v>
      </c>
      <c r="K277" s="1193"/>
      <c r="L277" s="1528">
        <f>IF(J277&gt;0,0,SUMIF('Cuentas de Cobro'!$B$9:$B$216,B277,'Cuentas de Cobro'!$F$9:$F$216))</f>
        <v>0</v>
      </c>
      <c r="M277" s="1193"/>
      <c r="N277" s="1556">
        <f t="shared" si="37"/>
        <v>1843560</v>
      </c>
      <c r="O277" s="1101"/>
      <c r="P277" s="1529"/>
      <c r="Q277" s="8"/>
      <c r="S277" s="352"/>
    </row>
    <row r="278" spans="1:19" x14ac:dyDescent="0.2">
      <c r="A278" s="1525">
        <f t="shared" si="38"/>
        <v>4</v>
      </c>
      <c r="B278" s="1201" t="s">
        <v>317</v>
      </c>
      <c r="C278" s="1138">
        <v>811017889</v>
      </c>
      <c r="D278" s="1186">
        <f t="shared" si="36"/>
        <v>7</v>
      </c>
      <c r="E278" s="1185">
        <f>_xlfn.XLOOKUP(B278,Códigos!$B$8:$B$406,Códigos!$A$8:$A$406,"Verificar",0)</f>
        <v>9</v>
      </c>
      <c r="F278" s="1527">
        <f>SUMIF(Facturas!$B$9:$B$79,B278,Facturas!$F$9:$F$79)</f>
        <v>5146000</v>
      </c>
      <c r="G278" s="1138">
        <f>SUMIF(Facturas!$B$9:$B$79,B278,Facturas!$G$9:$G$79)</f>
        <v>977740</v>
      </c>
      <c r="H278" s="1187">
        <f>SUMIF(Facturas!$B$9:$B$79,B278,Facturas!$I$9:$I$79)</f>
        <v>-566060</v>
      </c>
      <c r="I278" s="1187">
        <f>SUMIF(Facturas!$B$9:$B$79,B278,Facturas!$J$9:$J$79)</f>
        <v>6123740</v>
      </c>
      <c r="J278" s="1138">
        <f>SUMIF(Facturas!$B$9:$B$79,B278,Facturas!$K$9:$K$79)</f>
        <v>5557680</v>
      </c>
      <c r="K278" s="1193"/>
      <c r="L278" s="1528">
        <f>IF(J278&gt;0,0,SUMIF('Cuentas de Cobro'!$B$9:$B$216,B278,'Cuentas de Cobro'!$F$9:$F$216))</f>
        <v>0</v>
      </c>
      <c r="M278" s="1193"/>
      <c r="N278" s="1556">
        <f t="shared" si="37"/>
        <v>5557680</v>
      </c>
      <c r="O278" s="1101"/>
      <c r="P278" s="1529"/>
      <c r="Q278" s="8"/>
      <c r="S278" s="352"/>
    </row>
    <row r="279" spans="1:19" x14ac:dyDescent="0.2">
      <c r="A279" s="1525">
        <f t="shared" si="38"/>
        <v>5</v>
      </c>
      <c r="B279" s="1198" t="s">
        <v>269</v>
      </c>
      <c r="C279" s="1138">
        <v>890911921</v>
      </c>
      <c r="D279" s="1186">
        <f t="shared" si="36"/>
        <v>7</v>
      </c>
      <c r="E279" s="1185">
        <f>_xlfn.XLOOKUP(B279,Códigos!$B$8:$B$406,Códigos!$A$8:$A$406,"Verificar",0)</f>
        <v>10</v>
      </c>
      <c r="F279" s="1527">
        <f>SUMIF(Facturas!$B$9:$B$79,B279,Facturas!$F$9:$F$79)</f>
        <v>7938000</v>
      </c>
      <c r="G279" s="1138">
        <f>SUMIF(Facturas!$B$9:$B$79,B279,Facturas!$G$9:$G$79)</f>
        <v>1508220</v>
      </c>
      <c r="H279" s="1187">
        <f>SUMIF(Facturas!$B$9:$B$79,B279,Facturas!$I$9:$I$79)</f>
        <v>-873180</v>
      </c>
      <c r="I279" s="1187">
        <f>SUMIF(Facturas!$B$9:$B$79,B279,Facturas!$J$9:$J$79)</f>
        <v>9446220</v>
      </c>
      <c r="J279" s="1138">
        <f>SUMIF(Facturas!$B$9:$B$79,B279,Facturas!$K$9:$K$79)</f>
        <v>8573040</v>
      </c>
      <c r="K279" s="1193"/>
      <c r="L279" s="1528">
        <f>IF(J279&gt;0,0,SUMIF('Cuentas de Cobro'!$B$9:$B$216,B279,'Cuentas de Cobro'!$F$9:$F$216))</f>
        <v>0</v>
      </c>
      <c r="M279" s="1193"/>
      <c r="N279" s="1556">
        <f t="shared" si="37"/>
        <v>8573040</v>
      </c>
      <c r="O279" s="1101"/>
      <c r="P279" s="1529"/>
      <c r="Q279" s="80"/>
      <c r="S279" s="352"/>
    </row>
    <row r="280" spans="1:19" x14ac:dyDescent="0.2">
      <c r="A280" s="1684">
        <f t="shared" si="38"/>
        <v>6</v>
      </c>
      <c r="B280" s="1090" t="s">
        <v>250</v>
      </c>
      <c r="C280" s="1210">
        <v>890913504</v>
      </c>
      <c r="D280" s="1685">
        <f t="shared" si="36"/>
        <v>8</v>
      </c>
      <c r="E280" s="1686">
        <f>_xlfn.XLOOKUP(B280,Códigos!$B$8:$B$406,Códigos!$A$8:$A$406,"Verificar",0)</f>
        <v>11</v>
      </c>
      <c r="F280" s="1687">
        <f>SUMIF(Facturas!$B$9:$B$79,B280,Facturas!$F$9:$F$79)</f>
        <v>0</v>
      </c>
      <c r="G280" s="1210">
        <f>SUMIF(Facturas!$B$9:$B$79,B280,Facturas!$G$9:$G$79)</f>
        <v>0</v>
      </c>
      <c r="H280" s="1473">
        <f>SUMIF(Facturas!$B$9:$B$79,B280,Facturas!$I$9:$I$79)</f>
        <v>0</v>
      </c>
      <c r="I280" s="1473">
        <f>SUMIF(Facturas!$B$9:$B$79,B280,Facturas!$J$9:$J$79)</f>
        <v>0</v>
      </c>
      <c r="J280" s="1210">
        <f>SUMIF(Facturas!$B$9:$B$79,B280,Facturas!$K$9:$K$79)</f>
        <v>0</v>
      </c>
      <c r="K280" s="1688"/>
      <c r="L280" s="1689">
        <f>IF(J280&gt;0,0,SUMIF('Cuentas de Cobro'!$B$9:$B$216,B280,'Cuentas de Cobro'!$F$9:$F$216))</f>
        <v>0</v>
      </c>
      <c r="M280" s="1688"/>
      <c r="N280" s="1660">
        <f t="shared" si="37"/>
        <v>0</v>
      </c>
      <c r="O280" s="1690"/>
      <c r="P280" s="1691"/>
      <c r="Q280" s="8"/>
      <c r="R280" s="1379" t="s">
        <v>805</v>
      </c>
      <c r="S280" s="352"/>
    </row>
    <row r="281" spans="1:19" x14ac:dyDescent="0.2">
      <c r="A281" s="1525">
        <f t="shared" si="38"/>
        <v>7</v>
      </c>
      <c r="B281" s="1137" t="s">
        <v>175</v>
      </c>
      <c r="C281" s="1138">
        <v>800076166</v>
      </c>
      <c r="D281" s="1186">
        <f t="shared" si="36"/>
        <v>2</v>
      </c>
      <c r="E281" s="1185">
        <f>_xlfn.XLOOKUP(B281,Códigos!$B$8:$B$406,Códigos!$A$8:$A$406,"Verificar",0)</f>
        <v>12</v>
      </c>
      <c r="F281" s="1527">
        <f>SUMIF(Facturas!$B$9:$B$79,B281,Facturas!$F$9:$F$79)</f>
        <v>0</v>
      </c>
      <c r="G281" s="1138">
        <f>SUMIF(Facturas!$B$9:$B$79,B281,Facturas!$G$9:$G$79)</f>
        <v>0</v>
      </c>
      <c r="H281" s="1187">
        <f>SUMIF(Facturas!$B$9:$B$79,B281,Facturas!$I$9:$I$79)</f>
        <v>0</v>
      </c>
      <c r="I281" s="1187">
        <f>SUMIF(Facturas!$B$9:$B$79,B281,Facturas!$J$9:$J$79)</f>
        <v>0</v>
      </c>
      <c r="J281" s="1138">
        <f>SUMIF(Facturas!$B$9:$B$79,B281,Facturas!$K$9:$K$79)</f>
        <v>0</v>
      </c>
      <c r="K281" s="1193"/>
      <c r="L281" s="1528">
        <f>IF(J281&gt;0,0,SUMIF('Cuentas de Cobro'!$B$9:$B$216,B281,'Cuentas de Cobro'!$F$9:$F$216))</f>
        <v>860000</v>
      </c>
      <c r="M281" s="1193"/>
      <c r="N281" s="1556">
        <f t="shared" si="37"/>
        <v>860000</v>
      </c>
      <c r="O281" s="1101"/>
      <c r="P281" s="1529"/>
      <c r="Q281" s="8"/>
      <c r="S281" s="352"/>
    </row>
    <row r="282" spans="1:19" x14ac:dyDescent="0.2">
      <c r="A282" s="1684">
        <f t="shared" si="38"/>
        <v>8</v>
      </c>
      <c r="B282" s="1090" t="s">
        <v>414</v>
      </c>
      <c r="C282" s="1210">
        <v>901042480</v>
      </c>
      <c r="D282" s="1685">
        <f t="shared" si="36"/>
        <v>0</v>
      </c>
      <c r="E282" s="1686">
        <f>_xlfn.XLOOKUP(B282,Códigos!$B$8:$B$406,Códigos!$A$8:$A$406,"Verificar",0)</f>
        <v>131</v>
      </c>
      <c r="F282" s="1687">
        <f>SUMIF(Facturas!$B$9:$B$79,B282,Facturas!$F$9:$F$79)</f>
        <v>0</v>
      </c>
      <c r="G282" s="1210">
        <f>SUMIF(Facturas!$B$9:$B$79,B282,Facturas!$G$9:$G$79)</f>
        <v>0</v>
      </c>
      <c r="H282" s="1473">
        <f>SUMIF(Facturas!$B$9:$B$79,B282,Facturas!$I$9:$I$79)</f>
        <v>0</v>
      </c>
      <c r="I282" s="1473">
        <f>SUMIF(Facturas!$B$9:$B$79,B282,Facturas!$J$9:$J$79)</f>
        <v>0</v>
      </c>
      <c r="J282" s="1210">
        <f>SUMIF(Facturas!$B$9:$B$79,B282,Facturas!$K$9:$K$79)</f>
        <v>0</v>
      </c>
      <c r="K282" s="1688"/>
      <c r="L282" s="1689">
        <f>IF(J282&gt;0,0,SUMIF('Cuentas de Cobro'!$B$9:$B$216,B282,'Cuentas de Cobro'!$F$9:$F$216))</f>
        <v>0</v>
      </c>
      <c r="M282" s="1688"/>
      <c r="N282" s="1660">
        <f t="shared" si="37"/>
        <v>0</v>
      </c>
      <c r="O282" s="1690"/>
      <c r="P282" s="1691"/>
      <c r="Q282" s="8"/>
      <c r="R282" s="1379" t="s">
        <v>805</v>
      </c>
      <c r="S282" s="352"/>
    </row>
    <row r="283" spans="1:19" x14ac:dyDescent="0.2">
      <c r="A283" s="1525">
        <f t="shared" si="38"/>
        <v>9</v>
      </c>
      <c r="B283" s="1137" t="s">
        <v>674</v>
      </c>
      <c r="C283" s="1138">
        <v>900625975</v>
      </c>
      <c r="D283" s="1186">
        <f t="shared" si="36"/>
        <v>3</v>
      </c>
      <c r="E283" s="1185">
        <f>_xlfn.XLOOKUP(B283,Códigos!$B$8:$B$406,Códigos!$A$8:$A$406,"Verificar",0)</f>
        <v>258</v>
      </c>
      <c r="F283" s="1527">
        <f>SUMIF(Facturas!$B$9:$B$79,B283,Facturas!$F$9:$F$79)</f>
        <v>0</v>
      </c>
      <c r="G283" s="1138">
        <f>SUMIF(Facturas!$B$9:$B$79,B283,Facturas!$G$9:$G$79)</f>
        <v>0</v>
      </c>
      <c r="H283" s="1187">
        <f>SUMIF(Facturas!$B$9:$B$79,B283,Facturas!$I$9:$I$79)</f>
        <v>0</v>
      </c>
      <c r="I283" s="1187">
        <f>SUMIF(Facturas!$B$9:$B$79,B283,Facturas!$J$9:$J$79)</f>
        <v>0</v>
      </c>
      <c r="J283" s="1138">
        <f>SUMIF(Facturas!$B$9:$B$79,B283,Facturas!$K$9:$K$79)</f>
        <v>0</v>
      </c>
      <c r="K283" s="1193"/>
      <c r="L283" s="1528">
        <f>IF(J283&gt;0,0,SUMIF('Cuentas de Cobro'!$B$9:$B$216,B283,'Cuentas de Cobro'!$F$9:$F$216))</f>
        <v>0</v>
      </c>
      <c r="M283" s="1193"/>
      <c r="N283" s="1556">
        <f t="shared" si="37"/>
        <v>0</v>
      </c>
      <c r="O283" s="1101"/>
      <c r="P283" s="1529"/>
      <c r="Q283" s="8"/>
      <c r="S283" s="352"/>
    </row>
    <row r="284" spans="1:19" ht="25.5" x14ac:dyDescent="0.2">
      <c r="A284" s="1525">
        <f t="shared" si="38"/>
        <v>10</v>
      </c>
      <c r="B284" s="1137" t="s">
        <v>177</v>
      </c>
      <c r="C284" s="1138">
        <v>890921312</v>
      </c>
      <c r="D284" s="1186">
        <f t="shared" si="36"/>
        <v>4</v>
      </c>
      <c r="E284" s="1185">
        <f>_xlfn.XLOOKUP(B284,Códigos!$B$8:$B$406,Códigos!$A$8:$A$406,"Verificar",0)</f>
        <v>15</v>
      </c>
      <c r="F284" s="1527">
        <f>SUMIF(Facturas!$B$9:$B$79,B284,Facturas!$F$9:$F$79)</f>
        <v>0</v>
      </c>
      <c r="G284" s="1138">
        <f>SUMIF(Facturas!$B$9:$B$79,B284,Facturas!$G$9:$G$79)</f>
        <v>0</v>
      </c>
      <c r="H284" s="1187">
        <f>SUMIF(Facturas!$B$9:$B$79,B284,Facturas!$I$9:$I$79)</f>
        <v>0</v>
      </c>
      <c r="I284" s="1187">
        <f>SUMIF(Facturas!$B$9:$B$79,B284,Facturas!$J$9:$J$79)</f>
        <v>0</v>
      </c>
      <c r="J284" s="1138">
        <f>SUMIF(Facturas!$B$9:$B$79,B284,Facturas!$K$9:$K$79)</f>
        <v>0</v>
      </c>
      <c r="K284" s="1193"/>
      <c r="L284" s="1528">
        <f>IF(J284&gt;0,0,SUMIF('Cuentas de Cobro'!$B$9:$B$216,B284,'Cuentas de Cobro'!$F$9:$F$216))</f>
        <v>860000</v>
      </c>
      <c r="M284" s="1193"/>
      <c r="N284" s="1556">
        <f t="shared" si="37"/>
        <v>860000</v>
      </c>
      <c r="O284" s="1101"/>
      <c r="P284" s="1529"/>
      <c r="Q284" s="8"/>
      <c r="S284" s="352"/>
    </row>
    <row r="285" spans="1:19" x14ac:dyDescent="0.2">
      <c r="A285" s="1684">
        <f t="shared" si="38"/>
        <v>11</v>
      </c>
      <c r="B285" s="1090" t="s">
        <v>178</v>
      </c>
      <c r="C285" s="1210">
        <v>811021789</v>
      </c>
      <c r="D285" s="1685">
        <f t="shared" si="36"/>
        <v>4</v>
      </c>
      <c r="E285" s="1686">
        <f>_xlfn.XLOOKUP(B285,Códigos!$B$8:$B$406,Códigos!$A$8:$A$406,"Verificar",0)</f>
        <v>17</v>
      </c>
      <c r="F285" s="1687">
        <f>SUMIF(Facturas!$B$9:$B$79,B285,Facturas!$F$9:$F$79)</f>
        <v>0</v>
      </c>
      <c r="G285" s="1210">
        <f>SUMIF(Facturas!$B$9:$B$79,B285,Facturas!$G$9:$G$79)</f>
        <v>0</v>
      </c>
      <c r="H285" s="1473">
        <f>SUMIF(Facturas!$B$9:$B$79,B285,Facturas!$I$9:$I$79)</f>
        <v>0</v>
      </c>
      <c r="I285" s="1473">
        <f>SUMIF(Facturas!$B$9:$B$79,B285,Facturas!$J$9:$J$79)</f>
        <v>0</v>
      </c>
      <c r="J285" s="1210">
        <f>SUMIF(Facturas!$B$9:$B$79,B285,Facturas!$K$9:$K$79)</f>
        <v>0</v>
      </c>
      <c r="K285" s="1688"/>
      <c r="L285" s="1689">
        <f>IF(J285&gt;0,0,SUMIF('Cuentas de Cobro'!$B$9:$B$216,B285,'Cuentas de Cobro'!$F$9:$F$216))</f>
        <v>0</v>
      </c>
      <c r="M285" s="1688"/>
      <c r="N285" s="1660">
        <f t="shared" si="37"/>
        <v>0</v>
      </c>
      <c r="O285" s="1690"/>
      <c r="P285" s="1691"/>
      <c r="Q285" s="8"/>
      <c r="R285" s="1379" t="s">
        <v>805</v>
      </c>
      <c r="S285" s="658"/>
    </row>
    <row r="286" spans="1:19" x14ac:dyDescent="0.2">
      <c r="A286" s="1525">
        <f t="shared" si="38"/>
        <v>12</v>
      </c>
      <c r="B286" s="1137" t="s">
        <v>363</v>
      </c>
      <c r="C286" s="1138">
        <v>900666782</v>
      </c>
      <c r="D286" s="1186">
        <f t="shared" si="36"/>
        <v>4</v>
      </c>
      <c r="E286" s="1185">
        <f>_xlfn.XLOOKUP(B286,Códigos!$B$8:$B$406,Códigos!$A$8:$A$406,"Verificar",0)</f>
        <v>245</v>
      </c>
      <c r="F286" s="1527">
        <f>SUMIF(Facturas!$B$9:$B$79,B286,Facturas!$F$9:$F$79)</f>
        <v>1508000</v>
      </c>
      <c r="G286" s="1138">
        <f>SUMIF(Facturas!$B$9:$B$79,B286,Facturas!$G$9:$G$79)</f>
        <v>286520</v>
      </c>
      <c r="H286" s="1187">
        <f>SUMIF(Facturas!$B$9:$B$79,B286,Facturas!$I$9:$I$79)</f>
        <v>-165880</v>
      </c>
      <c r="I286" s="1187">
        <f>SUMIF(Facturas!$B$9:$B$79,B286,Facturas!$J$9:$J$79)</f>
        <v>1794520</v>
      </c>
      <c r="J286" s="1138">
        <f>SUMIF(Facturas!$B$9:$B$79,B286,Facturas!$K$9:$K$79)</f>
        <v>1628640</v>
      </c>
      <c r="K286" s="1193"/>
      <c r="L286" s="1528">
        <f>IF(J286&gt;0,0,SUMIF('Cuentas de Cobro'!$B$9:$B$216,B286,'Cuentas de Cobro'!$F$9:$F$216))</f>
        <v>0</v>
      </c>
      <c r="M286" s="1193"/>
      <c r="N286" s="1556">
        <f t="shared" si="37"/>
        <v>1628640</v>
      </c>
      <c r="O286" s="1101"/>
      <c r="P286" s="1529"/>
      <c r="Q286" s="8"/>
      <c r="S286" s="352"/>
    </row>
    <row r="287" spans="1:19" x14ac:dyDescent="0.2">
      <c r="A287" s="1525">
        <f t="shared" si="38"/>
        <v>13</v>
      </c>
      <c r="B287" s="1201" t="s">
        <v>738</v>
      </c>
      <c r="C287" s="1138">
        <v>900478289</v>
      </c>
      <c r="D287" s="1186">
        <f t="shared" si="36"/>
        <v>8</v>
      </c>
      <c r="E287" s="1185">
        <f>_xlfn.XLOOKUP(B287,Códigos!$B$8:$B$406,Códigos!$A$8:$A$406,"Verificar",0)</f>
        <v>19</v>
      </c>
      <c r="F287" s="1527">
        <f>SUMIF(Facturas!$B$9:$B$79,B287,Facturas!$F$9:$F$79)</f>
        <v>11587000</v>
      </c>
      <c r="G287" s="1138">
        <f>SUMIF(Facturas!$B$9:$B$79,B287,Facturas!$G$9:$G$79)</f>
        <v>2201530</v>
      </c>
      <c r="H287" s="1187">
        <f>SUMIF(Facturas!$B$9:$B$79,B287,Facturas!$I$9:$I$79)</f>
        <v>-1274570</v>
      </c>
      <c r="I287" s="1187">
        <f>SUMIF(Facturas!$B$9:$B$79,B287,Facturas!$J$9:$J$79)</f>
        <v>13788530</v>
      </c>
      <c r="J287" s="1138">
        <f>SUMIF(Facturas!$B$9:$B$79,B287,Facturas!$K$9:$K$79)</f>
        <v>12513960</v>
      </c>
      <c r="K287" s="1193"/>
      <c r="L287" s="1528">
        <f>IF(J287&gt;0,0,SUMIF('Cuentas de Cobro'!$B$9:$B$216,B287,'Cuentas de Cobro'!$F$9:$F$216))</f>
        <v>0</v>
      </c>
      <c r="M287" s="1193"/>
      <c r="N287" s="1556">
        <f t="shared" si="37"/>
        <v>12513960</v>
      </c>
      <c r="O287" s="1101"/>
      <c r="P287" s="1529"/>
      <c r="Q287" s="8"/>
      <c r="S287" s="352"/>
    </row>
    <row r="288" spans="1:19" x14ac:dyDescent="0.2">
      <c r="A288" s="1525">
        <f t="shared" si="38"/>
        <v>14</v>
      </c>
      <c r="B288" s="1137" t="s">
        <v>672</v>
      </c>
      <c r="C288" s="1138">
        <v>901445237</v>
      </c>
      <c r="D288" s="1186">
        <f t="shared" si="36"/>
        <v>7</v>
      </c>
      <c r="E288" s="1185">
        <f>_xlfn.XLOOKUP(B288,Códigos!$B$8:$B$406,Códigos!$A$8:$A$406,"Verificar",0)</f>
        <v>196</v>
      </c>
      <c r="F288" s="1527">
        <f>SUMIF(Facturas!$B$9:$B$79,B288,Facturas!$F$9:$F$79)</f>
        <v>3700000</v>
      </c>
      <c r="G288" s="1138">
        <f>SUMIF(Facturas!$B$9:$B$79,B288,Facturas!$G$9:$G$79)</f>
        <v>703000</v>
      </c>
      <c r="H288" s="1187">
        <f>SUMIF(Facturas!$B$9:$B$79,B288,Facturas!$I$9:$I$79)</f>
        <v>-407000</v>
      </c>
      <c r="I288" s="1187">
        <f>SUMIF(Facturas!$B$9:$B$79,B288,Facturas!$J$9:$J$79)</f>
        <v>4403000</v>
      </c>
      <c r="J288" s="1138">
        <f>SUMIF(Facturas!$B$9:$B$79,B288,Facturas!$K$9:$K$79)</f>
        <v>3996000</v>
      </c>
      <c r="K288" s="1193"/>
      <c r="L288" s="1528">
        <f>IF(J288&gt;0,0,SUMIF('Cuentas de Cobro'!$B$9:$B$216,B288,'Cuentas de Cobro'!$F$9:$F$216))</f>
        <v>0</v>
      </c>
      <c r="M288" s="1193"/>
      <c r="N288" s="1556">
        <f t="shared" si="37"/>
        <v>3996000</v>
      </c>
      <c r="O288" s="1101"/>
      <c r="P288" s="1529"/>
      <c r="Q288" s="8"/>
      <c r="S288" s="352"/>
    </row>
    <row r="289" spans="1:19" x14ac:dyDescent="0.2">
      <c r="A289" s="1684">
        <f t="shared" si="38"/>
        <v>15</v>
      </c>
      <c r="B289" s="1090" t="s">
        <v>671</v>
      </c>
      <c r="C289" s="1210">
        <v>900146430</v>
      </c>
      <c r="D289" s="1685">
        <f t="shared" si="36"/>
        <v>6</v>
      </c>
      <c r="E289" s="1686">
        <f>_xlfn.XLOOKUP(B289,Códigos!$B$8:$B$406,Códigos!$A$8:$A$406,"Verificar",0)</f>
        <v>20</v>
      </c>
      <c r="F289" s="1687">
        <f>SUMIF(Facturas!$B$9:$B$79,B289,Facturas!$F$9:$F$79)</f>
        <v>0</v>
      </c>
      <c r="G289" s="1210">
        <f>SUMIF(Facturas!$B$9:$B$79,B289,Facturas!$G$9:$G$79)</f>
        <v>0</v>
      </c>
      <c r="H289" s="1473">
        <f>SUMIF(Facturas!$B$9:$B$79,B289,Facturas!$I$9:$I$79)</f>
        <v>0</v>
      </c>
      <c r="I289" s="1473">
        <f>SUMIF(Facturas!$B$9:$B$79,B289,Facturas!$J$9:$J$79)</f>
        <v>0</v>
      </c>
      <c r="J289" s="1210">
        <f>SUMIF(Facturas!$B$9:$B$79,B289,Facturas!$K$9:$K$79)</f>
        <v>0</v>
      </c>
      <c r="K289" s="1688"/>
      <c r="L289" s="1689">
        <f>IF(J289&gt;0,0,SUMIF('Cuentas de Cobro'!$B$9:$B$216,B289,'Cuentas de Cobro'!$F$9:$F$216))</f>
        <v>0</v>
      </c>
      <c r="M289" s="1688"/>
      <c r="N289" s="1660">
        <f t="shared" si="37"/>
        <v>0</v>
      </c>
      <c r="O289" s="1690"/>
      <c r="P289" s="1691"/>
      <c r="Q289" s="8"/>
      <c r="R289" s="1379" t="s">
        <v>805</v>
      </c>
      <c r="S289" s="352"/>
    </row>
    <row r="290" spans="1:19" ht="25.5" x14ac:dyDescent="0.2">
      <c r="A290" s="1525">
        <f t="shared" si="38"/>
        <v>16</v>
      </c>
      <c r="B290" s="1137" t="s">
        <v>181</v>
      </c>
      <c r="C290" s="1138">
        <v>890910754</v>
      </c>
      <c r="D290" s="1186">
        <f t="shared" si="36"/>
        <v>9</v>
      </c>
      <c r="E290" s="1185">
        <f>_xlfn.XLOOKUP(B290,Códigos!$B$8:$B$406,Códigos!$A$8:$A$406,"Verificar",0)</f>
        <v>21</v>
      </c>
      <c r="F290" s="1527">
        <f>SUMIF(Facturas!$B$9:$B$79,B290,Facturas!$F$9:$F$79)</f>
        <v>0</v>
      </c>
      <c r="G290" s="1138">
        <f>SUMIF(Facturas!$B$9:$B$79,B290,Facturas!$G$9:$G$79)</f>
        <v>0</v>
      </c>
      <c r="H290" s="1187">
        <f>SUMIF(Facturas!$B$9:$B$79,B290,Facturas!$I$9:$I$79)</f>
        <v>0</v>
      </c>
      <c r="I290" s="1187">
        <f>SUMIF(Facturas!$B$9:$B$79,B290,Facturas!$J$9:$J$79)</f>
        <v>0</v>
      </c>
      <c r="J290" s="1138">
        <f>SUMIF(Facturas!$B$9:$B$79,B290,Facturas!$K$9:$K$79)</f>
        <v>0</v>
      </c>
      <c r="K290" s="1193"/>
      <c r="L290" s="1528">
        <f>IF(J290&gt;0,0,SUMIF('Cuentas de Cobro'!$B$9:$B$216,B290,'Cuentas de Cobro'!$F$9:$F$216))</f>
        <v>1850000</v>
      </c>
      <c r="M290" s="1193"/>
      <c r="N290" s="1556">
        <f t="shared" si="37"/>
        <v>1850000</v>
      </c>
      <c r="O290" s="1101"/>
      <c r="P290" s="1529"/>
      <c r="Q290" s="8"/>
      <c r="S290" s="352"/>
    </row>
    <row r="291" spans="1:19" ht="25.5" x14ac:dyDescent="0.2">
      <c r="A291" s="1684">
        <f t="shared" si="38"/>
        <v>17</v>
      </c>
      <c r="B291" s="1090" t="s">
        <v>182</v>
      </c>
      <c r="C291" s="1210">
        <v>890906415</v>
      </c>
      <c r="D291" s="1685">
        <f t="shared" si="36"/>
        <v>1</v>
      </c>
      <c r="E291" s="1686">
        <f>_xlfn.XLOOKUP(B291,Códigos!$B$8:$B$406,Códigos!$A$8:$A$406,"Verificar",0)</f>
        <v>23</v>
      </c>
      <c r="F291" s="1687">
        <f>SUMIF(Facturas!$B$9:$B$79,B291,Facturas!$F$9:$F$79)</f>
        <v>0</v>
      </c>
      <c r="G291" s="1210">
        <f>SUMIF(Facturas!$B$9:$B$79,B291,Facturas!$G$9:$G$79)</f>
        <v>0</v>
      </c>
      <c r="H291" s="1473">
        <f>SUMIF(Facturas!$B$9:$B$79,B291,Facturas!$I$9:$I$79)</f>
        <v>0</v>
      </c>
      <c r="I291" s="1473">
        <f>SUMIF(Facturas!$B$9:$B$79,B291,Facturas!$J$9:$J$79)</f>
        <v>0</v>
      </c>
      <c r="J291" s="1210">
        <f>SUMIF(Facturas!$B$9:$B$79,B291,Facturas!$K$9:$K$79)</f>
        <v>0</v>
      </c>
      <c r="K291" s="1688"/>
      <c r="L291" s="1689">
        <f>IF(J291&gt;0,0,SUMIF('Cuentas de Cobro'!$B$9:$B$216,B291,'Cuentas de Cobro'!$F$9:$F$216))</f>
        <v>0</v>
      </c>
      <c r="M291" s="1688"/>
      <c r="N291" s="1660">
        <f t="shared" si="37"/>
        <v>0</v>
      </c>
      <c r="O291" s="1690"/>
      <c r="P291" s="1691"/>
      <c r="Q291" s="8"/>
      <c r="R291" s="1379" t="s">
        <v>805</v>
      </c>
      <c r="S291" s="352"/>
    </row>
    <row r="292" spans="1:19" x14ac:dyDescent="0.2">
      <c r="A292" s="1525">
        <f t="shared" si="38"/>
        <v>18</v>
      </c>
      <c r="B292" s="1137" t="s">
        <v>366</v>
      </c>
      <c r="C292" s="1138">
        <v>900792746</v>
      </c>
      <c r="D292" s="1186">
        <f t="shared" si="36"/>
        <v>8</v>
      </c>
      <c r="E292" s="1185">
        <f>_xlfn.XLOOKUP(B292,Códigos!$B$8:$B$406,Códigos!$A$8:$A$406,"Verificar",0)</f>
        <v>290</v>
      </c>
      <c r="F292" s="1527">
        <f>SUMIF(Facturas!$B$9:$B$79,B292,Facturas!$F$9:$F$79)</f>
        <v>3876000</v>
      </c>
      <c r="G292" s="1138">
        <f>SUMIF(Facturas!$B$9:$B$79,B292,Facturas!$G$9:$G$79)</f>
        <v>736440</v>
      </c>
      <c r="H292" s="1187">
        <f>SUMIF(Facturas!$B$9:$B$79,B292,Facturas!$I$9:$I$79)</f>
        <v>-426360</v>
      </c>
      <c r="I292" s="1187">
        <f>SUMIF(Facturas!$B$9:$B$79,B292,Facturas!$J$9:$J$79)</f>
        <v>4612440</v>
      </c>
      <c r="J292" s="1138">
        <f>SUMIF(Facturas!$B$9:$B$79,B292,Facturas!$K$9:$K$79)</f>
        <v>4186080</v>
      </c>
      <c r="K292" s="1193"/>
      <c r="L292" s="1528">
        <f>IF(J292&gt;0,0,SUMIF('Cuentas de Cobro'!$B$9:$B$216,B292,'Cuentas de Cobro'!$F$9:$F$216))</f>
        <v>0</v>
      </c>
      <c r="M292" s="1193"/>
      <c r="N292" s="1556">
        <f t="shared" si="37"/>
        <v>4186080</v>
      </c>
      <c r="O292" s="1101"/>
      <c r="P292" s="1529"/>
      <c r="Q292" s="8"/>
      <c r="S292" s="352"/>
    </row>
    <row r="293" spans="1:19" x14ac:dyDescent="0.2">
      <c r="A293" s="1525">
        <f t="shared" si="38"/>
        <v>19</v>
      </c>
      <c r="B293" s="1137" t="s">
        <v>349</v>
      </c>
      <c r="C293" s="1138">
        <v>901241763</v>
      </c>
      <c r="D293" s="1186">
        <f t="shared" si="36"/>
        <v>3</v>
      </c>
      <c r="E293" s="1185">
        <f>_xlfn.XLOOKUP(B293,Códigos!$B$8:$B$406,Códigos!$A$8:$A$406,"Verificar",0)</f>
        <v>33</v>
      </c>
      <c r="F293" s="1527">
        <f>SUMIF(Facturas!$B$9:$B$79,B293,Facturas!$F$9:$F$79)</f>
        <v>3377000</v>
      </c>
      <c r="G293" s="1138">
        <f>SUMIF(Facturas!$B$9:$B$79,B293,Facturas!$G$9:$G$79)</f>
        <v>641630</v>
      </c>
      <c r="H293" s="1187">
        <f>SUMIF(Facturas!$B$9:$B$79,B293,Facturas!$I$9:$I$79)</f>
        <v>-371470</v>
      </c>
      <c r="I293" s="1187">
        <f>SUMIF(Facturas!$B$9:$B$79,B293,Facturas!$J$9:$J$79)</f>
        <v>4018630</v>
      </c>
      <c r="J293" s="1138">
        <f>SUMIF(Facturas!$B$9:$B$79,B293,Facturas!$K$9:$K$79)</f>
        <v>3647160</v>
      </c>
      <c r="K293" s="1193"/>
      <c r="L293" s="1528">
        <f>IF(J293&gt;0,0,SUMIF('Cuentas de Cobro'!$B$9:$B$216,B293,'Cuentas de Cobro'!$F$9:$F$216))</f>
        <v>0</v>
      </c>
      <c r="M293" s="1193"/>
      <c r="N293" s="1556">
        <f t="shared" si="37"/>
        <v>3647160</v>
      </c>
      <c r="O293" s="1101"/>
      <c r="P293" s="1529"/>
      <c r="Q293" s="8"/>
      <c r="S293" s="352"/>
    </row>
    <row r="294" spans="1:19" x14ac:dyDescent="0.2">
      <c r="A294" s="1525">
        <f t="shared" si="38"/>
        <v>20</v>
      </c>
      <c r="B294" s="1137" t="s">
        <v>731</v>
      </c>
      <c r="C294" s="1138">
        <v>900797164</v>
      </c>
      <c r="D294" s="1186">
        <f t="shared" si="36"/>
        <v>4</v>
      </c>
      <c r="E294" s="1185">
        <f>_xlfn.XLOOKUP(B294,Códigos!$B$8:$B$406,Códigos!$A$8:$A$406,"Verificar",0)</f>
        <v>291</v>
      </c>
      <c r="F294" s="1527">
        <f>SUMIF(Facturas!$B$9:$B$79,B294,Facturas!$F$9:$F$79)</f>
        <v>2637000</v>
      </c>
      <c r="G294" s="1138">
        <f>SUMIF(Facturas!$B$9:$B$79,B294,Facturas!$G$9:$G$79)</f>
        <v>501030</v>
      </c>
      <c r="H294" s="1187">
        <f>SUMIF(Facturas!$B$9:$B$79,B294,Facturas!$I$9:$I$79)</f>
        <v>-290070</v>
      </c>
      <c r="I294" s="1187">
        <f>SUMIF(Facturas!$B$9:$B$79,B294,Facturas!$J$9:$J$79)</f>
        <v>3138030</v>
      </c>
      <c r="J294" s="1138">
        <f>SUMIF(Facturas!$B$9:$B$79,B294,Facturas!$K$9:$K$79)</f>
        <v>2847960</v>
      </c>
      <c r="K294" s="1193"/>
      <c r="L294" s="1528">
        <f>IF(J294&gt;0,0,SUMIF('Cuentas de Cobro'!$B$9:$B$216,B294,'Cuentas de Cobro'!$F$9:$F$216))</f>
        <v>0</v>
      </c>
      <c r="M294" s="1193"/>
      <c r="N294" s="1556">
        <f t="shared" si="37"/>
        <v>2847960</v>
      </c>
      <c r="O294" s="1101"/>
      <c r="P294" s="1529"/>
      <c r="Q294" s="8"/>
      <c r="S294" s="352"/>
    </row>
    <row r="295" spans="1:19" x14ac:dyDescent="0.2">
      <c r="A295" s="1525">
        <f t="shared" si="38"/>
        <v>21</v>
      </c>
      <c r="B295" s="1137" t="s">
        <v>184</v>
      </c>
      <c r="C295" s="1138">
        <v>900474585</v>
      </c>
      <c r="D295" s="1186">
        <f t="shared" si="36"/>
        <v>5</v>
      </c>
      <c r="E295" s="1185">
        <f>_xlfn.XLOOKUP(B295,Códigos!$B$8:$B$406,Códigos!$A$8:$A$406,"Verificar",0)</f>
        <v>292</v>
      </c>
      <c r="F295" s="1527">
        <f>SUMIF(Facturas!$B$9:$B$79,B295,Facturas!$F$9:$F$79)</f>
        <v>3929000</v>
      </c>
      <c r="G295" s="1138">
        <f>SUMIF(Facturas!$B$9:$B$79,B295,Facturas!$G$9:$G$79)</f>
        <v>746510</v>
      </c>
      <c r="H295" s="1187">
        <f>SUMIF(Facturas!$B$9:$B$79,B295,Facturas!$I$9:$I$79)</f>
        <v>-432190</v>
      </c>
      <c r="I295" s="1187">
        <f>SUMIF(Facturas!$B$9:$B$79,B295,Facturas!$J$9:$J$79)</f>
        <v>4675510</v>
      </c>
      <c r="J295" s="1138">
        <f>SUMIF(Facturas!$B$9:$B$79,B295,Facturas!$K$9:$K$79)</f>
        <v>4243320</v>
      </c>
      <c r="K295" s="1193"/>
      <c r="L295" s="1528">
        <f>IF(J295&gt;0,0,SUMIF('Cuentas de Cobro'!$B$9:$B$216,B295,'Cuentas de Cobro'!$F$9:$F$216))</f>
        <v>0</v>
      </c>
      <c r="M295" s="1193"/>
      <c r="N295" s="1556">
        <f t="shared" si="37"/>
        <v>4243320</v>
      </c>
      <c r="O295" s="1101"/>
      <c r="P295" s="1529"/>
      <c r="Q295" s="8"/>
      <c r="S295" s="352"/>
    </row>
    <row r="296" spans="1:19" x14ac:dyDescent="0.2">
      <c r="A296" s="1525">
        <f t="shared" si="38"/>
        <v>22</v>
      </c>
      <c r="B296" s="1137" t="s">
        <v>185</v>
      </c>
      <c r="C296" s="1138">
        <v>900620247</v>
      </c>
      <c r="D296" s="1186">
        <f t="shared" si="36"/>
        <v>7</v>
      </c>
      <c r="E296" s="1185">
        <f>_xlfn.XLOOKUP(B296,Códigos!$B$8:$B$406,Códigos!$A$8:$A$406,"Verificar",0)</f>
        <v>293</v>
      </c>
      <c r="F296" s="1527">
        <f>SUMIF(Facturas!$B$9:$B$79,B296,Facturas!$F$9:$F$79)</f>
        <v>3007000</v>
      </c>
      <c r="G296" s="1138">
        <f>SUMIF(Facturas!$B$9:$B$79,B296,Facturas!$G$9:$G$79)</f>
        <v>571330</v>
      </c>
      <c r="H296" s="1187">
        <f>SUMIF(Facturas!$B$9:$B$79,B296,Facturas!$I$9:$I$79)</f>
        <v>-330770</v>
      </c>
      <c r="I296" s="1187">
        <f>SUMIF(Facturas!$B$9:$B$79,B296,Facturas!$J$9:$J$79)</f>
        <v>3578330</v>
      </c>
      <c r="J296" s="1138">
        <f>SUMIF(Facturas!$B$9:$B$79,B296,Facturas!$K$9:$K$79)</f>
        <v>3247560</v>
      </c>
      <c r="K296" s="1193"/>
      <c r="L296" s="1528">
        <f>IF(J296&gt;0,0,SUMIF('Cuentas de Cobro'!$B$9:$B$216,B296,'Cuentas de Cobro'!$F$9:$F$216))</f>
        <v>0</v>
      </c>
      <c r="M296" s="1193"/>
      <c r="N296" s="1556">
        <f t="shared" si="37"/>
        <v>3247560</v>
      </c>
      <c r="O296" s="1101"/>
      <c r="P296" s="1529"/>
      <c r="Q296" s="8"/>
      <c r="S296" s="352"/>
    </row>
    <row r="297" spans="1:19" x14ac:dyDescent="0.2">
      <c r="A297" s="1684">
        <f t="shared" si="38"/>
        <v>23</v>
      </c>
      <c r="B297" s="1090" t="s">
        <v>367</v>
      </c>
      <c r="C297" s="1210">
        <v>890941339</v>
      </c>
      <c r="D297" s="1685">
        <f t="shared" si="36"/>
        <v>8</v>
      </c>
      <c r="E297" s="1686">
        <f>_xlfn.XLOOKUP(B297,Códigos!$B$8:$B$406,Códigos!$A$8:$A$406,"Verificar",0)</f>
        <v>34</v>
      </c>
      <c r="F297" s="1687">
        <f>SUMIF(Facturas!$B$9:$B$79,B297,Facturas!$F$9:$F$79)</f>
        <v>0</v>
      </c>
      <c r="G297" s="1210">
        <f>SUMIF(Facturas!$B$9:$B$79,B297,Facturas!$G$9:$G$79)</f>
        <v>0</v>
      </c>
      <c r="H297" s="1473">
        <f>SUMIF(Facturas!$B$9:$B$79,B297,Facturas!$I$9:$I$79)</f>
        <v>0</v>
      </c>
      <c r="I297" s="1473">
        <f>SUMIF(Facturas!$B$9:$B$79,B297,Facturas!$J$9:$J$79)</f>
        <v>0</v>
      </c>
      <c r="J297" s="1210">
        <f>SUMIF(Facturas!$B$9:$B$79,B297,Facturas!$K$9:$K$79)</f>
        <v>0</v>
      </c>
      <c r="K297" s="1688"/>
      <c r="L297" s="1689">
        <f>IF(J297&gt;0,0,SUMIF('Cuentas de Cobro'!$B$9:$B$216,B297,'Cuentas de Cobro'!$F$9:$F$216))</f>
        <v>0</v>
      </c>
      <c r="M297" s="1688"/>
      <c r="N297" s="1660">
        <f t="shared" si="37"/>
        <v>0</v>
      </c>
      <c r="O297" s="1690"/>
      <c r="P297" s="1691"/>
      <c r="Q297" s="8"/>
      <c r="R297" s="1379" t="s">
        <v>805</v>
      </c>
      <c r="S297" s="352"/>
    </row>
    <row r="298" spans="1:19" x14ac:dyDescent="0.2">
      <c r="A298" s="1525">
        <f t="shared" si="38"/>
        <v>24</v>
      </c>
      <c r="B298" s="1201" t="s">
        <v>187</v>
      </c>
      <c r="C298" s="1138">
        <v>900103304</v>
      </c>
      <c r="D298" s="1186">
        <f t="shared" si="36"/>
        <v>1</v>
      </c>
      <c r="E298" s="1185">
        <f>_xlfn.XLOOKUP(B298,Códigos!$B$8:$B$406,Códigos!$A$8:$A$406,"Verificar",0)</f>
        <v>25</v>
      </c>
      <c r="F298" s="1527">
        <f>SUMIF(Facturas!$B$9:$B$79,B298,Facturas!$F$9:$F$79)</f>
        <v>3876000</v>
      </c>
      <c r="G298" s="1138">
        <f>SUMIF(Facturas!$B$9:$B$79,B298,Facturas!$G$9:$G$79)</f>
        <v>736440</v>
      </c>
      <c r="H298" s="1187">
        <f>SUMIF(Facturas!$B$9:$B$79,B298,Facturas!$I$9:$I$79)</f>
        <v>-426360</v>
      </c>
      <c r="I298" s="1187">
        <f>SUMIF(Facturas!$B$9:$B$79,B298,Facturas!$J$9:$J$79)</f>
        <v>4612440</v>
      </c>
      <c r="J298" s="1138">
        <f>SUMIF(Facturas!$B$9:$B$79,B298,Facturas!$K$9:$K$79)</f>
        <v>4186080</v>
      </c>
      <c r="K298" s="1193"/>
      <c r="L298" s="1528">
        <f>IF(J298&gt;0,0,SUMIF('Cuentas de Cobro'!$B$9:$B$216,B298,'Cuentas de Cobro'!$F$9:$F$216))</f>
        <v>0</v>
      </c>
      <c r="M298" s="1193"/>
      <c r="N298" s="1556">
        <f t="shared" si="37"/>
        <v>4186080</v>
      </c>
      <c r="O298" s="1101"/>
      <c r="P298" s="1529"/>
      <c r="Q298" s="8"/>
      <c r="S298" s="352"/>
    </row>
    <row r="299" spans="1:19" x14ac:dyDescent="0.2">
      <c r="A299" s="1525">
        <f t="shared" si="38"/>
        <v>25</v>
      </c>
      <c r="B299" s="1137" t="s">
        <v>188</v>
      </c>
      <c r="C299" s="1156">
        <v>890910546</v>
      </c>
      <c r="D299" s="1186">
        <f t="shared" si="36"/>
        <v>3</v>
      </c>
      <c r="E299" s="1185">
        <f>_xlfn.XLOOKUP(B299,Códigos!$B$8:$B$406,Códigos!$A$8:$A$406,"Verificar",0)</f>
        <v>28</v>
      </c>
      <c r="F299" s="1527">
        <f>SUMIF(Facturas!$B$9:$B$79,B299,Facturas!$F$9:$F$79)</f>
        <v>11587000</v>
      </c>
      <c r="G299" s="1138">
        <f>SUMIF(Facturas!$B$9:$B$79,B299,Facturas!$G$9:$G$79)</f>
        <v>2201530</v>
      </c>
      <c r="H299" s="1187">
        <f>SUMIF(Facturas!$B$9:$B$79,B299,Facturas!$I$9:$I$79)</f>
        <v>-1274570</v>
      </c>
      <c r="I299" s="1187">
        <f>SUMIF(Facturas!$B$9:$B$79,B299,Facturas!$J$9:$J$79)</f>
        <v>13788530</v>
      </c>
      <c r="J299" s="1138">
        <f>SUMIF(Facturas!$B$9:$B$79,B299,Facturas!$K$9:$K$79)</f>
        <v>12513960</v>
      </c>
      <c r="K299" s="1193"/>
      <c r="L299" s="1528">
        <f>IF(J299&gt;0,0,SUMIF('Cuentas de Cobro'!$B$9:$B$216,B299,'Cuentas de Cobro'!$F$9:$F$216))</f>
        <v>0</v>
      </c>
      <c r="M299" s="1193"/>
      <c r="N299" s="1556">
        <f t="shared" si="37"/>
        <v>12513960</v>
      </c>
      <c r="O299" s="1101"/>
      <c r="P299" s="1529"/>
      <c r="Q299" s="8"/>
      <c r="S299" s="352"/>
    </row>
    <row r="300" spans="1:19" x14ac:dyDescent="0.2">
      <c r="A300" s="1525">
        <f t="shared" si="38"/>
        <v>26</v>
      </c>
      <c r="B300" s="1137" t="s">
        <v>735</v>
      </c>
      <c r="C300" s="1138">
        <v>890924327</v>
      </c>
      <c r="D300" s="1186">
        <f t="shared" si="36"/>
        <v>8</v>
      </c>
      <c r="E300" s="1185">
        <f>_xlfn.XLOOKUP(B300,Códigos!$B$8:$B$406,Códigos!$A$8:$A$406,"Verificar",0)</f>
        <v>29</v>
      </c>
      <c r="F300" s="1527">
        <f>SUMIF(Facturas!$B$9:$B$79,B300,Facturas!$F$9:$F$79)</f>
        <v>0</v>
      </c>
      <c r="G300" s="1138">
        <f>SUMIF(Facturas!$B$9:$B$79,B300,Facturas!$G$9:$G$79)</f>
        <v>0</v>
      </c>
      <c r="H300" s="1187">
        <f>SUMIF(Facturas!$B$9:$B$79,B300,Facturas!$I$9:$I$79)</f>
        <v>0</v>
      </c>
      <c r="I300" s="1187">
        <f>SUMIF(Facturas!$B$9:$B$79,B300,Facturas!$J$9:$J$79)</f>
        <v>0</v>
      </c>
      <c r="J300" s="1138">
        <f>SUMIF(Facturas!$B$9:$B$79,B300,Facturas!$K$9:$K$79)</f>
        <v>0</v>
      </c>
      <c r="K300" s="1193"/>
      <c r="L300" s="1528">
        <f>IF(J300&gt;0,0,SUMIF('Cuentas de Cobro'!$B$9:$B$216,B300,'Cuentas de Cobro'!$F$9:$F$216))</f>
        <v>0</v>
      </c>
      <c r="M300" s="1193"/>
      <c r="N300" s="1556">
        <f t="shared" si="37"/>
        <v>0</v>
      </c>
      <c r="O300" s="1101"/>
      <c r="P300" s="1529"/>
      <c r="Q300" s="8"/>
      <c r="S300" s="352"/>
    </row>
    <row r="301" spans="1:19" x14ac:dyDescent="0.2">
      <c r="A301" s="1525">
        <f t="shared" si="38"/>
        <v>27</v>
      </c>
      <c r="B301" s="1192" t="s">
        <v>189</v>
      </c>
      <c r="C301" s="1138">
        <v>890927723</v>
      </c>
      <c r="D301" s="1186">
        <f t="shared" ref="D301:D306" si="39">IF((MOD((VALUE(MID(TEXT(C301,"000000000000000"),15,1))*3+VALUE(MID(TEXT(C301,"000000000000000"),14,1))*7+VALUE(MID(TEXT(C301,"000000000000000"),13,1))*13+VALUE(MID(TEXT(C301,"000000000000000"),12,1))*17+VALUE(MID(TEXT(C301,"000000000000000"),11,1))*19+VALUE(MID(TEXT(C301,"000000000000000"),10,1))*23+VALUE(MID(TEXT(C301,"000000000000000"),9,1))*29+VALUE(MID(TEXT(C301,"000000000000000"),8,1))*37+VALUE(MID(TEXT(C301,"000000000000000"),7,1))*41+VALUE(MID(TEXT(C301,"000000000000000"),6,1))*43+VALUE(MID(TEXT(C301,"000000000000000"),5,1))*47+VALUE(MID(TEXT(C301,"000000000000000"),4,1))*53+VALUE(MID(TEXT(C301,"000000000000000"),3,1))*59+VALUE(MID(TEXT(C301,"000000000000000"),2,1))*67+VALUE(MID(TEXT(C301,"000000000000000"),1,1))*71),11))=0,0,IF((MOD((VALUE(MID(TEXT(C301,"000000000000000"),15,1))*3+VALUE(MID(TEXT(C301,"000000000000000"),14,1))*7+VALUE(MID(TEXT(C301,"000000000000000"),13,1))*13+VALUE(MID(TEXT(C301,"000000000000000"),12,1))*17+VALUE(MID(TEXT(C301,"000000000000000"),11,1))*19+VALUE(MID(TEXT(C301,"000000000000000"),10,1))*23+VALUE(MID(TEXT(C301,"000000000000000"),9,1))*29+VALUE(MID(TEXT(C301,"000000000000000"),8,1))*37+VALUE(MID(TEXT(C301,"000000000000000"),7,1))*41+VALUE(MID(TEXT(C301,"000000000000000"),6,1))*43+VALUE(MID(TEXT(C301,"000000000000000"),5,1))*47+VALUE(MID(TEXT(C301,"000000000000000"),4,1))*53+VALUE(MID(TEXT(C301,"000000000000000"),3,1))*59+VALUE(MID(TEXT(C301,"000000000000000"),2,1))*67+VALUE(MID(TEXT(C301,"000000000000000"),1,1))*71),11))=1,1,11-(MOD((VALUE(MID(TEXT(C301,"000000000000000"),15,1))*3+VALUE(MID(TEXT(C301,"000000000000000"),14,1))*7+VALUE(MID(TEXT(C301,"000000000000000"),13,1))*13+VALUE(MID(TEXT(C301,"000000000000000"),12,1))*17+VALUE(MID(TEXT(C301,"000000000000000"),11,1))*19+VALUE(MID(TEXT(C301,"000000000000000"),10,1))*23+VALUE(MID(TEXT(C301,"000000000000000"),9,1))*29+VALUE(MID(TEXT(C301,"000000000000000"),8,1))*37+VALUE(MID(TEXT(C301,"000000000000000"),7,1))*41+VALUE(MID(TEXT(C301,"000000000000000"),6,1))*43+VALUE(MID(TEXT(C301,"000000000000000"),5,1))*47+VALUE(MID(TEXT(C301,"000000000000000"),4,1))*53+VALUE(MID(TEXT(C301,"000000000000000"),3,1))*59+VALUE(MID(TEXT(C301,"000000000000000"),2,1))*67+VALUE(MID(TEXT(C301,"000000000000000"),1,1))*71),11))))</f>
        <v>5</v>
      </c>
      <c r="E301" s="1185">
        <f>_xlfn.XLOOKUP(B301,Códigos!$B$8:$B$406,Códigos!$A$8:$A$406,"Verificar",0)</f>
        <v>31</v>
      </c>
      <c r="F301" s="1527">
        <f>SUMIF(Facturas!$B$9:$B$79,B301,Facturas!$F$9:$F$79)</f>
        <v>0</v>
      </c>
      <c r="G301" s="1138">
        <f>SUMIF(Facturas!$B$9:$B$79,B301,Facturas!$G$9:$G$79)</f>
        <v>0</v>
      </c>
      <c r="H301" s="1187">
        <f>SUMIF(Facturas!$B$9:$B$79,B301,Facturas!$I$9:$I$79)</f>
        <v>0</v>
      </c>
      <c r="I301" s="1187">
        <f>SUMIF(Facturas!$B$9:$B$79,B301,Facturas!$J$9:$J$79)</f>
        <v>0</v>
      </c>
      <c r="J301" s="1138">
        <f>SUMIF(Facturas!$B$9:$B$79,B301,Facturas!$K$9:$K$79)</f>
        <v>0</v>
      </c>
      <c r="K301" s="1193"/>
      <c r="L301" s="1528">
        <f>IF(J301&gt;0,0,SUMIF('Cuentas de Cobro'!$B$9:$B$216,B301,'Cuentas de Cobro'!$F$9:$F$216))</f>
        <v>0</v>
      </c>
      <c r="M301" s="1193"/>
      <c r="N301" s="1556">
        <f t="shared" ref="N301:N306" si="40">+J301+L301</f>
        <v>0</v>
      </c>
      <c r="O301" s="1101"/>
      <c r="P301" s="1529"/>
      <c r="Q301" s="8"/>
    </row>
    <row r="302" spans="1:19" x14ac:dyDescent="0.2">
      <c r="A302" s="1525">
        <f t="shared" si="38"/>
        <v>28</v>
      </c>
      <c r="B302" s="1192" t="s">
        <v>193</v>
      </c>
      <c r="C302" s="1138">
        <v>900835266</v>
      </c>
      <c r="D302" s="1186">
        <f t="shared" si="39"/>
        <v>0</v>
      </c>
      <c r="E302" s="1185">
        <f>_xlfn.XLOOKUP(B302,Códigos!$B$8:$B$406,Códigos!$A$8:$A$406,"Verificar",0)</f>
        <v>302</v>
      </c>
      <c r="F302" s="1527">
        <f>SUMIF(Facturas!$B$9:$B$79,B302,Facturas!$F$9:$F$79)</f>
        <v>0</v>
      </c>
      <c r="G302" s="1138">
        <f>SUMIF(Facturas!$B$9:$B$79,B302,Facturas!$G$9:$G$79)</f>
        <v>0</v>
      </c>
      <c r="H302" s="1187">
        <f>SUMIF(Facturas!$B$9:$B$79,B302,Facturas!$I$9:$I$79)</f>
        <v>0</v>
      </c>
      <c r="I302" s="1187">
        <f>SUMIF(Facturas!$B$9:$B$79,B302,Facturas!$J$9:$J$79)</f>
        <v>0</v>
      </c>
      <c r="J302" s="1138">
        <f>SUMIF(Facturas!$B$9:$B$79,B302,Facturas!$K$9:$K$79)</f>
        <v>0</v>
      </c>
      <c r="K302" s="1193"/>
      <c r="L302" s="1528">
        <f>IF(J302&gt;0,0,SUMIF('Cuentas de Cobro'!$B$9:$B$216,B302,'Cuentas de Cobro'!$F$9:$F$216))</f>
        <v>1930000</v>
      </c>
      <c r="M302" s="1193"/>
      <c r="N302" s="1556">
        <f t="shared" si="40"/>
        <v>1930000</v>
      </c>
      <c r="O302" s="1101"/>
      <c r="P302" s="1529"/>
      <c r="Q302" s="8"/>
    </row>
    <row r="303" spans="1:19" x14ac:dyDescent="0.2">
      <c r="A303" s="1525">
        <f t="shared" si="38"/>
        <v>29</v>
      </c>
      <c r="B303" s="1192" t="s">
        <v>368</v>
      </c>
      <c r="C303" s="1138">
        <v>800178231</v>
      </c>
      <c r="D303" s="1186">
        <f t="shared" si="39"/>
        <v>1</v>
      </c>
      <c r="E303" s="1185">
        <f>_xlfn.XLOOKUP(B303,Códigos!$B$8:$B$406,Códigos!$A$8:$A$406,"Verificar",0)</f>
        <v>35</v>
      </c>
      <c r="F303" s="1527">
        <f>SUMIF(Facturas!$B$9:$B$79,B303,Facturas!$F$9:$F$79)</f>
        <v>3391000</v>
      </c>
      <c r="G303" s="1138">
        <f>SUMIF(Facturas!$B$9:$B$79,B303,Facturas!$G$9:$G$79)</f>
        <v>644290</v>
      </c>
      <c r="H303" s="1187">
        <f>SUMIF(Facturas!$B$9:$B$79,B303,Facturas!$I$9:$I$79)</f>
        <v>-373010</v>
      </c>
      <c r="I303" s="1187">
        <f>SUMIF(Facturas!$B$9:$B$79,B303,Facturas!$J$9:$J$79)</f>
        <v>4035290</v>
      </c>
      <c r="J303" s="1138">
        <f>SUMIF(Facturas!$B$9:$B$79,B303,Facturas!$K$9:$K$79)</f>
        <v>3662280</v>
      </c>
      <c r="K303" s="1193"/>
      <c r="L303" s="1528">
        <f>IF(J303&gt;0,0,SUMIF('Cuentas de Cobro'!$B$9:$B$216,B303,'Cuentas de Cobro'!$F$9:$F$216))</f>
        <v>0</v>
      </c>
      <c r="M303" s="1193"/>
      <c r="N303" s="1556">
        <f t="shared" si="40"/>
        <v>3662280</v>
      </c>
      <c r="O303" s="1101"/>
      <c r="P303" s="1529"/>
      <c r="Q303" s="8"/>
    </row>
    <row r="304" spans="1:19" x14ac:dyDescent="0.2">
      <c r="A304" s="1525">
        <f t="shared" si="38"/>
        <v>30</v>
      </c>
      <c r="B304" s="1192" t="s">
        <v>724</v>
      </c>
      <c r="C304" s="1138">
        <v>900742209</v>
      </c>
      <c r="D304" s="1186">
        <f t="shared" si="39"/>
        <v>0</v>
      </c>
      <c r="E304" s="1185">
        <f>_xlfn.XLOOKUP(B304,Códigos!$B$8:$B$406,Códigos!$A$8:$A$406,"Verificar",0)</f>
        <v>294</v>
      </c>
      <c r="F304" s="1527">
        <f>SUMIF(Facturas!$B$9:$B$79,B304,Facturas!$F$9:$F$79)</f>
        <v>3873000</v>
      </c>
      <c r="G304" s="1138">
        <f>SUMIF(Facturas!$B$9:$B$79,B304,Facturas!$G$9:$G$79)</f>
        <v>735870</v>
      </c>
      <c r="H304" s="1187">
        <f>SUMIF(Facturas!$B$9:$B$79,B304,Facturas!$I$9:$I$79)</f>
        <v>-426030</v>
      </c>
      <c r="I304" s="1187">
        <f>SUMIF(Facturas!$B$9:$B$79,B304,Facturas!$J$9:$J$79)</f>
        <v>4608870</v>
      </c>
      <c r="J304" s="1138">
        <f>SUMIF(Facturas!$B$9:$B$79,B304,Facturas!$K$9:$K$79)</f>
        <v>4182840</v>
      </c>
      <c r="K304" s="1193"/>
      <c r="L304" s="1528">
        <f>IF(J304&gt;0,0,SUMIF('Cuentas de Cobro'!$B$9:$B$216,B304,'Cuentas de Cobro'!$F$9:$F$216))</f>
        <v>0</v>
      </c>
      <c r="M304" s="1193"/>
      <c r="N304" s="1556">
        <f t="shared" si="40"/>
        <v>4182840</v>
      </c>
      <c r="O304" s="1101"/>
      <c r="P304" s="1529"/>
      <c r="Q304" s="8"/>
    </row>
    <row r="305" spans="1:17" x14ac:dyDescent="0.2">
      <c r="A305" s="1525">
        <f t="shared" si="38"/>
        <v>31</v>
      </c>
      <c r="B305" s="1192" t="s">
        <v>740</v>
      </c>
      <c r="C305" s="1138">
        <v>901035800</v>
      </c>
      <c r="D305" s="1186">
        <f t="shared" si="39"/>
        <v>5</v>
      </c>
      <c r="E305" s="1185">
        <f>_xlfn.XLOOKUP(B305,Códigos!$B$8:$B$406,Códigos!$A$8:$A$406,"Verificar",0)</f>
        <v>319</v>
      </c>
      <c r="F305" s="1527">
        <f>SUMIF(Facturas!$B$9:$B$79,B305,Facturas!$F$9:$F$79)</f>
        <v>3873000</v>
      </c>
      <c r="G305" s="1138">
        <f>SUMIF(Facturas!$B$9:$B$79,B305,Facturas!$G$9:$G$79)</f>
        <v>735870</v>
      </c>
      <c r="H305" s="1187">
        <f>SUMIF(Facturas!$B$9:$B$79,B305,Facturas!$I$9:$I$79)</f>
        <v>-426030</v>
      </c>
      <c r="I305" s="1187">
        <f>SUMIF(Facturas!$B$9:$B$79,B305,Facturas!$J$9:$J$79)</f>
        <v>4608870</v>
      </c>
      <c r="J305" s="1138">
        <f>SUMIF(Facturas!$B$9:$B$79,B305,Facturas!$K$9:$K$79)</f>
        <v>4182840</v>
      </c>
      <c r="K305" s="1193"/>
      <c r="L305" s="1528">
        <f>IF(J305&gt;0,0,SUMIF('Cuentas de Cobro'!$B$9:$B$216,B305,'Cuentas de Cobro'!$F$9:$F$216))</f>
        <v>0</v>
      </c>
      <c r="M305" s="1193"/>
      <c r="N305" s="1556">
        <f t="shared" si="40"/>
        <v>4182840</v>
      </c>
      <c r="O305" s="1101"/>
      <c r="P305" s="1529"/>
      <c r="Q305" s="8"/>
    </row>
    <row r="306" spans="1:17" x14ac:dyDescent="0.2">
      <c r="A306" s="1525">
        <f t="shared" si="38"/>
        <v>32</v>
      </c>
      <c r="B306" s="1192" t="s">
        <v>195</v>
      </c>
      <c r="C306" s="1138">
        <v>900258791</v>
      </c>
      <c r="D306" s="1186">
        <f t="shared" si="39"/>
        <v>0</v>
      </c>
      <c r="E306" s="1185">
        <f>_xlfn.XLOOKUP(B306,Códigos!$B$8:$B$406,Códigos!$A$8:$A$406,"Verificar",0)</f>
        <v>37</v>
      </c>
      <c r="F306" s="1527">
        <f>SUMIF(Facturas!$B$9:$B$79,B306,Facturas!$F$9:$F$79)</f>
        <v>3372000</v>
      </c>
      <c r="G306" s="1138">
        <f>SUMIF(Facturas!$B$9:$B$79,B306,Facturas!$G$9:$G$79)</f>
        <v>640680</v>
      </c>
      <c r="H306" s="1187">
        <f>SUMIF(Facturas!$B$9:$B$79,B306,Facturas!$I$9:$I$79)</f>
        <v>-370920</v>
      </c>
      <c r="I306" s="1187">
        <f>SUMIF(Facturas!$B$9:$B$79,B306,Facturas!$J$9:$J$79)</f>
        <v>4012680</v>
      </c>
      <c r="J306" s="1138">
        <f>SUMIF(Facturas!$B$9:$B$79,B306,Facturas!$K$9:$K$79)</f>
        <v>3641760</v>
      </c>
      <c r="K306" s="1193"/>
      <c r="L306" s="1528">
        <f>IF(J306&gt;0,0,SUMIF('Cuentas de Cobro'!$B$9:$B$216,B306,'Cuentas de Cobro'!$F$9:$F$216))</f>
        <v>0</v>
      </c>
      <c r="M306" s="1193"/>
      <c r="N306" s="1556">
        <f t="shared" si="40"/>
        <v>3641760</v>
      </c>
      <c r="O306" s="1101"/>
      <c r="P306" s="1529"/>
      <c r="Q306" s="8"/>
    </row>
    <row r="307" spans="1:17" x14ac:dyDescent="0.2">
      <c r="A307" s="1525"/>
      <c r="B307" s="1192"/>
      <c r="C307" s="1138"/>
      <c r="D307" s="1526"/>
      <c r="E307" s="1187"/>
      <c r="F307" s="1527"/>
      <c r="G307" s="1138"/>
      <c r="H307" s="1187"/>
      <c r="I307" s="1187"/>
      <c r="J307" s="1138"/>
      <c r="K307" s="1193"/>
      <c r="L307" s="1528"/>
      <c r="M307" s="1193"/>
      <c r="N307" s="1556"/>
      <c r="O307" s="1101"/>
      <c r="P307" s="1529"/>
      <c r="Q307" s="8"/>
    </row>
    <row r="308" spans="1:17" x14ac:dyDescent="0.2">
      <c r="A308" s="1525"/>
      <c r="B308" s="1192"/>
      <c r="C308" s="1138"/>
      <c r="D308" s="1526"/>
      <c r="E308" s="1187"/>
      <c r="F308" s="1527"/>
      <c r="G308" s="1138"/>
      <c r="H308" s="1187"/>
      <c r="I308" s="1187"/>
      <c r="J308" s="1138"/>
      <c r="K308" s="1193"/>
      <c r="L308" s="1528"/>
      <c r="M308" s="1193"/>
      <c r="N308" s="1556"/>
      <c r="O308" s="1101"/>
      <c r="P308" s="1529"/>
      <c r="Q308" s="8"/>
    </row>
    <row r="309" spans="1:17" x14ac:dyDescent="0.2">
      <c r="A309" s="1525"/>
      <c r="B309" s="1192"/>
      <c r="C309" s="1138"/>
      <c r="D309" s="1526"/>
      <c r="E309" s="1187"/>
      <c r="F309" s="1527"/>
      <c r="G309" s="1138"/>
      <c r="H309" s="1187"/>
      <c r="I309" s="1187"/>
      <c r="J309" s="1138"/>
      <c r="K309" s="1193"/>
      <c r="L309" s="1528"/>
      <c r="M309" s="1193"/>
      <c r="N309" s="1556"/>
      <c r="O309" s="1101"/>
      <c r="P309" s="1529"/>
      <c r="Q309" s="8"/>
    </row>
    <row r="310" spans="1:17" x14ac:dyDescent="0.2">
      <c r="A310" s="1525"/>
      <c r="B310" s="1192"/>
      <c r="C310" s="1138"/>
      <c r="D310" s="1526"/>
      <c r="E310" s="1185"/>
      <c r="F310" s="1527"/>
      <c r="G310" s="1138"/>
      <c r="H310" s="1187"/>
      <c r="I310" s="1187"/>
      <c r="J310" s="1138"/>
      <c r="K310" s="1193"/>
      <c r="L310" s="1528"/>
      <c r="M310" s="1193"/>
      <c r="N310" s="1556"/>
      <c r="O310" s="1101"/>
      <c r="P310" s="1529"/>
      <c r="Q310" s="8"/>
    </row>
    <row r="311" spans="1:17" ht="13.5" thickBot="1" x14ac:dyDescent="0.25">
      <c r="A311" s="1692"/>
      <c r="B311" s="746"/>
      <c r="C311" s="392"/>
      <c r="D311" s="511"/>
      <c r="E311" s="517"/>
      <c r="F311" s="1453"/>
      <c r="G311" s="392"/>
      <c r="H311" s="517"/>
      <c r="I311" s="517"/>
      <c r="J311" s="392"/>
      <c r="K311" s="747"/>
      <c r="L311" s="1693"/>
      <c r="M311" s="747"/>
      <c r="N311" s="1557"/>
      <c r="O311" s="622"/>
      <c r="P311" s="1680"/>
      <c r="Q311" s="8"/>
    </row>
    <row r="312" spans="1:17" ht="13.5" thickBot="1" x14ac:dyDescent="0.25">
      <c r="A312" s="260"/>
      <c r="B312" s="157"/>
      <c r="C312" s="157"/>
      <c r="D312" s="515"/>
      <c r="E312" s="515"/>
      <c r="H312" s="159"/>
      <c r="I312" s="159"/>
      <c r="N312" s="1559"/>
      <c r="Q312" s="8"/>
    </row>
    <row r="313" spans="1:17" ht="13.5" thickBot="1" x14ac:dyDescent="0.25">
      <c r="A313" s="162" t="s">
        <v>290</v>
      </c>
      <c r="B313" s="228"/>
      <c r="C313" s="228"/>
      <c r="D313" s="518"/>
      <c r="E313" s="518"/>
      <c r="F313" s="836">
        <f>SUM(F275:F311)</f>
        <v>83629000</v>
      </c>
      <c r="G313" s="836">
        <f>SUM(G275:G311)</f>
        <v>15889510</v>
      </c>
      <c r="H313" s="837">
        <f>SUM(H275:H311)</f>
        <v>-9199190</v>
      </c>
      <c r="I313" s="837">
        <f>SUM(I275:I311)</f>
        <v>99518510</v>
      </c>
      <c r="J313" s="836">
        <f>SUM(J275:J311)</f>
        <v>90319320</v>
      </c>
      <c r="K313" s="836"/>
      <c r="L313" s="836">
        <f>SUM(L275:L311)</f>
        <v>5500000</v>
      </c>
      <c r="M313" s="836"/>
      <c r="N313" s="837">
        <f>SUM(N275:N311)</f>
        <v>95819320</v>
      </c>
      <c r="Q313" s="234"/>
    </row>
    <row r="314" spans="1:17" x14ac:dyDescent="0.2">
      <c r="A314" s="198"/>
      <c r="B314" s="155"/>
      <c r="C314" s="155"/>
      <c r="D314" s="488"/>
      <c r="E314" s="488"/>
      <c r="F314" s="7"/>
      <c r="G314" s="7"/>
      <c r="H314" s="7"/>
      <c r="I314" s="7"/>
      <c r="J314" s="7"/>
      <c r="K314" s="66"/>
      <c r="L314" s="66"/>
      <c r="M314" s="66"/>
      <c r="N314" s="156"/>
      <c r="Q314" s="66"/>
    </row>
    <row r="315" spans="1:17" ht="13.5" thickBot="1" x14ac:dyDescent="0.25">
      <c r="A315" s="853"/>
      <c r="B315" s="351"/>
      <c r="C315" s="351"/>
      <c r="D315" s="515"/>
      <c r="E315" s="515"/>
    </row>
    <row r="316" spans="1:17" ht="14.25" thickTop="1" thickBot="1" x14ac:dyDescent="0.25">
      <c r="A316" s="151" t="s">
        <v>293</v>
      </c>
      <c r="B316" s="152"/>
      <c r="C316" s="1531">
        <f>+A246+A306</f>
        <v>269</v>
      </c>
      <c r="D316" s="488"/>
      <c r="E316" s="488"/>
      <c r="F316" s="151">
        <f>+F271+F313</f>
        <v>121229000</v>
      </c>
      <c r="G316" s="151">
        <f>+G271+G313</f>
        <v>23033510</v>
      </c>
      <c r="H316" s="151">
        <f>+H271+H313</f>
        <v>-12447490</v>
      </c>
      <c r="I316" s="151">
        <f>+I271+I313</f>
        <v>144262510</v>
      </c>
      <c r="J316" s="1572">
        <f>+J271+J313</f>
        <v>131815020</v>
      </c>
      <c r="L316" s="1572">
        <f>+L271+L313</f>
        <v>118150000</v>
      </c>
      <c r="N316" s="151">
        <f>+N271+N313</f>
        <v>249965020</v>
      </c>
      <c r="O316" s="176">
        <f>+F316+L316</f>
        <v>239379000</v>
      </c>
    </row>
    <row r="317" spans="1:17" ht="13.5" thickTop="1" x14ac:dyDescent="0.2">
      <c r="A317" s="84" t="s">
        <v>338</v>
      </c>
      <c r="B317" s="217"/>
      <c r="C317" s="1532">
        <f>+Facturas!D82+'Cuentas de Cobro'!D217</f>
        <v>223</v>
      </c>
      <c r="D317" s="514"/>
      <c r="E317" s="514"/>
      <c r="F317" s="84">
        <f>+Facturas!F82</f>
        <v>121229000</v>
      </c>
      <c r="G317" s="84">
        <f>+Facturas!G82</f>
        <v>23033510</v>
      </c>
      <c r="H317" s="84">
        <f>+Facturas!I82</f>
        <v>-12447490</v>
      </c>
      <c r="I317" s="84">
        <f>+Facturas!J82</f>
        <v>144262510</v>
      </c>
      <c r="J317" s="84">
        <f>+Facturas!K82</f>
        <v>131815020</v>
      </c>
      <c r="K317" s="84"/>
      <c r="L317" s="90">
        <f>+'Cuentas de Cobro'!F217</f>
        <v>118620000</v>
      </c>
    </row>
    <row r="318" spans="1:17" s="1267" customFormat="1" x14ac:dyDescent="0.2">
      <c r="A318" s="1568" t="s">
        <v>344</v>
      </c>
      <c r="B318" s="1569"/>
      <c r="C318" s="1570">
        <f>+C316-C317</f>
        <v>46</v>
      </c>
      <c r="D318" s="1571"/>
      <c r="E318" s="1571"/>
      <c r="F318" s="1568">
        <f>+F316-F317</f>
        <v>0</v>
      </c>
      <c r="G318" s="1568">
        <f>+G316-G317</f>
        <v>0</v>
      </c>
      <c r="H318" s="1568">
        <f t="shared" ref="H318:J318" si="41">+H316-H317</f>
        <v>0</v>
      </c>
      <c r="I318" s="1568">
        <f t="shared" si="41"/>
        <v>0</v>
      </c>
      <c r="J318" s="1568">
        <f t="shared" si="41"/>
        <v>0</v>
      </c>
      <c r="K318" s="1568"/>
      <c r="L318" s="1568">
        <f>+L316-L317</f>
        <v>-470000</v>
      </c>
      <c r="M318" s="1568"/>
      <c r="N318" s="1567"/>
      <c r="Q318" s="1568"/>
    </row>
    <row r="319" spans="1:17" x14ac:dyDescent="0.2">
      <c r="B319" s="157"/>
      <c r="C319" s="157"/>
      <c r="D319" s="515"/>
      <c r="E319" s="515"/>
    </row>
    <row r="320" spans="1:17" x14ac:dyDescent="0.2">
      <c r="A320" s="498" t="s">
        <v>339</v>
      </c>
      <c r="B320" s="157"/>
      <c r="C320" s="157"/>
      <c r="D320" s="515"/>
      <c r="E320" s="515"/>
      <c r="F320" s="498">
        <f>+F271+F313</f>
        <v>121229000</v>
      </c>
      <c r="G320" s="177" t="s">
        <v>307</v>
      </c>
      <c r="H320" s="177"/>
      <c r="I320" s="177"/>
    </row>
    <row r="321" spans="1:10" x14ac:dyDescent="0.2">
      <c r="A321" s="74" t="s">
        <v>340</v>
      </c>
      <c r="B321" s="157"/>
      <c r="C321" s="157"/>
      <c r="D321" s="515"/>
      <c r="E321" s="515"/>
      <c r="F321" s="74">
        <f>+G271+G313</f>
        <v>23033510</v>
      </c>
      <c r="H321" s="74">
        <f>+F321/12</f>
        <v>1919459.1666666667</v>
      </c>
      <c r="I321" s="74" t="s">
        <v>681</v>
      </c>
    </row>
    <row r="322" spans="1:10" x14ac:dyDescent="0.2">
      <c r="A322" s="74" t="s">
        <v>341</v>
      </c>
      <c r="B322" s="157"/>
      <c r="C322" s="157"/>
      <c r="D322" s="515"/>
      <c r="E322" s="515"/>
      <c r="F322" s="74">
        <f>+H271+H313</f>
        <v>-12447490</v>
      </c>
    </row>
    <row r="323" spans="1:10" x14ac:dyDescent="0.2">
      <c r="A323" s="90" t="s">
        <v>715</v>
      </c>
      <c r="B323" s="90"/>
      <c r="C323" s="90"/>
      <c r="D323" s="498"/>
      <c r="E323" s="498"/>
      <c r="F323" s="90">
        <f>SUM(F320:F322)</f>
        <v>131815020</v>
      </c>
    </row>
    <row r="325" spans="1:10" x14ac:dyDescent="0.2">
      <c r="A325" s="498" t="s">
        <v>342</v>
      </c>
      <c r="F325" s="498">
        <f>+L271+L313</f>
        <v>118150000</v>
      </c>
    </row>
    <row r="326" spans="1:10" x14ac:dyDescent="0.2">
      <c r="A326" s="74" t="s">
        <v>379</v>
      </c>
    </row>
    <row r="328" spans="1:10" x14ac:dyDescent="0.2">
      <c r="A328" s="90" t="s">
        <v>716</v>
      </c>
      <c r="B328" s="90"/>
      <c r="C328" s="90"/>
      <c r="D328" s="498"/>
      <c r="E328" s="498"/>
      <c r="F328" s="90">
        <f>SUM(F325:F327)</f>
        <v>118150000</v>
      </c>
    </row>
    <row r="330" spans="1:10" ht="25.5" x14ac:dyDescent="0.2">
      <c r="A330" s="90" t="s">
        <v>343</v>
      </c>
      <c r="F330" s="90">
        <f>+F323+F328</f>
        <v>249965020</v>
      </c>
      <c r="G330" s="942">
        <f>+F330/12</f>
        <v>20830418.333333332</v>
      </c>
      <c r="H330" s="943" t="s">
        <v>682</v>
      </c>
    </row>
    <row r="332" spans="1:10" ht="13.5" thickBot="1" x14ac:dyDescent="0.25"/>
    <row r="333" spans="1:10" ht="26.25" thickBot="1" x14ac:dyDescent="0.25">
      <c r="A333" s="1074" t="s">
        <v>832</v>
      </c>
      <c r="B333" s="1075"/>
      <c r="C333" s="1075"/>
      <c r="D333" s="1077"/>
      <c r="E333" s="1076"/>
      <c r="F333" s="1078">
        <f>+F330-F321</f>
        <v>226931510</v>
      </c>
      <c r="G333" s="1074">
        <f>+F333/12</f>
        <v>18910959.166666668</v>
      </c>
      <c r="H333" s="1079" t="s">
        <v>717</v>
      </c>
      <c r="I333" s="74">
        <f>+G333-G330</f>
        <v>-1919459.1666666642</v>
      </c>
      <c r="J333" s="74" t="s">
        <v>681</v>
      </c>
    </row>
    <row r="336" spans="1:10" x14ac:dyDescent="0.2">
      <c r="F336" s="74">
        <f>++J316+L316</f>
        <v>249965020</v>
      </c>
    </row>
  </sheetData>
  <mergeCells count="2">
    <mergeCell ref="L5:M5"/>
    <mergeCell ref="F5:K5"/>
  </mergeCells>
  <printOptions horizontalCentered="1"/>
  <pageMargins left="0.19685039370078741" right="0.19685039370078741" top="0.19685039370078741" bottom="0.19685039370078741" header="0" footer="0"/>
  <pageSetup scale="78" orientation="portrait" r:id="rId1"/>
  <headerFooter alignWithMargins="0"/>
  <rowBreaks count="1" manualBreakCount="1">
    <brk id="272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23BCA-C6CC-4487-B96B-950EB984F478}">
  <sheetPr codeName="Hoja5">
    <tabColor rgb="FFFFFF00"/>
  </sheetPr>
  <dimension ref="A1:BC248"/>
  <sheetViews>
    <sheetView showGridLines="0" zoomScale="80" zoomScaleNormal="80" workbookViewId="0">
      <pane xSplit="3" ySplit="5" topLeftCell="F176" activePane="bottomRight" state="frozen"/>
      <selection pane="topRight" activeCell="D1" sqref="D1"/>
      <selection pane="bottomLeft" activeCell="A6" sqref="A6"/>
      <selection pane="bottomRight" activeCell="R219" sqref="R219"/>
    </sheetView>
  </sheetViews>
  <sheetFormatPr baseColWidth="10" defaultColWidth="11.5546875" defaultRowHeight="12.75" x14ac:dyDescent="0.2"/>
  <cols>
    <col min="1" max="1" width="8.6640625" style="293" customWidth="1"/>
    <col min="2" max="2" width="39.33203125" style="292" customWidth="1"/>
    <col min="3" max="3" width="11.5546875" style="292" customWidth="1"/>
    <col min="4" max="4" width="15.5546875" style="292" customWidth="1"/>
    <col min="5" max="5" width="4.5546875" style="292" customWidth="1"/>
    <col min="6" max="6" width="16.88671875" style="295" customWidth="1"/>
    <col min="7" max="7" width="12.33203125" style="1249" customWidth="1"/>
    <col min="8" max="8" width="15" style="295" customWidth="1"/>
    <col min="9" max="9" width="5.77734375" style="674" customWidth="1"/>
    <col min="10" max="10" width="12.6640625" style="145" customWidth="1"/>
    <col min="11" max="11" width="12.21875" style="358" customWidth="1"/>
    <col min="12" max="12" width="12.6640625" style="222" customWidth="1"/>
    <col min="13" max="13" width="14.109375" style="98" customWidth="1"/>
    <col min="14" max="14" width="12.77734375" style="671" customWidth="1"/>
    <col min="15" max="15" width="14" style="676" customWidth="1"/>
    <col min="16" max="16" width="12.33203125" style="677" customWidth="1"/>
    <col min="17" max="17" width="12.33203125" style="681" customWidth="1"/>
    <col min="18" max="18" width="11.5546875" style="65" customWidth="1"/>
    <col min="19" max="19" width="20.77734375" style="157" customWidth="1"/>
    <col min="20" max="20" width="11.6640625" style="65" customWidth="1"/>
    <col min="21" max="21" width="11.5546875" style="65" customWidth="1"/>
    <col min="22" max="22" width="11.5546875" style="199" customWidth="1"/>
    <col min="23" max="23" width="5.77734375" style="199" customWidth="1"/>
    <col min="24" max="24" width="11.5546875" style="145" customWidth="1"/>
    <col min="25" max="25" width="5.77734375" style="199" customWidth="1"/>
    <col min="26" max="26" width="12.77734375" style="145" customWidth="1"/>
    <col min="27" max="27" width="5.77734375" style="199" customWidth="1"/>
    <col min="28" max="28" width="11.5546875" style="145" customWidth="1"/>
    <col min="29" max="29" width="1.77734375" style="65" customWidth="1"/>
    <col min="30" max="30" width="5.77734375" style="65" customWidth="1"/>
    <col min="31" max="31" width="13.44140625" style="291" customWidth="1"/>
    <col min="32" max="32" width="5.77734375" style="291" customWidth="1"/>
    <col min="33" max="33" width="13.44140625" style="291" customWidth="1"/>
    <col min="34" max="34" width="5.77734375" style="291" customWidth="1"/>
    <col min="35" max="35" width="11.5546875" style="291" customWidth="1"/>
    <col min="36" max="36" width="5.77734375" style="291" customWidth="1"/>
    <col min="37" max="37" width="13.44140625" style="291" customWidth="1"/>
    <col min="38" max="39" width="13.44140625" style="291" bestFit="1" customWidth="1"/>
    <col min="40" max="40" width="17.44140625" style="291" customWidth="1"/>
    <col min="41" max="44" width="11.5546875" style="291" customWidth="1"/>
    <col min="45" max="45" width="12.5546875" style="291" customWidth="1"/>
    <col min="46" max="49" width="11.5546875" style="291" customWidth="1"/>
    <col min="50" max="50" width="1.77734375" style="291" customWidth="1"/>
    <col min="51" max="51" width="11.5546875" style="291"/>
    <col min="52" max="52" width="41.21875" style="291" bestFit="1" customWidth="1"/>
    <col min="53" max="54" width="13" style="291" bestFit="1" customWidth="1"/>
    <col min="55" max="55" width="12.109375" style="291" bestFit="1" customWidth="1"/>
    <col min="56" max="16384" width="11.5546875" style="291"/>
  </cols>
  <sheetData>
    <row r="1" spans="1:52" ht="15" x14ac:dyDescent="0.2">
      <c r="A1" s="845" t="s">
        <v>352</v>
      </c>
      <c r="AC1" s="294"/>
      <c r="AX1" s="335"/>
    </row>
    <row r="2" spans="1:52" ht="15.75" thickBot="1" x14ac:dyDescent="0.25">
      <c r="A2" s="296" t="s">
        <v>921</v>
      </c>
      <c r="P2" s="678"/>
      <c r="Q2" s="682"/>
      <c r="AC2" s="294"/>
      <c r="AD2" s="148"/>
      <c r="AX2" s="335"/>
    </row>
    <row r="3" spans="1:52" ht="15" x14ac:dyDescent="0.2">
      <c r="A3" s="265" t="str">
        <f>+'Grupos Familiares'!$A$4</f>
        <v>AÑO  GRAVABLE 2024</v>
      </c>
      <c r="H3" s="1245" t="s">
        <v>623</v>
      </c>
      <c r="I3" s="1234"/>
      <c r="J3" s="1234"/>
      <c r="K3" s="1234"/>
      <c r="L3" s="1234"/>
      <c r="M3" s="1234"/>
      <c r="N3" s="1234"/>
      <c r="O3" s="1234"/>
      <c r="P3" s="1234"/>
      <c r="Q3" s="1234"/>
      <c r="R3" s="1234"/>
      <c r="S3" s="1234"/>
      <c r="T3" s="1234"/>
      <c r="U3" s="1235"/>
      <c r="V3" s="1246" t="s">
        <v>380</v>
      </c>
      <c r="W3" s="1247"/>
      <c r="X3" s="1247"/>
      <c r="Y3" s="1247"/>
      <c r="Z3" s="1247"/>
      <c r="AA3" s="1247"/>
      <c r="AB3" s="1248"/>
      <c r="AC3" s="294"/>
      <c r="AD3" s="395" t="s">
        <v>756</v>
      </c>
      <c r="AX3" s="335"/>
    </row>
    <row r="4" spans="1:52" ht="13.5" thickBot="1" x14ac:dyDescent="0.25">
      <c r="A4" s="708"/>
      <c r="B4" s="709"/>
      <c r="C4" s="709"/>
      <c r="D4" s="709"/>
      <c r="E4" s="709"/>
      <c r="F4" s="334"/>
      <c r="G4" s="674"/>
      <c r="H4" s="1236" t="s">
        <v>721</v>
      </c>
      <c r="I4" s="1237"/>
      <c r="J4" s="1648">
        <f>+Facturas!W5</f>
        <v>5.0999999999999997E-2</v>
      </c>
      <c r="L4" s="1649">
        <f>+J4</f>
        <v>5.0999999999999997E-2</v>
      </c>
      <c r="P4" s="1650">
        <f>+J4</f>
        <v>5.0999999999999997E-2</v>
      </c>
      <c r="R4" s="1651">
        <f>+J4</f>
        <v>5.0999999999999997E-2</v>
      </c>
      <c r="U4" s="1652">
        <f>+J4</f>
        <v>5.0999999999999997E-2</v>
      </c>
      <c r="V4" s="749"/>
      <c r="AB4" s="717"/>
      <c r="AC4" s="335"/>
      <c r="AD4" s="158"/>
      <c r="AE4" s="1233"/>
      <c r="AF4" s="65"/>
      <c r="AG4" s="1233"/>
      <c r="AH4" s="65"/>
      <c r="AI4" s="65"/>
      <c r="AJ4" s="158"/>
      <c r="AK4" s="1233"/>
      <c r="AL4" s="65"/>
      <c r="AM4" s="1233"/>
      <c r="AX4" s="335"/>
    </row>
    <row r="5" spans="1:52" s="343" customFormat="1" ht="32.25" thickBot="1" x14ac:dyDescent="0.25">
      <c r="A5" s="1573" t="s">
        <v>2</v>
      </c>
      <c r="B5" s="1574" t="s">
        <v>353</v>
      </c>
      <c r="C5" s="833" t="s">
        <v>419</v>
      </c>
      <c r="D5" s="832" t="s">
        <v>280</v>
      </c>
      <c r="E5" s="833" t="s">
        <v>333</v>
      </c>
      <c r="F5" s="1516" t="s">
        <v>371</v>
      </c>
      <c r="G5" s="1575" t="s">
        <v>758</v>
      </c>
      <c r="H5" s="1576" t="s">
        <v>757</v>
      </c>
      <c r="I5" s="1577" t="s">
        <v>374</v>
      </c>
      <c r="J5" s="1577" t="s">
        <v>377</v>
      </c>
      <c r="K5" s="1578" t="s">
        <v>374</v>
      </c>
      <c r="L5" s="1578" t="s">
        <v>378</v>
      </c>
      <c r="M5" s="1579" t="s">
        <v>463</v>
      </c>
      <c r="N5" s="1579" t="s">
        <v>375</v>
      </c>
      <c r="O5" s="1580" t="s">
        <v>463</v>
      </c>
      <c r="P5" s="1580" t="s">
        <v>464</v>
      </c>
      <c r="Q5" s="1581" t="s">
        <v>466</v>
      </c>
      <c r="R5" s="223" t="s">
        <v>392</v>
      </c>
      <c r="S5" s="223" t="s">
        <v>393</v>
      </c>
      <c r="T5" s="1578" t="s">
        <v>374</v>
      </c>
      <c r="U5" s="1582" t="s">
        <v>373</v>
      </c>
      <c r="V5" s="1583" t="s">
        <v>389</v>
      </c>
      <c r="W5" s="1577" t="s">
        <v>374</v>
      </c>
      <c r="X5" s="1577" t="s">
        <v>622</v>
      </c>
      <c r="Y5" s="1577" t="s">
        <v>374</v>
      </c>
      <c r="Z5" s="1577" t="s">
        <v>621</v>
      </c>
      <c r="AA5" s="1577" t="s">
        <v>374</v>
      </c>
      <c r="AB5" s="1584" t="s">
        <v>626</v>
      </c>
      <c r="AC5" s="294"/>
      <c r="AD5" s="378" t="s">
        <v>374</v>
      </c>
      <c r="AE5" s="378" t="s">
        <v>377</v>
      </c>
      <c r="AF5" s="378" t="s">
        <v>374</v>
      </c>
      <c r="AG5" s="378" t="s">
        <v>378</v>
      </c>
      <c r="AH5" s="378" t="s">
        <v>374</v>
      </c>
      <c r="AI5" s="378" t="s">
        <v>375</v>
      </c>
      <c r="AJ5" s="378" t="s">
        <v>463</v>
      </c>
      <c r="AK5" s="378" t="s">
        <v>464</v>
      </c>
      <c r="AL5" s="378" t="s">
        <v>466</v>
      </c>
      <c r="AM5" s="378" t="s">
        <v>392</v>
      </c>
      <c r="AN5" s="379" t="s">
        <v>393</v>
      </c>
      <c r="AO5" s="378" t="s">
        <v>374</v>
      </c>
      <c r="AP5" s="378" t="s">
        <v>373</v>
      </c>
      <c r="AQ5" s="380" t="s">
        <v>389</v>
      </c>
      <c r="AR5" s="380" t="s">
        <v>374</v>
      </c>
      <c r="AS5" s="380" t="s">
        <v>388</v>
      </c>
      <c r="AT5" s="380" t="s">
        <v>374</v>
      </c>
      <c r="AU5" s="380" t="s">
        <v>386</v>
      </c>
      <c r="AV5" s="380" t="s">
        <v>374</v>
      </c>
      <c r="AW5" s="380" t="s">
        <v>387</v>
      </c>
      <c r="AX5" s="335"/>
      <c r="AZ5" s="1514" t="s">
        <v>821</v>
      </c>
    </row>
    <row r="6" spans="1:52" x14ac:dyDescent="0.2">
      <c r="A6" s="719"/>
      <c r="B6" s="710"/>
      <c r="C6" s="710"/>
      <c r="D6" s="710"/>
      <c r="E6" s="1519"/>
      <c r="F6" s="720"/>
      <c r="G6" s="1250"/>
      <c r="H6" s="1238"/>
      <c r="I6" s="1239"/>
      <c r="U6" s="221"/>
      <c r="V6" s="749"/>
      <c r="AB6" s="717"/>
      <c r="AC6" s="335"/>
      <c r="AD6" s="158"/>
      <c r="AE6" s="222"/>
      <c r="AF6" s="65"/>
      <c r="AG6" s="65"/>
      <c r="AH6" s="65"/>
      <c r="AI6" s="65"/>
      <c r="AJ6" s="158"/>
      <c r="AK6" s="65"/>
      <c r="AL6" s="65"/>
      <c r="AM6" s="65"/>
      <c r="AN6" s="157"/>
      <c r="AO6" s="65"/>
      <c r="AP6" s="65"/>
      <c r="AQ6" s="145"/>
      <c r="AR6" s="145"/>
      <c r="AS6" s="145"/>
      <c r="AT6" s="145"/>
      <c r="AU6" s="145"/>
      <c r="AV6" s="145"/>
      <c r="AW6" s="145"/>
      <c r="AX6" s="335"/>
    </row>
    <row r="7" spans="1:52" x14ac:dyDescent="0.2">
      <c r="A7" s="1184">
        <v>1</v>
      </c>
      <c r="B7" s="1097" t="s">
        <v>4</v>
      </c>
      <c r="C7" s="1185">
        <f>_xlfn.XLOOKUP(B7,Códigos!$B$8:$B$406,Códigos!$A$8:$A$406,"Verificar",0)</f>
        <v>41</v>
      </c>
      <c r="D7" s="1114">
        <f>_xlfn.XLOOKUP(B7,'Consolidado Cobros'!$B$10:$B$312,'Consolidado Cobros'!$C$10:$C$312,"Verificar",0)</f>
        <v>22126399</v>
      </c>
      <c r="E7" s="1520">
        <f t="shared" ref="E7" si="0">IF(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=0,0,IF(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=1,1,11-(MOD((VALUE(MID(TEXT(D7,"000000000000000"),15,1))*3+VALUE(MID(TEXT(D7,"000000000000000"),14,1))*7+VALUE(MID(TEXT(D7,"000000000000000"),13,1))*13+VALUE(MID(TEXT(D7,"000000000000000"),12,1))*17+VALUE(MID(TEXT(D7,"000000000000000"),11,1))*19+VALUE(MID(TEXT(D7,"000000000000000"),10,1))*23+VALUE(MID(TEXT(D7,"000000000000000"),9,1))*29+VALUE(MID(TEXT(D7,"000000000000000"),8,1))*37+VALUE(MID(TEXT(D7,"000000000000000"),7,1))*41+VALUE(MID(TEXT(D7,"000000000000000"),6,1))*43+VALUE(MID(TEXT(D7,"000000000000000"),5,1))*47+VALUE(MID(TEXT(D7,"000000000000000"),4,1))*53+VALUE(MID(TEXT(D7,"000000000000000"),3,1))*59+VALUE(MID(TEXT(D7,"000000000000000"),2,1))*67+VALUE(MID(TEXT(D7,"000000000000000"),1,1))*71),11))))</f>
        <v>5</v>
      </c>
      <c r="F7" s="1517">
        <f>+IF(H7&gt;0,H7,0)</f>
        <v>0</v>
      </c>
      <c r="G7" s="1251">
        <f>+IF(V7&gt;0,V7,0)</f>
        <v>0</v>
      </c>
      <c r="H7" s="1240">
        <f t="shared" ref="H7:H10" si="1">+J7+L7+N7+P7+U7</f>
        <v>0</v>
      </c>
      <c r="I7" s="1148"/>
      <c r="J7" s="383">
        <f t="shared" ref="J7:J64" si="2">+(AE7/AD7*(100%+$J$4))*I7</f>
        <v>0</v>
      </c>
      <c r="K7" s="712"/>
      <c r="L7" s="487">
        <f t="shared" ref="L7" si="3">+(AG7/AF7*(100%+$J$4))*K7</f>
        <v>0</v>
      </c>
      <c r="M7" s="927"/>
      <c r="N7" s="672">
        <v>0</v>
      </c>
      <c r="O7" s="660"/>
      <c r="P7" s="1092">
        <f t="shared" ref="P7" si="4">ROUND(IF(O7="SI",AK7*(100%+$P$4),0),-4)</f>
        <v>0</v>
      </c>
      <c r="Q7" s="1093">
        <v>0</v>
      </c>
      <c r="R7" s="381">
        <v>0</v>
      </c>
      <c r="S7" s="382"/>
      <c r="T7" s="381"/>
      <c r="U7" s="624"/>
      <c r="V7" s="569">
        <f t="shared" ref="V7" si="5">+X7+Z7+AB7</f>
        <v>0</v>
      </c>
      <c r="W7" s="607"/>
      <c r="X7" s="383"/>
      <c r="Y7" s="607"/>
      <c r="Z7" s="383"/>
      <c r="AA7" s="607"/>
      <c r="AB7" s="718"/>
      <c r="AC7" s="335"/>
      <c r="AD7" s="383">
        <f>SUMIF('Asesorías AG anterior'!$B$7:$B$239,B7,'Asesorías AG anterior'!$I$7:$I$239)</f>
        <v>1E-3</v>
      </c>
      <c r="AE7" s="383">
        <f>SUMIF('Asesorías AG anterior'!$B$7:$B$239,B7,'Asesorías AG anterior'!$J$7:$J$239)</f>
        <v>0</v>
      </c>
      <c r="AF7" s="383">
        <f>SUMIF('Asesorías AG anterior'!$B$7:$B$239,B7,'Asesorías AG anterior'!$K$7:$K$239)</f>
        <v>1E-3</v>
      </c>
      <c r="AG7" s="383">
        <f>SUMIF('Asesorías AG anterior'!$B$7:$B$239,B7,'Asesorías AG anterior'!$L$7:$L$239)</f>
        <v>0</v>
      </c>
      <c r="AH7" s="383">
        <f>SUMIF('Asesorías AG anterior'!$B$7:$B$239,B7,'Asesorías AG anterior'!$M$7:$M$239)</f>
        <v>0</v>
      </c>
      <c r="AI7" s="383">
        <f>SUMIF('Asesorías AG anterior'!$B$7:$B$239,B7,'Asesorías AG anterior'!$N$7:$N$239)</f>
        <v>0</v>
      </c>
      <c r="AJ7" s="383">
        <f>SUMIF('Asesorías AG anterior'!$B$7:$B$239,B7,'Asesorías AG anterior'!$O$7:$O$239)</f>
        <v>1E-3</v>
      </c>
      <c r="AK7" s="383">
        <f>SUMIF('Asesorías AG anterior'!$B$7:$B$239,B7,'Asesorías AG anterior'!$P$7:$P$239)</f>
        <v>0</v>
      </c>
      <c r="AL7" s="383">
        <f>SUMIF('Asesorías AG anterior'!$B$7:$B$239,B7,'Asesorías AG anterior'!$Q$7:$Q$239)</f>
        <v>0</v>
      </c>
      <c r="AM7" s="383">
        <f>SUMIF('Asesorías AG anterior'!$B$7:$B$239,B7,'Asesorías AG anterior'!$R$7:$R$239)</f>
        <v>0</v>
      </c>
      <c r="AN7" s="383"/>
      <c r="AO7" s="383">
        <f>SUMIF('Asesorías AG anterior'!$B$7:$B$239,B7,'Asesorías AG anterior'!$T$7:$T$239)</f>
        <v>0</v>
      </c>
      <c r="AP7" s="383">
        <f>SUMIF('Asesorías AG anterior'!$B$7:$B$239,B7,'Asesorías AG anterior'!$U$7:$U$239)</f>
        <v>0</v>
      </c>
      <c r="AQ7" s="383">
        <f>SUMIF('Asesorías AG anterior'!$B$7:$B$239,B7,'Asesorías AG anterior'!$V$7:$V$239)</f>
        <v>0</v>
      </c>
      <c r="AR7" s="383">
        <f>SUMIF('Asesorías AG anterior'!$B$7:$B$239,B7,'Asesorías AG anterior'!$W$7:$W$239)</f>
        <v>0</v>
      </c>
      <c r="AS7" s="383">
        <f>SUMIF('Asesorías AG anterior'!$B$7:$B$239,B7,'Asesorías AG anterior'!$X$7:$X$239)</f>
        <v>0</v>
      </c>
      <c r="AT7" s="383">
        <f>SUMIF('Asesorías AG anterior'!$B$7:$B$239,B7,'Asesorías AG anterior'!$Y$7:$Y$239)</f>
        <v>0</v>
      </c>
      <c r="AU7" s="383">
        <f>SUMIF('Asesorías AG anterior'!$B$7:$B$239,B7,'Asesorías AG anterior'!$Z$7:$Z$239)</f>
        <v>0</v>
      </c>
      <c r="AV7" s="383">
        <f>SUMIF('Asesorías AG anterior'!$B$7:$B$239,B7,'Asesorías AG anterior'!$AA$7:$AA$239)</f>
        <v>0</v>
      </c>
      <c r="AW7" s="383">
        <f>SUMIF('Asesorías AG anterior'!$B$7:$B$239,B7,'Asesorías AG anterior'!$AB$7:$AB$239)</f>
        <v>0</v>
      </c>
      <c r="AX7" s="335"/>
      <c r="AZ7" s="1097" t="s">
        <v>4</v>
      </c>
    </row>
    <row r="8" spans="1:52" x14ac:dyDescent="0.2">
      <c r="A8" s="1184">
        <f>+A7+1</f>
        <v>2</v>
      </c>
      <c r="B8" s="1137" t="s">
        <v>360</v>
      </c>
      <c r="C8" s="1185">
        <f>_xlfn.XLOOKUP(B8,Códigos!$B$8:$B$406,Códigos!$A$8:$A$406,"Verificar",0)</f>
        <v>346</v>
      </c>
      <c r="D8" s="1114">
        <f>_xlfn.XLOOKUP(B8,'Consolidado Cobros'!$B$10:$B$312,'Consolidado Cobros'!$C$10:$C$312,"Verificar",0)</f>
        <v>71581755</v>
      </c>
      <c r="E8" s="1520">
        <f t="shared" ref="E8:E64" si="6">IF(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=0,0,IF(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=1,1,11-(MOD((VALUE(MID(TEXT(D8,"000000000000000"),15,1))*3+VALUE(MID(TEXT(D8,"000000000000000"),14,1))*7+VALUE(MID(TEXT(D8,"000000000000000"),13,1))*13+VALUE(MID(TEXT(D8,"000000000000000"),12,1))*17+VALUE(MID(TEXT(D8,"000000000000000"),11,1))*19+VALUE(MID(TEXT(D8,"000000000000000"),10,1))*23+VALUE(MID(TEXT(D8,"000000000000000"),9,1))*29+VALUE(MID(TEXT(D8,"000000000000000"),8,1))*37+VALUE(MID(TEXT(D8,"000000000000000"),7,1))*41+VALUE(MID(TEXT(D8,"000000000000000"),6,1))*43+VALUE(MID(TEXT(D8,"000000000000000"),5,1))*47+VALUE(MID(TEXT(D8,"000000000000000"),4,1))*53+VALUE(MID(TEXT(D8,"000000000000000"),3,1))*59+VALUE(MID(TEXT(D8,"000000000000000"),2,1))*67+VALUE(MID(TEXT(D8,"000000000000000"),1,1))*71),11))))</f>
        <v>2</v>
      </c>
      <c r="F8" s="1517">
        <f t="shared" ref="F8:F64" si="7">+IF(H8&gt;0,H8,0)</f>
        <v>0</v>
      </c>
      <c r="G8" s="1251">
        <f t="shared" ref="G8:G64" si="8">+IF(V8&gt;0,V8,0)</f>
        <v>0</v>
      </c>
      <c r="H8" s="1240">
        <f t="shared" si="1"/>
        <v>0</v>
      </c>
      <c r="I8" s="1148"/>
      <c r="J8" s="383">
        <f t="shared" si="2"/>
        <v>0</v>
      </c>
      <c r="K8" s="712"/>
      <c r="L8" s="487">
        <f t="shared" ref="L8:L64" si="9">+(AG8/AF8*(100%+$J$4))*K8</f>
        <v>0</v>
      </c>
      <c r="M8" s="927"/>
      <c r="N8" s="672">
        <v>0</v>
      </c>
      <c r="O8" s="660"/>
      <c r="P8" s="1092">
        <f t="shared" ref="P8:P64" si="10">ROUND(IF(O8="SI",AK8*(100%+$P$4),0),-4)</f>
        <v>0</v>
      </c>
      <c r="Q8" s="1093">
        <v>0</v>
      </c>
      <c r="R8" s="381">
        <v>0</v>
      </c>
      <c r="S8" s="382"/>
      <c r="T8" s="381"/>
      <c r="U8" s="624"/>
      <c r="V8" s="569">
        <f t="shared" ref="V8:V64" si="11">+X8+Z8+AB8</f>
        <v>0</v>
      </c>
      <c r="W8" s="607"/>
      <c r="X8" s="383"/>
      <c r="Y8" s="607"/>
      <c r="Z8" s="383"/>
      <c r="AA8" s="607"/>
      <c r="AB8" s="718"/>
      <c r="AC8" s="335"/>
      <c r="AD8" s="383">
        <f>SUMIF('Asesorías AG anterior'!$B$7:$B$239,B8,'Asesorías AG anterior'!$I$7:$I$239)</f>
        <v>1E-3</v>
      </c>
      <c r="AE8" s="383">
        <f>SUMIF('Asesorías AG anterior'!$B$7:$B$239,B8,'Asesorías AG anterior'!$J$7:$J$239)</f>
        <v>0</v>
      </c>
      <c r="AF8" s="383">
        <f>SUMIF('Asesorías AG anterior'!$B$7:$B$239,B8,'Asesorías AG anterior'!$K$7:$K$239)</f>
        <v>1E-3</v>
      </c>
      <c r="AG8" s="383">
        <f>SUMIF('Asesorías AG anterior'!$B$7:$B$239,B8,'Asesorías AG anterior'!$L$7:$L$239)</f>
        <v>0</v>
      </c>
      <c r="AH8" s="383">
        <f>SUMIF('Asesorías AG anterior'!$B$7:$B$239,B8,'Asesorías AG anterior'!$M$7:$M$239)</f>
        <v>0</v>
      </c>
      <c r="AI8" s="383">
        <f>SUMIF('Asesorías AG anterior'!$B$7:$B$239,B8,'Asesorías AG anterior'!$N$7:$N$239)</f>
        <v>0</v>
      </c>
      <c r="AJ8" s="383">
        <f>SUMIF('Asesorías AG anterior'!$B$7:$B$239,B8,'Asesorías AG anterior'!$O$7:$O$239)</f>
        <v>1E-3</v>
      </c>
      <c r="AK8" s="383">
        <f>SUMIF('Asesorías AG anterior'!$B$7:$B$239,B8,'Asesorías AG anterior'!$P$7:$P$239)</f>
        <v>0</v>
      </c>
      <c r="AL8" s="383">
        <f>SUMIF('Asesorías AG anterior'!$B$7:$B$239,B8,'Asesorías AG anterior'!$Q$7:$Q$239)</f>
        <v>0</v>
      </c>
      <c r="AM8" s="383">
        <f>SUMIF('Asesorías AG anterior'!$B$7:$B$239,B8,'Asesorías AG anterior'!$R$7:$R$239)</f>
        <v>0</v>
      </c>
      <c r="AN8" s="383"/>
      <c r="AO8" s="383">
        <f>SUMIF('Asesorías AG anterior'!$B$7:$B$239,B8,'Asesorías AG anterior'!$T$7:$T$239)</f>
        <v>0</v>
      </c>
      <c r="AP8" s="383">
        <f>SUMIF('Asesorías AG anterior'!$B$7:$B$239,B8,'Asesorías AG anterior'!$U$7:$U$239)</f>
        <v>0</v>
      </c>
      <c r="AQ8" s="383">
        <f>SUMIF('Asesorías AG anterior'!$B$7:$B$239,B8,'Asesorías AG anterior'!$V$7:$V$239)</f>
        <v>0</v>
      </c>
      <c r="AR8" s="383">
        <f>SUMIF('Asesorías AG anterior'!$B$7:$B$239,B8,'Asesorías AG anterior'!$W$7:$W$239)</f>
        <v>0</v>
      </c>
      <c r="AS8" s="383">
        <f>SUMIF('Asesorías AG anterior'!$B$7:$B$239,B8,'Asesorías AG anterior'!$X$7:$X$239)</f>
        <v>0</v>
      </c>
      <c r="AT8" s="383">
        <f>SUMIF('Asesorías AG anterior'!$B$7:$B$239,B8,'Asesorías AG anterior'!$Y$7:$Y$239)</f>
        <v>0</v>
      </c>
      <c r="AU8" s="383">
        <f>SUMIF('Asesorías AG anterior'!$B$7:$B$239,B8,'Asesorías AG anterior'!$Z$7:$Z$239)</f>
        <v>0</v>
      </c>
      <c r="AV8" s="383">
        <f>SUMIF('Asesorías AG anterior'!$B$7:$B$239,B8,'Asesorías AG anterior'!$AA$7:$AA$239)</f>
        <v>0</v>
      </c>
      <c r="AW8" s="383">
        <f>SUMIF('Asesorías AG anterior'!$B$7:$B$239,B8,'Asesorías AG anterior'!$AB$7:$AB$239)</f>
        <v>0</v>
      </c>
      <c r="AX8" s="335"/>
      <c r="AZ8" s="1137" t="s">
        <v>360</v>
      </c>
    </row>
    <row r="9" spans="1:52" x14ac:dyDescent="0.2">
      <c r="A9" s="1184">
        <f t="shared" ref="A9:A72" si="12">+A8+1</f>
        <v>3</v>
      </c>
      <c r="B9" s="1097" t="s">
        <v>198</v>
      </c>
      <c r="C9" s="1185">
        <f>_xlfn.XLOOKUP(B9,Códigos!$B$8:$B$406,Códigos!$A$8:$A$406,"Verificar",0)</f>
        <v>300</v>
      </c>
      <c r="D9" s="1114">
        <f>_xlfn.XLOOKUP(B9,'Consolidado Cobros'!$B$10:$B$312,'Consolidado Cobros'!$C$10:$C$312,"Verificar",0)</f>
        <v>70116694</v>
      </c>
      <c r="E9" s="1520">
        <f t="shared" si="6"/>
        <v>5</v>
      </c>
      <c r="F9" s="1517">
        <f t="shared" si="7"/>
        <v>0</v>
      </c>
      <c r="G9" s="1251">
        <f t="shared" si="8"/>
        <v>0</v>
      </c>
      <c r="H9" s="1240">
        <f t="shared" si="1"/>
        <v>0</v>
      </c>
      <c r="I9" s="1148"/>
      <c r="J9" s="383">
        <f t="shared" si="2"/>
        <v>0</v>
      </c>
      <c r="K9" s="712"/>
      <c r="L9" s="487">
        <f t="shared" si="9"/>
        <v>0</v>
      </c>
      <c r="M9" s="927"/>
      <c r="N9" s="672">
        <v>0</v>
      </c>
      <c r="O9" s="660"/>
      <c r="P9" s="1092">
        <f t="shared" si="10"/>
        <v>0</v>
      </c>
      <c r="Q9" s="1093">
        <v>0</v>
      </c>
      <c r="R9" s="381">
        <v>0</v>
      </c>
      <c r="S9" s="382"/>
      <c r="T9" s="381"/>
      <c r="U9" s="624"/>
      <c r="V9" s="569">
        <f t="shared" si="11"/>
        <v>0</v>
      </c>
      <c r="W9" s="607"/>
      <c r="X9" s="383"/>
      <c r="Y9" s="607"/>
      <c r="Z9" s="383"/>
      <c r="AA9" s="607"/>
      <c r="AB9" s="718"/>
      <c r="AC9" s="335"/>
      <c r="AD9" s="383">
        <f>SUMIF('Asesorías AG anterior'!$B$7:$B$239,B9,'Asesorías AG anterior'!$I$7:$I$239)</f>
        <v>1E-3</v>
      </c>
      <c r="AE9" s="383">
        <f>SUMIF('Asesorías AG anterior'!$B$7:$B$239,B9,'Asesorías AG anterior'!$J$7:$J$239)</f>
        <v>0</v>
      </c>
      <c r="AF9" s="383">
        <f>SUMIF('Asesorías AG anterior'!$B$7:$B$239,B9,'Asesorías AG anterior'!$K$7:$K$239)</f>
        <v>1E-3</v>
      </c>
      <c r="AG9" s="383">
        <f>SUMIF('Asesorías AG anterior'!$B$7:$B$239,B9,'Asesorías AG anterior'!$L$7:$L$239)</f>
        <v>0</v>
      </c>
      <c r="AH9" s="383">
        <f>SUMIF('Asesorías AG anterior'!$B$7:$B$239,B9,'Asesorías AG anterior'!$M$7:$M$239)</f>
        <v>0</v>
      </c>
      <c r="AI9" s="383">
        <f>SUMIF('Asesorías AG anterior'!$B$7:$B$239,B9,'Asesorías AG anterior'!$N$7:$N$239)</f>
        <v>0</v>
      </c>
      <c r="AJ9" s="383">
        <f>SUMIF('Asesorías AG anterior'!$B$7:$B$239,B9,'Asesorías AG anterior'!$O$7:$O$239)</f>
        <v>1E-3</v>
      </c>
      <c r="AK9" s="383">
        <f>SUMIF('Asesorías AG anterior'!$B$7:$B$239,B9,'Asesorías AG anterior'!$P$7:$P$239)</f>
        <v>0</v>
      </c>
      <c r="AL9" s="383">
        <f>SUMIF('Asesorías AG anterior'!$B$7:$B$239,B9,'Asesorías AG anterior'!$Q$7:$Q$239)</f>
        <v>0</v>
      </c>
      <c r="AM9" s="383">
        <f>SUMIF('Asesorías AG anterior'!$B$7:$B$239,B9,'Asesorías AG anterior'!$R$7:$R$239)</f>
        <v>0</v>
      </c>
      <c r="AN9" s="383"/>
      <c r="AO9" s="383">
        <f>SUMIF('Asesorías AG anterior'!$B$7:$B$239,B9,'Asesorías AG anterior'!$T$7:$T$239)</f>
        <v>0</v>
      </c>
      <c r="AP9" s="383">
        <f>SUMIF('Asesorías AG anterior'!$B$7:$B$239,B9,'Asesorías AG anterior'!$U$7:$U$239)</f>
        <v>0</v>
      </c>
      <c r="AQ9" s="383">
        <f>SUMIF('Asesorías AG anterior'!$B$7:$B$239,B9,'Asesorías AG anterior'!$V$7:$V$239)</f>
        <v>0</v>
      </c>
      <c r="AR9" s="383">
        <f>SUMIF('Asesorías AG anterior'!$B$7:$B$239,B9,'Asesorías AG anterior'!$W$7:$W$239)</f>
        <v>0</v>
      </c>
      <c r="AS9" s="383">
        <f>SUMIF('Asesorías AG anterior'!$B$7:$B$239,B9,'Asesorías AG anterior'!$X$7:$X$239)</f>
        <v>0</v>
      </c>
      <c r="AT9" s="383">
        <f>SUMIF('Asesorías AG anterior'!$B$7:$B$239,B9,'Asesorías AG anterior'!$Y$7:$Y$239)</f>
        <v>0</v>
      </c>
      <c r="AU9" s="383">
        <f>SUMIF('Asesorías AG anterior'!$B$7:$B$239,B9,'Asesorías AG anterior'!$Z$7:$Z$239)</f>
        <v>0</v>
      </c>
      <c r="AV9" s="383">
        <f>SUMIF('Asesorías AG anterior'!$B$7:$B$239,B9,'Asesorías AG anterior'!$AA$7:$AA$239)</f>
        <v>0</v>
      </c>
      <c r="AW9" s="383">
        <f>SUMIF('Asesorías AG anterior'!$B$7:$B$239,B9,'Asesorías AG anterior'!$AB$7:$AB$239)</f>
        <v>0</v>
      </c>
      <c r="AX9" s="335"/>
      <c r="AZ9" s="1097" t="s">
        <v>198</v>
      </c>
    </row>
    <row r="10" spans="1:52" x14ac:dyDescent="0.2">
      <c r="A10" s="1184">
        <f t="shared" si="12"/>
        <v>4</v>
      </c>
      <c r="B10" s="1097" t="s">
        <v>5</v>
      </c>
      <c r="C10" s="1185">
        <f>_xlfn.XLOOKUP(B10,Códigos!$B$8:$B$406,Códigos!$A$8:$A$406,"Verificar",0)</f>
        <v>217</v>
      </c>
      <c r="D10" s="1114">
        <f>_xlfn.XLOOKUP(B10,'Consolidado Cobros'!$B$10:$B$312,'Consolidado Cobros'!$C$10:$C$312,"Verificar",0)</f>
        <v>3349249</v>
      </c>
      <c r="E10" s="1520">
        <f t="shared" si="6"/>
        <v>7</v>
      </c>
      <c r="F10" s="1517">
        <f t="shared" si="7"/>
        <v>0</v>
      </c>
      <c r="G10" s="1251">
        <f t="shared" si="8"/>
        <v>0</v>
      </c>
      <c r="H10" s="1240">
        <f t="shared" si="1"/>
        <v>0</v>
      </c>
      <c r="I10" s="1148"/>
      <c r="J10" s="383">
        <f t="shared" si="2"/>
        <v>0</v>
      </c>
      <c r="K10" s="712"/>
      <c r="L10" s="487">
        <f t="shared" si="9"/>
        <v>0</v>
      </c>
      <c r="M10" s="927"/>
      <c r="N10" s="672">
        <v>0</v>
      </c>
      <c r="O10" s="660"/>
      <c r="P10" s="1092">
        <f t="shared" si="10"/>
        <v>0</v>
      </c>
      <c r="Q10" s="1093">
        <v>0</v>
      </c>
      <c r="R10" s="381">
        <f t="shared" ref="R10:R21" si="13">+P10</f>
        <v>0</v>
      </c>
      <c r="S10" s="382"/>
      <c r="T10" s="381"/>
      <c r="U10" s="624"/>
      <c r="V10" s="569">
        <f t="shared" si="11"/>
        <v>0</v>
      </c>
      <c r="W10" s="607"/>
      <c r="X10" s="383"/>
      <c r="Y10" s="607"/>
      <c r="Z10" s="383"/>
      <c r="AA10" s="607"/>
      <c r="AB10" s="718"/>
      <c r="AC10" s="335"/>
      <c r="AD10" s="383">
        <f>SUMIF('Asesorías AG anterior'!$B$7:$B$239,B10,'Asesorías AG anterior'!$I$7:$I$239)</f>
        <v>1E-3</v>
      </c>
      <c r="AE10" s="383">
        <f>SUMIF('Asesorías AG anterior'!$B$7:$B$239,B10,'Asesorías AG anterior'!$J$7:$J$239)</f>
        <v>0</v>
      </c>
      <c r="AF10" s="383">
        <f>SUMIF('Asesorías AG anterior'!$B$7:$B$239,B10,'Asesorías AG anterior'!$K$7:$K$239)</f>
        <v>1E-3</v>
      </c>
      <c r="AG10" s="383">
        <f>SUMIF('Asesorías AG anterior'!$B$7:$B$239,B10,'Asesorías AG anterior'!$L$7:$L$239)</f>
        <v>0</v>
      </c>
      <c r="AH10" s="383">
        <f>SUMIF('Asesorías AG anterior'!$B$7:$B$239,B10,'Asesorías AG anterior'!$M$7:$M$239)</f>
        <v>0</v>
      </c>
      <c r="AI10" s="383">
        <f>SUMIF('Asesorías AG anterior'!$B$7:$B$239,B10,'Asesorías AG anterior'!$N$7:$N$239)</f>
        <v>0</v>
      </c>
      <c r="AJ10" s="383">
        <f>SUMIF('Asesorías AG anterior'!$B$7:$B$239,B10,'Asesorías AG anterior'!$O$7:$O$239)</f>
        <v>1E-3</v>
      </c>
      <c r="AK10" s="383">
        <f>SUMIF('Asesorías AG anterior'!$B$7:$B$239,B10,'Asesorías AG anterior'!$P$7:$P$239)</f>
        <v>0</v>
      </c>
      <c r="AL10" s="383">
        <f>SUMIF('Asesorías AG anterior'!$B$7:$B$239,B10,'Asesorías AG anterior'!$Q$7:$Q$239)</f>
        <v>0</v>
      </c>
      <c r="AM10" s="383">
        <f>SUMIF('Asesorías AG anterior'!$B$7:$B$239,B10,'Asesorías AG anterior'!$R$7:$R$239)</f>
        <v>0</v>
      </c>
      <c r="AN10" s="383"/>
      <c r="AO10" s="383">
        <f>SUMIF('Asesorías AG anterior'!$B$7:$B$239,B10,'Asesorías AG anterior'!$T$7:$T$239)</f>
        <v>0</v>
      </c>
      <c r="AP10" s="383">
        <f>SUMIF('Asesorías AG anterior'!$B$7:$B$239,B10,'Asesorías AG anterior'!$U$7:$U$239)</f>
        <v>0</v>
      </c>
      <c r="AQ10" s="383">
        <f>SUMIF('Asesorías AG anterior'!$B$7:$B$239,B10,'Asesorías AG anterior'!$V$7:$V$239)</f>
        <v>0</v>
      </c>
      <c r="AR10" s="383">
        <f>SUMIF('Asesorías AG anterior'!$B$7:$B$239,B10,'Asesorías AG anterior'!$W$7:$W$239)</f>
        <v>0</v>
      </c>
      <c r="AS10" s="383">
        <f>SUMIF('Asesorías AG anterior'!$B$7:$B$239,B10,'Asesorías AG anterior'!$X$7:$X$239)</f>
        <v>0</v>
      </c>
      <c r="AT10" s="383">
        <f>SUMIF('Asesorías AG anterior'!$B$7:$B$239,B10,'Asesorías AG anterior'!$Y$7:$Y$239)</f>
        <v>0</v>
      </c>
      <c r="AU10" s="383">
        <f>SUMIF('Asesorías AG anterior'!$B$7:$B$239,B10,'Asesorías AG anterior'!$Z$7:$Z$239)</f>
        <v>0</v>
      </c>
      <c r="AV10" s="383">
        <f>SUMIF('Asesorías AG anterior'!$B$7:$B$239,B10,'Asesorías AG anterior'!$AA$7:$AA$239)</f>
        <v>0</v>
      </c>
      <c r="AW10" s="383">
        <f>SUMIF('Asesorías AG anterior'!$B$7:$B$239,B10,'Asesorías AG anterior'!$AB$7:$AB$239)</f>
        <v>0</v>
      </c>
      <c r="AX10" s="335"/>
      <c r="AZ10" s="1097" t="s">
        <v>5</v>
      </c>
    </row>
    <row r="11" spans="1:52" x14ac:dyDescent="0.2">
      <c r="A11" s="1184">
        <f t="shared" si="12"/>
        <v>5</v>
      </c>
      <c r="B11" s="1491" t="s">
        <v>356</v>
      </c>
      <c r="C11" s="1185">
        <f>_xlfn.XLOOKUP(B11,Códigos!$B$8:$B$406,Códigos!$A$8:$A$406,"Verificar",0)</f>
        <v>43</v>
      </c>
      <c r="D11" s="1114">
        <f>_xlfn.XLOOKUP(B11,'Consolidado Cobros'!$B$10:$B$312,'Consolidado Cobros'!$C$10:$C$312,"Verificar",0)</f>
        <v>71632774</v>
      </c>
      <c r="E11" s="1520">
        <f t="shared" si="6"/>
        <v>2</v>
      </c>
      <c r="F11" s="1517">
        <f t="shared" si="7"/>
        <v>50000</v>
      </c>
      <c r="G11" s="1251">
        <f t="shared" si="8"/>
        <v>0</v>
      </c>
      <c r="H11" s="1240">
        <f>+J11+L11+N11+P11+U11</f>
        <v>50000</v>
      </c>
      <c r="I11" s="1148">
        <v>3</v>
      </c>
      <c r="J11" s="383">
        <f t="shared" si="2"/>
        <v>0</v>
      </c>
      <c r="K11" s="712"/>
      <c r="L11" s="487">
        <f t="shared" si="9"/>
        <v>0</v>
      </c>
      <c r="M11" s="927"/>
      <c r="N11" s="672">
        <v>0</v>
      </c>
      <c r="O11" s="660" t="s">
        <v>927</v>
      </c>
      <c r="P11" s="1092">
        <f>ROUND(IF(O11="SI",AK11*(100%+$P$4),0),-4)-20000</f>
        <v>50000</v>
      </c>
      <c r="Q11" s="1093">
        <v>0</v>
      </c>
      <c r="R11" s="381">
        <f t="shared" si="13"/>
        <v>50000</v>
      </c>
      <c r="S11" s="382"/>
      <c r="T11" s="381"/>
      <c r="U11" s="624"/>
      <c r="V11" s="569">
        <f t="shared" si="11"/>
        <v>0</v>
      </c>
      <c r="W11" s="607"/>
      <c r="X11" s="383"/>
      <c r="Y11" s="607"/>
      <c r="Z11" s="383"/>
      <c r="AA11" s="607"/>
      <c r="AB11" s="718"/>
      <c r="AC11" s="335"/>
      <c r="AD11" s="383">
        <f>SUMIF('Asesorías AG anterior'!$B$7:$B$239,B11,'Asesorías AG anterior'!$I$7:$I$239)</f>
        <v>1E-3</v>
      </c>
      <c r="AE11" s="383">
        <f>SUMIF('Asesorías AG anterior'!$B$7:$B$239,B11,'Asesorías AG anterior'!$J$7:$J$239)</f>
        <v>0</v>
      </c>
      <c r="AF11" s="383">
        <f>SUMIF('Asesorías AG anterior'!$B$7:$B$239,B11,'Asesorías AG anterior'!$K$7:$K$239)</f>
        <v>1E-3</v>
      </c>
      <c r="AG11" s="383">
        <f>SUMIF('Asesorías AG anterior'!$B$7:$B$239,B11,'Asesorías AG anterior'!$L$7:$L$239)</f>
        <v>0</v>
      </c>
      <c r="AH11" s="383">
        <f>SUMIF('Asesorías AG anterior'!$B$7:$B$239,B11,'Asesorías AG anterior'!$M$7:$M$239)</f>
        <v>0</v>
      </c>
      <c r="AI11" s="383">
        <f>SUMIF('Asesorías AG anterior'!$B$7:$B$239,B11,'Asesorías AG anterior'!$N$7:$N$239)</f>
        <v>0</v>
      </c>
      <c r="AJ11" s="383">
        <f>SUMIF('Asesorías AG anterior'!$B$7:$B$239,B11,'Asesorías AG anterior'!$O$7:$O$239)</f>
        <v>0</v>
      </c>
      <c r="AK11" s="383">
        <f>SUMIF('Asesorías AG anterior'!$B$7:$B$239,B11,'Asesorías AG anterior'!$P$7:$P$239)</f>
        <v>70000</v>
      </c>
      <c r="AL11" s="383">
        <f>SUMIF('Asesorías AG anterior'!$B$7:$B$239,B11,'Asesorías AG anterior'!$Q$7:$Q$239)</f>
        <v>0</v>
      </c>
      <c r="AM11" s="383">
        <f>SUMIF('Asesorías AG anterior'!$B$7:$B$239,B11,'Asesorías AG anterior'!$R$7:$R$239)</f>
        <v>0</v>
      </c>
      <c r="AN11" s="383"/>
      <c r="AO11" s="383">
        <f>SUMIF('Asesorías AG anterior'!$B$7:$B$239,B11,'Asesorías AG anterior'!$T$7:$T$239)</f>
        <v>0</v>
      </c>
      <c r="AP11" s="383">
        <f>SUMIF('Asesorías AG anterior'!$B$7:$B$239,B11,'Asesorías AG anterior'!$U$7:$U$239)</f>
        <v>0</v>
      </c>
      <c r="AQ11" s="383">
        <f>SUMIF('Asesorías AG anterior'!$B$7:$B$239,B11,'Asesorías AG anterior'!$V$7:$V$239)</f>
        <v>0</v>
      </c>
      <c r="AR11" s="383">
        <f>SUMIF('Asesorías AG anterior'!$B$7:$B$239,B11,'Asesorías AG anterior'!$W$7:$W$239)</f>
        <v>0</v>
      </c>
      <c r="AS11" s="383">
        <f>SUMIF('Asesorías AG anterior'!$B$7:$B$239,B11,'Asesorías AG anterior'!$X$7:$X$239)</f>
        <v>0</v>
      </c>
      <c r="AT11" s="383">
        <f>SUMIF('Asesorías AG anterior'!$B$7:$B$239,B11,'Asesorías AG anterior'!$Y$7:$Y$239)</f>
        <v>0</v>
      </c>
      <c r="AU11" s="383">
        <f>SUMIF('Asesorías AG anterior'!$B$7:$B$239,B11,'Asesorías AG anterior'!$Z$7:$Z$239)</f>
        <v>0</v>
      </c>
      <c r="AV11" s="383">
        <f>SUMIF('Asesorías AG anterior'!$B$7:$B$239,B11,'Asesorías AG anterior'!$AA$7:$AA$239)</f>
        <v>0</v>
      </c>
      <c r="AW11" s="383">
        <f>SUMIF('Asesorías AG anterior'!$B$7:$B$239,B11,'Asesorías AG anterior'!$AB$7:$AB$239)</f>
        <v>0</v>
      </c>
      <c r="AX11" s="335"/>
      <c r="AZ11" s="1491" t="s">
        <v>356</v>
      </c>
    </row>
    <row r="12" spans="1:52" x14ac:dyDescent="0.2">
      <c r="A12" s="1184">
        <f t="shared" si="12"/>
        <v>6</v>
      </c>
      <c r="B12" s="1097" t="s">
        <v>7</v>
      </c>
      <c r="C12" s="1185">
        <f>_xlfn.XLOOKUP(B12,Códigos!$B$8:$B$406,Códigos!$A$8:$A$406,"Verificar",0)</f>
        <v>44</v>
      </c>
      <c r="D12" s="1114">
        <f>_xlfn.XLOOKUP(B12,'Consolidado Cobros'!$B$10:$B$312,'Consolidado Cobros'!$C$10:$C$312,"Verificar",0)</f>
        <v>21315528</v>
      </c>
      <c r="E12" s="1520">
        <f t="shared" si="6"/>
        <v>6</v>
      </c>
      <c r="F12" s="1517">
        <f t="shared" si="7"/>
        <v>0</v>
      </c>
      <c r="G12" s="1251">
        <f t="shared" si="8"/>
        <v>0</v>
      </c>
      <c r="H12" s="1240">
        <f t="shared" ref="H12:H75" si="14">+J12+L12+N12+P12+U12</f>
        <v>0</v>
      </c>
      <c r="I12" s="1148"/>
      <c r="J12" s="383">
        <f t="shared" si="2"/>
        <v>0</v>
      </c>
      <c r="K12" s="712"/>
      <c r="L12" s="487">
        <f t="shared" si="9"/>
        <v>0</v>
      </c>
      <c r="M12" s="927"/>
      <c r="N12" s="672">
        <v>0</v>
      </c>
      <c r="O12" s="660"/>
      <c r="P12" s="1092">
        <f t="shared" si="10"/>
        <v>0</v>
      </c>
      <c r="Q12" s="1093">
        <v>0</v>
      </c>
      <c r="R12" s="381">
        <f t="shared" si="13"/>
        <v>0</v>
      </c>
      <c r="S12" s="382"/>
      <c r="T12" s="381"/>
      <c r="U12" s="624"/>
      <c r="V12" s="569">
        <f t="shared" si="11"/>
        <v>0</v>
      </c>
      <c r="W12" s="607"/>
      <c r="X12" s="383"/>
      <c r="Y12" s="607"/>
      <c r="Z12" s="383"/>
      <c r="AA12" s="607"/>
      <c r="AB12" s="718"/>
      <c r="AC12" s="335"/>
      <c r="AD12" s="383">
        <f>SUMIF('Asesorías AG anterior'!$B$7:$B$239,B12,'Asesorías AG anterior'!$I$7:$I$239)</f>
        <v>1E-3</v>
      </c>
      <c r="AE12" s="383">
        <f>SUMIF('Asesorías AG anterior'!$B$7:$B$239,B12,'Asesorías AG anterior'!$J$7:$J$239)</f>
        <v>0</v>
      </c>
      <c r="AF12" s="383">
        <f>SUMIF('Asesorías AG anterior'!$B$7:$B$239,B12,'Asesorías AG anterior'!$K$7:$K$239)</f>
        <v>1E-3</v>
      </c>
      <c r="AG12" s="383">
        <f>SUMIF('Asesorías AG anterior'!$B$7:$B$239,B12,'Asesorías AG anterior'!$L$7:$L$239)</f>
        <v>0</v>
      </c>
      <c r="AH12" s="383">
        <f>SUMIF('Asesorías AG anterior'!$B$7:$B$239,B12,'Asesorías AG anterior'!$M$7:$M$239)</f>
        <v>0</v>
      </c>
      <c r="AI12" s="383">
        <f>SUMIF('Asesorías AG anterior'!$B$7:$B$239,B12,'Asesorías AG anterior'!$N$7:$N$239)</f>
        <v>0</v>
      </c>
      <c r="AJ12" s="383">
        <f>SUMIF('Asesorías AG anterior'!$B$7:$B$239,B12,'Asesorías AG anterior'!$O$7:$O$239)</f>
        <v>1E-3</v>
      </c>
      <c r="AK12" s="383">
        <f>SUMIF('Asesorías AG anterior'!$B$7:$B$239,B12,'Asesorías AG anterior'!$P$7:$P$239)</f>
        <v>0</v>
      </c>
      <c r="AL12" s="383">
        <f>SUMIF('Asesorías AG anterior'!$B$7:$B$239,B12,'Asesorías AG anterior'!$Q$7:$Q$239)</f>
        <v>0</v>
      </c>
      <c r="AM12" s="383">
        <f>SUMIF('Asesorías AG anterior'!$B$7:$B$239,B12,'Asesorías AG anterior'!$R$7:$R$239)</f>
        <v>0</v>
      </c>
      <c r="AN12" s="383"/>
      <c r="AO12" s="383">
        <f>SUMIF('Asesorías AG anterior'!$B$7:$B$239,B12,'Asesorías AG anterior'!$T$7:$T$239)</f>
        <v>0</v>
      </c>
      <c r="AP12" s="383">
        <f>SUMIF('Asesorías AG anterior'!$B$7:$B$239,B12,'Asesorías AG anterior'!$U$7:$U$239)</f>
        <v>0</v>
      </c>
      <c r="AQ12" s="383">
        <f>SUMIF('Asesorías AG anterior'!$B$7:$B$239,B12,'Asesorías AG anterior'!$V$7:$V$239)</f>
        <v>0</v>
      </c>
      <c r="AR12" s="383">
        <f>SUMIF('Asesorías AG anterior'!$B$7:$B$239,B12,'Asesorías AG anterior'!$W$7:$W$239)</f>
        <v>0</v>
      </c>
      <c r="AS12" s="383">
        <f>SUMIF('Asesorías AG anterior'!$B$7:$B$239,B12,'Asesorías AG anterior'!$X$7:$X$239)</f>
        <v>0</v>
      </c>
      <c r="AT12" s="383">
        <f>SUMIF('Asesorías AG anterior'!$B$7:$B$239,B12,'Asesorías AG anterior'!$Y$7:$Y$239)</f>
        <v>0</v>
      </c>
      <c r="AU12" s="383">
        <f>SUMIF('Asesorías AG anterior'!$B$7:$B$239,B12,'Asesorías AG anterior'!$Z$7:$Z$239)</f>
        <v>0</v>
      </c>
      <c r="AV12" s="383">
        <f>SUMIF('Asesorías AG anterior'!$B$7:$B$239,B12,'Asesorías AG anterior'!$AA$7:$AA$239)</f>
        <v>0</v>
      </c>
      <c r="AW12" s="383">
        <f>SUMIF('Asesorías AG anterior'!$B$7:$B$239,B12,'Asesorías AG anterior'!$AB$7:$AB$239)</f>
        <v>0</v>
      </c>
      <c r="AX12" s="335"/>
      <c r="AZ12" s="1097" t="s">
        <v>7</v>
      </c>
    </row>
    <row r="13" spans="1:52" x14ac:dyDescent="0.2">
      <c r="A13" s="1184">
        <f t="shared" si="12"/>
        <v>7</v>
      </c>
      <c r="B13" s="1097" t="s">
        <v>8</v>
      </c>
      <c r="C13" s="1185">
        <f>_xlfn.XLOOKUP(B13,Códigos!$B$8:$B$406,Códigos!$A$8:$A$406,"Verificar",0)</f>
        <v>45</v>
      </c>
      <c r="D13" s="1114">
        <f>_xlfn.XLOOKUP(B13,'Consolidado Cobros'!$B$10:$B$312,'Consolidado Cobros'!$C$10:$C$312,"Verificar",0)</f>
        <v>32336950</v>
      </c>
      <c r="E13" s="1520">
        <f t="shared" si="6"/>
        <v>1</v>
      </c>
      <c r="F13" s="1517">
        <f t="shared" si="7"/>
        <v>384582.76248159999</v>
      </c>
      <c r="G13" s="1251">
        <f t="shared" si="8"/>
        <v>0</v>
      </c>
      <c r="H13" s="1240">
        <f t="shared" si="14"/>
        <v>384582.76248159999</v>
      </c>
      <c r="I13" s="1148">
        <v>3</v>
      </c>
      <c r="J13" s="383">
        <f t="shared" si="2"/>
        <v>384582.76248159999</v>
      </c>
      <c r="K13" s="712"/>
      <c r="L13" s="487">
        <f t="shared" si="9"/>
        <v>0</v>
      </c>
      <c r="M13" s="927"/>
      <c r="N13" s="672">
        <v>0</v>
      </c>
      <c r="O13" s="660"/>
      <c r="P13" s="1092">
        <f t="shared" si="10"/>
        <v>0</v>
      </c>
      <c r="Q13" s="1093">
        <v>0</v>
      </c>
      <c r="R13" s="381">
        <f t="shared" si="13"/>
        <v>0</v>
      </c>
      <c r="S13" s="382"/>
      <c r="T13" s="381"/>
      <c r="U13" s="624"/>
      <c r="V13" s="569">
        <f t="shared" si="11"/>
        <v>0</v>
      </c>
      <c r="W13" s="607"/>
      <c r="X13" s="383"/>
      <c r="Y13" s="607"/>
      <c r="Z13" s="383"/>
      <c r="AA13" s="607"/>
      <c r="AB13" s="718"/>
      <c r="AC13" s="335"/>
      <c r="AD13" s="383">
        <f>SUMIF('Asesorías AG anterior'!$B$7:$B$239,B13,'Asesorías AG anterior'!$I$7:$I$239)</f>
        <v>3</v>
      </c>
      <c r="AE13" s="383">
        <f>SUMIF('Asesorías AG anterior'!$B$7:$B$239,B13,'Asesorías AG anterior'!$J$7:$J$239)</f>
        <v>365920.80160000001</v>
      </c>
      <c r="AF13" s="383">
        <f>SUMIF('Asesorías AG anterior'!$B$7:$B$239,B13,'Asesorías AG anterior'!$K$7:$K$239)</f>
        <v>1E-3</v>
      </c>
      <c r="AG13" s="383">
        <f>SUMIF('Asesorías AG anterior'!$B$7:$B$239,B13,'Asesorías AG anterior'!$L$7:$L$239)</f>
        <v>0</v>
      </c>
      <c r="AH13" s="383">
        <f>SUMIF('Asesorías AG anterior'!$B$7:$B$239,B13,'Asesorías AG anterior'!$M$7:$M$239)</f>
        <v>0</v>
      </c>
      <c r="AI13" s="383">
        <f>SUMIF('Asesorías AG anterior'!$B$7:$B$239,B13,'Asesorías AG anterior'!$N$7:$N$239)</f>
        <v>0</v>
      </c>
      <c r="AJ13" s="383">
        <f>SUMIF('Asesorías AG anterior'!$B$7:$B$239,B13,'Asesorías AG anterior'!$O$7:$O$239)</f>
        <v>1E-3</v>
      </c>
      <c r="AK13" s="383">
        <f>SUMIF('Asesorías AG anterior'!$B$7:$B$239,B13,'Asesorías AG anterior'!$P$7:$P$239)</f>
        <v>0</v>
      </c>
      <c r="AL13" s="383">
        <f>SUMIF('Asesorías AG anterior'!$B$7:$B$239,B13,'Asesorías AG anterior'!$Q$7:$Q$239)</f>
        <v>0</v>
      </c>
      <c r="AM13" s="383">
        <f>SUMIF('Asesorías AG anterior'!$B$7:$B$239,B13,'Asesorías AG anterior'!$R$7:$R$239)</f>
        <v>0</v>
      </c>
      <c r="AN13" s="383"/>
      <c r="AO13" s="383">
        <f>SUMIF('Asesorías AG anterior'!$B$7:$B$239,B13,'Asesorías AG anterior'!$T$7:$T$239)</f>
        <v>0</v>
      </c>
      <c r="AP13" s="383">
        <f>SUMIF('Asesorías AG anterior'!$B$7:$B$239,B13,'Asesorías AG anterior'!$U$7:$U$239)</f>
        <v>0</v>
      </c>
      <c r="AQ13" s="383">
        <f>SUMIF('Asesorías AG anterior'!$B$7:$B$239,B13,'Asesorías AG anterior'!$V$7:$V$239)</f>
        <v>0</v>
      </c>
      <c r="AR13" s="383">
        <f>SUMIF('Asesorías AG anterior'!$B$7:$B$239,B13,'Asesorías AG anterior'!$W$7:$W$239)</f>
        <v>0</v>
      </c>
      <c r="AS13" s="383">
        <f>SUMIF('Asesorías AG anterior'!$B$7:$B$239,B13,'Asesorías AG anterior'!$X$7:$X$239)</f>
        <v>0</v>
      </c>
      <c r="AT13" s="383">
        <f>SUMIF('Asesorías AG anterior'!$B$7:$B$239,B13,'Asesorías AG anterior'!$Y$7:$Y$239)</f>
        <v>0</v>
      </c>
      <c r="AU13" s="383">
        <f>SUMIF('Asesorías AG anterior'!$B$7:$B$239,B13,'Asesorías AG anterior'!$Z$7:$Z$239)</f>
        <v>0</v>
      </c>
      <c r="AV13" s="383">
        <f>SUMIF('Asesorías AG anterior'!$B$7:$B$239,B13,'Asesorías AG anterior'!$AA$7:$AA$239)</f>
        <v>0</v>
      </c>
      <c r="AW13" s="383">
        <f>SUMIF('Asesorías AG anterior'!$B$7:$B$239,B13,'Asesorías AG anterior'!$AB$7:$AB$239)</f>
        <v>0</v>
      </c>
      <c r="AX13" s="335"/>
      <c r="AZ13" s="1097" t="s">
        <v>8</v>
      </c>
    </row>
    <row r="14" spans="1:52" x14ac:dyDescent="0.2">
      <c r="A14" s="1184">
        <f t="shared" si="12"/>
        <v>8</v>
      </c>
      <c r="B14" s="1433" t="s">
        <v>468</v>
      </c>
      <c r="C14" s="1185">
        <f>_xlfn.XLOOKUP(B14,Códigos!$B$8:$B$406,Códigos!$A$8:$A$406,"Verificar",0)</f>
        <v>156</v>
      </c>
      <c r="D14" s="1114">
        <f>_xlfn.XLOOKUP(B14,'Consolidado Cobros'!$B$10:$B$312,'Consolidado Cobros'!$C$10:$C$312,"Verificar",0)</f>
        <v>43079999</v>
      </c>
      <c r="E14" s="1520">
        <f t="shared" si="6"/>
        <v>9</v>
      </c>
      <c r="F14" s="1517">
        <f t="shared" si="7"/>
        <v>0</v>
      </c>
      <c r="G14" s="1251">
        <f t="shared" si="8"/>
        <v>0</v>
      </c>
      <c r="H14" s="1240">
        <f t="shared" si="14"/>
        <v>0</v>
      </c>
      <c r="I14" s="1148"/>
      <c r="J14" s="383">
        <f t="shared" si="2"/>
        <v>0</v>
      </c>
      <c r="K14" s="712"/>
      <c r="L14" s="487">
        <f t="shared" si="9"/>
        <v>0</v>
      </c>
      <c r="M14" s="927"/>
      <c r="N14" s="672">
        <v>0</v>
      </c>
      <c r="O14" s="660"/>
      <c r="P14" s="1092">
        <f t="shared" si="10"/>
        <v>0</v>
      </c>
      <c r="Q14" s="1093">
        <v>0</v>
      </c>
      <c r="R14" s="381">
        <f t="shared" si="13"/>
        <v>0</v>
      </c>
      <c r="S14" s="382"/>
      <c r="T14" s="381"/>
      <c r="U14" s="624"/>
      <c r="V14" s="569">
        <f t="shared" si="11"/>
        <v>0</v>
      </c>
      <c r="W14" s="607"/>
      <c r="X14" s="383"/>
      <c r="Y14" s="607"/>
      <c r="Z14" s="383"/>
      <c r="AA14" s="607"/>
      <c r="AB14" s="718"/>
      <c r="AC14" s="335"/>
      <c r="AD14" s="383">
        <f>SUMIF('Asesorías AG anterior'!$B$7:$B$239,B14,'Asesorías AG anterior'!$I$7:$I$239)</f>
        <v>1E-3</v>
      </c>
      <c r="AE14" s="383">
        <f>SUMIF('Asesorías AG anterior'!$B$7:$B$239,B14,'Asesorías AG anterior'!$J$7:$J$239)</f>
        <v>0</v>
      </c>
      <c r="AF14" s="383">
        <f>SUMIF('Asesorías AG anterior'!$B$7:$B$239,B14,'Asesorías AG anterior'!$K$7:$K$239)</f>
        <v>1E-3</v>
      </c>
      <c r="AG14" s="383">
        <f>SUMIF('Asesorías AG anterior'!$B$7:$B$239,B14,'Asesorías AG anterior'!$L$7:$L$239)</f>
        <v>0</v>
      </c>
      <c r="AH14" s="383">
        <f>SUMIF('Asesorías AG anterior'!$B$7:$B$239,B14,'Asesorías AG anterior'!$M$7:$M$239)</f>
        <v>0</v>
      </c>
      <c r="AI14" s="383">
        <f>SUMIF('Asesorías AG anterior'!$B$7:$B$239,B14,'Asesorías AG anterior'!$N$7:$N$239)</f>
        <v>0</v>
      </c>
      <c r="AJ14" s="383">
        <f>SUMIF('Asesorías AG anterior'!$B$7:$B$239,B14,'Asesorías AG anterior'!$O$7:$O$239)</f>
        <v>1E-3</v>
      </c>
      <c r="AK14" s="383">
        <f>SUMIF('Asesorías AG anterior'!$B$7:$B$239,B14,'Asesorías AG anterior'!$P$7:$P$239)</f>
        <v>0</v>
      </c>
      <c r="AL14" s="383">
        <f>SUMIF('Asesorías AG anterior'!$B$7:$B$239,B14,'Asesorías AG anterior'!$Q$7:$Q$239)</f>
        <v>0</v>
      </c>
      <c r="AM14" s="383">
        <f>SUMIF('Asesorías AG anterior'!$B$7:$B$239,B14,'Asesorías AG anterior'!$R$7:$R$239)</f>
        <v>0</v>
      </c>
      <c r="AN14" s="383"/>
      <c r="AO14" s="383">
        <f>SUMIF('Asesorías AG anterior'!$B$7:$B$239,B14,'Asesorías AG anterior'!$T$7:$T$239)</f>
        <v>0</v>
      </c>
      <c r="AP14" s="383">
        <f>SUMIF('Asesorías AG anterior'!$B$7:$B$239,B14,'Asesorías AG anterior'!$U$7:$U$239)</f>
        <v>0</v>
      </c>
      <c r="AQ14" s="383">
        <f>SUMIF('Asesorías AG anterior'!$B$7:$B$239,B14,'Asesorías AG anterior'!$V$7:$V$239)</f>
        <v>0</v>
      </c>
      <c r="AR14" s="383">
        <f>SUMIF('Asesorías AG anterior'!$B$7:$B$239,B14,'Asesorías AG anterior'!$W$7:$W$239)</f>
        <v>0</v>
      </c>
      <c r="AS14" s="383">
        <f>SUMIF('Asesorías AG anterior'!$B$7:$B$239,B14,'Asesorías AG anterior'!$X$7:$X$239)</f>
        <v>0</v>
      </c>
      <c r="AT14" s="383">
        <f>SUMIF('Asesorías AG anterior'!$B$7:$B$239,B14,'Asesorías AG anterior'!$Y$7:$Y$239)</f>
        <v>0</v>
      </c>
      <c r="AU14" s="383">
        <f>SUMIF('Asesorías AG anterior'!$B$7:$B$239,B14,'Asesorías AG anterior'!$Z$7:$Z$239)</f>
        <v>0</v>
      </c>
      <c r="AV14" s="383">
        <f>SUMIF('Asesorías AG anterior'!$B$7:$B$239,B14,'Asesorías AG anterior'!$AA$7:$AA$239)</f>
        <v>0</v>
      </c>
      <c r="AW14" s="383">
        <f>SUMIF('Asesorías AG anterior'!$B$7:$B$239,B14,'Asesorías AG anterior'!$AB$7:$AB$239)</f>
        <v>0</v>
      </c>
      <c r="AX14" s="335"/>
      <c r="AZ14" s="1433" t="s">
        <v>468</v>
      </c>
    </row>
    <row r="15" spans="1:52" x14ac:dyDescent="0.2">
      <c r="A15" s="1184">
        <f t="shared" si="12"/>
        <v>9</v>
      </c>
      <c r="B15" s="1433" t="s">
        <v>493</v>
      </c>
      <c r="C15" s="1185">
        <f>_xlfn.XLOOKUP(B15,Códigos!$B$8:$B$406,Códigos!$A$8:$A$406,"Verificar",0)</f>
        <v>179</v>
      </c>
      <c r="D15" s="1114">
        <f>_xlfn.XLOOKUP(B15,'Consolidado Cobros'!$B$10:$B$312,'Consolidado Cobros'!$C$10:$C$312,"Verificar",0)</f>
        <v>1017178784</v>
      </c>
      <c r="E15" s="1520">
        <f t="shared" si="6"/>
        <v>3</v>
      </c>
      <c r="F15" s="1517">
        <f t="shared" si="7"/>
        <v>0</v>
      </c>
      <c r="G15" s="1251">
        <f t="shared" si="8"/>
        <v>0</v>
      </c>
      <c r="H15" s="1240">
        <f t="shared" si="14"/>
        <v>0</v>
      </c>
      <c r="I15" s="1148"/>
      <c r="J15" s="383">
        <f t="shared" si="2"/>
        <v>0</v>
      </c>
      <c r="K15" s="712"/>
      <c r="L15" s="487">
        <f t="shared" si="9"/>
        <v>0</v>
      </c>
      <c r="M15" s="927"/>
      <c r="N15" s="672">
        <v>0</v>
      </c>
      <c r="O15" s="660"/>
      <c r="P15" s="1092">
        <f t="shared" si="10"/>
        <v>0</v>
      </c>
      <c r="Q15" s="1093">
        <v>0</v>
      </c>
      <c r="R15" s="381">
        <f t="shared" si="13"/>
        <v>0</v>
      </c>
      <c r="S15" s="382"/>
      <c r="T15" s="381"/>
      <c r="U15" s="624"/>
      <c r="V15" s="569">
        <f t="shared" si="11"/>
        <v>0</v>
      </c>
      <c r="W15" s="607"/>
      <c r="X15" s="383"/>
      <c r="Y15" s="607"/>
      <c r="Z15" s="383"/>
      <c r="AA15" s="607"/>
      <c r="AB15" s="718"/>
      <c r="AC15" s="335"/>
      <c r="AD15" s="383">
        <f>SUMIF('Asesorías AG anterior'!$B$7:$B$239,B15,'Asesorías AG anterior'!$I$7:$I$239)</f>
        <v>1E-3</v>
      </c>
      <c r="AE15" s="383">
        <f>SUMIF('Asesorías AG anterior'!$B$7:$B$239,B15,'Asesorías AG anterior'!$J$7:$J$239)</f>
        <v>0</v>
      </c>
      <c r="AF15" s="383">
        <f>SUMIF('Asesorías AG anterior'!$B$7:$B$239,B15,'Asesorías AG anterior'!$K$7:$K$239)</f>
        <v>1E-3</v>
      </c>
      <c r="AG15" s="383">
        <f>SUMIF('Asesorías AG anterior'!$B$7:$B$239,B15,'Asesorías AG anterior'!$L$7:$L$239)</f>
        <v>0</v>
      </c>
      <c r="AH15" s="383">
        <f>SUMIF('Asesorías AG anterior'!$B$7:$B$239,B15,'Asesorías AG anterior'!$M$7:$M$239)</f>
        <v>0</v>
      </c>
      <c r="AI15" s="383">
        <f>SUMIF('Asesorías AG anterior'!$B$7:$B$239,B15,'Asesorías AG anterior'!$N$7:$N$239)</f>
        <v>0</v>
      </c>
      <c r="AJ15" s="383">
        <f>SUMIF('Asesorías AG anterior'!$B$7:$B$239,B15,'Asesorías AG anterior'!$O$7:$O$239)</f>
        <v>1E-3</v>
      </c>
      <c r="AK15" s="383">
        <f>SUMIF('Asesorías AG anterior'!$B$7:$B$239,B15,'Asesorías AG anterior'!$P$7:$P$239)</f>
        <v>0</v>
      </c>
      <c r="AL15" s="383">
        <f>SUMIF('Asesorías AG anterior'!$B$7:$B$239,B15,'Asesorías AG anterior'!$Q$7:$Q$239)</f>
        <v>0</v>
      </c>
      <c r="AM15" s="383">
        <f>SUMIF('Asesorías AG anterior'!$B$7:$B$239,B15,'Asesorías AG anterior'!$R$7:$R$239)</f>
        <v>0</v>
      </c>
      <c r="AN15" s="383"/>
      <c r="AO15" s="383">
        <f>SUMIF('Asesorías AG anterior'!$B$7:$B$239,B15,'Asesorías AG anterior'!$T$7:$T$239)</f>
        <v>0</v>
      </c>
      <c r="AP15" s="383">
        <f>SUMIF('Asesorías AG anterior'!$B$7:$B$239,B15,'Asesorías AG anterior'!$U$7:$U$239)</f>
        <v>0</v>
      </c>
      <c r="AQ15" s="383">
        <f>SUMIF('Asesorías AG anterior'!$B$7:$B$239,B15,'Asesorías AG anterior'!$V$7:$V$239)</f>
        <v>0</v>
      </c>
      <c r="AR15" s="383">
        <f>SUMIF('Asesorías AG anterior'!$B$7:$B$239,B15,'Asesorías AG anterior'!$W$7:$W$239)</f>
        <v>0</v>
      </c>
      <c r="AS15" s="383">
        <f>SUMIF('Asesorías AG anterior'!$B$7:$B$239,B15,'Asesorías AG anterior'!$X$7:$X$239)</f>
        <v>0</v>
      </c>
      <c r="AT15" s="383">
        <f>SUMIF('Asesorías AG anterior'!$B$7:$B$239,B15,'Asesorías AG anterior'!$Y$7:$Y$239)</f>
        <v>0</v>
      </c>
      <c r="AU15" s="383">
        <f>SUMIF('Asesorías AG anterior'!$B$7:$B$239,B15,'Asesorías AG anterior'!$Z$7:$Z$239)</f>
        <v>0</v>
      </c>
      <c r="AV15" s="383">
        <f>SUMIF('Asesorías AG anterior'!$B$7:$B$239,B15,'Asesorías AG anterior'!$AA$7:$AA$239)</f>
        <v>0</v>
      </c>
      <c r="AW15" s="383">
        <f>SUMIF('Asesorías AG anterior'!$B$7:$B$239,B15,'Asesorías AG anterior'!$AB$7:$AB$239)</f>
        <v>0</v>
      </c>
      <c r="AX15" s="335"/>
      <c r="AZ15" s="1433" t="s">
        <v>493</v>
      </c>
    </row>
    <row r="16" spans="1:52" x14ac:dyDescent="0.2">
      <c r="A16" s="1184">
        <f t="shared" si="12"/>
        <v>10</v>
      </c>
      <c r="B16" s="1097" t="s">
        <v>9</v>
      </c>
      <c r="C16" s="1185">
        <f>_xlfn.XLOOKUP(B16,Códigos!$B$8:$B$406,Códigos!$A$8:$A$406,"Verificar",0)</f>
        <v>48</v>
      </c>
      <c r="D16" s="1114">
        <f>_xlfn.XLOOKUP(B16,'Consolidado Cobros'!$B$10:$B$312,'Consolidado Cobros'!$C$10:$C$312,"Verificar",0)</f>
        <v>32470755</v>
      </c>
      <c r="E16" s="1520">
        <f t="shared" si="6"/>
        <v>4</v>
      </c>
      <c r="F16" s="1517">
        <f t="shared" si="7"/>
        <v>80000</v>
      </c>
      <c r="G16" s="1251">
        <f t="shared" si="8"/>
        <v>0</v>
      </c>
      <c r="H16" s="1240">
        <f t="shared" si="14"/>
        <v>80000</v>
      </c>
      <c r="I16" s="1148"/>
      <c r="J16" s="383">
        <f t="shared" si="2"/>
        <v>0</v>
      </c>
      <c r="K16" s="712"/>
      <c r="L16" s="487">
        <f t="shared" si="9"/>
        <v>0</v>
      </c>
      <c r="M16" s="927"/>
      <c r="N16" s="672">
        <v>0</v>
      </c>
      <c r="O16" s="660" t="s">
        <v>318</v>
      </c>
      <c r="P16" s="1092">
        <f>ROUND(IF(O16="SI",AK16*(100%+$P$4),0),-4)+10000</f>
        <v>80000</v>
      </c>
      <c r="Q16" s="1093">
        <v>0</v>
      </c>
      <c r="R16" s="381">
        <f t="shared" si="13"/>
        <v>80000</v>
      </c>
      <c r="S16" s="382"/>
      <c r="T16" s="381"/>
      <c r="U16" s="624"/>
      <c r="V16" s="569">
        <f t="shared" si="11"/>
        <v>0</v>
      </c>
      <c r="W16" s="607"/>
      <c r="X16" s="383"/>
      <c r="Y16" s="607"/>
      <c r="Z16" s="383"/>
      <c r="AA16" s="607"/>
      <c r="AB16" s="718"/>
      <c r="AC16" s="335"/>
      <c r="AD16" s="383">
        <f>SUMIF('Asesorías AG anterior'!$B$7:$B$239,B16,'Asesorías AG anterior'!$I$7:$I$239)</f>
        <v>1E-3</v>
      </c>
      <c r="AE16" s="383">
        <f>SUMIF('Asesorías AG anterior'!$B$7:$B$239,B16,'Asesorías AG anterior'!$J$7:$J$239)</f>
        <v>0</v>
      </c>
      <c r="AF16" s="383">
        <f>SUMIF('Asesorías AG anterior'!$B$7:$B$239,B16,'Asesorías AG anterior'!$K$7:$K$239)</f>
        <v>1E-3</v>
      </c>
      <c r="AG16" s="383">
        <f>SUMIF('Asesorías AG anterior'!$B$7:$B$239,B16,'Asesorías AG anterior'!$L$7:$L$239)</f>
        <v>0</v>
      </c>
      <c r="AH16" s="383">
        <f>SUMIF('Asesorías AG anterior'!$B$7:$B$239,B16,'Asesorías AG anterior'!$M$7:$M$239)</f>
        <v>0</v>
      </c>
      <c r="AI16" s="383">
        <f>SUMIF('Asesorías AG anterior'!$B$7:$B$239,B16,'Asesorías AG anterior'!$N$7:$N$239)</f>
        <v>0</v>
      </c>
      <c r="AJ16" s="383">
        <f>SUMIF('Asesorías AG anterior'!$B$7:$B$239,B16,'Asesorías AG anterior'!$O$7:$O$239)</f>
        <v>0</v>
      </c>
      <c r="AK16" s="383">
        <f>SUMIF('Asesorías AG anterior'!$B$7:$B$239,B16,'Asesorías AG anterior'!$P$7:$P$239)</f>
        <v>70000</v>
      </c>
      <c r="AL16" s="383">
        <f>SUMIF('Asesorías AG anterior'!$B$7:$B$239,B16,'Asesorías AG anterior'!$Q$7:$Q$239)</f>
        <v>0</v>
      </c>
      <c r="AM16" s="383">
        <f>SUMIF('Asesorías AG anterior'!$B$7:$B$239,B16,'Asesorías AG anterior'!$R$7:$R$239)</f>
        <v>0</v>
      </c>
      <c r="AN16" s="383"/>
      <c r="AO16" s="383">
        <f>SUMIF('Asesorías AG anterior'!$B$7:$B$239,B16,'Asesorías AG anterior'!$T$7:$T$239)</f>
        <v>0</v>
      </c>
      <c r="AP16" s="383">
        <f>SUMIF('Asesorías AG anterior'!$B$7:$B$239,B16,'Asesorías AG anterior'!$U$7:$U$239)</f>
        <v>0</v>
      </c>
      <c r="AQ16" s="383">
        <f>SUMIF('Asesorías AG anterior'!$B$7:$B$239,B16,'Asesorías AG anterior'!$V$7:$V$239)</f>
        <v>0</v>
      </c>
      <c r="AR16" s="383">
        <f>SUMIF('Asesorías AG anterior'!$B$7:$B$239,B16,'Asesorías AG anterior'!$W$7:$W$239)</f>
        <v>0</v>
      </c>
      <c r="AS16" s="383">
        <f>SUMIF('Asesorías AG anterior'!$B$7:$B$239,B16,'Asesorías AG anterior'!$X$7:$X$239)</f>
        <v>0</v>
      </c>
      <c r="AT16" s="383">
        <f>SUMIF('Asesorías AG anterior'!$B$7:$B$239,B16,'Asesorías AG anterior'!$Y$7:$Y$239)</f>
        <v>0</v>
      </c>
      <c r="AU16" s="383">
        <f>SUMIF('Asesorías AG anterior'!$B$7:$B$239,B16,'Asesorías AG anterior'!$Z$7:$Z$239)</f>
        <v>0</v>
      </c>
      <c r="AV16" s="383">
        <f>SUMIF('Asesorías AG anterior'!$B$7:$B$239,B16,'Asesorías AG anterior'!$AA$7:$AA$239)</f>
        <v>0</v>
      </c>
      <c r="AW16" s="383">
        <f>SUMIF('Asesorías AG anterior'!$B$7:$B$239,B16,'Asesorías AG anterior'!$AB$7:$AB$239)</f>
        <v>0</v>
      </c>
      <c r="AX16" s="335"/>
      <c r="AZ16" s="1097" t="s">
        <v>9</v>
      </c>
    </row>
    <row r="17" spans="1:52" x14ac:dyDescent="0.2">
      <c r="A17" s="1184">
        <f t="shared" si="12"/>
        <v>11</v>
      </c>
      <c r="B17" s="1097" t="s">
        <v>10</v>
      </c>
      <c r="C17" s="1185">
        <f>_xlfn.XLOOKUP(B17,Códigos!$B$8:$B$406,Códigos!$A$8:$A$406,"Verificar",0)</f>
        <v>49</v>
      </c>
      <c r="D17" s="1114">
        <f>_xlfn.XLOOKUP(B17,'Consolidado Cobros'!$B$10:$B$312,'Consolidado Cobros'!$C$10:$C$312,"Verificar",0)</f>
        <v>42889979</v>
      </c>
      <c r="E17" s="1520">
        <f t="shared" si="6"/>
        <v>3</v>
      </c>
      <c r="F17" s="1517">
        <f t="shared" si="7"/>
        <v>0</v>
      </c>
      <c r="G17" s="1251">
        <f t="shared" si="8"/>
        <v>0</v>
      </c>
      <c r="H17" s="1240">
        <f t="shared" si="14"/>
        <v>0</v>
      </c>
      <c r="I17" s="1148"/>
      <c r="J17" s="383">
        <f t="shared" si="2"/>
        <v>0</v>
      </c>
      <c r="K17" s="712"/>
      <c r="L17" s="487">
        <f t="shared" si="9"/>
        <v>0</v>
      </c>
      <c r="M17" s="927"/>
      <c r="N17" s="672">
        <v>0</v>
      </c>
      <c r="O17" s="660"/>
      <c r="P17" s="1092">
        <f t="shared" si="10"/>
        <v>0</v>
      </c>
      <c r="Q17" s="1093">
        <v>0</v>
      </c>
      <c r="R17" s="381">
        <f t="shared" si="13"/>
        <v>0</v>
      </c>
      <c r="S17" s="382"/>
      <c r="T17" s="381"/>
      <c r="U17" s="624"/>
      <c r="V17" s="569">
        <f t="shared" si="11"/>
        <v>0</v>
      </c>
      <c r="W17" s="607"/>
      <c r="X17" s="383"/>
      <c r="Y17" s="607"/>
      <c r="Z17" s="383"/>
      <c r="AA17" s="607"/>
      <c r="AB17" s="718"/>
      <c r="AC17" s="335"/>
      <c r="AD17" s="383">
        <f>SUMIF('Asesorías AG anterior'!$B$7:$B$239,B17,'Asesorías AG anterior'!$I$7:$I$239)</f>
        <v>1E-3</v>
      </c>
      <c r="AE17" s="383">
        <f>SUMIF('Asesorías AG anterior'!$B$7:$B$239,B17,'Asesorías AG anterior'!$J$7:$J$239)</f>
        <v>0</v>
      </c>
      <c r="AF17" s="383">
        <f>SUMIF('Asesorías AG anterior'!$B$7:$B$239,B17,'Asesorías AG anterior'!$K$7:$K$239)</f>
        <v>1E-3</v>
      </c>
      <c r="AG17" s="383">
        <f>SUMIF('Asesorías AG anterior'!$B$7:$B$239,B17,'Asesorías AG anterior'!$L$7:$L$239)</f>
        <v>0</v>
      </c>
      <c r="AH17" s="383">
        <f>SUMIF('Asesorías AG anterior'!$B$7:$B$239,B17,'Asesorías AG anterior'!$M$7:$M$239)</f>
        <v>0</v>
      </c>
      <c r="AI17" s="383">
        <f>SUMIF('Asesorías AG anterior'!$B$7:$B$239,B17,'Asesorías AG anterior'!$N$7:$N$239)</f>
        <v>0</v>
      </c>
      <c r="AJ17" s="383">
        <f>SUMIF('Asesorías AG anterior'!$B$7:$B$239,B17,'Asesorías AG anterior'!$O$7:$O$239)</f>
        <v>1E-3</v>
      </c>
      <c r="AK17" s="383">
        <f>SUMIF('Asesorías AG anterior'!$B$7:$B$239,B17,'Asesorías AG anterior'!$P$7:$P$239)</f>
        <v>0</v>
      </c>
      <c r="AL17" s="383">
        <f>SUMIF('Asesorías AG anterior'!$B$7:$B$239,B17,'Asesorías AG anterior'!$Q$7:$Q$239)</f>
        <v>0</v>
      </c>
      <c r="AM17" s="383">
        <f>SUMIF('Asesorías AG anterior'!$B$7:$B$239,B17,'Asesorías AG anterior'!$R$7:$R$239)</f>
        <v>0</v>
      </c>
      <c r="AN17" s="383"/>
      <c r="AO17" s="383">
        <f>SUMIF('Asesorías AG anterior'!$B$7:$B$239,B17,'Asesorías AG anterior'!$T$7:$T$239)</f>
        <v>0</v>
      </c>
      <c r="AP17" s="383">
        <f>SUMIF('Asesorías AG anterior'!$B$7:$B$239,B17,'Asesorías AG anterior'!$U$7:$U$239)</f>
        <v>0</v>
      </c>
      <c r="AQ17" s="383">
        <f>SUMIF('Asesorías AG anterior'!$B$7:$B$239,B17,'Asesorías AG anterior'!$V$7:$V$239)</f>
        <v>0</v>
      </c>
      <c r="AR17" s="383">
        <f>SUMIF('Asesorías AG anterior'!$B$7:$B$239,B17,'Asesorías AG anterior'!$W$7:$W$239)</f>
        <v>0</v>
      </c>
      <c r="AS17" s="383">
        <f>SUMIF('Asesorías AG anterior'!$B$7:$B$239,B17,'Asesorías AG anterior'!$X$7:$X$239)</f>
        <v>0</v>
      </c>
      <c r="AT17" s="383">
        <f>SUMIF('Asesorías AG anterior'!$B$7:$B$239,B17,'Asesorías AG anterior'!$Y$7:$Y$239)</f>
        <v>0</v>
      </c>
      <c r="AU17" s="383">
        <f>SUMIF('Asesorías AG anterior'!$B$7:$B$239,B17,'Asesorías AG anterior'!$Z$7:$Z$239)</f>
        <v>0</v>
      </c>
      <c r="AV17" s="383">
        <f>SUMIF('Asesorías AG anterior'!$B$7:$B$239,B17,'Asesorías AG anterior'!$AA$7:$AA$239)</f>
        <v>0</v>
      </c>
      <c r="AW17" s="383">
        <f>SUMIF('Asesorías AG anterior'!$B$7:$B$239,B17,'Asesorías AG anterior'!$AB$7:$AB$239)</f>
        <v>0</v>
      </c>
      <c r="AX17" s="335"/>
      <c r="AZ17" s="1097" t="s">
        <v>10</v>
      </c>
    </row>
    <row r="18" spans="1:52" x14ac:dyDescent="0.2">
      <c r="A18" s="1184">
        <f t="shared" si="12"/>
        <v>12</v>
      </c>
      <c r="B18" s="1097" t="s">
        <v>11</v>
      </c>
      <c r="C18" s="1185">
        <f>_xlfn.XLOOKUP(B18,Códigos!$B$8:$B$406,Códigos!$A$8:$A$406,"Verificar",0)</f>
        <v>50</v>
      </c>
      <c r="D18" s="1114">
        <f>_xlfn.XLOOKUP(B18,'Consolidado Cobros'!$B$10:$B$312,'Consolidado Cobros'!$C$10:$C$312,"Verificar",0)</f>
        <v>98554347</v>
      </c>
      <c r="E18" s="1520">
        <f t="shared" si="6"/>
        <v>4</v>
      </c>
      <c r="F18" s="1517">
        <f t="shared" si="7"/>
        <v>0</v>
      </c>
      <c r="G18" s="1251">
        <f t="shared" si="8"/>
        <v>0</v>
      </c>
      <c r="H18" s="1240">
        <f t="shared" si="14"/>
        <v>0</v>
      </c>
      <c r="I18" s="1148"/>
      <c r="J18" s="383">
        <f t="shared" si="2"/>
        <v>0</v>
      </c>
      <c r="K18" s="712"/>
      <c r="L18" s="487">
        <f t="shared" si="9"/>
        <v>0</v>
      </c>
      <c r="M18" s="927"/>
      <c r="N18" s="672">
        <v>0</v>
      </c>
      <c r="O18" s="660"/>
      <c r="P18" s="1092">
        <f t="shared" si="10"/>
        <v>0</v>
      </c>
      <c r="Q18" s="1093">
        <v>0</v>
      </c>
      <c r="R18" s="381">
        <f t="shared" si="13"/>
        <v>0</v>
      </c>
      <c r="S18" s="382"/>
      <c r="T18" s="381"/>
      <c r="U18" s="624"/>
      <c r="V18" s="569">
        <f t="shared" si="11"/>
        <v>0</v>
      </c>
      <c r="W18" s="607"/>
      <c r="X18" s="383"/>
      <c r="Y18" s="607"/>
      <c r="Z18" s="383"/>
      <c r="AA18" s="607"/>
      <c r="AB18" s="718"/>
      <c r="AC18" s="335"/>
      <c r="AD18" s="383">
        <f>SUMIF('Asesorías AG anterior'!$B$7:$B$239,B18,'Asesorías AG anterior'!$I$7:$I$239)</f>
        <v>1E-3</v>
      </c>
      <c r="AE18" s="383">
        <f>SUMIF('Asesorías AG anterior'!$B$7:$B$239,B18,'Asesorías AG anterior'!$J$7:$J$239)</f>
        <v>0</v>
      </c>
      <c r="AF18" s="383">
        <f>SUMIF('Asesorías AG anterior'!$B$7:$B$239,B18,'Asesorías AG anterior'!$K$7:$K$239)</f>
        <v>1E-3</v>
      </c>
      <c r="AG18" s="383">
        <f>SUMIF('Asesorías AG anterior'!$B$7:$B$239,B18,'Asesorías AG anterior'!$L$7:$L$239)</f>
        <v>0</v>
      </c>
      <c r="AH18" s="383">
        <f>SUMIF('Asesorías AG anterior'!$B$7:$B$239,B18,'Asesorías AG anterior'!$M$7:$M$239)</f>
        <v>0</v>
      </c>
      <c r="AI18" s="383">
        <f>SUMIF('Asesorías AG anterior'!$B$7:$B$239,B18,'Asesorías AG anterior'!$N$7:$N$239)</f>
        <v>0</v>
      </c>
      <c r="AJ18" s="383">
        <f>SUMIF('Asesorías AG anterior'!$B$7:$B$239,B18,'Asesorías AG anterior'!$O$7:$O$239)</f>
        <v>1E-3</v>
      </c>
      <c r="AK18" s="383">
        <f>SUMIF('Asesorías AG anterior'!$B$7:$B$239,B18,'Asesorías AG anterior'!$P$7:$P$239)</f>
        <v>0</v>
      </c>
      <c r="AL18" s="383">
        <f>SUMIF('Asesorías AG anterior'!$B$7:$B$239,B18,'Asesorías AG anterior'!$Q$7:$Q$239)</f>
        <v>0</v>
      </c>
      <c r="AM18" s="383">
        <f>SUMIF('Asesorías AG anterior'!$B$7:$B$239,B18,'Asesorías AG anterior'!$R$7:$R$239)</f>
        <v>0</v>
      </c>
      <c r="AN18" s="383"/>
      <c r="AO18" s="383">
        <f>SUMIF('Asesorías AG anterior'!$B$7:$B$239,B18,'Asesorías AG anterior'!$T$7:$T$239)</f>
        <v>0</v>
      </c>
      <c r="AP18" s="383">
        <f>SUMIF('Asesorías AG anterior'!$B$7:$B$239,B18,'Asesorías AG anterior'!$U$7:$U$239)</f>
        <v>0</v>
      </c>
      <c r="AQ18" s="383">
        <f>SUMIF('Asesorías AG anterior'!$B$7:$B$239,B18,'Asesorías AG anterior'!$V$7:$V$239)</f>
        <v>0</v>
      </c>
      <c r="AR18" s="383">
        <f>SUMIF('Asesorías AG anterior'!$B$7:$B$239,B18,'Asesorías AG anterior'!$W$7:$W$239)</f>
        <v>0</v>
      </c>
      <c r="AS18" s="383">
        <f>SUMIF('Asesorías AG anterior'!$B$7:$B$239,B18,'Asesorías AG anterior'!$X$7:$X$239)</f>
        <v>0</v>
      </c>
      <c r="AT18" s="383">
        <f>SUMIF('Asesorías AG anterior'!$B$7:$B$239,B18,'Asesorías AG anterior'!$Y$7:$Y$239)</f>
        <v>0</v>
      </c>
      <c r="AU18" s="383">
        <f>SUMIF('Asesorías AG anterior'!$B$7:$B$239,B18,'Asesorías AG anterior'!$Z$7:$Z$239)</f>
        <v>0</v>
      </c>
      <c r="AV18" s="383">
        <f>SUMIF('Asesorías AG anterior'!$B$7:$B$239,B18,'Asesorías AG anterior'!$AA$7:$AA$239)</f>
        <v>0</v>
      </c>
      <c r="AW18" s="383">
        <f>SUMIF('Asesorías AG anterior'!$B$7:$B$239,B18,'Asesorías AG anterior'!$AB$7:$AB$239)</f>
        <v>0</v>
      </c>
      <c r="AX18" s="335"/>
      <c r="AZ18" s="1097" t="s">
        <v>11</v>
      </c>
    </row>
    <row r="19" spans="1:52" x14ac:dyDescent="0.2">
      <c r="A19" s="1184">
        <f t="shared" si="12"/>
        <v>13</v>
      </c>
      <c r="B19" s="1097" t="s">
        <v>13</v>
      </c>
      <c r="C19" s="1185">
        <f>_xlfn.XLOOKUP(B19,Códigos!$B$8:$B$406,Códigos!$A$8:$A$406,"Verificar",0)</f>
        <v>52</v>
      </c>
      <c r="D19" s="1114">
        <f>_xlfn.XLOOKUP(B19,'Consolidado Cobros'!$B$10:$B$312,'Consolidado Cobros'!$C$10:$C$312,"Verificar",0)</f>
        <v>43431768</v>
      </c>
      <c r="E19" s="1520">
        <f t="shared" si="6"/>
        <v>3</v>
      </c>
      <c r="F19" s="1517">
        <f t="shared" si="7"/>
        <v>0</v>
      </c>
      <c r="G19" s="1251">
        <f t="shared" si="8"/>
        <v>0</v>
      </c>
      <c r="H19" s="1240">
        <f t="shared" si="14"/>
        <v>0</v>
      </c>
      <c r="I19" s="1148"/>
      <c r="J19" s="383">
        <f t="shared" si="2"/>
        <v>0</v>
      </c>
      <c r="K19" s="712"/>
      <c r="L19" s="487">
        <f t="shared" si="9"/>
        <v>0</v>
      </c>
      <c r="M19" s="927"/>
      <c r="N19" s="672">
        <v>0</v>
      </c>
      <c r="O19" s="660"/>
      <c r="P19" s="1092">
        <f t="shared" si="10"/>
        <v>0</v>
      </c>
      <c r="Q19" s="1093">
        <v>0</v>
      </c>
      <c r="R19" s="381">
        <f t="shared" si="13"/>
        <v>0</v>
      </c>
      <c r="S19" s="382"/>
      <c r="T19" s="381"/>
      <c r="U19" s="624"/>
      <c r="V19" s="569">
        <f t="shared" si="11"/>
        <v>0</v>
      </c>
      <c r="W19" s="607"/>
      <c r="X19" s="383"/>
      <c r="Y19" s="607"/>
      <c r="Z19" s="383"/>
      <c r="AA19" s="607"/>
      <c r="AB19" s="718"/>
      <c r="AC19" s="335"/>
      <c r="AD19" s="383">
        <f>SUMIF('Asesorías AG anterior'!$B$7:$B$239,B19,'Asesorías AG anterior'!$I$7:$I$239)</f>
        <v>1E-3</v>
      </c>
      <c r="AE19" s="383">
        <f>SUMIF('Asesorías AG anterior'!$B$7:$B$239,B19,'Asesorías AG anterior'!$J$7:$J$239)</f>
        <v>0</v>
      </c>
      <c r="AF19" s="383">
        <f>SUMIF('Asesorías AG anterior'!$B$7:$B$239,B19,'Asesorías AG anterior'!$K$7:$K$239)</f>
        <v>1E-3</v>
      </c>
      <c r="AG19" s="383">
        <f>SUMIF('Asesorías AG anterior'!$B$7:$B$239,B19,'Asesorías AG anterior'!$L$7:$L$239)</f>
        <v>0</v>
      </c>
      <c r="AH19" s="383">
        <f>SUMIF('Asesorías AG anterior'!$B$7:$B$239,B19,'Asesorías AG anterior'!$M$7:$M$239)</f>
        <v>0</v>
      </c>
      <c r="AI19" s="383">
        <f>SUMIF('Asesorías AG anterior'!$B$7:$B$239,B19,'Asesorías AG anterior'!$N$7:$N$239)</f>
        <v>0</v>
      </c>
      <c r="AJ19" s="383">
        <f>SUMIF('Asesorías AG anterior'!$B$7:$B$239,B19,'Asesorías AG anterior'!$O$7:$O$239)</f>
        <v>1E-3</v>
      </c>
      <c r="AK19" s="383">
        <f>SUMIF('Asesorías AG anterior'!$B$7:$B$239,B19,'Asesorías AG anterior'!$P$7:$P$239)</f>
        <v>0</v>
      </c>
      <c r="AL19" s="383">
        <f>SUMIF('Asesorías AG anterior'!$B$7:$B$239,B19,'Asesorías AG anterior'!$Q$7:$Q$239)</f>
        <v>0</v>
      </c>
      <c r="AM19" s="383">
        <f>SUMIF('Asesorías AG anterior'!$B$7:$B$239,B19,'Asesorías AG anterior'!$R$7:$R$239)</f>
        <v>0</v>
      </c>
      <c r="AN19" s="383"/>
      <c r="AO19" s="383">
        <f>SUMIF('Asesorías AG anterior'!$B$7:$B$239,B19,'Asesorías AG anterior'!$T$7:$T$239)</f>
        <v>0</v>
      </c>
      <c r="AP19" s="383">
        <f>SUMIF('Asesorías AG anterior'!$B$7:$B$239,B19,'Asesorías AG anterior'!$U$7:$U$239)</f>
        <v>0</v>
      </c>
      <c r="AQ19" s="383">
        <f>SUMIF('Asesorías AG anterior'!$B$7:$B$239,B19,'Asesorías AG anterior'!$V$7:$V$239)</f>
        <v>0</v>
      </c>
      <c r="AR19" s="383">
        <f>SUMIF('Asesorías AG anterior'!$B$7:$B$239,B19,'Asesorías AG anterior'!$W$7:$W$239)</f>
        <v>0</v>
      </c>
      <c r="AS19" s="383">
        <f>SUMIF('Asesorías AG anterior'!$B$7:$B$239,B19,'Asesorías AG anterior'!$X$7:$X$239)</f>
        <v>0</v>
      </c>
      <c r="AT19" s="383">
        <f>SUMIF('Asesorías AG anterior'!$B$7:$B$239,B19,'Asesorías AG anterior'!$Y$7:$Y$239)</f>
        <v>0</v>
      </c>
      <c r="AU19" s="383">
        <f>SUMIF('Asesorías AG anterior'!$B$7:$B$239,B19,'Asesorías AG anterior'!$Z$7:$Z$239)</f>
        <v>0</v>
      </c>
      <c r="AV19" s="383">
        <f>SUMIF('Asesorías AG anterior'!$B$7:$B$239,B19,'Asesorías AG anterior'!$AA$7:$AA$239)</f>
        <v>0</v>
      </c>
      <c r="AW19" s="383">
        <f>SUMIF('Asesorías AG anterior'!$B$7:$B$239,B19,'Asesorías AG anterior'!$AB$7:$AB$239)</f>
        <v>0</v>
      </c>
      <c r="AX19" s="335"/>
      <c r="AZ19" s="1393" t="s">
        <v>13</v>
      </c>
    </row>
    <row r="20" spans="1:52" x14ac:dyDescent="0.2">
      <c r="A20" s="1184">
        <f t="shared" si="12"/>
        <v>14</v>
      </c>
      <c r="B20" s="1137" t="s">
        <v>251</v>
      </c>
      <c r="C20" s="1185">
        <f>_xlfn.XLOOKUP(B20,Códigos!$B$8:$B$406,Códigos!$A$8:$A$406,"Verificar",0)</f>
        <v>1</v>
      </c>
      <c r="D20" s="1114">
        <f>_xlfn.XLOOKUP(B20,'Consolidado Cobros'!$B$10:$B$312,'Consolidado Cobros'!$C$10:$C$312,"Verificar",0)</f>
        <v>811032632</v>
      </c>
      <c r="E20" s="1520">
        <f t="shared" si="6"/>
        <v>4</v>
      </c>
      <c r="F20" s="1517">
        <f t="shared" si="7"/>
        <v>80000</v>
      </c>
      <c r="G20" s="1251">
        <f t="shared" si="8"/>
        <v>0</v>
      </c>
      <c r="H20" s="1240">
        <f t="shared" si="14"/>
        <v>80000</v>
      </c>
      <c r="I20" s="1148">
        <v>3</v>
      </c>
      <c r="J20" s="383">
        <f t="shared" si="2"/>
        <v>0</v>
      </c>
      <c r="K20" s="712">
        <v>12</v>
      </c>
      <c r="L20" s="487">
        <f t="shared" si="9"/>
        <v>0</v>
      </c>
      <c r="M20" s="927"/>
      <c r="N20" s="672">
        <v>0</v>
      </c>
      <c r="O20" s="660" t="s">
        <v>318</v>
      </c>
      <c r="P20" s="1092">
        <v>80000</v>
      </c>
      <c r="Q20" s="1093">
        <v>0</v>
      </c>
      <c r="R20" s="381">
        <f t="shared" si="13"/>
        <v>80000</v>
      </c>
      <c r="S20" s="382"/>
      <c r="T20" s="381"/>
      <c r="U20" s="624"/>
      <c r="V20" s="569">
        <f t="shared" si="11"/>
        <v>0</v>
      </c>
      <c r="W20" s="607"/>
      <c r="X20" s="383"/>
      <c r="Y20" s="607"/>
      <c r="Z20" s="383"/>
      <c r="AA20" s="607"/>
      <c r="AB20" s="718"/>
      <c r="AC20" s="335"/>
      <c r="AD20" s="383">
        <f>SUMIF('Asesorías AG anterior'!$B$7:$B$239,B20,'Asesorías AG anterior'!$I$7:$I$239)</f>
        <v>1E-3</v>
      </c>
      <c r="AE20" s="383">
        <f>SUMIF('Asesorías AG anterior'!$B$7:$B$239,B20,'Asesorías AG anterior'!$J$7:$J$239)</f>
        <v>0</v>
      </c>
      <c r="AF20" s="383">
        <f>SUMIF('Asesorías AG anterior'!$B$7:$B$239,B20,'Asesorías AG anterior'!$K$7:$K$239)</f>
        <v>1E-3</v>
      </c>
      <c r="AG20" s="383">
        <f>SUMIF('Asesorías AG anterior'!$B$7:$B$239,B20,'Asesorías AG anterior'!$L$7:$L$239)</f>
        <v>0</v>
      </c>
      <c r="AH20" s="383">
        <f>SUMIF('Asesorías AG anterior'!$B$7:$B$239,B20,'Asesorías AG anterior'!$M$7:$M$239)</f>
        <v>0</v>
      </c>
      <c r="AI20" s="383">
        <f>SUMIF('Asesorías AG anterior'!$B$7:$B$239,B20,'Asesorías AG anterior'!$N$7:$N$239)</f>
        <v>0</v>
      </c>
      <c r="AJ20" s="383">
        <f>SUMIF('Asesorías AG anterior'!$B$7:$B$239,B20,'Asesorías AG anterior'!$O$7:$O$239)</f>
        <v>0</v>
      </c>
      <c r="AK20" s="383">
        <f>SUMIF('Asesorías AG anterior'!$B$7:$B$239,B20,'Asesorías AG anterior'!$P$7:$P$239)</f>
        <v>70000</v>
      </c>
      <c r="AL20" s="383">
        <f>SUMIF('Asesorías AG anterior'!$B$7:$B$239,B20,'Asesorías AG anterior'!$Q$7:$Q$239)</f>
        <v>0</v>
      </c>
      <c r="AM20" s="383">
        <f>SUMIF('Asesorías AG anterior'!$B$7:$B$239,B20,'Asesorías AG anterior'!$R$7:$R$239)</f>
        <v>0</v>
      </c>
      <c r="AN20" s="383"/>
      <c r="AO20" s="383">
        <f>SUMIF('Asesorías AG anterior'!$B$7:$B$239,B20,'Asesorías AG anterior'!$T$7:$T$239)</f>
        <v>0</v>
      </c>
      <c r="AP20" s="383">
        <f>SUMIF('Asesorías AG anterior'!$B$7:$B$239,B20,'Asesorías AG anterior'!$U$7:$U$239)</f>
        <v>0</v>
      </c>
      <c r="AQ20" s="383">
        <f>SUMIF('Asesorías AG anterior'!$B$7:$B$239,B20,'Asesorías AG anterior'!$V$7:$V$239)</f>
        <v>0</v>
      </c>
      <c r="AR20" s="383">
        <f>SUMIF('Asesorías AG anterior'!$B$7:$B$239,B20,'Asesorías AG anterior'!$W$7:$W$239)</f>
        <v>0</v>
      </c>
      <c r="AS20" s="383">
        <f>SUMIF('Asesorías AG anterior'!$B$7:$B$239,B20,'Asesorías AG anterior'!$X$7:$X$239)</f>
        <v>0</v>
      </c>
      <c r="AT20" s="383">
        <f>SUMIF('Asesorías AG anterior'!$B$7:$B$239,B20,'Asesorías AG anterior'!$Y$7:$Y$239)</f>
        <v>0</v>
      </c>
      <c r="AU20" s="383">
        <f>SUMIF('Asesorías AG anterior'!$B$7:$B$239,B20,'Asesorías AG anterior'!$Z$7:$Z$239)</f>
        <v>0</v>
      </c>
      <c r="AV20" s="383">
        <f>SUMIF('Asesorías AG anterior'!$B$7:$B$239,B20,'Asesorías AG anterior'!$AA$7:$AA$239)</f>
        <v>0</v>
      </c>
      <c r="AW20" s="383">
        <f>SUMIF('Asesorías AG anterior'!$B$7:$B$239,B20,'Asesorías AG anterior'!$AB$7:$AB$239)</f>
        <v>0</v>
      </c>
      <c r="AX20" s="335"/>
      <c r="AZ20" s="1137" t="s">
        <v>251</v>
      </c>
    </row>
    <row r="21" spans="1:52" x14ac:dyDescent="0.2">
      <c r="A21" s="1184">
        <f t="shared" si="12"/>
        <v>15</v>
      </c>
      <c r="B21" s="1137" t="s">
        <v>336</v>
      </c>
      <c r="C21" s="1185">
        <f>_xlfn.XLOOKUP(B21,Códigos!$B$8:$B$406,Códigos!$A$8:$A$406,"Verificar",0)</f>
        <v>260</v>
      </c>
      <c r="D21" s="1114">
        <f>_xlfn.XLOOKUP(B21,'Consolidado Cobros'!$B$10:$B$312,'Consolidado Cobros'!$C$10:$C$312,"Verificar",0)</f>
        <v>43012007</v>
      </c>
      <c r="E21" s="1520">
        <f t="shared" ref="E21" si="15">IF((MOD((VALUE(MID(TEXT(D21,"000000000000000"),15,1))*3+VALUE(MID(TEXT(D21,"000000000000000"),14,1))*7+VALUE(MID(TEXT(D21,"000000000000000"),13,1))*13+VALUE(MID(TEXT(D21,"000000000000000"),12,1))*17+VALUE(MID(TEXT(D21,"000000000000000"),11,1))*19+VALUE(MID(TEXT(D21,"000000000000000"),10,1))*23+VALUE(MID(TEXT(D21,"000000000000000"),9,1))*29+VALUE(MID(TEXT(D21,"000000000000000"),8,1))*37+VALUE(MID(TEXT(D21,"000000000000000"),7,1))*41+VALUE(MID(TEXT(D21,"000000000000000"),6,1))*43+VALUE(MID(TEXT(D21,"000000000000000"),5,1))*47+VALUE(MID(TEXT(D21,"000000000000000"),4,1))*53+VALUE(MID(TEXT(D21,"000000000000000"),3,1))*59+VALUE(MID(TEXT(D21,"000000000000000"),2,1))*67+VALUE(MID(TEXT(D21,"000000000000000"),1,1))*71),11))=0,0,IF((MOD((VALUE(MID(TEXT(D21,"000000000000000"),15,1))*3+VALUE(MID(TEXT(D21,"000000000000000"),14,1))*7+VALUE(MID(TEXT(D21,"000000000000000"),13,1))*13+VALUE(MID(TEXT(D21,"000000000000000"),12,1))*17+VALUE(MID(TEXT(D21,"000000000000000"),11,1))*19+VALUE(MID(TEXT(D21,"000000000000000"),10,1))*23+VALUE(MID(TEXT(D21,"000000000000000"),9,1))*29+VALUE(MID(TEXT(D21,"000000000000000"),8,1))*37+VALUE(MID(TEXT(D21,"000000000000000"),7,1))*41+VALUE(MID(TEXT(D21,"000000000000000"),6,1))*43+VALUE(MID(TEXT(D21,"000000000000000"),5,1))*47+VALUE(MID(TEXT(D21,"000000000000000"),4,1))*53+VALUE(MID(TEXT(D21,"000000000000000"),3,1))*59+VALUE(MID(TEXT(D21,"000000000000000"),2,1))*67+VALUE(MID(TEXT(D21,"000000000000000"),1,1))*71),11))=1,1,11-(MOD((VALUE(MID(TEXT(D21,"000000000000000"),15,1))*3+VALUE(MID(TEXT(D21,"000000000000000"),14,1))*7+VALUE(MID(TEXT(D21,"000000000000000"),13,1))*13+VALUE(MID(TEXT(D21,"000000000000000"),12,1))*17+VALUE(MID(TEXT(D21,"000000000000000"),11,1))*19+VALUE(MID(TEXT(D21,"000000000000000"),10,1))*23+VALUE(MID(TEXT(D21,"000000000000000"),9,1))*29+VALUE(MID(TEXT(D21,"000000000000000"),8,1))*37+VALUE(MID(TEXT(D21,"000000000000000"),7,1))*41+VALUE(MID(TEXT(D21,"000000000000000"),6,1))*43+VALUE(MID(TEXT(D21,"000000000000000"),5,1))*47+VALUE(MID(TEXT(D21,"000000000000000"),4,1))*53+VALUE(MID(TEXT(D21,"000000000000000"),3,1))*59+VALUE(MID(TEXT(D21,"000000000000000"),2,1))*67+VALUE(MID(TEXT(D21,"000000000000000"),1,1))*71),11))))</f>
        <v>1</v>
      </c>
      <c r="F21" s="1517">
        <f t="shared" ref="F21" si="16">+IF(H21&gt;0,H21,0)</f>
        <v>0</v>
      </c>
      <c r="G21" s="1251">
        <f t="shared" ref="G21" si="17">+IF(V21&gt;0,V21,0)</f>
        <v>0</v>
      </c>
      <c r="H21" s="1240">
        <f t="shared" si="14"/>
        <v>0</v>
      </c>
      <c r="I21" s="1148"/>
      <c r="J21" s="383">
        <f t="shared" ref="J21" si="18">+(AE21/AD21*(100%+$J$4))*I21</f>
        <v>0</v>
      </c>
      <c r="K21" s="712"/>
      <c r="L21" s="487">
        <f t="shared" ref="L21" si="19">+(AG21/AF21*(100%+$J$4))*K21</f>
        <v>0</v>
      </c>
      <c r="M21" s="927"/>
      <c r="N21" s="672">
        <v>0</v>
      </c>
      <c r="O21" s="660"/>
      <c r="P21" s="1092">
        <f t="shared" ref="P21" si="20">ROUND(IF(O21="SI",AK21*(100%+$P$4),0),-4)</f>
        <v>0</v>
      </c>
      <c r="Q21" s="1093">
        <v>0</v>
      </c>
      <c r="R21" s="381">
        <f t="shared" si="13"/>
        <v>0</v>
      </c>
      <c r="S21" s="382"/>
      <c r="T21" s="381"/>
      <c r="U21" s="624"/>
      <c r="V21" s="569">
        <f t="shared" ref="V21" si="21">+X21+Z21+AB21</f>
        <v>0</v>
      </c>
      <c r="W21" s="607"/>
      <c r="X21" s="383"/>
      <c r="Y21" s="607"/>
      <c r="Z21" s="383"/>
      <c r="AA21" s="607"/>
      <c r="AB21" s="718"/>
      <c r="AC21" s="335"/>
      <c r="AD21" s="383">
        <f>SUMIF('Asesorías AG anterior'!$B$7:$B$239,B21,'Asesorías AG anterior'!$I$7:$I$239)</f>
        <v>1E-3</v>
      </c>
      <c r="AE21" s="383">
        <f>SUMIF('Asesorías AG anterior'!$B$7:$B$239,B21,'Asesorías AG anterior'!$J$7:$J$239)</f>
        <v>0</v>
      </c>
      <c r="AF21" s="383">
        <f>SUMIF('Asesorías AG anterior'!$B$7:$B$239,B21,'Asesorías AG anterior'!$K$7:$K$239)</f>
        <v>1E-3</v>
      </c>
      <c r="AG21" s="383">
        <f>SUMIF('Asesorías AG anterior'!$B$7:$B$239,B21,'Asesorías AG anterior'!$L$7:$L$239)</f>
        <v>0</v>
      </c>
      <c r="AH21" s="383">
        <f>SUMIF('Asesorías AG anterior'!$B$7:$B$239,B21,'Asesorías AG anterior'!$M$7:$M$239)</f>
        <v>0</v>
      </c>
      <c r="AI21" s="383">
        <f>SUMIF('Asesorías AG anterior'!$B$7:$B$239,B21,'Asesorías AG anterior'!$N$7:$N$239)</f>
        <v>0</v>
      </c>
      <c r="AJ21" s="383">
        <f>SUMIF('Asesorías AG anterior'!$B$7:$B$239,B21,'Asesorías AG anterior'!$O$7:$O$239)</f>
        <v>1E-3</v>
      </c>
      <c r="AK21" s="383">
        <f>SUMIF('Asesorías AG anterior'!$B$7:$B$239,B21,'Asesorías AG anterior'!$P$7:$P$239)</f>
        <v>0</v>
      </c>
      <c r="AL21" s="383">
        <f>SUMIF('Asesorías AG anterior'!$B$7:$B$239,B21,'Asesorías AG anterior'!$Q$7:$Q$239)</f>
        <v>0</v>
      </c>
      <c r="AM21" s="383">
        <f>SUMIF('Asesorías AG anterior'!$B$7:$B$239,B21,'Asesorías AG anterior'!$R$7:$R$239)</f>
        <v>0</v>
      </c>
      <c r="AN21" s="383"/>
      <c r="AO21" s="383">
        <f>SUMIF('Asesorías AG anterior'!$B$7:$B$239,B21,'Asesorías AG anterior'!$T$7:$T$239)</f>
        <v>0</v>
      </c>
      <c r="AP21" s="383">
        <f>SUMIF('Asesorías AG anterior'!$B$7:$B$239,B21,'Asesorías AG anterior'!$U$7:$U$239)</f>
        <v>0</v>
      </c>
      <c r="AQ21" s="383">
        <f>SUMIF('Asesorías AG anterior'!$B$7:$B$239,B21,'Asesorías AG anterior'!$V$7:$V$239)</f>
        <v>0</v>
      </c>
      <c r="AR21" s="383">
        <f>SUMIF('Asesorías AG anterior'!$B$7:$B$239,B21,'Asesorías AG anterior'!$W$7:$W$239)</f>
        <v>0</v>
      </c>
      <c r="AS21" s="383">
        <f>SUMIF('Asesorías AG anterior'!$B$7:$B$239,B21,'Asesorías AG anterior'!$X$7:$X$239)</f>
        <v>0</v>
      </c>
      <c r="AT21" s="383">
        <f>SUMIF('Asesorías AG anterior'!$B$7:$B$239,B21,'Asesorías AG anterior'!$Y$7:$Y$239)</f>
        <v>0</v>
      </c>
      <c r="AU21" s="383">
        <f>SUMIF('Asesorías AG anterior'!$B$7:$B$239,B21,'Asesorías AG anterior'!$Z$7:$Z$239)</f>
        <v>0</v>
      </c>
      <c r="AV21" s="383">
        <f>SUMIF('Asesorías AG anterior'!$B$7:$B$239,B21,'Asesorías AG anterior'!$AA$7:$AA$239)</f>
        <v>0</v>
      </c>
      <c r="AW21" s="383">
        <f>SUMIF('Asesorías AG anterior'!$B$7:$B$239,B21,'Asesorías AG anterior'!$AB$7:$AB$239)</f>
        <v>0</v>
      </c>
      <c r="AX21" s="335"/>
      <c r="AZ21" s="1137" t="s">
        <v>362</v>
      </c>
    </row>
    <row r="22" spans="1:52" x14ac:dyDescent="0.2">
      <c r="A22" s="1184">
        <f t="shared" si="12"/>
        <v>16</v>
      </c>
      <c r="B22" s="1097" t="s">
        <v>15</v>
      </c>
      <c r="C22" s="1185">
        <f>_xlfn.XLOOKUP(B22,Códigos!$B$8:$B$406,Códigos!$A$8:$A$406,"Verificar",0)</f>
        <v>56</v>
      </c>
      <c r="D22" s="1114">
        <f>_xlfn.XLOOKUP(B22,'Consolidado Cobros'!$B$10:$B$312,'Consolidado Cobros'!$C$10:$C$312,"Verificar",0)</f>
        <v>87082052990</v>
      </c>
      <c r="E22" s="1520">
        <f t="shared" si="6"/>
        <v>2</v>
      </c>
      <c r="F22" s="1517">
        <f t="shared" si="7"/>
        <v>690501.152</v>
      </c>
      <c r="G22" s="1251">
        <f t="shared" si="8"/>
        <v>0</v>
      </c>
      <c r="H22" s="1240">
        <f>+J22+L22+N22+P22+U22+R22</f>
        <v>690501.152</v>
      </c>
      <c r="I22" s="1148">
        <v>3</v>
      </c>
      <c r="J22" s="383">
        <f t="shared" si="2"/>
        <v>390501.152</v>
      </c>
      <c r="K22" s="712"/>
      <c r="L22" s="487">
        <f t="shared" si="9"/>
        <v>0</v>
      </c>
      <c r="M22" s="927"/>
      <c r="N22" s="672">
        <v>0</v>
      </c>
      <c r="O22" s="660" t="s">
        <v>318</v>
      </c>
      <c r="P22" s="1092">
        <f>150000</f>
        <v>150000</v>
      </c>
      <c r="Q22" s="1093">
        <v>0</v>
      </c>
      <c r="R22" s="1814">
        <f>12500*12</f>
        <v>150000</v>
      </c>
      <c r="S22" s="1815" t="s">
        <v>1092</v>
      </c>
      <c r="T22" s="381"/>
      <c r="U22" s="624"/>
      <c r="V22" s="569">
        <f t="shared" si="11"/>
        <v>0</v>
      </c>
      <c r="W22" s="607"/>
      <c r="X22" s="383"/>
      <c r="Y22" s="607"/>
      <c r="Z22" s="383"/>
      <c r="AA22" s="607"/>
      <c r="AB22" s="718"/>
      <c r="AC22" s="335"/>
      <c r="AD22" s="383">
        <f>SUMIF('Asesorías AG anterior'!$B$7:$B$239,B22,'Asesorías AG anterior'!$I$7:$I$239)</f>
        <v>3</v>
      </c>
      <c r="AE22" s="383">
        <f>SUMIF('Asesorías AG anterior'!$B$7:$B$239,B22,'Asesorías AG anterior'!$J$7:$J$239)</f>
        <v>371552</v>
      </c>
      <c r="AF22" s="383">
        <f>SUMIF('Asesorías AG anterior'!$B$7:$B$239,B22,'Asesorías AG anterior'!$K$7:$K$239)</f>
        <v>1E-3</v>
      </c>
      <c r="AG22" s="383">
        <f>SUMIF('Asesorías AG anterior'!$B$7:$B$239,B22,'Asesorías AG anterior'!$L$7:$L$239)</f>
        <v>0</v>
      </c>
      <c r="AH22" s="383">
        <f>SUMIF('Asesorías AG anterior'!$B$7:$B$239,B22,'Asesorías AG anterior'!$M$7:$M$239)</f>
        <v>0</v>
      </c>
      <c r="AI22" s="383">
        <f>SUMIF('Asesorías AG anterior'!$B$7:$B$239,B22,'Asesorías AG anterior'!$N$7:$N$239)</f>
        <v>0</v>
      </c>
      <c r="AJ22" s="383">
        <f>SUMIF('Asesorías AG anterior'!$B$7:$B$239,B22,'Asesorías AG anterior'!$O$7:$O$239)</f>
        <v>0</v>
      </c>
      <c r="AK22" s="383">
        <f>SUMIF('Asesorías AG anterior'!$B$7:$B$239,B22,'Asesorías AG anterior'!$P$7:$P$239)</f>
        <v>130000</v>
      </c>
      <c r="AL22" s="383">
        <f>SUMIF('Asesorías AG anterior'!$B$7:$B$239,B22,'Asesorías AG anterior'!$Q$7:$Q$239)</f>
        <v>0</v>
      </c>
      <c r="AM22" s="383">
        <f>SUMIF('Asesorías AG anterior'!$B$7:$B$239,B22,'Asesorías AG anterior'!$R$7:$R$239)</f>
        <v>130000</v>
      </c>
      <c r="AN22" s="383"/>
      <c r="AO22" s="383">
        <f>SUMIF('Asesorías AG anterior'!$B$7:$B$239,B22,'Asesorías AG anterior'!$T$7:$T$239)</f>
        <v>0</v>
      </c>
      <c r="AP22" s="383">
        <f>SUMIF('Asesorías AG anterior'!$B$7:$B$239,B22,'Asesorías AG anterior'!$U$7:$U$239)</f>
        <v>0</v>
      </c>
      <c r="AQ22" s="383">
        <f>SUMIF('Asesorías AG anterior'!$B$7:$B$239,B22,'Asesorías AG anterior'!$V$7:$V$239)</f>
        <v>0</v>
      </c>
      <c r="AR22" s="383">
        <f>SUMIF('Asesorías AG anterior'!$B$7:$B$239,B22,'Asesorías AG anterior'!$W$7:$W$239)</f>
        <v>0</v>
      </c>
      <c r="AS22" s="383">
        <f>SUMIF('Asesorías AG anterior'!$B$7:$B$239,B22,'Asesorías AG anterior'!$X$7:$X$239)</f>
        <v>0</v>
      </c>
      <c r="AT22" s="383">
        <f>SUMIF('Asesorías AG anterior'!$B$7:$B$239,B22,'Asesorías AG anterior'!$Y$7:$Y$239)</f>
        <v>0</v>
      </c>
      <c r="AU22" s="383">
        <f>SUMIF('Asesorías AG anterior'!$B$7:$B$239,B22,'Asesorías AG anterior'!$Z$7:$Z$239)</f>
        <v>0</v>
      </c>
      <c r="AV22" s="383">
        <f>SUMIF('Asesorías AG anterior'!$B$7:$B$239,B22,'Asesorías AG anterior'!$AA$7:$AA$239)</f>
        <v>0</v>
      </c>
      <c r="AW22" s="383">
        <f>SUMIF('Asesorías AG anterior'!$B$7:$B$239,B22,'Asesorías AG anterior'!$AB$7:$AB$239)</f>
        <v>0</v>
      </c>
      <c r="AX22" s="335"/>
      <c r="AZ22" s="1393" t="s">
        <v>15</v>
      </c>
    </row>
    <row r="23" spans="1:52" x14ac:dyDescent="0.2">
      <c r="A23" s="1184">
        <f t="shared" si="12"/>
        <v>17</v>
      </c>
      <c r="B23" s="1097" t="s">
        <v>647</v>
      </c>
      <c r="C23" s="1185">
        <f>_xlfn.XLOOKUP(B23,Códigos!$B$8:$B$406,Códigos!$A$8:$A$406,"Verificar",0)</f>
        <v>218</v>
      </c>
      <c r="D23" s="1114">
        <f>_xlfn.XLOOKUP(B23,'Consolidado Cobros'!$B$10:$B$312,'Consolidado Cobros'!$C$10:$C$312,"Verificar",0)</f>
        <v>1000416970</v>
      </c>
      <c r="E23" s="1520">
        <f t="shared" si="6"/>
        <v>7</v>
      </c>
      <c r="F23" s="1517">
        <f t="shared" si="7"/>
        <v>0</v>
      </c>
      <c r="G23" s="1251">
        <f t="shared" si="8"/>
        <v>0</v>
      </c>
      <c r="H23" s="1240">
        <f t="shared" si="14"/>
        <v>0</v>
      </c>
      <c r="I23" s="1148"/>
      <c r="J23" s="383">
        <f t="shared" si="2"/>
        <v>0</v>
      </c>
      <c r="K23" s="712"/>
      <c r="L23" s="487">
        <f t="shared" si="9"/>
        <v>0</v>
      </c>
      <c r="M23" s="927"/>
      <c r="N23" s="672">
        <v>0</v>
      </c>
      <c r="O23" s="660"/>
      <c r="P23" s="1092">
        <f t="shared" si="10"/>
        <v>0</v>
      </c>
      <c r="Q23" s="1093">
        <v>0</v>
      </c>
      <c r="R23" s="381">
        <f t="shared" ref="R23:R86" si="22">+P23</f>
        <v>0</v>
      </c>
      <c r="S23" s="382"/>
      <c r="T23" s="381"/>
      <c r="U23" s="624"/>
      <c r="V23" s="569">
        <f t="shared" si="11"/>
        <v>0</v>
      </c>
      <c r="W23" s="607"/>
      <c r="X23" s="383"/>
      <c r="Y23" s="607"/>
      <c r="Z23" s="383"/>
      <c r="AA23" s="607"/>
      <c r="AB23" s="718"/>
      <c r="AC23" s="335"/>
      <c r="AD23" s="383">
        <f>SUMIF('Asesorías AG anterior'!$B$7:$B$239,B23,'Asesorías AG anterior'!$I$7:$I$239)</f>
        <v>1E-3</v>
      </c>
      <c r="AE23" s="383">
        <f>SUMIF('Asesorías AG anterior'!$B$7:$B$239,B23,'Asesorías AG anterior'!$J$7:$J$239)</f>
        <v>0</v>
      </c>
      <c r="AF23" s="383">
        <f>SUMIF('Asesorías AG anterior'!$B$7:$B$239,B23,'Asesorías AG anterior'!$K$7:$K$239)</f>
        <v>1E-3</v>
      </c>
      <c r="AG23" s="383">
        <f>SUMIF('Asesorías AG anterior'!$B$7:$B$239,B23,'Asesorías AG anterior'!$L$7:$L$239)</f>
        <v>0</v>
      </c>
      <c r="AH23" s="383">
        <f>SUMIF('Asesorías AG anterior'!$B$7:$B$239,B23,'Asesorías AG anterior'!$M$7:$M$239)</f>
        <v>0</v>
      </c>
      <c r="AI23" s="383">
        <f>SUMIF('Asesorías AG anterior'!$B$7:$B$239,B23,'Asesorías AG anterior'!$N$7:$N$239)</f>
        <v>0</v>
      </c>
      <c r="AJ23" s="383">
        <f>SUMIF('Asesorías AG anterior'!$B$7:$B$239,B23,'Asesorías AG anterior'!$O$7:$O$239)</f>
        <v>1E-3</v>
      </c>
      <c r="AK23" s="383">
        <f>SUMIF('Asesorías AG anterior'!$B$7:$B$239,B23,'Asesorías AG anterior'!$P$7:$P$239)</f>
        <v>0</v>
      </c>
      <c r="AL23" s="383">
        <f>SUMIF('Asesorías AG anterior'!$B$7:$B$239,B23,'Asesorías AG anterior'!$Q$7:$Q$239)</f>
        <v>0</v>
      </c>
      <c r="AM23" s="383">
        <f>SUMIF('Asesorías AG anterior'!$B$7:$B$239,B23,'Asesorías AG anterior'!$R$7:$R$239)</f>
        <v>0</v>
      </c>
      <c r="AN23" s="383"/>
      <c r="AO23" s="383">
        <f>SUMIF('Asesorías AG anterior'!$B$7:$B$239,B23,'Asesorías AG anterior'!$T$7:$T$239)</f>
        <v>0</v>
      </c>
      <c r="AP23" s="383">
        <f>SUMIF('Asesorías AG anterior'!$B$7:$B$239,B23,'Asesorías AG anterior'!$U$7:$U$239)</f>
        <v>0</v>
      </c>
      <c r="AQ23" s="383">
        <f>SUMIF('Asesorías AG anterior'!$B$7:$B$239,B23,'Asesorías AG anterior'!$V$7:$V$239)</f>
        <v>0</v>
      </c>
      <c r="AR23" s="383">
        <f>SUMIF('Asesorías AG anterior'!$B$7:$B$239,B23,'Asesorías AG anterior'!$W$7:$W$239)</f>
        <v>0</v>
      </c>
      <c r="AS23" s="383">
        <f>SUMIF('Asesorías AG anterior'!$B$7:$B$239,B23,'Asesorías AG anterior'!$X$7:$X$239)</f>
        <v>0</v>
      </c>
      <c r="AT23" s="383">
        <f>SUMIF('Asesorías AG anterior'!$B$7:$B$239,B23,'Asesorías AG anterior'!$Y$7:$Y$239)</f>
        <v>0</v>
      </c>
      <c r="AU23" s="383">
        <f>SUMIF('Asesorías AG anterior'!$B$7:$B$239,B23,'Asesorías AG anterior'!$Z$7:$Z$239)</f>
        <v>0</v>
      </c>
      <c r="AV23" s="383">
        <f>SUMIF('Asesorías AG anterior'!$B$7:$B$239,B23,'Asesorías AG anterior'!$AA$7:$AA$239)</f>
        <v>0</v>
      </c>
      <c r="AW23" s="383">
        <f>SUMIF('Asesorías AG anterior'!$B$7:$B$239,B23,'Asesorías AG anterior'!$AB$7:$AB$239)</f>
        <v>0</v>
      </c>
      <c r="AX23" s="335"/>
      <c r="AZ23" s="1201" t="s">
        <v>647</v>
      </c>
    </row>
    <row r="24" spans="1:52" x14ac:dyDescent="0.2">
      <c r="A24" s="1184">
        <f t="shared" si="12"/>
        <v>18</v>
      </c>
      <c r="B24" s="1491" t="s">
        <v>358</v>
      </c>
      <c r="C24" s="1185">
        <f>_xlfn.XLOOKUP(B24,Códigos!$B$8:$B$406,Códigos!$A$8:$A$406,"Verificar",0)</f>
        <v>306</v>
      </c>
      <c r="D24" s="1114">
        <f>_xlfn.XLOOKUP(B24,'Consolidado Cobros'!$B$10:$B$312,'Consolidado Cobros'!$C$10:$C$312,"Verificar",0)</f>
        <v>71788661</v>
      </c>
      <c r="E24" s="1520">
        <f t="shared" si="6"/>
        <v>9</v>
      </c>
      <c r="F24" s="1517">
        <f t="shared" si="7"/>
        <v>0</v>
      </c>
      <c r="G24" s="1251">
        <f t="shared" si="8"/>
        <v>0</v>
      </c>
      <c r="H24" s="1240">
        <f t="shared" si="14"/>
        <v>0</v>
      </c>
      <c r="I24" s="1148"/>
      <c r="J24" s="383">
        <f t="shared" si="2"/>
        <v>0</v>
      </c>
      <c r="K24" s="712"/>
      <c r="L24" s="487">
        <f t="shared" si="9"/>
        <v>0</v>
      </c>
      <c r="M24" s="927"/>
      <c r="N24" s="672">
        <v>0</v>
      </c>
      <c r="O24" s="660"/>
      <c r="P24" s="1092">
        <f t="shared" si="10"/>
        <v>0</v>
      </c>
      <c r="Q24" s="1093">
        <v>0</v>
      </c>
      <c r="R24" s="381">
        <f t="shared" si="22"/>
        <v>0</v>
      </c>
      <c r="S24" s="382"/>
      <c r="T24" s="381"/>
      <c r="U24" s="624"/>
      <c r="V24" s="569">
        <f t="shared" si="11"/>
        <v>0</v>
      </c>
      <c r="W24" s="607"/>
      <c r="X24" s="383"/>
      <c r="Y24" s="607"/>
      <c r="Z24" s="383"/>
      <c r="AA24" s="607"/>
      <c r="AB24" s="718"/>
      <c r="AC24" s="335"/>
      <c r="AD24" s="383">
        <f>SUMIF('Asesorías AG anterior'!$B$7:$B$239,B24,'Asesorías AG anterior'!$I$7:$I$239)</f>
        <v>1E-3</v>
      </c>
      <c r="AE24" s="383">
        <f>SUMIF('Asesorías AG anterior'!$B$7:$B$239,B24,'Asesorías AG anterior'!$J$7:$J$239)</f>
        <v>0</v>
      </c>
      <c r="AF24" s="383">
        <f>SUMIF('Asesorías AG anterior'!$B$7:$B$239,B24,'Asesorías AG anterior'!$K$7:$K$239)</f>
        <v>1E-3</v>
      </c>
      <c r="AG24" s="383">
        <f>SUMIF('Asesorías AG anterior'!$B$7:$B$239,B24,'Asesorías AG anterior'!$L$7:$L$239)</f>
        <v>0</v>
      </c>
      <c r="AH24" s="383">
        <f>SUMIF('Asesorías AG anterior'!$B$7:$B$239,B24,'Asesorías AG anterior'!$M$7:$M$239)</f>
        <v>0</v>
      </c>
      <c r="AI24" s="383">
        <f>SUMIF('Asesorías AG anterior'!$B$7:$B$239,B24,'Asesorías AG anterior'!$N$7:$N$239)</f>
        <v>0</v>
      </c>
      <c r="AJ24" s="383">
        <f>SUMIF('Asesorías AG anterior'!$B$7:$B$239,B24,'Asesorías AG anterior'!$O$7:$O$239)</f>
        <v>1E-3</v>
      </c>
      <c r="AK24" s="383">
        <f>SUMIF('Asesorías AG anterior'!$B$7:$B$239,B24,'Asesorías AG anterior'!$P$7:$P$239)</f>
        <v>0</v>
      </c>
      <c r="AL24" s="383">
        <f>SUMIF('Asesorías AG anterior'!$B$7:$B$239,B24,'Asesorías AG anterior'!$Q$7:$Q$239)</f>
        <v>0</v>
      </c>
      <c r="AM24" s="383">
        <f>SUMIF('Asesorías AG anterior'!$B$7:$B$239,B24,'Asesorías AG anterior'!$R$7:$R$239)</f>
        <v>0</v>
      </c>
      <c r="AN24" s="383"/>
      <c r="AO24" s="383">
        <f>SUMIF('Asesorías AG anterior'!$B$7:$B$239,B24,'Asesorías AG anterior'!$T$7:$T$239)</f>
        <v>0</v>
      </c>
      <c r="AP24" s="383">
        <f>SUMIF('Asesorías AG anterior'!$B$7:$B$239,B24,'Asesorías AG anterior'!$U$7:$U$239)</f>
        <v>0</v>
      </c>
      <c r="AQ24" s="383">
        <f>SUMIF('Asesorías AG anterior'!$B$7:$B$239,B24,'Asesorías AG anterior'!$V$7:$V$239)</f>
        <v>0</v>
      </c>
      <c r="AR24" s="383">
        <f>SUMIF('Asesorías AG anterior'!$B$7:$B$239,B24,'Asesorías AG anterior'!$W$7:$W$239)</f>
        <v>0</v>
      </c>
      <c r="AS24" s="383">
        <f>SUMIF('Asesorías AG anterior'!$B$7:$B$239,B24,'Asesorías AG anterior'!$X$7:$X$239)</f>
        <v>0</v>
      </c>
      <c r="AT24" s="383">
        <f>SUMIF('Asesorías AG anterior'!$B$7:$B$239,B24,'Asesorías AG anterior'!$Y$7:$Y$239)</f>
        <v>0</v>
      </c>
      <c r="AU24" s="383">
        <f>SUMIF('Asesorías AG anterior'!$B$7:$B$239,B24,'Asesorías AG anterior'!$Z$7:$Z$239)</f>
        <v>0</v>
      </c>
      <c r="AV24" s="383">
        <f>SUMIF('Asesorías AG anterior'!$B$7:$B$239,B24,'Asesorías AG anterior'!$AA$7:$AA$239)</f>
        <v>0</v>
      </c>
      <c r="AW24" s="383">
        <f>SUMIF('Asesorías AG anterior'!$B$7:$B$239,B24,'Asesorías AG anterior'!$AB$7:$AB$239)</f>
        <v>0</v>
      </c>
      <c r="AX24" s="335"/>
      <c r="AZ24" s="1491" t="s">
        <v>358</v>
      </c>
    </row>
    <row r="25" spans="1:52" x14ac:dyDescent="0.2">
      <c r="A25" s="1184">
        <f t="shared" si="12"/>
        <v>19</v>
      </c>
      <c r="B25" s="1097" t="s">
        <v>17</v>
      </c>
      <c r="C25" s="1185">
        <f>_xlfn.XLOOKUP(B25,Códigos!$B$8:$B$406,Códigos!$A$8:$A$406,"Verificar",0)</f>
        <v>59</v>
      </c>
      <c r="D25" s="1114">
        <f>_xlfn.XLOOKUP(B25,'Consolidado Cobros'!$B$10:$B$312,'Consolidado Cobros'!$C$10:$C$312,"Verificar",0)</f>
        <v>43255512</v>
      </c>
      <c r="E25" s="1520">
        <f t="shared" si="6"/>
        <v>0</v>
      </c>
      <c r="F25" s="1517">
        <f t="shared" si="7"/>
        <v>0</v>
      </c>
      <c r="G25" s="1251">
        <f t="shared" si="8"/>
        <v>0</v>
      </c>
      <c r="H25" s="1240">
        <f t="shared" si="14"/>
        <v>0</v>
      </c>
      <c r="I25" s="1148"/>
      <c r="J25" s="383">
        <f t="shared" si="2"/>
        <v>0</v>
      </c>
      <c r="K25" s="712"/>
      <c r="L25" s="487">
        <f t="shared" si="9"/>
        <v>0</v>
      </c>
      <c r="M25" s="927"/>
      <c r="N25" s="672">
        <v>0</v>
      </c>
      <c r="O25" s="660"/>
      <c r="P25" s="1092">
        <f t="shared" si="10"/>
        <v>0</v>
      </c>
      <c r="Q25" s="1093">
        <v>0</v>
      </c>
      <c r="R25" s="381">
        <f t="shared" si="22"/>
        <v>0</v>
      </c>
      <c r="S25" s="382"/>
      <c r="T25" s="381"/>
      <c r="U25" s="624"/>
      <c r="V25" s="569">
        <f t="shared" si="11"/>
        <v>0</v>
      </c>
      <c r="W25" s="607"/>
      <c r="X25" s="383"/>
      <c r="Y25" s="607"/>
      <c r="Z25" s="383"/>
      <c r="AA25" s="607"/>
      <c r="AB25" s="718"/>
      <c r="AC25" s="335"/>
      <c r="AD25" s="383">
        <f>SUMIF('Asesorías AG anterior'!$B$7:$B$239,B25,'Asesorías AG anterior'!$I$7:$I$239)</f>
        <v>1E-3</v>
      </c>
      <c r="AE25" s="383">
        <f>SUMIF('Asesorías AG anterior'!$B$7:$B$239,B25,'Asesorías AG anterior'!$J$7:$J$239)</f>
        <v>0</v>
      </c>
      <c r="AF25" s="383">
        <f>SUMIF('Asesorías AG anterior'!$B$7:$B$239,B25,'Asesorías AG anterior'!$K$7:$K$239)</f>
        <v>1E-3</v>
      </c>
      <c r="AG25" s="383">
        <f>SUMIF('Asesorías AG anterior'!$B$7:$B$239,B25,'Asesorías AG anterior'!$L$7:$L$239)</f>
        <v>0</v>
      </c>
      <c r="AH25" s="383">
        <f>SUMIF('Asesorías AG anterior'!$B$7:$B$239,B25,'Asesorías AG anterior'!$M$7:$M$239)</f>
        <v>0</v>
      </c>
      <c r="AI25" s="383">
        <f>SUMIF('Asesorías AG anterior'!$B$7:$B$239,B25,'Asesorías AG anterior'!$N$7:$N$239)</f>
        <v>0</v>
      </c>
      <c r="AJ25" s="383">
        <f>SUMIF('Asesorías AG anterior'!$B$7:$B$239,B25,'Asesorías AG anterior'!$O$7:$O$239)</f>
        <v>1E-3</v>
      </c>
      <c r="AK25" s="383">
        <f>SUMIF('Asesorías AG anterior'!$B$7:$B$239,B25,'Asesorías AG anterior'!$P$7:$P$239)</f>
        <v>0</v>
      </c>
      <c r="AL25" s="383">
        <f>SUMIF('Asesorías AG anterior'!$B$7:$B$239,B25,'Asesorías AG anterior'!$Q$7:$Q$239)</f>
        <v>0</v>
      </c>
      <c r="AM25" s="383">
        <f>SUMIF('Asesorías AG anterior'!$B$7:$B$239,B25,'Asesorías AG anterior'!$R$7:$R$239)</f>
        <v>0</v>
      </c>
      <c r="AN25" s="383"/>
      <c r="AO25" s="383">
        <f>SUMIF('Asesorías AG anterior'!$B$7:$B$239,B25,'Asesorías AG anterior'!$T$7:$T$239)</f>
        <v>0</v>
      </c>
      <c r="AP25" s="383">
        <f>SUMIF('Asesorías AG anterior'!$B$7:$B$239,B25,'Asesorías AG anterior'!$U$7:$U$239)</f>
        <v>0</v>
      </c>
      <c r="AQ25" s="383">
        <f>SUMIF('Asesorías AG anterior'!$B$7:$B$239,B25,'Asesorías AG anterior'!$V$7:$V$239)</f>
        <v>0</v>
      </c>
      <c r="AR25" s="383">
        <f>SUMIF('Asesorías AG anterior'!$B$7:$B$239,B25,'Asesorías AG anterior'!$W$7:$W$239)</f>
        <v>0</v>
      </c>
      <c r="AS25" s="383">
        <f>SUMIF('Asesorías AG anterior'!$B$7:$B$239,B25,'Asesorías AG anterior'!$X$7:$X$239)</f>
        <v>0</v>
      </c>
      <c r="AT25" s="383">
        <f>SUMIF('Asesorías AG anterior'!$B$7:$B$239,B25,'Asesorías AG anterior'!$Y$7:$Y$239)</f>
        <v>0</v>
      </c>
      <c r="AU25" s="383">
        <f>SUMIF('Asesorías AG anterior'!$B$7:$B$239,B25,'Asesorías AG anterior'!$Z$7:$Z$239)</f>
        <v>0</v>
      </c>
      <c r="AV25" s="383">
        <f>SUMIF('Asesorías AG anterior'!$B$7:$B$239,B25,'Asesorías AG anterior'!$AA$7:$AA$239)</f>
        <v>0</v>
      </c>
      <c r="AW25" s="383">
        <f>SUMIF('Asesorías AG anterior'!$B$7:$B$239,B25,'Asesorías AG anterior'!$AB$7:$AB$239)</f>
        <v>0</v>
      </c>
      <c r="AX25" s="335"/>
      <c r="AZ25" s="1393" t="s">
        <v>17</v>
      </c>
    </row>
    <row r="26" spans="1:52" x14ac:dyDescent="0.2">
      <c r="A26" s="1184">
        <f t="shared" si="12"/>
        <v>20</v>
      </c>
      <c r="B26" s="1097" t="s">
        <v>274</v>
      </c>
      <c r="C26" s="1185">
        <f>_xlfn.XLOOKUP(B26,Códigos!$B$8:$B$406,Códigos!$A$8:$A$406,"Verificar",0)</f>
        <v>322</v>
      </c>
      <c r="D26" s="1114">
        <f>_xlfn.XLOOKUP(B26,'Consolidado Cobros'!$B$10:$B$312,'Consolidado Cobros'!$C$10:$C$312,"Verificar",0)</f>
        <v>43820323</v>
      </c>
      <c r="E26" s="1520">
        <f t="shared" si="6"/>
        <v>9</v>
      </c>
      <c r="F26" s="1517">
        <f t="shared" si="7"/>
        <v>0</v>
      </c>
      <c r="G26" s="1251">
        <f t="shared" si="8"/>
        <v>0</v>
      </c>
      <c r="H26" s="1240">
        <f t="shared" si="14"/>
        <v>0</v>
      </c>
      <c r="I26" s="1148"/>
      <c r="J26" s="383">
        <f t="shared" si="2"/>
        <v>0</v>
      </c>
      <c r="K26" s="712"/>
      <c r="L26" s="487">
        <f t="shared" si="9"/>
        <v>0</v>
      </c>
      <c r="M26" s="927"/>
      <c r="N26" s="672">
        <v>0</v>
      </c>
      <c r="O26" s="660"/>
      <c r="P26" s="1092">
        <f t="shared" si="10"/>
        <v>0</v>
      </c>
      <c r="Q26" s="1093">
        <v>0</v>
      </c>
      <c r="R26" s="381">
        <f t="shared" si="22"/>
        <v>0</v>
      </c>
      <c r="S26" s="382"/>
      <c r="T26" s="381"/>
      <c r="U26" s="624"/>
      <c r="V26" s="569">
        <f t="shared" si="11"/>
        <v>0</v>
      </c>
      <c r="W26" s="607"/>
      <c r="X26" s="383"/>
      <c r="Y26" s="607"/>
      <c r="Z26" s="383"/>
      <c r="AA26" s="607"/>
      <c r="AB26" s="718"/>
      <c r="AC26" s="335"/>
      <c r="AD26" s="383">
        <f>SUMIF('Asesorías AG anterior'!$B$7:$B$239,B26,'Asesorías AG anterior'!$I$7:$I$239)</f>
        <v>1E-3</v>
      </c>
      <c r="AE26" s="383">
        <f>SUMIF('Asesorías AG anterior'!$B$7:$B$239,B26,'Asesorías AG anterior'!$J$7:$J$239)</f>
        <v>0</v>
      </c>
      <c r="AF26" s="383">
        <f>SUMIF('Asesorías AG anterior'!$B$7:$B$239,B26,'Asesorías AG anterior'!$K$7:$K$239)</f>
        <v>1E-3</v>
      </c>
      <c r="AG26" s="383">
        <f>SUMIF('Asesorías AG anterior'!$B$7:$B$239,B26,'Asesorías AG anterior'!$L$7:$L$239)</f>
        <v>0</v>
      </c>
      <c r="AH26" s="383">
        <f>SUMIF('Asesorías AG anterior'!$B$7:$B$239,B26,'Asesorías AG anterior'!$M$7:$M$239)</f>
        <v>0</v>
      </c>
      <c r="AI26" s="383">
        <f>SUMIF('Asesorías AG anterior'!$B$7:$B$239,B26,'Asesorías AG anterior'!$N$7:$N$239)</f>
        <v>0</v>
      </c>
      <c r="AJ26" s="383">
        <f>SUMIF('Asesorías AG anterior'!$B$7:$B$239,B26,'Asesorías AG anterior'!$O$7:$O$239)</f>
        <v>1E-3</v>
      </c>
      <c r="AK26" s="383">
        <f>SUMIF('Asesorías AG anterior'!$B$7:$B$239,B26,'Asesorías AG anterior'!$P$7:$P$239)</f>
        <v>0</v>
      </c>
      <c r="AL26" s="383">
        <f>SUMIF('Asesorías AG anterior'!$B$7:$B$239,B26,'Asesorías AG anterior'!$Q$7:$Q$239)</f>
        <v>0</v>
      </c>
      <c r="AM26" s="383">
        <f>SUMIF('Asesorías AG anterior'!$B$7:$B$239,B26,'Asesorías AG anterior'!$R$7:$R$239)</f>
        <v>0</v>
      </c>
      <c r="AN26" s="383"/>
      <c r="AO26" s="383">
        <f>SUMIF('Asesorías AG anterior'!$B$7:$B$239,B26,'Asesorías AG anterior'!$T$7:$T$239)</f>
        <v>0</v>
      </c>
      <c r="AP26" s="383">
        <f>SUMIF('Asesorías AG anterior'!$B$7:$B$239,B26,'Asesorías AG anterior'!$U$7:$U$239)</f>
        <v>0</v>
      </c>
      <c r="AQ26" s="383">
        <f>SUMIF('Asesorías AG anterior'!$B$7:$B$239,B26,'Asesorías AG anterior'!$V$7:$V$239)</f>
        <v>0</v>
      </c>
      <c r="AR26" s="383">
        <f>SUMIF('Asesorías AG anterior'!$B$7:$B$239,B26,'Asesorías AG anterior'!$W$7:$W$239)</f>
        <v>0</v>
      </c>
      <c r="AS26" s="383">
        <f>SUMIF('Asesorías AG anterior'!$B$7:$B$239,B26,'Asesorías AG anterior'!$X$7:$X$239)</f>
        <v>0</v>
      </c>
      <c r="AT26" s="383">
        <f>SUMIF('Asesorías AG anterior'!$B$7:$B$239,B26,'Asesorías AG anterior'!$Y$7:$Y$239)</f>
        <v>0</v>
      </c>
      <c r="AU26" s="383">
        <f>SUMIF('Asesorías AG anterior'!$B$7:$B$239,B26,'Asesorías AG anterior'!$Z$7:$Z$239)</f>
        <v>0</v>
      </c>
      <c r="AV26" s="383">
        <f>SUMIF('Asesorías AG anterior'!$B$7:$B$239,B26,'Asesorías AG anterior'!$AA$7:$AA$239)</f>
        <v>0</v>
      </c>
      <c r="AW26" s="383">
        <f>SUMIF('Asesorías AG anterior'!$B$7:$B$239,B26,'Asesorías AG anterior'!$AB$7:$AB$239)</f>
        <v>0</v>
      </c>
      <c r="AX26" s="335"/>
      <c r="AZ26" s="1097" t="s">
        <v>274</v>
      </c>
    </row>
    <row r="27" spans="1:52" x14ac:dyDescent="0.2">
      <c r="A27" s="1184">
        <f t="shared" si="12"/>
        <v>21</v>
      </c>
      <c r="B27" s="1097" t="s">
        <v>18</v>
      </c>
      <c r="C27" s="1185">
        <f>_xlfn.XLOOKUP(B27,Códigos!$B$8:$B$406,Códigos!$A$8:$A$406,"Verificar",0)</f>
        <v>271</v>
      </c>
      <c r="D27" s="1114">
        <f>_xlfn.XLOOKUP(B27,'Consolidado Cobros'!$B$10:$B$312,'Consolidado Cobros'!$C$10:$C$312,"Verificar",0)</f>
        <v>3322312</v>
      </c>
      <c r="E27" s="1520">
        <f t="shared" si="6"/>
        <v>6</v>
      </c>
      <c r="F27" s="1517">
        <f t="shared" si="7"/>
        <v>0</v>
      </c>
      <c r="G27" s="1251">
        <f t="shared" si="8"/>
        <v>0</v>
      </c>
      <c r="H27" s="1240">
        <f t="shared" si="14"/>
        <v>0</v>
      </c>
      <c r="I27" s="1148"/>
      <c r="J27" s="383">
        <f t="shared" si="2"/>
        <v>0</v>
      </c>
      <c r="K27" s="712"/>
      <c r="L27" s="487">
        <f t="shared" si="9"/>
        <v>0</v>
      </c>
      <c r="M27" s="927"/>
      <c r="N27" s="672">
        <v>0</v>
      </c>
      <c r="O27" s="660"/>
      <c r="P27" s="1092">
        <f t="shared" si="10"/>
        <v>0</v>
      </c>
      <c r="Q27" s="1093">
        <v>0</v>
      </c>
      <c r="R27" s="381">
        <f t="shared" si="22"/>
        <v>0</v>
      </c>
      <c r="S27" s="382"/>
      <c r="T27" s="381"/>
      <c r="U27" s="624"/>
      <c r="V27" s="569">
        <f t="shared" si="11"/>
        <v>0</v>
      </c>
      <c r="W27" s="607"/>
      <c r="X27" s="383"/>
      <c r="Y27" s="607"/>
      <c r="Z27" s="383"/>
      <c r="AA27" s="607"/>
      <c r="AB27" s="718"/>
      <c r="AC27" s="335"/>
      <c r="AD27" s="383">
        <f>SUMIF('Asesorías AG anterior'!$B$7:$B$239,B27,'Asesorías AG anterior'!$I$7:$I$239)</f>
        <v>1E-3</v>
      </c>
      <c r="AE27" s="383">
        <f>SUMIF('Asesorías AG anterior'!$B$7:$B$239,B27,'Asesorías AG anterior'!$J$7:$J$239)</f>
        <v>0</v>
      </c>
      <c r="AF27" s="383">
        <f>SUMIF('Asesorías AG anterior'!$B$7:$B$239,B27,'Asesorías AG anterior'!$K$7:$K$239)</f>
        <v>1E-3</v>
      </c>
      <c r="AG27" s="383">
        <f>SUMIF('Asesorías AG anterior'!$B$7:$B$239,B27,'Asesorías AG anterior'!$L$7:$L$239)</f>
        <v>0</v>
      </c>
      <c r="AH27" s="383">
        <f>SUMIF('Asesorías AG anterior'!$B$7:$B$239,B27,'Asesorías AG anterior'!$M$7:$M$239)</f>
        <v>0</v>
      </c>
      <c r="AI27" s="383">
        <f>SUMIF('Asesorías AG anterior'!$B$7:$B$239,B27,'Asesorías AG anterior'!$N$7:$N$239)</f>
        <v>0</v>
      </c>
      <c r="AJ27" s="383">
        <f>SUMIF('Asesorías AG anterior'!$B$7:$B$239,B27,'Asesorías AG anterior'!$O$7:$O$239)</f>
        <v>1E-3</v>
      </c>
      <c r="AK27" s="383">
        <f>SUMIF('Asesorías AG anterior'!$B$7:$B$239,B27,'Asesorías AG anterior'!$P$7:$P$239)</f>
        <v>0</v>
      </c>
      <c r="AL27" s="383">
        <f>SUMIF('Asesorías AG anterior'!$B$7:$B$239,B27,'Asesorías AG anterior'!$Q$7:$Q$239)</f>
        <v>0</v>
      </c>
      <c r="AM27" s="383">
        <f>SUMIF('Asesorías AG anterior'!$B$7:$B$239,B27,'Asesorías AG anterior'!$R$7:$R$239)</f>
        <v>0</v>
      </c>
      <c r="AN27" s="383"/>
      <c r="AO27" s="383">
        <f>SUMIF('Asesorías AG anterior'!$B$7:$B$239,B27,'Asesorías AG anterior'!$T$7:$T$239)</f>
        <v>0</v>
      </c>
      <c r="AP27" s="383">
        <f>SUMIF('Asesorías AG anterior'!$B$7:$B$239,B27,'Asesorías AG anterior'!$U$7:$U$239)</f>
        <v>0</v>
      </c>
      <c r="AQ27" s="383">
        <f>SUMIF('Asesorías AG anterior'!$B$7:$B$239,B27,'Asesorías AG anterior'!$V$7:$V$239)</f>
        <v>0</v>
      </c>
      <c r="AR27" s="383">
        <f>SUMIF('Asesorías AG anterior'!$B$7:$B$239,B27,'Asesorías AG anterior'!$W$7:$W$239)</f>
        <v>0</v>
      </c>
      <c r="AS27" s="383">
        <f>SUMIF('Asesorías AG anterior'!$B$7:$B$239,B27,'Asesorías AG anterior'!$X$7:$X$239)</f>
        <v>0</v>
      </c>
      <c r="AT27" s="383">
        <f>SUMIF('Asesorías AG anterior'!$B$7:$B$239,B27,'Asesorías AG anterior'!$Y$7:$Y$239)</f>
        <v>0</v>
      </c>
      <c r="AU27" s="383">
        <f>SUMIF('Asesorías AG anterior'!$B$7:$B$239,B27,'Asesorías AG anterior'!$Z$7:$Z$239)</f>
        <v>0</v>
      </c>
      <c r="AV27" s="383">
        <f>SUMIF('Asesorías AG anterior'!$B$7:$B$239,B27,'Asesorías AG anterior'!$AA$7:$AA$239)</f>
        <v>0</v>
      </c>
      <c r="AW27" s="383">
        <f>SUMIF('Asesorías AG anterior'!$B$7:$B$239,B27,'Asesorías AG anterior'!$AB$7:$AB$239)</f>
        <v>0</v>
      </c>
      <c r="AX27" s="335"/>
      <c r="AZ27" s="1097" t="s">
        <v>18</v>
      </c>
    </row>
    <row r="28" spans="1:52" x14ac:dyDescent="0.2">
      <c r="A28" s="1184">
        <f t="shared" si="12"/>
        <v>22</v>
      </c>
      <c r="B28" s="1097" t="s">
        <v>19</v>
      </c>
      <c r="C28" s="1185">
        <f>_xlfn.XLOOKUP(B28,Códigos!$B$8:$B$406,Códigos!$A$8:$A$406,"Verificar",0)</f>
        <v>60</v>
      </c>
      <c r="D28" s="1114">
        <f>_xlfn.XLOOKUP(B28,'Consolidado Cobros'!$B$10:$B$312,'Consolidado Cobros'!$C$10:$C$312,"Verificar",0)</f>
        <v>42793787</v>
      </c>
      <c r="E28" s="1520">
        <f t="shared" si="6"/>
        <v>2</v>
      </c>
      <c r="F28" s="1517">
        <f t="shared" si="7"/>
        <v>0</v>
      </c>
      <c r="G28" s="1251">
        <f t="shared" si="8"/>
        <v>0</v>
      </c>
      <c r="H28" s="1240">
        <f t="shared" si="14"/>
        <v>0</v>
      </c>
      <c r="I28" s="1148"/>
      <c r="J28" s="383">
        <f t="shared" si="2"/>
        <v>0</v>
      </c>
      <c r="K28" s="712"/>
      <c r="L28" s="487">
        <f t="shared" si="9"/>
        <v>0</v>
      </c>
      <c r="M28" s="927"/>
      <c r="N28" s="672">
        <v>0</v>
      </c>
      <c r="O28" s="660"/>
      <c r="P28" s="1092">
        <f t="shared" si="10"/>
        <v>0</v>
      </c>
      <c r="Q28" s="1093">
        <v>0</v>
      </c>
      <c r="R28" s="381">
        <f t="shared" si="22"/>
        <v>0</v>
      </c>
      <c r="S28" s="382"/>
      <c r="T28" s="381"/>
      <c r="U28" s="624"/>
      <c r="V28" s="569">
        <f t="shared" si="11"/>
        <v>0</v>
      </c>
      <c r="W28" s="607"/>
      <c r="X28" s="383"/>
      <c r="Y28" s="607"/>
      <c r="Z28" s="383"/>
      <c r="AA28" s="607"/>
      <c r="AB28" s="718"/>
      <c r="AC28" s="335"/>
      <c r="AD28" s="383">
        <f>SUMIF('Asesorías AG anterior'!$B$7:$B$239,B28,'Asesorías AG anterior'!$I$7:$I$239)</f>
        <v>1E-3</v>
      </c>
      <c r="AE28" s="383">
        <f>SUMIF('Asesorías AG anterior'!$B$7:$B$239,B28,'Asesorías AG anterior'!$J$7:$J$239)</f>
        <v>0</v>
      </c>
      <c r="AF28" s="383">
        <f>SUMIF('Asesorías AG anterior'!$B$7:$B$239,B28,'Asesorías AG anterior'!$K$7:$K$239)</f>
        <v>1E-3</v>
      </c>
      <c r="AG28" s="383">
        <f>SUMIF('Asesorías AG anterior'!$B$7:$B$239,B28,'Asesorías AG anterior'!$L$7:$L$239)</f>
        <v>0</v>
      </c>
      <c r="AH28" s="383">
        <f>SUMIF('Asesorías AG anterior'!$B$7:$B$239,B28,'Asesorías AG anterior'!$M$7:$M$239)</f>
        <v>0</v>
      </c>
      <c r="AI28" s="383">
        <f>SUMIF('Asesorías AG anterior'!$B$7:$B$239,B28,'Asesorías AG anterior'!$N$7:$N$239)</f>
        <v>0</v>
      </c>
      <c r="AJ28" s="383">
        <f>SUMIF('Asesorías AG anterior'!$B$7:$B$239,B28,'Asesorías AG anterior'!$O$7:$O$239)</f>
        <v>1E-3</v>
      </c>
      <c r="AK28" s="383">
        <f>SUMIF('Asesorías AG anterior'!$B$7:$B$239,B28,'Asesorías AG anterior'!$P$7:$P$239)</f>
        <v>0</v>
      </c>
      <c r="AL28" s="383">
        <f>SUMIF('Asesorías AG anterior'!$B$7:$B$239,B28,'Asesorías AG anterior'!$Q$7:$Q$239)</f>
        <v>0</v>
      </c>
      <c r="AM28" s="383">
        <f>SUMIF('Asesorías AG anterior'!$B$7:$B$239,B28,'Asesorías AG anterior'!$R$7:$R$239)</f>
        <v>0</v>
      </c>
      <c r="AN28" s="383"/>
      <c r="AO28" s="383">
        <f>SUMIF('Asesorías AG anterior'!$B$7:$B$239,B28,'Asesorías AG anterior'!$T$7:$T$239)</f>
        <v>0</v>
      </c>
      <c r="AP28" s="383">
        <f>SUMIF('Asesorías AG anterior'!$B$7:$B$239,B28,'Asesorías AG anterior'!$U$7:$U$239)</f>
        <v>0</v>
      </c>
      <c r="AQ28" s="383">
        <f>SUMIF('Asesorías AG anterior'!$B$7:$B$239,B28,'Asesorías AG anterior'!$V$7:$V$239)</f>
        <v>0</v>
      </c>
      <c r="AR28" s="383">
        <f>SUMIF('Asesorías AG anterior'!$B$7:$B$239,B28,'Asesorías AG anterior'!$W$7:$W$239)</f>
        <v>0</v>
      </c>
      <c r="AS28" s="383">
        <f>SUMIF('Asesorías AG anterior'!$B$7:$B$239,B28,'Asesorías AG anterior'!$X$7:$X$239)</f>
        <v>0</v>
      </c>
      <c r="AT28" s="383">
        <f>SUMIF('Asesorías AG anterior'!$B$7:$B$239,B28,'Asesorías AG anterior'!$Y$7:$Y$239)</f>
        <v>0</v>
      </c>
      <c r="AU28" s="383">
        <f>SUMIF('Asesorías AG anterior'!$B$7:$B$239,B28,'Asesorías AG anterior'!$Z$7:$Z$239)</f>
        <v>0</v>
      </c>
      <c r="AV28" s="383">
        <f>SUMIF('Asesorías AG anterior'!$B$7:$B$239,B28,'Asesorías AG anterior'!$AA$7:$AA$239)</f>
        <v>0</v>
      </c>
      <c r="AW28" s="383">
        <f>SUMIF('Asesorías AG anterior'!$B$7:$B$239,B28,'Asesorías AG anterior'!$AB$7:$AB$239)</f>
        <v>0</v>
      </c>
      <c r="AX28" s="335"/>
      <c r="AZ28" s="1097" t="s">
        <v>19</v>
      </c>
    </row>
    <row r="29" spans="1:52" x14ac:dyDescent="0.2">
      <c r="A29" s="1184">
        <f t="shared" si="12"/>
        <v>23</v>
      </c>
      <c r="B29" s="1097" t="s">
        <v>20</v>
      </c>
      <c r="C29" s="1185">
        <f>_xlfn.XLOOKUP(B29,Códigos!$B$8:$B$406,Códigos!$A$8:$A$406,"Verificar",0)</f>
        <v>61</v>
      </c>
      <c r="D29" s="1114">
        <f>_xlfn.XLOOKUP(B29,'Consolidado Cobros'!$B$10:$B$312,'Consolidado Cobros'!$C$10:$C$312,"Verificar",0)</f>
        <v>1035852107</v>
      </c>
      <c r="E29" s="1520">
        <f t="shared" si="6"/>
        <v>3</v>
      </c>
      <c r="F29" s="1517">
        <f t="shared" si="7"/>
        <v>0</v>
      </c>
      <c r="G29" s="1251">
        <f t="shared" si="8"/>
        <v>0</v>
      </c>
      <c r="H29" s="1240">
        <f t="shared" si="14"/>
        <v>0</v>
      </c>
      <c r="I29" s="1148"/>
      <c r="J29" s="383">
        <f t="shared" si="2"/>
        <v>0</v>
      </c>
      <c r="K29" s="712"/>
      <c r="L29" s="487">
        <f t="shared" si="9"/>
        <v>0</v>
      </c>
      <c r="M29" s="927"/>
      <c r="N29" s="672">
        <v>0</v>
      </c>
      <c r="O29" s="660"/>
      <c r="P29" s="1092">
        <f t="shared" si="10"/>
        <v>0</v>
      </c>
      <c r="Q29" s="1093">
        <v>0</v>
      </c>
      <c r="R29" s="381">
        <f t="shared" si="22"/>
        <v>0</v>
      </c>
      <c r="S29" s="382"/>
      <c r="T29" s="381"/>
      <c r="U29" s="624"/>
      <c r="V29" s="569">
        <f t="shared" si="11"/>
        <v>0</v>
      </c>
      <c r="W29" s="607"/>
      <c r="X29" s="383"/>
      <c r="Y29" s="607"/>
      <c r="Z29" s="383"/>
      <c r="AA29" s="607"/>
      <c r="AB29" s="718"/>
      <c r="AC29" s="335"/>
      <c r="AD29" s="383">
        <f>SUMIF('Asesorías AG anterior'!$B$7:$B$239,B29,'Asesorías AG anterior'!$I$7:$I$239)</f>
        <v>1E-3</v>
      </c>
      <c r="AE29" s="383">
        <f>SUMIF('Asesorías AG anterior'!$B$7:$B$239,B29,'Asesorías AG anterior'!$J$7:$J$239)</f>
        <v>0</v>
      </c>
      <c r="AF29" s="383">
        <f>SUMIF('Asesorías AG anterior'!$B$7:$B$239,B29,'Asesorías AG anterior'!$K$7:$K$239)</f>
        <v>1E-3</v>
      </c>
      <c r="AG29" s="383">
        <f>SUMIF('Asesorías AG anterior'!$B$7:$B$239,B29,'Asesorías AG anterior'!$L$7:$L$239)</f>
        <v>0</v>
      </c>
      <c r="AH29" s="383">
        <f>SUMIF('Asesorías AG anterior'!$B$7:$B$239,B29,'Asesorías AG anterior'!$M$7:$M$239)</f>
        <v>0</v>
      </c>
      <c r="AI29" s="383">
        <f>SUMIF('Asesorías AG anterior'!$B$7:$B$239,B29,'Asesorías AG anterior'!$N$7:$N$239)</f>
        <v>0</v>
      </c>
      <c r="AJ29" s="383">
        <f>SUMIF('Asesorías AG anterior'!$B$7:$B$239,B29,'Asesorías AG anterior'!$O$7:$O$239)</f>
        <v>1E-3</v>
      </c>
      <c r="AK29" s="383">
        <f>SUMIF('Asesorías AG anterior'!$B$7:$B$239,B29,'Asesorías AG anterior'!$P$7:$P$239)</f>
        <v>0</v>
      </c>
      <c r="AL29" s="383">
        <f>SUMIF('Asesorías AG anterior'!$B$7:$B$239,B29,'Asesorías AG anterior'!$Q$7:$Q$239)</f>
        <v>0</v>
      </c>
      <c r="AM29" s="383">
        <f>SUMIF('Asesorías AG anterior'!$B$7:$B$239,B29,'Asesorías AG anterior'!$R$7:$R$239)</f>
        <v>0</v>
      </c>
      <c r="AN29" s="383"/>
      <c r="AO29" s="383">
        <f>SUMIF('Asesorías AG anterior'!$B$7:$B$239,B29,'Asesorías AG anterior'!$T$7:$T$239)</f>
        <v>0</v>
      </c>
      <c r="AP29" s="383">
        <f>SUMIF('Asesorías AG anterior'!$B$7:$B$239,B29,'Asesorías AG anterior'!$U$7:$U$239)</f>
        <v>0</v>
      </c>
      <c r="AQ29" s="383">
        <f>SUMIF('Asesorías AG anterior'!$B$7:$B$239,B29,'Asesorías AG anterior'!$V$7:$V$239)</f>
        <v>0</v>
      </c>
      <c r="AR29" s="383">
        <f>SUMIF('Asesorías AG anterior'!$B$7:$B$239,B29,'Asesorías AG anterior'!$W$7:$W$239)</f>
        <v>0</v>
      </c>
      <c r="AS29" s="383">
        <f>SUMIF('Asesorías AG anterior'!$B$7:$B$239,B29,'Asesorías AG anterior'!$X$7:$X$239)</f>
        <v>0</v>
      </c>
      <c r="AT29" s="383">
        <f>SUMIF('Asesorías AG anterior'!$B$7:$B$239,B29,'Asesorías AG anterior'!$Y$7:$Y$239)</f>
        <v>0</v>
      </c>
      <c r="AU29" s="383">
        <f>SUMIF('Asesorías AG anterior'!$B$7:$B$239,B29,'Asesorías AG anterior'!$Z$7:$Z$239)</f>
        <v>0</v>
      </c>
      <c r="AV29" s="383">
        <f>SUMIF('Asesorías AG anterior'!$B$7:$B$239,B29,'Asesorías AG anterior'!$AA$7:$AA$239)</f>
        <v>0</v>
      </c>
      <c r="AW29" s="383">
        <f>SUMIF('Asesorías AG anterior'!$B$7:$B$239,B29,'Asesorías AG anterior'!$AB$7:$AB$239)</f>
        <v>0</v>
      </c>
      <c r="AX29" s="335"/>
      <c r="AZ29" s="1492" t="s">
        <v>20</v>
      </c>
    </row>
    <row r="30" spans="1:52" x14ac:dyDescent="0.2">
      <c r="A30" s="1184">
        <f t="shared" si="12"/>
        <v>24</v>
      </c>
      <c r="B30" s="1137" t="s">
        <v>173</v>
      </c>
      <c r="C30" s="1185">
        <f>_xlfn.XLOOKUP(B30,Códigos!$B$8:$B$406,Códigos!$A$8:$A$406,"Verificar",0)</f>
        <v>246</v>
      </c>
      <c r="D30" s="1114">
        <f>_xlfn.XLOOKUP(B30,'Consolidado Cobros'!$B$10:$B$312,'Consolidado Cobros'!$C$10:$C$312,"Verificar",0)</f>
        <v>900650238</v>
      </c>
      <c r="E30" s="1520">
        <f t="shared" si="6"/>
        <v>9</v>
      </c>
      <c r="F30" s="1517">
        <f t="shared" si="7"/>
        <v>370000</v>
      </c>
      <c r="G30" s="1251">
        <f t="shared" si="8"/>
        <v>0</v>
      </c>
      <c r="H30" s="1240">
        <f t="shared" si="14"/>
        <v>370000</v>
      </c>
      <c r="I30" s="1148"/>
      <c r="J30" s="383">
        <f t="shared" si="2"/>
        <v>0</v>
      </c>
      <c r="K30" s="712"/>
      <c r="L30" s="487">
        <f t="shared" si="9"/>
        <v>0</v>
      </c>
      <c r="M30" s="927"/>
      <c r="N30" s="672">
        <v>0</v>
      </c>
      <c r="O30" s="660" t="s">
        <v>318</v>
      </c>
      <c r="P30" s="1092">
        <f t="shared" si="10"/>
        <v>70000</v>
      </c>
      <c r="Q30" s="1093">
        <v>0</v>
      </c>
      <c r="R30" s="381">
        <f t="shared" si="22"/>
        <v>70000</v>
      </c>
      <c r="S30" s="382"/>
      <c r="T30" s="1585"/>
      <c r="U30" s="1817">
        <f>25000*12</f>
        <v>300000</v>
      </c>
      <c r="V30" s="569">
        <f t="shared" si="11"/>
        <v>0</v>
      </c>
      <c r="W30" s="607"/>
      <c r="X30" s="383"/>
      <c r="Y30" s="607"/>
      <c r="Z30" s="383"/>
      <c r="AA30" s="607"/>
      <c r="AB30" s="718"/>
      <c r="AC30" s="335"/>
      <c r="AD30" s="383">
        <f>SUMIF('Asesorías AG anterior'!$B$7:$B$239,B30,'Asesorías AG anterior'!$I$7:$I$239)</f>
        <v>1E-3</v>
      </c>
      <c r="AE30" s="383">
        <f>SUMIF('Asesorías AG anterior'!$B$7:$B$239,B30,'Asesorías AG anterior'!$J$7:$J$239)</f>
        <v>0</v>
      </c>
      <c r="AF30" s="383">
        <f>SUMIF('Asesorías AG anterior'!$B$7:$B$239,B30,'Asesorías AG anterior'!$K$7:$K$239)</f>
        <v>1E-3</v>
      </c>
      <c r="AG30" s="383">
        <f>SUMIF('Asesorías AG anterior'!$B$7:$B$239,B30,'Asesorías AG anterior'!$L$7:$L$239)</f>
        <v>0</v>
      </c>
      <c r="AH30" s="383">
        <f>SUMIF('Asesorías AG anterior'!$B$7:$B$239,B30,'Asesorías AG anterior'!$M$7:$M$239)</f>
        <v>0</v>
      </c>
      <c r="AI30" s="383">
        <f>SUMIF('Asesorías AG anterior'!$B$7:$B$239,B30,'Asesorías AG anterior'!$N$7:$N$239)</f>
        <v>0</v>
      </c>
      <c r="AJ30" s="383">
        <f>SUMIF('Asesorías AG anterior'!$B$7:$B$239,B30,'Asesorías AG anterior'!$O$7:$O$239)</f>
        <v>0</v>
      </c>
      <c r="AK30" s="383">
        <f>SUMIF('Asesorías AG anterior'!$B$7:$B$239,B30,'Asesorías AG anterior'!$P$7:$P$239)</f>
        <v>70000</v>
      </c>
      <c r="AL30" s="383">
        <f>SUMIF('Asesorías AG anterior'!$B$7:$B$239,B30,'Asesorías AG anterior'!$Q$7:$Q$239)</f>
        <v>0</v>
      </c>
      <c r="AM30" s="383">
        <f>SUMIF('Asesorías AG anterior'!$B$7:$B$239,B30,'Asesorías AG anterior'!$R$7:$R$239)</f>
        <v>240000</v>
      </c>
      <c r="AN30" s="383"/>
      <c r="AO30" s="383">
        <f>SUMIF('Asesorías AG anterior'!$B$7:$B$239,B30,'Asesorías AG anterior'!$T$7:$T$239)</f>
        <v>0</v>
      </c>
      <c r="AP30" s="383">
        <f>SUMIF('Asesorías AG anterior'!$B$7:$B$239,B30,'Asesorías AG anterior'!$U$7:$U$239)</f>
        <v>0</v>
      </c>
      <c r="AQ30" s="383">
        <f>SUMIF('Asesorías AG anterior'!$B$7:$B$239,B30,'Asesorías AG anterior'!$V$7:$V$239)</f>
        <v>0</v>
      </c>
      <c r="AR30" s="383">
        <f>SUMIF('Asesorías AG anterior'!$B$7:$B$239,B30,'Asesorías AG anterior'!$W$7:$W$239)</f>
        <v>0</v>
      </c>
      <c r="AS30" s="383">
        <f>SUMIF('Asesorías AG anterior'!$B$7:$B$239,B30,'Asesorías AG anterior'!$X$7:$X$239)</f>
        <v>0</v>
      </c>
      <c r="AT30" s="383">
        <f>SUMIF('Asesorías AG anterior'!$B$7:$B$239,B30,'Asesorías AG anterior'!$Y$7:$Y$239)</f>
        <v>0</v>
      </c>
      <c r="AU30" s="383">
        <f>SUMIF('Asesorías AG anterior'!$B$7:$B$239,B30,'Asesorías AG anterior'!$Z$7:$Z$239)</f>
        <v>0</v>
      </c>
      <c r="AV30" s="383">
        <f>SUMIF('Asesorías AG anterior'!$B$7:$B$239,B30,'Asesorías AG anterior'!$AA$7:$AA$239)</f>
        <v>0</v>
      </c>
      <c r="AW30" s="383">
        <f>SUMIF('Asesorías AG anterior'!$B$7:$B$239,B30,'Asesorías AG anterior'!$AB$7:$AB$239)</f>
        <v>0</v>
      </c>
      <c r="AX30" s="335"/>
      <c r="AZ30" s="1137" t="s">
        <v>173</v>
      </c>
    </row>
    <row r="31" spans="1:52" x14ac:dyDescent="0.2">
      <c r="A31" s="1184">
        <f t="shared" si="12"/>
        <v>25</v>
      </c>
      <c r="B31" s="1097" t="s">
        <v>21</v>
      </c>
      <c r="C31" s="1185">
        <f>_xlfn.XLOOKUP(B31,Códigos!$B$8:$B$406,Códigos!$A$8:$A$406,"Verificar",0)</f>
        <v>62</v>
      </c>
      <c r="D31" s="1114">
        <f>_xlfn.XLOOKUP(B31,'Consolidado Cobros'!$B$10:$B$312,'Consolidado Cobros'!$C$10:$C$312,"Verificar",0)</f>
        <v>43577753</v>
      </c>
      <c r="E31" s="1520">
        <f t="shared" si="6"/>
        <v>0</v>
      </c>
      <c r="F31" s="1517">
        <f t="shared" si="7"/>
        <v>0</v>
      </c>
      <c r="G31" s="1251">
        <f t="shared" si="8"/>
        <v>0</v>
      </c>
      <c r="H31" s="1240">
        <f t="shared" si="14"/>
        <v>0</v>
      </c>
      <c r="I31" s="1148"/>
      <c r="J31" s="383">
        <f t="shared" si="2"/>
        <v>0</v>
      </c>
      <c r="K31" s="712"/>
      <c r="L31" s="487">
        <f t="shared" si="9"/>
        <v>0</v>
      </c>
      <c r="M31" s="927"/>
      <c r="N31" s="672">
        <v>0</v>
      </c>
      <c r="O31" s="660"/>
      <c r="P31" s="1092">
        <f t="shared" si="10"/>
        <v>0</v>
      </c>
      <c r="Q31" s="1093">
        <v>0</v>
      </c>
      <c r="R31" s="381">
        <f t="shared" si="22"/>
        <v>0</v>
      </c>
      <c r="S31" s="382"/>
      <c r="T31" s="381"/>
      <c r="U31" s="624"/>
      <c r="V31" s="569">
        <f t="shared" si="11"/>
        <v>0</v>
      </c>
      <c r="W31" s="607"/>
      <c r="X31" s="383"/>
      <c r="Y31" s="607"/>
      <c r="Z31" s="383"/>
      <c r="AA31" s="607"/>
      <c r="AB31" s="718"/>
      <c r="AC31" s="335"/>
      <c r="AD31" s="383">
        <f>SUMIF('Asesorías AG anterior'!$B$7:$B$239,B31,'Asesorías AG anterior'!$I$7:$I$239)</f>
        <v>1E-3</v>
      </c>
      <c r="AE31" s="383">
        <f>SUMIF('Asesorías AG anterior'!$B$7:$B$239,B31,'Asesorías AG anterior'!$J$7:$J$239)</f>
        <v>0</v>
      </c>
      <c r="AF31" s="383">
        <f>SUMIF('Asesorías AG anterior'!$B$7:$B$239,B31,'Asesorías AG anterior'!$K$7:$K$239)</f>
        <v>1E-3</v>
      </c>
      <c r="AG31" s="383">
        <f>SUMIF('Asesorías AG anterior'!$B$7:$B$239,B31,'Asesorías AG anterior'!$L$7:$L$239)</f>
        <v>0</v>
      </c>
      <c r="AH31" s="383">
        <f>SUMIF('Asesorías AG anterior'!$B$7:$B$239,B31,'Asesorías AG anterior'!$M$7:$M$239)</f>
        <v>0</v>
      </c>
      <c r="AI31" s="383">
        <f>SUMIF('Asesorías AG anterior'!$B$7:$B$239,B31,'Asesorías AG anterior'!$N$7:$N$239)</f>
        <v>0</v>
      </c>
      <c r="AJ31" s="383">
        <f>SUMIF('Asesorías AG anterior'!$B$7:$B$239,B31,'Asesorías AG anterior'!$O$7:$O$239)</f>
        <v>1E-3</v>
      </c>
      <c r="AK31" s="383">
        <f>SUMIF('Asesorías AG anterior'!$B$7:$B$239,B31,'Asesorías AG anterior'!$P$7:$P$239)</f>
        <v>0</v>
      </c>
      <c r="AL31" s="383">
        <f>SUMIF('Asesorías AG anterior'!$B$7:$B$239,B31,'Asesorías AG anterior'!$Q$7:$Q$239)</f>
        <v>0</v>
      </c>
      <c r="AM31" s="383">
        <f>SUMIF('Asesorías AG anterior'!$B$7:$B$239,B31,'Asesorías AG anterior'!$R$7:$R$239)</f>
        <v>0</v>
      </c>
      <c r="AN31" s="383"/>
      <c r="AO31" s="383">
        <f>SUMIF('Asesorías AG anterior'!$B$7:$B$239,B31,'Asesorías AG anterior'!$T$7:$T$239)</f>
        <v>0</v>
      </c>
      <c r="AP31" s="383">
        <f>SUMIF('Asesorías AG anterior'!$B$7:$B$239,B31,'Asesorías AG anterior'!$U$7:$U$239)</f>
        <v>0</v>
      </c>
      <c r="AQ31" s="383">
        <f>SUMIF('Asesorías AG anterior'!$B$7:$B$239,B31,'Asesorías AG anterior'!$V$7:$V$239)</f>
        <v>0</v>
      </c>
      <c r="AR31" s="383">
        <f>SUMIF('Asesorías AG anterior'!$B$7:$B$239,B31,'Asesorías AG anterior'!$W$7:$W$239)</f>
        <v>0</v>
      </c>
      <c r="AS31" s="383">
        <f>SUMIF('Asesorías AG anterior'!$B$7:$B$239,B31,'Asesorías AG anterior'!$X$7:$X$239)</f>
        <v>0</v>
      </c>
      <c r="AT31" s="383">
        <f>SUMIF('Asesorías AG anterior'!$B$7:$B$239,B31,'Asesorías AG anterior'!$Y$7:$Y$239)</f>
        <v>0</v>
      </c>
      <c r="AU31" s="383">
        <f>SUMIF('Asesorías AG anterior'!$B$7:$B$239,B31,'Asesorías AG anterior'!$Z$7:$Z$239)</f>
        <v>0</v>
      </c>
      <c r="AV31" s="383">
        <f>SUMIF('Asesorías AG anterior'!$B$7:$B$239,B31,'Asesorías AG anterior'!$AA$7:$AA$239)</f>
        <v>0</v>
      </c>
      <c r="AW31" s="383">
        <f>SUMIF('Asesorías AG anterior'!$B$7:$B$239,B31,'Asesorías AG anterior'!$AB$7:$AB$239)</f>
        <v>0</v>
      </c>
      <c r="AX31" s="335"/>
      <c r="AZ31" s="1097" t="s">
        <v>21</v>
      </c>
    </row>
    <row r="32" spans="1:52" x14ac:dyDescent="0.2">
      <c r="A32" s="1184">
        <f t="shared" si="12"/>
        <v>26</v>
      </c>
      <c r="B32" s="1097" t="s">
        <v>22</v>
      </c>
      <c r="C32" s="1185">
        <f>_xlfn.XLOOKUP(B32,Códigos!$B$8:$B$406,Códigos!$A$8:$A$406,"Verificar",0)</f>
        <v>63</v>
      </c>
      <c r="D32" s="1114">
        <f>_xlfn.XLOOKUP(B32,'Consolidado Cobros'!$B$10:$B$312,'Consolidado Cobros'!$C$10:$C$312,"Verificar",0)</f>
        <v>71608158</v>
      </c>
      <c r="E32" s="1520">
        <f t="shared" si="6"/>
        <v>4</v>
      </c>
      <c r="F32" s="1517">
        <f t="shared" si="7"/>
        <v>0</v>
      </c>
      <c r="G32" s="1251">
        <f t="shared" si="8"/>
        <v>0</v>
      </c>
      <c r="H32" s="1240">
        <f t="shared" si="14"/>
        <v>0</v>
      </c>
      <c r="I32" s="1148"/>
      <c r="J32" s="383">
        <f t="shared" si="2"/>
        <v>0</v>
      </c>
      <c r="K32" s="712"/>
      <c r="L32" s="487">
        <f t="shared" si="9"/>
        <v>0</v>
      </c>
      <c r="M32" s="927"/>
      <c r="N32" s="672">
        <v>0</v>
      </c>
      <c r="O32" s="660"/>
      <c r="P32" s="1092">
        <f t="shared" si="10"/>
        <v>0</v>
      </c>
      <c r="Q32" s="1093">
        <v>0</v>
      </c>
      <c r="R32" s="381">
        <f t="shared" si="22"/>
        <v>0</v>
      </c>
      <c r="S32" s="382"/>
      <c r="T32" s="381"/>
      <c r="U32" s="624"/>
      <c r="V32" s="569">
        <f t="shared" si="11"/>
        <v>0</v>
      </c>
      <c r="W32" s="607"/>
      <c r="X32" s="383"/>
      <c r="Y32" s="607"/>
      <c r="Z32" s="383"/>
      <c r="AA32" s="607"/>
      <c r="AB32" s="718"/>
      <c r="AC32" s="335"/>
      <c r="AD32" s="383">
        <f>SUMIF('Asesorías AG anterior'!$B$7:$B$239,B32,'Asesorías AG anterior'!$I$7:$I$239)</f>
        <v>1E-3</v>
      </c>
      <c r="AE32" s="383">
        <f>SUMIF('Asesorías AG anterior'!$B$7:$B$239,B32,'Asesorías AG anterior'!$J$7:$J$239)</f>
        <v>0</v>
      </c>
      <c r="AF32" s="383">
        <f>SUMIF('Asesorías AG anterior'!$B$7:$B$239,B32,'Asesorías AG anterior'!$K$7:$K$239)</f>
        <v>1E-3</v>
      </c>
      <c r="AG32" s="383">
        <f>SUMIF('Asesorías AG anterior'!$B$7:$B$239,B32,'Asesorías AG anterior'!$L$7:$L$239)</f>
        <v>0</v>
      </c>
      <c r="AH32" s="383">
        <f>SUMIF('Asesorías AG anterior'!$B$7:$B$239,B32,'Asesorías AG anterior'!$M$7:$M$239)</f>
        <v>0</v>
      </c>
      <c r="AI32" s="383">
        <f>SUMIF('Asesorías AG anterior'!$B$7:$B$239,B32,'Asesorías AG anterior'!$N$7:$N$239)</f>
        <v>0</v>
      </c>
      <c r="AJ32" s="383">
        <f>SUMIF('Asesorías AG anterior'!$B$7:$B$239,B32,'Asesorías AG anterior'!$O$7:$O$239)</f>
        <v>1E-3</v>
      </c>
      <c r="AK32" s="383">
        <f>SUMIF('Asesorías AG anterior'!$B$7:$B$239,B32,'Asesorías AG anterior'!$P$7:$P$239)</f>
        <v>0</v>
      </c>
      <c r="AL32" s="383">
        <f>SUMIF('Asesorías AG anterior'!$B$7:$B$239,B32,'Asesorías AG anterior'!$Q$7:$Q$239)</f>
        <v>0</v>
      </c>
      <c r="AM32" s="383">
        <f>SUMIF('Asesorías AG anterior'!$B$7:$B$239,B32,'Asesorías AG anterior'!$R$7:$R$239)</f>
        <v>0</v>
      </c>
      <c r="AN32" s="383"/>
      <c r="AO32" s="383">
        <f>SUMIF('Asesorías AG anterior'!$B$7:$B$239,B32,'Asesorías AG anterior'!$T$7:$T$239)</f>
        <v>0</v>
      </c>
      <c r="AP32" s="383">
        <f>SUMIF('Asesorías AG anterior'!$B$7:$B$239,B32,'Asesorías AG anterior'!$U$7:$U$239)</f>
        <v>0</v>
      </c>
      <c r="AQ32" s="383">
        <f>SUMIF('Asesorías AG anterior'!$B$7:$B$239,B32,'Asesorías AG anterior'!$V$7:$V$239)</f>
        <v>0</v>
      </c>
      <c r="AR32" s="383">
        <f>SUMIF('Asesorías AG anterior'!$B$7:$B$239,B32,'Asesorías AG anterior'!$W$7:$W$239)</f>
        <v>0</v>
      </c>
      <c r="AS32" s="383">
        <f>SUMIF('Asesorías AG anterior'!$B$7:$B$239,B32,'Asesorías AG anterior'!$X$7:$X$239)</f>
        <v>0</v>
      </c>
      <c r="AT32" s="383">
        <f>SUMIF('Asesorías AG anterior'!$B$7:$B$239,B32,'Asesorías AG anterior'!$Y$7:$Y$239)</f>
        <v>0</v>
      </c>
      <c r="AU32" s="383">
        <f>SUMIF('Asesorías AG anterior'!$B$7:$B$239,B32,'Asesorías AG anterior'!$Z$7:$Z$239)</f>
        <v>0</v>
      </c>
      <c r="AV32" s="383">
        <f>SUMIF('Asesorías AG anterior'!$B$7:$B$239,B32,'Asesorías AG anterior'!$AA$7:$AA$239)</f>
        <v>0</v>
      </c>
      <c r="AW32" s="383">
        <f>SUMIF('Asesorías AG anterior'!$B$7:$B$239,B32,'Asesorías AG anterior'!$AB$7:$AB$239)</f>
        <v>0</v>
      </c>
      <c r="AX32" s="335"/>
      <c r="AZ32" s="1097" t="s">
        <v>22</v>
      </c>
    </row>
    <row r="33" spans="1:52" x14ac:dyDescent="0.2">
      <c r="A33" s="1184">
        <f t="shared" si="12"/>
        <v>27</v>
      </c>
      <c r="B33" s="1097" t="s">
        <v>23</v>
      </c>
      <c r="C33" s="1185">
        <f>_xlfn.XLOOKUP(B33,Códigos!$B$8:$B$406,Códigos!$A$8:$A$406,"Verificar",0)</f>
        <v>65</v>
      </c>
      <c r="D33" s="1114">
        <f>_xlfn.XLOOKUP(B33,'Consolidado Cobros'!$B$10:$B$312,'Consolidado Cobros'!$C$10:$C$312,"Verificar",0)</f>
        <v>3313365</v>
      </c>
      <c r="E33" s="1520">
        <f t="shared" si="6"/>
        <v>8</v>
      </c>
      <c r="F33" s="1517">
        <f t="shared" si="7"/>
        <v>398826.8118285829</v>
      </c>
      <c r="G33" s="1251">
        <f t="shared" si="8"/>
        <v>0</v>
      </c>
      <c r="H33" s="1240">
        <f t="shared" si="14"/>
        <v>398826.8118285829</v>
      </c>
      <c r="I33" s="1148">
        <v>3</v>
      </c>
      <c r="J33" s="383">
        <f t="shared" si="2"/>
        <v>398826.8118285829</v>
      </c>
      <c r="K33" s="712"/>
      <c r="L33" s="487">
        <f t="shared" si="9"/>
        <v>0</v>
      </c>
      <c r="M33" s="927"/>
      <c r="N33" s="672">
        <v>0</v>
      </c>
      <c r="O33" s="660"/>
      <c r="P33" s="1092">
        <f t="shared" si="10"/>
        <v>0</v>
      </c>
      <c r="Q33" s="1093">
        <v>0</v>
      </c>
      <c r="R33" s="381">
        <f t="shared" si="22"/>
        <v>0</v>
      </c>
      <c r="S33" s="382"/>
      <c r="T33" s="381"/>
      <c r="U33" s="624"/>
      <c r="V33" s="569">
        <f t="shared" si="11"/>
        <v>0</v>
      </c>
      <c r="W33" s="607"/>
      <c r="X33" s="383"/>
      <c r="Y33" s="607"/>
      <c r="Z33" s="383"/>
      <c r="AA33" s="607"/>
      <c r="AB33" s="718"/>
      <c r="AC33" s="335"/>
      <c r="AD33" s="383">
        <f>SUMIF('Asesorías AG anterior'!$B$7:$B$239,B33,'Asesorías AG anterior'!$I$7:$I$239)</f>
        <v>3</v>
      </c>
      <c r="AE33" s="383">
        <f>SUMIF('Asesorías AG anterior'!$B$7:$B$239,B33,'Asesorías AG anterior'!$J$7:$J$239)</f>
        <v>379473.65540302848</v>
      </c>
      <c r="AF33" s="383">
        <f>SUMIF('Asesorías AG anterior'!$B$7:$B$239,B33,'Asesorías AG anterior'!$K$7:$K$239)</f>
        <v>1E-3</v>
      </c>
      <c r="AG33" s="383">
        <f>SUMIF('Asesorías AG anterior'!$B$7:$B$239,B33,'Asesorías AG anterior'!$L$7:$L$239)</f>
        <v>0</v>
      </c>
      <c r="AH33" s="383">
        <f>SUMIF('Asesorías AG anterior'!$B$7:$B$239,B33,'Asesorías AG anterior'!$M$7:$M$239)</f>
        <v>0</v>
      </c>
      <c r="AI33" s="383">
        <f>SUMIF('Asesorías AG anterior'!$B$7:$B$239,B33,'Asesorías AG anterior'!$N$7:$N$239)</f>
        <v>0</v>
      </c>
      <c r="AJ33" s="383">
        <f>SUMIF('Asesorías AG anterior'!$B$7:$B$239,B33,'Asesorías AG anterior'!$O$7:$O$239)</f>
        <v>0</v>
      </c>
      <c r="AK33" s="383">
        <f>SUMIF('Asesorías AG anterior'!$B$7:$B$239,B33,'Asesorías AG anterior'!$P$7:$P$239)</f>
        <v>130000</v>
      </c>
      <c r="AL33" s="383">
        <f>SUMIF('Asesorías AG anterior'!$B$7:$B$239,B33,'Asesorías AG anterior'!$Q$7:$Q$239)</f>
        <v>0</v>
      </c>
      <c r="AM33" s="383">
        <f>SUMIF('Asesorías AG anterior'!$B$7:$B$239,B33,'Asesorías AG anterior'!$R$7:$R$239)</f>
        <v>0</v>
      </c>
      <c r="AN33" s="383"/>
      <c r="AO33" s="383">
        <f>SUMIF('Asesorías AG anterior'!$B$7:$B$239,B33,'Asesorías AG anterior'!$T$7:$T$239)</f>
        <v>0</v>
      </c>
      <c r="AP33" s="383">
        <f>SUMIF('Asesorías AG anterior'!$B$7:$B$239,B33,'Asesorías AG anterior'!$U$7:$U$239)</f>
        <v>0</v>
      </c>
      <c r="AQ33" s="383">
        <f>SUMIF('Asesorías AG anterior'!$B$7:$B$239,B33,'Asesorías AG anterior'!$V$7:$V$239)</f>
        <v>0</v>
      </c>
      <c r="AR33" s="383">
        <f>SUMIF('Asesorías AG anterior'!$B$7:$B$239,B33,'Asesorías AG anterior'!$W$7:$W$239)</f>
        <v>0</v>
      </c>
      <c r="AS33" s="383">
        <f>SUMIF('Asesorías AG anterior'!$B$7:$B$239,B33,'Asesorías AG anterior'!$X$7:$X$239)</f>
        <v>0</v>
      </c>
      <c r="AT33" s="383">
        <f>SUMIF('Asesorías AG anterior'!$B$7:$B$239,B33,'Asesorías AG anterior'!$Y$7:$Y$239)</f>
        <v>0</v>
      </c>
      <c r="AU33" s="383">
        <f>SUMIF('Asesorías AG anterior'!$B$7:$B$239,B33,'Asesorías AG anterior'!$Z$7:$Z$239)</f>
        <v>0</v>
      </c>
      <c r="AV33" s="383">
        <f>SUMIF('Asesorías AG anterior'!$B$7:$B$239,B33,'Asesorías AG anterior'!$AA$7:$AA$239)</f>
        <v>0</v>
      </c>
      <c r="AW33" s="383">
        <f>SUMIF('Asesorías AG anterior'!$B$7:$B$239,B33,'Asesorías AG anterior'!$AB$7:$AB$239)</f>
        <v>0</v>
      </c>
      <c r="AX33" s="335"/>
      <c r="AZ33" s="1097" t="s">
        <v>23</v>
      </c>
    </row>
    <row r="34" spans="1:52" x14ac:dyDescent="0.2">
      <c r="A34" s="1184">
        <f t="shared" si="12"/>
        <v>28</v>
      </c>
      <c r="B34" s="1097" t="s">
        <v>24</v>
      </c>
      <c r="C34" s="1185">
        <f>_xlfn.XLOOKUP(B34,Códigos!$B$8:$B$406,Códigos!$A$8:$A$406,"Verificar",0)</f>
        <v>67</v>
      </c>
      <c r="D34" s="1114">
        <f>_xlfn.XLOOKUP(B34,'Consolidado Cobros'!$B$10:$B$312,'Consolidado Cobros'!$C$10:$C$312,"Verificar",0)</f>
        <v>5734197</v>
      </c>
      <c r="E34" s="1520">
        <f t="shared" si="6"/>
        <v>0</v>
      </c>
      <c r="F34" s="1517">
        <f t="shared" si="7"/>
        <v>0</v>
      </c>
      <c r="G34" s="1251">
        <f t="shared" si="8"/>
        <v>0</v>
      </c>
      <c r="H34" s="1240">
        <f t="shared" si="14"/>
        <v>0</v>
      </c>
      <c r="I34" s="1148"/>
      <c r="J34" s="383">
        <f t="shared" si="2"/>
        <v>0</v>
      </c>
      <c r="K34" s="712"/>
      <c r="L34" s="487">
        <f t="shared" si="9"/>
        <v>0</v>
      </c>
      <c r="M34" s="927"/>
      <c r="N34" s="672">
        <v>0</v>
      </c>
      <c r="O34" s="660" t="s">
        <v>318</v>
      </c>
      <c r="P34" s="1092">
        <f t="shared" si="10"/>
        <v>0</v>
      </c>
      <c r="Q34" s="1093">
        <v>0</v>
      </c>
      <c r="R34" s="381">
        <f t="shared" si="22"/>
        <v>0</v>
      </c>
      <c r="S34" s="382"/>
      <c r="T34" s="381"/>
      <c r="U34" s="624"/>
      <c r="V34" s="569">
        <f t="shared" si="11"/>
        <v>0</v>
      </c>
      <c r="W34" s="607"/>
      <c r="X34" s="383"/>
      <c r="Y34" s="607"/>
      <c r="Z34" s="383"/>
      <c r="AA34" s="607"/>
      <c r="AB34" s="718"/>
      <c r="AC34" s="335"/>
      <c r="AD34" s="383">
        <f>SUMIF('Asesorías AG anterior'!$B$7:$B$239,B34,'Asesorías AG anterior'!$I$7:$I$239)</f>
        <v>1E-3</v>
      </c>
      <c r="AE34" s="383">
        <f>SUMIF('Asesorías AG anterior'!$B$7:$B$239,B34,'Asesorías AG anterior'!$J$7:$J$239)</f>
        <v>0</v>
      </c>
      <c r="AF34" s="383">
        <f>SUMIF('Asesorías AG anterior'!$B$7:$B$239,B34,'Asesorías AG anterior'!$K$7:$K$239)</f>
        <v>1E-3</v>
      </c>
      <c r="AG34" s="383">
        <f>SUMIF('Asesorías AG anterior'!$B$7:$B$239,B34,'Asesorías AG anterior'!$L$7:$L$239)</f>
        <v>0</v>
      </c>
      <c r="AH34" s="383">
        <f>SUMIF('Asesorías AG anterior'!$B$7:$B$239,B34,'Asesorías AG anterior'!$M$7:$M$239)</f>
        <v>0</v>
      </c>
      <c r="AI34" s="383">
        <f>SUMIF('Asesorías AG anterior'!$B$7:$B$239,B34,'Asesorías AG anterior'!$N$7:$N$239)</f>
        <v>0</v>
      </c>
      <c r="AJ34" s="383">
        <f>SUMIF('Asesorías AG anterior'!$B$7:$B$239,B34,'Asesorías AG anterior'!$O$7:$O$239)</f>
        <v>1E-3</v>
      </c>
      <c r="AK34" s="383">
        <f>SUMIF('Asesorías AG anterior'!$B$7:$B$239,B34,'Asesorías AG anterior'!$P$7:$P$239)</f>
        <v>0</v>
      </c>
      <c r="AL34" s="383">
        <f>SUMIF('Asesorías AG anterior'!$B$7:$B$239,B34,'Asesorías AG anterior'!$Q$7:$Q$239)</f>
        <v>0</v>
      </c>
      <c r="AM34" s="383">
        <f>SUMIF('Asesorías AG anterior'!$B$7:$B$239,B34,'Asesorías AG anterior'!$R$7:$R$239)</f>
        <v>0</v>
      </c>
      <c r="AN34" s="383"/>
      <c r="AO34" s="383">
        <f>SUMIF('Asesorías AG anterior'!$B$7:$B$239,B34,'Asesorías AG anterior'!$T$7:$T$239)</f>
        <v>0</v>
      </c>
      <c r="AP34" s="383">
        <f>SUMIF('Asesorías AG anterior'!$B$7:$B$239,B34,'Asesorías AG anterior'!$U$7:$U$239)</f>
        <v>0</v>
      </c>
      <c r="AQ34" s="383">
        <f>SUMIF('Asesorías AG anterior'!$B$7:$B$239,B34,'Asesorías AG anterior'!$V$7:$V$239)</f>
        <v>0</v>
      </c>
      <c r="AR34" s="383">
        <f>SUMIF('Asesorías AG anterior'!$B$7:$B$239,B34,'Asesorías AG anterior'!$W$7:$W$239)</f>
        <v>0</v>
      </c>
      <c r="AS34" s="383">
        <f>SUMIF('Asesorías AG anterior'!$B$7:$B$239,B34,'Asesorías AG anterior'!$X$7:$X$239)</f>
        <v>0</v>
      </c>
      <c r="AT34" s="383">
        <f>SUMIF('Asesorías AG anterior'!$B$7:$B$239,B34,'Asesorías AG anterior'!$Y$7:$Y$239)</f>
        <v>0</v>
      </c>
      <c r="AU34" s="383">
        <f>SUMIF('Asesorías AG anterior'!$B$7:$B$239,B34,'Asesorías AG anterior'!$Z$7:$Z$239)</f>
        <v>0</v>
      </c>
      <c r="AV34" s="383">
        <f>SUMIF('Asesorías AG anterior'!$B$7:$B$239,B34,'Asesorías AG anterior'!$AA$7:$AA$239)</f>
        <v>0</v>
      </c>
      <c r="AW34" s="383">
        <f>SUMIF('Asesorías AG anterior'!$B$7:$B$239,B34,'Asesorías AG anterior'!$AB$7:$AB$239)</f>
        <v>0</v>
      </c>
      <c r="AX34" s="335"/>
      <c r="AZ34" s="1097" t="s">
        <v>24</v>
      </c>
    </row>
    <row r="35" spans="1:52" x14ac:dyDescent="0.2">
      <c r="A35" s="1184">
        <f t="shared" si="12"/>
        <v>29</v>
      </c>
      <c r="B35" s="1097" t="s">
        <v>26</v>
      </c>
      <c r="C35" s="1185">
        <f>_xlfn.XLOOKUP(B35,Códigos!$B$8:$B$406,Códigos!$A$8:$A$406,"Verificar",0)</f>
        <v>68</v>
      </c>
      <c r="D35" s="1114">
        <f>_xlfn.XLOOKUP(B35,'Consolidado Cobros'!$B$10:$B$312,'Consolidado Cobros'!$C$10:$C$312,"Verificar",0)</f>
        <v>43616958</v>
      </c>
      <c r="E35" s="1520">
        <f t="shared" si="6"/>
        <v>1</v>
      </c>
      <c r="F35" s="1517">
        <f t="shared" si="7"/>
        <v>0</v>
      </c>
      <c r="G35" s="1251">
        <f t="shared" si="8"/>
        <v>0</v>
      </c>
      <c r="H35" s="1240">
        <f t="shared" si="14"/>
        <v>0</v>
      </c>
      <c r="I35" s="1148"/>
      <c r="J35" s="383">
        <f t="shared" si="2"/>
        <v>0</v>
      </c>
      <c r="K35" s="712"/>
      <c r="L35" s="487">
        <f t="shared" si="9"/>
        <v>0</v>
      </c>
      <c r="M35" s="927"/>
      <c r="N35" s="672">
        <v>0</v>
      </c>
      <c r="O35" s="660"/>
      <c r="P35" s="1092">
        <f t="shared" si="10"/>
        <v>0</v>
      </c>
      <c r="Q35" s="1093">
        <v>0</v>
      </c>
      <c r="R35" s="381">
        <f t="shared" si="22"/>
        <v>0</v>
      </c>
      <c r="S35" s="382"/>
      <c r="T35" s="381"/>
      <c r="U35" s="624"/>
      <c r="V35" s="569">
        <f t="shared" si="11"/>
        <v>0</v>
      </c>
      <c r="W35" s="607"/>
      <c r="X35" s="383"/>
      <c r="Y35" s="607"/>
      <c r="Z35" s="383"/>
      <c r="AA35" s="607"/>
      <c r="AB35" s="718"/>
      <c r="AC35" s="335"/>
      <c r="AD35" s="383">
        <f>SUMIF('Asesorías AG anterior'!$B$7:$B$239,B35,'Asesorías AG anterior'!$I$7:$I$239)</f>
        <v>1E-3</v>
      </c>
      <c r="AE35" s="383">
        <f>SUMIF('Asesorías AG anterior'!$B$7:$B$239,B35,'Asesorías AG anterior'!$J$7:$J$239)</f>
        <v>0</v>
      </c>
      <c r="AF35" s="383">
        <f>SUMIF('Asesorías AG anterior'!$B$7:$B$239,B35,'Asesorías AG anterior'!$K$7:$K$239)</f>
        <v>1E-3</v>
      </c>
      <c r="AG35" s="383">
        <f>SUMIF('Asesorías AG anterior'!$B$7:$B$239,B35,'Asesorías AG anterior'!$L$7:$L$239)</f>
        <v>0</v>
      </c>
      <c r="AH35" s="383">
        <f>SUMIF('Asesorías AG anterior'!$B$7:$B$239,B35,'Asesorías AG anterior'!$M$7:$M$239)</f>
        <v>0</v>
      </c>
      <c r="AI35" s="383">
        <f>SUMIF('Asesorías AG anterior'!$B$7:$B$239,B35,'Asesorías AG anterior'!$N$7:$N$239)</f>
        <v>0</v>
      </c>
      <c r="AJ35" s="383">
        <f>SUMIF('Asesorías AG anterior'!$B$7:$B$239,B35,'Asesorías AG anterior'!$O$7:$O$239)</f>
        <v>1E-3</v>
      </c>
      <c r="AK35" s="383">
        <f>SUMIF('Asesorías AG anterior'!$B$7:$B$239,B35,'Asesorías AG anterior'!$P$7:$P$239)</f>
        <v>0</v>
      </c>
      <c r="AL35" s="383">
        <f>SUMIF('Asesorías AG anterior'!$B$7:$B$239,B35,'Asesorías AG anterior'!$Q$7:$Q$239)</f>
        <v>0</v>
      </c>
      <c r="AM35" s="383">
        <f>SUMIF('Asesorías AG anterior'!$B$7:$B$239,B35,'Asesorías AG anterior'!$R$7:$R$239)</f>
        <v>0</v>
      </c>
      <c r="AN35" s="383"/>
      <c r="AO35" s="383">
        <f>SUMIF('Asesorías AG anterior'!$B$7:$B$239,B35,'Asesorías AG anterior'!$T$7:$T$239)</f>
        <v>0</v>
      </c>
      <c r="AP35" s="383">
        <f>SUMIF('Asesorías AG anterior'!$B$7:$B$239,B35,'Asesorías AG anterior'!$U$7:$U$239)</f>
        <v>0</v>
      </c>
      <c r="AQ35" s="383">
        <f>SUMIF('Asesorías AG anterior'!$B$7:$B$239,B35,'Asesorías AG anterior'!$V$7:$V$239)</f>
        <v>0</v>
      </c>
      <c r="AR35" s="383">
        <f>SUMIF('Asesorías AG anterior'!$B$7:$B$239,B35,'Asesorías AG anterior'!$W$7:$W$239)</f>
        <v>0</v>
      </c>
      <c r="AS35" s="383">
        <f>SUMIF('Asesorías AG anterior'!$B$7:$B$239,B35,'Asesorías AG anterior'!$X$7:$X$239)</f>
        <v>0</v>
      </c>
      <c r="AT35" s="383">
        <f>SUMIF('Asesorías AG anterior'!$B$7:$B$239,B35,'Asesorías AG anterior'!$Y$7:$Y$239)</f>
        <v>0</v>
      </c>
      <c r="AU35" s="383">
        <f>SUMIF('Asesorías AG anterior'!$B$7:$B$239,B35,'Asesorías AG anterior'!$Z$7:$Z$239)</f>
        <v>0</v>
      </c>
      <c r="AV35" s="383">
        <f>SUMIF('Asesorías AG anterior'!$B$7:$B$239,B35,'Asesorías AG anterior'!$AA$7:$AA$239)</f>
        <v>0</v>
      </c>
      <c r="AW35" s="383">
        <f>SUMIF('Asesorías AG anterior'!$B$7:$B$239,B35,'Asesorías AG anterior'!$AB$7:$AB$239)</f>
        <v>0</v>
      </c>
      <c r="AX35" s="335"/>
      <c r="AZ35" s="1097" t="s">
        <v>26</v>
      </c>
    </row>
    <row r="36" spans="1:52" x14ac:dyDescent="0.2">
      <c r="A36" s="1184">
        <f t="shared" si="12"/>
        <v>30</v>
      </c>
      <c r="B36" s="1097" t="s">
        <v>25</v>
      </c>
      <c r="C36" s="1185">
        <f>_xlfn.XLOOKUP(B36,Códigos!$B$8:$B$406,Códigos!$A$8:$A$406,"Verificar",0)</f>
        <v>13</v>
      </c>
      <c r="D36" s="1114">
        <f>_xlfn.XLOOKUP(B36,'Consolidado Cobros'!$B$10:$B$312,'Consolidado Cobros'!$C$10:$C$312,"Verificar",0)</f>
        <v>32441185</v>
      </c>
      <c r="E36" s="1520">
        <f t="shared" si="6"/>
        <v>2</v>
      </c>
      <c r="F36" s="1517">
        <f t="shared" si="7"/>
        <v>0</v>
      </c>
      <c r="G36" s="1251">
        <f t="shared" si="8"/>
        <v>0</v>
      </c>
      <c r="H36" s="1240">
        <f t="shared" si="14"/>
        <v>0</v>
      </c>
      <c r="I36" s="1148"/>
      <c r="J36" s="383">
        <f t="shared" si="2"/>
        <v>0</v>
      </c>
      <c r="K36" s="712"/>
      <c r="L36" s="487">
        <f t="shared" si="9"/>
        <v>0</v>
      </c>
      <c r="M36" s="927"/>
      <c r="N36" s="672">
        <v>0</v>
      </c>
      <c r="O36" s="660"/>
      <c r="P36" s="1092">
        <f t="shared" si="10"/>
        <v>0</v>
      </c>
      <c r="Q36" s="1093">
        <v>0</v>
      </c>
      <c r="R36" s="381">
        <f t="shared" si="22"/>
        <v>0</v>
      </c>
      <c r="S36" s="382"/>
      <c r="T36" s="381"/>
      <c r="U36" s="624"/>
      <c r="V36" s="569">
        <f t="shared" si="11"/>
        <v>0</v>
      </c>
      <c r="W36" s="607"/>
      <c r="X36" s="383"/>
      <c r="Y36" s="607"/>
      <c r="Z36" s="383"/>
      <c r="AA36" s="607"/>
      <c r="AB36" s="718"/>
      <c r="AC36" s="335"/>
      <c r="AD36" s="383">
        <f>SUMIF('Asesorías AG anterior'!$B$7:$B$239,B36,'Asesorías AG anterior'!$I$7:$I$239)</f>
        <v>1E-3</v>
      </c>
      <c r="AE36" s="383">
        <f>SUMIF('Asesorías AG anterior'!$B$7:$B$239,B36,'Asesorías AG anterior'!$J$7:$J$239)</f>
        <v>0</v>
      </c>
      <c r="AF36" s="383">
        <f>SUMIF('Asesorías AG anterior'!$B$7:$B$239,B36,'Asesorías AG anterior'!$K$7:$K$239)</f>
        <v>1E-3</v>
      </c>
      <c r="AG36" s="383">
        <f>SUMIF('Asesorías AG anterior'!$B$7:$B$239,B36,'Asesorías AG anterior'!$L$7:$L$239)</f>
        <v>0</v>
      </c>
      <c r="AH36" s="383">
        <f>SUMIF('Asesorías AG anterior'!$B$7:$B$239,B36,'Asesorías AG anterior'!$M$7:$M$239)</f>
        <v>0</v>
      </c>
      <c r="AI36" s="383">
        <f>SUMIF('Asesorías AG anterior'!$B$7:$B$239,B36,'Asesorías AG anterior'!$N$7:$N$239)</f>
        <v>0</v>
      </c>
      <c r="AJ36" s="383">
        <f>SUMIF('Asesorías AG anterior'!$B$7:$B$239,B36,'Asesorías AG anterior'!$O$7:$O$239)</f>
        <v>1E-3</v>
      </c>
      <c r="AK36" s="383">
        <f>SUMIF('Asesorías AG anterior'!$B$7:$B$239,B36,'Asesorías AG anterior'!$P$7:$P$239)</f>
        <v>0</v>
      </c>
      <c r="AL36" s="383">
        <f>SUMIF('Asesorías AG anterior'!$B$7:$B$239,B36,'Asesorías AG anterior'!$Q$7:$Q$239)</f>
        <v>0</v>
      </c>
      <c r="AM36" s="383">
        <f>SUMIF('Asesorías AG anterior'!$B$7:$B$239,B36,'Asesorías AG anterior'!$R$7:$R$239)</f>
        <v>0</v>
      </c>
      <c r="AN36" s="383"/>
      <c r="AO36" s="383">
        <f>SUMIF('Asesorías AG anterior'!$B$7:$B$239,B36,'Asesorías AG anterior'!$T$7:$T$239)</f>
        <v>0</v>
      </c>
      <c r="AP36" s="383">
        <f>SUMIF('Asesorías AG anterior'!$B$7:$B$239,B36,'Asesorías AG anterior'!$U$7:$U$239)</f>
        <v>0</v>
      </c>
      <c r="AQ36" s="383">
        <f>SUMIF('Asesorías AG anterior'!$B$7:$B$239,B36,'Asesorías AG anterior'!$V$7:$V$239)</f>
        <v>0</v>
      </c>
      <c r="AR36" s="383">
        <f>SUMIF('Asesorías AG anterior'!$B$7:$B$239,B36,'Asesorías AG anterior'!$W$7:$W$239)</f>
        <v>0</v>
      </c>
      <c r="AS36" s="383">
        <f>SUMIF('Asesorías AG anterior'!$B$7:$B$239,B36,'Asesorías AG anterior'!$X$7:$X$239)</f>
        <v>0</v>
      </c>
      <c r="AT36" s="383">
        <f>SUMIF('Asesorías AG anterior'!$B$7:$B$239,B36,'Asesorías AG anterior'!$Y$7:$Y$239)</f>
        <v>0</v>
      </c>
      <c r="AU36" s="383">
        <f>SUMIF('Asesorías AG anterior'!$B$7:$B$239,B36,'Asesorías AG anterior'!$Z$7:$Z$239)</f>
        <v>0</v>
      </c>
      <c r="AV36" s="383">
        <f>SUMIF('Asesorías AG anterior'!$B$7:$B$239,B36,'Asesorías AG anterior'!$AA$7:$AA$239)</f>
        <v>0</v>
      </c>
      <c r="AW36" s="383">
        <f>SUMIF('Asesorías AG anterior'!$B$7:$B$239,B36,'Asesorías AG anterior'!$AB$7:$AB$239)</f>
        <v>0</v>
      </c>
      <c r="AX36" s="335"/>
      <c r="AZ36" s="1097" t="s">
        <v>25</v>
      </c>
    </row>
    <row r="37" spans="1:52" x14ac:dyDescent="0.2">
      <c r="A37" s="1184">
        <f t="shared" si="12"/>
        <v>31</v>
      </c>
      <c r="B37" s="1097" t="s">
        <v>28</v>
      </c>
      <c r="C37" s="1185">
        <f>_xlfn.XLOOKUP(B37,Códigos!$B$8:$B$406,Códigos!$A$8:$A$406,"Verificar",0)</f>
        <v>69</v>
      </c>
      <c r="D37" s="1114">
        <f>_xlfn.XLOOKUP(B37,'Consolidado Cobros'!$B$10:$B$312,'Consolidado Cobros'!$C$10:$C$312,"Verificar",0)</f>
        <v>21374070</v>
      </c>
      <c r="E37" s="1520">
        <f t="shared" si="6"/>
        <v>7</v>
      </c>
      <c r="F37" s="1517">
        <f t="shared" si="7"/>
        <v>0</v>
      </c>
      <c r="G37" s="1251">
        <f t="shared" si="8"/>
        <v>0</v>
      </c>
      <c r="H37" s="1240">
        <f t="shared" si="14"/>
        <v>0</v>
      </c>
      <c r="I37" s="1148"/>
      <c r="J37" s="383">
        <f t="shared" si="2"/>
        <v>0</v>
      </c>
      <c r="K37" s="712"/>
      <c r="L37" s="487">
        <f t="shared" si="9"/>
        <v>0</v>
      </c>
      <c r="M37" s="927"/>
      <c r="N37" s="672">
        <v>0</v>
      </c>
      <c r="O37" s="660"/>
      <c r="P37" s="1092">
        <f t="shared" si="10"/>
        <v>0</v>
      </c>
      <c r="Q37" s="1093">
        <v>0</v>
      </c>
      <c r="R37" s="381">
        <f t="shared" si="22"/>
        <v>0</v>
      </c>
      <c r="S37" s="382"/>
      <c r="T37" s="381"/>
      <c r="U37" s="624"/>
      <c r="V37" s="569">
        <f t="shared" si="11"/>
        <v>0</v>
      </c>
      <c r="W37" s="607"/>
      <c r="X37" s="383"/>
      <c r="Y37" s="607"/>
      <c r="Z37" s="383"/>
      <c r="AA37" s="607"/>
      <c r="AB37" s="718"/>
      <c r="AC37" s="335"/>
      <c r="AD37" s="383">
        <f>SUMIF('Asesorías AG anterior'!$B$7:$B$239,B37,'Asesorías AG anterior'!$I$7:$I$239)</f>
        <v>1E-3</v>
      </c>
      <c r="AE37" s="383">
        <f>SUMIF('Asesorías AG anterior'!$B$7:$B$239,B37,'Asesorías AG anterior'!$J$7:$J$239)</f>
        <v>0</v>
      </c>
      <c r="AF37" s="383">
        <f>SUMIF('Asesorías AG anterior'!$B$7:$B$239,B37,'Asesorías AG anterior'!$K$7:$K$239)</f>
        <v>1E-3</v>
      </c>
      <c r="AG37" s="383">
        <f>SUMIF('Asesorías AG anterior'!$B$7:$B$239,B37,'Asesorías AG anterior'!$L$7:$L$239)</f>
        <v>0</v>
      </c>
      <c r="AH37" s="383">
        <f>SUMIF('Asesorías AG anterior'!$B$7:$B$239,B37,'Asesorías AG anterior'!$M$7:$M$239)</f>
        <v>0</v>
      </c>
      <c r="AI37" s="383">
        <f>SUMIF('Asesorías AG anterior'!$B$7:$B$239,B37,'Asesorías AG anterior'!$N$7:$N$239)</f>
        <v>0</v>
      </c>
      <c r="AJ37" s="383">
        <f>SUMIF('Asesorías AG anterior'!$B$7:$B$239,B37,'Asesorías AG anterior'!$O$7:$O$239)</f>
        <v>1E-3</v>
      </c>
      <c r="AK37" s="383">
        <f>SUMIF('Asesorías AG anterior'!$B$7:$B$239,B37,'Asesorías AG anterior'!$P$7:$P$239)</f>
        <v>0</v>
      </c>
      <c r="AL37" s="383">
        <f>SUMIF('Asesorías AG anterior'!$B$7:$B$239,B37,'Asesorías AG anterior'!$Q$7:$Q$239)</f>
        <v>0</v>
      </c>
      <c r="AM37" s="383">
        <f>SUMIF('Asesorías AG anterior'!$B$7:$B$239,B37,'Asesorías AG anterior'!$R$7:$R$239)</f>
        <v>0</v>
      </c>
      <c r="AN37" s="383"/>
      <c r="AO37" s="383">
        <f>SUMIF('Asesorías AG anterior'!$B$7:$B$239,B37,'Asesorías AG anterior'!$T$7:$T$239)</f>
        <v>0</v>
      </c>
      <c r="AP37" s="383">
        <f>SUMIF('Asesorías AG anterior'!$B$7:$B$239,B37,'Asesorías AG anterior'!$U$7:$U$239)</f>
        <v>0</v>
      </c>
      <c r="AQ37" s="383">
        <f>SUMIF('Asesorías AG anterior'!$B$7:$B$239,B37,'Asesorías AG anterior'!$V$7:$V$239)</f>
        <v>0</v>
      </c>
      <c r="AR37" s="383">
        <f>SUMIF('Asesorías AG anterior'!$B$7:$B$239,B37,'Asesorías AG anterior'!$W$7:$W$239)</f>
        <v>0</v>
      </c>
      <c r="AS37" s="383">
        <f>SUMIF('Asesorías AG anterior'!$B$7:$B$239,B37,'Asesorías AG anterior'!$X$7:$X$239)</f>
        <v>0</v>
      </c>
      <c r="AT37" s="383">
        <f>SUMIF('Asesorías AG anterior'!$B$7:$B$239,B37,'Asesorías AG anterior'!$Y$7:$Y$239)</f>
        <v>0</v>
      </c>
      <c r="AU37" s="383">
        <f>SUMIF('Asesorías AG anterior'!$B$7:$B$239,B37,'Asesorías AG anterior'!$Z$7:$Z$239)</f>
        <v>0</v>
      </c>
      <c r="AV37" s="383">
        <f>SUMIF('Asesorías AG anterior'!$B$7:$B$239,B37,'Asesorías AG anterior'!$AA$7:$AA$239)</f>
        <v>0</v>
      </c>
      <c r="AW37" s="383">
        <f>SUMIF('Asesorías AG anterior'!$B$7:$B$239,B37,'Asesorías AG anterior'!$AB$7:$AB$239)</f>
        <v>0</v>
      </c>
      <c r="AX37" s="335"/>
      <c r="AZ37" s="1097" t="s">
        <v>28</v>
      </c>
    </row>
    <row r="38" spans="1:52" x14ac:dyDescent="0.2">
      <c r="A38" s="1184">
        <f t="shared" si="12"/>
        <v>32</v>
      </c>
      <c r="B38" s="1097" t="s">
        <v>30</v>
      </c>
      <c r="C38" s="1185">
        <f>_xlfn.XLOOKUP(B38,Códigos!$B$8:$B$406,Códigos!$A$8:$A$406,"Verificar",0)</f>
        <v>71</v>
      </c>
      <c r="D38" s="1114">
        <f>_xlfn.XLOOKUP(B38,'Consolidado Cobros'!$B$10:$B$312,'Consolidado Cobros'!$C$10:$C$312,"Verificar",0)</f>
        <v>71688257</v>
      </c>
      <c r="E38" s="1520">
        <f t="shared" si="6"/>
        <v>7</v>
      </c>
      <c r="F38" s="1517">
        <f t="shared" si="7"/>
        <v>70000</v>
      </c>
      <c r="G38" s="1251">
        <f t="shared" si="8"/>
        <v>0</v>
      </c>
      <c r="H38" s="1240">
        <f t="shared" si="14"/>
        <v>70000</v>
      </c>
      <c r="I38" s="1148"/>
      <c r="J38" s="383">
        <f t="shared" si="2"/>
        <v>0</v>
      </c>
      <c r="K38" s="712"/>
      <c r="L38" s="487">
        <f t="shared" si="9"/>
        <v>0</v>
      </c>
      <c r="M38" s="927"/>
      <c r="N38" s="672">
        <v>0</v>
      </c>
      <c r="O38" s="660" t="s">
        <v>318</v>
      </c>
      <c r="P38" s="1092">
        <f t="shared" si="10"/>
        <v>70000</v>
      </c>
      <c r="Q38" s="1093">
        <v>0</v>
      </c>
      <c r="R38" s="381">
        <f t="shared" si="22"/>
        <v>70000</v>
      </c>
      <c r="S38" s="382"/>
      <c r="T38" s="381"/>
      <c r="U38" s="624"/>
      <c r="V38" s="569">
        <f t="shared" si="11"/>
        <v>0</v>
      </c>
      <c r="W38" s="607"/>
      <c r="X38" s="383"/>
      <c r="Y38" s="607"/>
      <c r="Z38" s="383"/>
      <c r="AA38" s="607"/>
      <c r="AB38" s="718"/>
      <c r="AC38" s="335"/>
      <c r="AD38" s="383">
        <f>SUMIF('Asesorías AG anterior'!$B$7:$B$239,B38,'Asesorías AG anterior'!$I$7:$I$239)</f>
        <v>1E-3</v>
      </c>
      <c r="AE38" s="383">
        <f>SUMIF('Asesorías AG anterior'!$B$7:$B$239,B38,'Asesorías AG anterior'!$J$7:$J$239)</f>
        <v>0</v>
      </c>
      <c r="AF38" s="383">
        <f>SUMIF('Asesorías AG anterior'!$B$7:$B$239,B38,'Asesorías AG anterior'!$K$7:$K$239)</f>
        <v>1E-3</v>
      </c>
      <c r="AG38" s="383">
        <f>SUMIF('Asesorías AG anterior'!$B$7:$B$239,B38,'Asesorías AG anterior'!$L$7:$L$239)</f>
        <v>0</v>
      </c>
      <c r="AH38" s="383">
        <f>SUMIF('Asesorías AG anterior'!$B$7:$B$239,B38,'Asesorías AG anterior'!$M$7:$M$239)</f>
        <v>0</v>
      </c>
      <c r="AI38" s="383">
        <f>SUMIF('Asesorías AG anterior'!$B$7:$B$239,B38,'Asesorías AG anterior'!$N$7:$N$239)</f>
        <v>0</v>
      </c>
      <c r="AJ38" s="383">
        <f>SUMIF('Asesorías AG anterior'!$B$7:$B$239,B38,'Asesorías AG anterior'!$O$7:$O$239)</f>
        <v>0</v>
      </c>
      <c r="AK38" s="383">
        <f>SUMIF('Asesorías AG anterior'!$B$7:$B$239,B38,'Asesorías AG anterior'!$P$7:$P$239)</f>
        <v>70000</v>
      </c>
      <c r="AL38" s="383">
        <f>SUMIF('Asesorías AG anterior'!$B$7:$B$239,B38,'Asesorías AG anterior'!$Q$7:$Q$239)</f>
        <v>0</v>
      </c>
      <c r="AM38" s="383">
        <f>SUMIF('Asesorías AG anterior'!$B$7:$B$239,B38,'Asesorías AG anterior'!$R$7:$R$239)</f>
        <v>0</v>
      </c>
      <c r="AN38" s="383"/>
      <c r="AO38" s="383">
        <f>SUMIF('Asesorías AG anterior'!$B$7:$B$239,B38,'Asesorías AG anterior'!$T$7:$T$239)</f>
        <v>0</v>
      </c>
      <c r="AP38" s="383">
        <f>SUMIF('Asesorías AG anterior'!$B$7:$B$239,B38,'Asesorías AG anterior'!$U$7:$U$239)</f>
        <v>0</v>
      </c>
      <c r="AQ38" s="383">
        <f>SUMIF('Asesorías AG anterior'!$B$7:$B$239,B38,'Asesorías AG anterior'!$V$7:$V$239)</f>
        <v>0</v>
      </c>
      <c r="AR38" s="383">
        <f>SUMIF('Asesorías AG anterior'!$B$7:$B$239,B38,'Asesorías AG anterior'!$W$7:$W$239)</f>
        <v>0</v>
      </c>
      <c r="AS38" s="383">
        <f>SUMIF('Asesorías AG anterior'!$B$7:$B$239,B38,'Asesorías AG anterior'!$X$7:$X$239)</f>
        <v>0</v>
      </c>
      <c r="AT38" s="383">
        <f>SUMIF('Asesorías AG anterior'!$B$7:$B$239,B38,'Asesorías AG anterior'!$Y$7:$Y$239)</f>
        <v>0</v>
      </c>
      <c r="AU38" s="383">
        <f>SUMIF('Asesorías AG anterior'!$B$7:$B$239,B38,'Asesorías AG anterior'!$Z$7:$Z$239)</f>
        <v>0</v>
      </c>
      <c r="AV38" s="383">
        <f>SUMIF('Asesorías AG anterior'!$B$7:$B$239,B38,'Asesorías AG anterior'!$AA$7:$AA$239)</f>
        <v>0</v>
      </c>
      <c r="AW38" s="383">
        <f>SUMIF('Asesorías AG anterior'!$B$7:$B$239,B38,'Asesorías AG anterior'!$AB$7:$AB$239)</f>
        <v>0</v>
      </c>
      <c r="AX38" s="335"/>
      <c r="AZ38" s="1097" t="s">
        <v>30</v>
      </c>
    </row>
    <row r="39" spans="1:52" x14ac:dyDescent="0.2">
      <c r="A39" s="1184">
        <f t="shared" si="12"/>
        <v>33</v>
      </c>
      <c r="B39" s="1097" t="s">
        <v>31</v>
      </c>
      <c r="C39" s="1185">
        <f>_xlfn.XLOOKUP(B39,Códigos!$B$8:$B$406,Códigos!$A$8:$A$406,"Verificar",0)</f>
        <v>72</v>
      </c>
      <c r="D39" s="1114">
        <f>_xlfn.XLOOKUP(B39,'Consolidado Cobros'!$B$10:$B$312,'Consolidado Cobros'!$C$10:$C$312,"Verificar",0)</f>
        <v>43584680</v>
      </c>
      <c r="E39" s="1520">
        <f t="shared" si="6"/>
        <v>0</v>
      </c>
      <c r="F39" s="1517">
        <f t="shared" si="7"/>
        <v>0</v>
      </c>
      <c r="G39" s="1251">
        <f t="shared" si="8"/>
        <v>0</v>
      </c>
      <c r="H39" s="1240">
        <f t="shared" si="14"/>
        <v>0</v>
      </c>
      <c r="I39" s="1148"/>
      <c r="J39" s="383">
        <f t="shared" si="2"/>
        <v>0</v>
      </c>
      <c r="K39" s="712"/>
      <c r="L39" s="487">
        <f t="shared" si="9"/>
        <v>0</v>
      </c>
      <c r="M39" s="927"/>
      <c r="N39" s="672">
        <v>0</v>
      </c>
      <c r="O39" s="660"/>
      <c r="P39" s="1092">
        <f t="shared" si="10"/>
        <v>0</v>
      </c>
      <c r="Q39" s="1093">
        <v>0</v>
      </c>
      <c r="R39" s="381">
        <f t="shared" si="22"/>
        <v>0</v>
      </c>
      <c r="S39" s="382"/>
      <c r="T39" s="381"/>
      <c r="U39" s="624"/>
      <c r="V39" s="569">
        <f t="shared" si="11"/>
        <v>0</v>
      </c>
      <c r="W39" s="607"/>
      <c r="X39" s="383"/>
      <c r="Y39" s="607"/>
      <c r="Z39" s="383"/>
      <c r="AA39" s="607"/>
      <c r="AB39" s="718"/>
      <c r="AC39" s="335"/>
      <c r="AD39" s="383">
        <f>SUMIF('Asesorías AG anterior'!$B$7:$B$239,B39,'Asesorías AG anterior'!$I$7:$I$239)</f>
        <v>1E-3</v>
      </c>
      <c r="AE39" s="383">
        <f>SUMIF('Asesorías AG anterior'!$B$7:$B$239,B39,'Asesorías AG anterior'!$J$7:$J$239)</f>
        <v>0</v>
      </c>
      <c r="AF39" s="383">
        <f>SUMIF('Asesorías AG anterior'!$B$7:$B$239,B39,'Asesorías AG anterior'!$K$7:$K$239)</f>
        <v>1E-3</v>
      </c>
      <c r="AG39" s="383">
        <f>SUMIF('Asesorías AG anterior'!$B$7:$B$239,B39,'Asesorías AG anterior'!$L$7:$L$239)</f>
        <v>0</v>
      </c>
      <c r="AH39" s="383">
        <f>SUMIF('Asesorías AG anterior'!$B$7:$B$239,B39,'Asesorías AG anterior'!$M$7:$M$239)</f>
        <v>0</v>
      </c>
      <c r="AI39" s="383">
        <f>SUMIF('Asesorías AG anterior'!$B$7:$B$239,B39,'Asesorías AG anterior'!$N$7:$N$239)</f>
        <v>0</v>
      </c>
      <c r="AJ39" s="383">
        <f>SUMIF('Asesorías AG anterior'!$B$7:$B$239,B39,'Asesorías AG anterior'!$O$7:$O$239)</f>
        <v>1E-3</v>
      </c>
      <c r="AK39" s="383">
        <f>SUMIF('Asesorías AG anterior'!$B$7:$B$239,B39,'Asesorías AG anterior'!$P$7:$P$239)</f>
        <v>0</v>
      </c>
      <c r="AL39" s="383">
        <f>SUMIF('Asesorías AG anterior'!$B$7:$B$239,B39,'Asesorías AG anterior'!$Q$7:$Q$239)</f>
        <v>0</v>
      </c>
      <c r="AM39" s="383">
        <f>SUMIF('Asesorías AG anterior'!$B$7:$B$239,B39,'Asesorías AG anterior'!$R$7:$R$239)</f>
        <v>0</v>
      </c>
      <c r="AN39" s="383"/>
      <c r="AO39" s="383">
        <f>SUMIF('Asesorías AG anterior'!$B$7:$B$239,B39,'Asesorías AG anterior'!$T$7:$T$239)</f>
        <v>0</v>
      </c>
      <c r="AP39" s="383">
        <f>SUMIF('Asesorías AG anterior'!$B$7:$B$239,B39,'Asesorías AG anterior'!$U$7:$U$239)</f>
        <v>0</v>
      </c>
      <c r="AQ39" s="383">
        <f>SUMIF('Asesorías AG anterior'!$B$7:$B$239,B39,'Asesorías AG anterior'!$V$7:$V$239)</f>
        <v>0</v>
      </c>
      <c r="AR39" s="383">
        <f>SUMIF('Asesorías AG anterior'!$B$7:$B$239,B39,'Asesorías AG anterior'!$W$7:$W$239)</f>
        <v>0</v>
      </c>
      <c r="AS39" s="383">
        <f>SUMIF('Asesorías AG anterior'!$B$7:$B$239,B39,'Asesorías AG anterior'!$X$7:$X$239)</f>
        <v>0</v>
      </c>
      <c r="AT39" s="383">
        <f>SUMIF('Asesorías AG anterior'!$B$7:$B$239,B39,'Asesorías AG anterior'!$Y$7:$Y$239)</f>
        <v>0</v>
      </c>
      <c r="AU39" s="383">
        <f>SUMIF('Asesorías AG anterior'!$B$7:$B$239,B39,'Asesorías AG anterior'!$Z$7:$Z$239)</f>
        <v>0</v>
      </c>
      <c r="AV39" s="383">
        <f>SUMIF('Asesorías AG anterior'!$B$7:$B$239,B39,'Asesorías AG anterior'!$AA$7:$AA$239)</f>
        <v>0</v>
      </c>
      <c r="AW39" s="383">
        <f>SUMIF('Asesorías AG anterior'!$B$7:$B$239,B39,'Asesorías AG anterior'!$AB$7:$AB$239)</f>
        <v>0</v>
      </c>
      <c r="AX39" s="335"/>
      <c r="AZ39" s="1097" t="s">
        <v>31</v>
      </c>
    </row>
    <row r="40" spans="1:52" x14ac:dyDescent="0.2">
      <c r="A40" s="1184">
        <f t="shared" si="12"/>
        <v>34</v>
      </c>
      <c r="B40" s="1097" t="s">
        <v>32</v>
      </c>
      <c r="C40" s="1185">
        <f>_xlfn.XLOOKUP(B40,Códigos!$B$8:$B$406,Códigos!$A$8:$A$406,"Verificar",0)</f>
        <v>73</v>
      </c>
      <c r="D40" s="1114">
        <f>_xlfn.XLOOKUP(B40,'Consolidado Cobros'!$B$10:$B$312,'Consolidado Cobros'!$C$10:$C$312,"Verificar",0)</f>
        <v>71715157</v>
      </c>
      <c r="E40" s="1520">
        <f t="shared" si="6"/>
        <v>5</v>
      </c>
      <c r="F40" s="1517">
        <f t="shared" si="7"/>
        <v>0</v>
      </c>
      <c r="G40" s="1251">
        <f t="shared" si="8"/>
        <v>0</v>
      </c>
      <c r="H40" s="1240">
        <f t="shared" si="14"/>
        <v>0</v>
      </c>
      <c r="I40" s="1148"/>
      <c r="J40" s="383">
        <f t="shared" si="2"/>
        <v>0</v>
      </c>
      <c r="K40" s="712"/>
      <c r="L40" s="487">
        <f t="shared" si="9"/>
        <v>0</v>
      </c>
      <c r="M40" s="927"/>
      <c r="N40" s="672">
        <v>0</v>
      </c>
      <c r="O40" s="660"/>
      <c r="P40" s="1092">
        <f t="shared" si="10"/>
        <v>0</v>
      </c>
      <c r="Q40" s="1093">
        <v>0</v>
      </c>
      <c r="R40" s="381">
        <f t="shared" si="22"/>
        <v>0</v>
      </c>
      <c r="S40" s="382"/>
      <c r="T40" s="381"/>
      <c r="U40" s="624"/>
      <c r="V40" s="569">
        <f t="shared" si="11"/>
        <v>0</v>
      </c>
      <c r="W40" s="607"/>
      <c r="X40" s="383"/>
      <c r="Y40" s="607"/>
      <c r="Z40" s="383"/>
      <c r="AA40" s="607"/>
      <c r="AB40" s="718"/>
      <c r="AC40" s="335"/>
      <c r="AD40" s="383">
        <f>SUMIF('Asesorías AG anterior'!$B$7:$B$239,B40,'Asesorías AG anterior'!$I$7:$I$239)</f>
        <v>1E-3</v>
      </c>
      <c r="AE40" s="383">
        <f>SUMIF('Asesorías AG anterior'!$B$7:$B$239,B40,'Asesorías AG anterior'!$J$7:$J$239)</f>
        <v>0</v>
      </c>
      <c r="AF40" s="383">
        <f>SUMIF('Asesorías AG anterior'!$B$7:$B$239,B40,'Asesorías AG anterior'!$K$7:$K$239)</f>
        <v>1E-3</v>
      </c>
      <c r="AG40" s="383">
        <f>SUMIF('Asesorías AG anterior'!$B$7:$B$239,B40,'Asesorías AG anterior'!$L$7:$L$239)</f>
        <v>0</v>
      </c>
      <c r="AH40" s="383">
        <f>SUMIF('Asesorías AG anterior'!$B$7:$B$239,B40,'Asesorías AG anterior'!$M$7:$M$239)</f>
        <v>0</v>
      </c>
      <c r="AI40" s="383">
        <f>SUMIF('Asesorías AG anterior'!$B$7:$B$239,B40,'Asesorías AG anterior'!$N$7:$N$239)</f>
        <v>0</v>
      </c>
      <c r="AJ40" s="383">
        <f>SUMIF('Asesorías AG anterior'!$B$7:$B$239,B40,'Asesorías AG anterior'!$O$7:$O$239)</f>
        <v>1E-3</v>
      </c>
      <c r="AK40" s="383">
        <f>SUMIF('Asesorías AG anterior'!$B$7:$B$239,B40,'Asesorías AG anterior'!$P$7:$P$239)</f>
        <v>0</v>
      </c>
      <c r="AL40" s="383">
        <f>SUMIF('Asesorías AG anterior'!$B$7:$B$239,B40,'Asesorías AG anterior'!$Q$7:$Q$239)</f>
        <v>0</v>
      </c>
      <c r="AM40" s="383">
        <f>SUMIF('Asesorías AG anterior'!$B$7:$B$239,B40,'Asesorías AG anterior'!$R$7:$R$239)</f>
        <v>0</v>
      </c>
      <c r="AN40" s="383"/>
      <c r="AO40" s="383">
        <f>SUMIF('Asesorías AG anterior'!$B$7:$B$239,B40,'Asesorías AG anterior'!$T$7:$T$239)</f>
        <v>0</v>
      </c>
      <c r="AP40" s="383">
        <f>SUMIF('Asesorías AG anterior'!$B$7:$B$239,B40,'Asesorías AG anterior'!$U$7:$U$239)</f>
        <v>0</v>
      </c>
      <c r="AQ40" s="383">
        <f>SUMIF('Asesorías AG anterior'!$B$7:$B$239,B40,'Asesorías AG anterior'!$V$7:$V$239)</f>
        <v>0</v>
      </c>
      <c r="AR40" s="383">
        <f>SUMIF('Asesorías AG anterior'!$B$7:$B$239,B40,'Asesorías AG anterior'!$W$7:$W$239)</f>
        <v>0</v>
      </c>
      <c r="AS40" s="383">
        <f>SUMIF('Asesorías AG anterior'!$B$7:$B$239,B40,'Asesorías AG anterior'!$X$7:$X$239)</f>
        <v>0</v>
      </c>
      <c r="AT40" s="383">
        <f>SUMIF('Asesorías AG anterior'!$B$7:$B$239,B40,'Asesorías AG anterior'!$Y$7:$Y$239)</f>
        <v>0</v>
      </c>
      <c r="AU40" s="383">
        <f>SUMIF('Asesorías AG anterior'!$B$7:$B$239,B40,'Asesorías AG anterior'!$Z$7:$Z$239)</f>
        <v>0</v>
      </c>
      <c r="AV40" s="383">
        <f>SUMIF('Asesorías AG anterior'!$B$7:$B$239,B40,'Asesorías AG anterior'!$AA$7:$AA$239)</f>
        <v>0</v>
      </c>
      <c r="AW40" s="383">
        <f>SUMIF('Asesorías AG anterior'!$B$7:$B$239,B40,'Asesorías AG anterior'!$AB$7:$AB$239)</f>
        <v>0</v>
      </c>
      <c r="AX40" s="335"/>
      <c r="AZ40" s="1097" t="s">
        <v>32</v>
      </c>
    </row>
    <row r="41" spans="1:52" x14ac:dyDescent="0.2">
      <c r="A41" s="1184">
        <f t="shared" si="12"/>
        <v>35</v>
      </c>
      <c r="B41" s="1097" t="s">
        <v>357</v>
      </c>
      <c r="C41" s="1185">
        <f>_xlfn.XLOOKUP(B41,Códigos!$B$8:$B$406,Códigos!$A$8:$A$406,"Verificar",0)</f>
        <v>74</v>
      </c>
      <c r="D41" s="1114">
        <f>_xlfn.XLOOKUP(B41,'Consolidado Cobros'!$B$10:$B$312,'Consolidado Cobros'!$C$10:$C$312,"Verificar",0)</f>
        <v>8237268</v>
      </c>
      <c r="E41" s="1520">
        <f t="shared" si="6"/>
        <v>4</v>
      </c>
      <c r="F41" s="1517">
        <f t="shared" si="7"/>
        <v>256388.66474694616</v>
      </c>
      <c r="G41" s="1251">
        <f t="shared" si="8"/>
        <v>0</v>
      </c>
      <c r="H41" s="1240">
        <f t="shared" si="14"/>
        <v>256388.66474694616</v>
      </c>
      <c r="I41" s="1148">
        <v>3</v>
      </c>
      <c r="J41" s="383">
        <f t="shared" si="2"/>
        <v>256388.66474694616</v>
      </c>
      <c r="K41" s="712"/>
      <c r="L41" s="487">
        <f t="shared" si="9"/>
        <v>0</v>
      </c>
      <c r="M41" s="927"/>
      <c r="N41" s="672">
        <v>0</v>
      </c>
      <c r="O41" s="660"/>
      <c r="P41" s="1092">
        <f t="shared" si="10"/>
        <v>0</v>
      </c>
      <c r="Q41" s="1093">
        <v>0</v>
      </c>
      <c r="R41" s="381">
        <f t="shared" si="22"/>
        <v>0</v>
      </c>
      <c r="S41" s="382"/>
      <c r="T41" s="381"/>
      <c r="U41" s="624"/>
      <c r="V41" s="569">
        <f t="shared" si="11"/>
        <v>0</v>
      </c>
      <c r="W41" s="607"/>
      <c r="X41" s="383"/>
      <c r="Y41" s="607"/>
      <c r="Z41" s="383"/>
      <c r="AA41" s="607"/>
      <c r="AB41" s="718"/>
      <c r="AC41" s="335"/>
      <c r="AD41" s="383">
        <f>SUMIF('Asesorías AG anterior'!$B$7:$B$239,B41,'Asesorías AG anterior'!$I$7:$I$239)</f>
        <v>3</v>
      </c>
      <c r="AE41" s="383">
        <f>SUMIF('Asesorías AG anterior'!$B$7:$B$239,B41,'Asesorías AG anterior'!$J$7:$J$239)</f>
        <v>243947.3499019469</v>
      </c>
      <c r="AF41" s="383">
        <f>SUMIF('Asesorías AG anterior'!$B$7:$B$239,B41,'Asesorías AG anterior'!$K$7:$K$239)</f>
        <v>1E-3</v>
      </c>
      <c r="AG41" s="383">
        <f>SUMIF('Asesorías AG anterior'!$B$7:$B$239,B41,'Asesorías AG anterior'!$L$7:$L$239)</f>
        <v>0</v>
      </c>
      <c r="AH41" s="383">
        <f>SUMIF('Asesorías AG anterior'!$B$7:$B$239,B41,'Asesorías AG anterior'!$M$7:$M$239)</f>
        <v>0</v>
      </c>
      <c r="AI41" s="383">
        <f>SUMIF('Asesorías AG anterior'!$B$7:$B$239,B41,'Asesorías AG anterior'!$N$7:$N$239)</f>
        <v>0</v>
      </c>
      <c r="AJ41" s="383">
        <f>SUMIF('Asesorías AG anterior'!$B$7:$B$239,B41,'Asesorías AG anterior'!$O$7:$O$239)</f>
        <v>1E-3</v>
      </c>
      <c r="AK41" s="383">
        <f>SUMIF('Asesorías AG anterior'!$B$7:$B$239,B41,'Asesorías AG anterior'!$P$7:$P$239)</f>
        <v>0</v>
      </c>
      <c r="AL41" s="383">
        <f>SUMIF('Asesorías AG anterior'!$B$7:$B$239,B41,'Asesorías AG anterior'!$Q$7:$Q$239)</f>
        <v>0</v>
      </c>
      <c r="AM41" s="383">
        <f>SUMIF('Asesorías AG anterior'!$B$7:$B$239,B41,'Asesorías AG anterior'!$R$7:$R$239)</f>
        <v>0</v>
      </c>
      <c r="AN41" s="383"/>
      <c r="AO41" s="383">
        <f>SUMIF('Asesorías AG anterior'!$B$7:$B$239,B41,'Asesorías AG anterior'!$T$7:$T$239)</f>
        <v>0</v>
      </c>
      <c r="AP41" s="383">
        <f>SUMIF('Asesorías AG anterior'!$B$7:$B$239,B41,'Asesorías AG anterior'!$U$7:$U$239)</f>
        <v>0</v>
      </c>
      <c r="AQ41" s="383">
        <f>SUMIF('Asesorías AG anterior'!$B$7:$B$239,B41,'Asesorías AG anterior'!$V$7:$V$239)</f>
        <v>0</v>
      </c>
      <c r="AR41" s="383">
        <f>SUMIF('Asesorías AG anterior'!$B$7:$B$239,B41,'Asesorías AG anterior'!$W$7:$W$239)</f>
        <v>0</v>
      </c>
      <c r="AS41" s="383">
        <f>SUMIF('Asesorías AG anterior'!$B$7:$B$239,B41,'Asesorías AG anterior'!$X$7:$X$239)</f>
        <v>0</v>
      </c>
      <c r="AT41" s="383">
        <f>SUMIF('Asesorías AG anterior'!$B$7:$B$239,B41,'Asesorías AG anterior'!$Y$7:$Y$239)</f>
        <v>0</v>
      </c>
      <c r="AU41" s="383">
        <f>SUMIF('Asesorías AG anterior'!$B$7:$B$239,B41,'Asesorías AG anterior'!$Z$7:$Z$239)</f>
        <v>0</v>
      </c>
      <c r="AV41" s="383">
        <f>SUMIF('Asesorías AG anterior'!$B$7:$B$239,B41,'Asesorías AG anterior'!$AA$7:$AA$239)</f>
        <v>0</v>
      </c>
      <c r="AW41" s="383">
        <f>SUMIF('Asesorías AG anterior'!$B$7:$B$239,B41,'Asesorías AG anterior'!$AB$7:$AB$239)</f>
        <v>0</v>
      </c>
      <c r="AX41" s="335"/>
      <c r="AZ41" s="1097" t="s">
        <v>357</v>
      </c>
    </row>
    <row r="42" spans="1:52" x14ac:dyDescent="0.2">
      <c r="A42" s="1184">
        <f t="shared" si="12"/>
        <v>36</v>
      </c>
      <c r="B42" s="1097" t="s">
        <v>33</v>
      </c>
      <c r="C42" s="1185">
        <f>_xlfn.XLOOKUP(B42,Códigos!$B$8:$B$406,Códigos!$A$8:$A$406,"Verificar",0)</f>
        <v>75</v>
      </c>
      <c r="D42" s="1114">
        <f>_xlfn.XLOOKUP(B42,'Consolidado Cobros'!$B$10:$B$312,'Consolidado Cobros'!$C$10:$C$312,"Verificar",0)</f>
        <v>21829209</v>
      </c>
      <c r="E42" s="1520">
        <f t="shared" si="6"/>
        <v>8</v>
      </c>
      <c r="F42" s="1517">
        <f t="shared" si="7"/>
        <v>0</v>
      </c>
      <c r="G42" s="1251">
        <f t="shared" si="8"/>
        <v>0</v>
      </c>
      <c r="H42" s="1240">
        <f t="shared" si="14"/>
        <v>0</v>
      </c>
      <c r="I42" s="1148"/>
      <c r="J42" s="383">
        <f t="shared" si="2"/>
        <v>0</v>
      </c>
      <c r="K42" s="712"/>
      <c r="L42" s="487">
        <f t="shared" si="9"/>
        <v>0</v>
      </c>
      <c r="M42" s="927"/>
      <c r="N42" s="672">
        <v>0</v>
      </c>
      <c r="O42" s="660"/>
      <c r="P42" s="1092">
        <f t="shared" si="10"/>
        <v>0</v>
      </c>
      <c r="Q42" s="1093">
        <v>0</v>
      </c>
      <c r="R42" s="381">
        <f t="shared" si="22"/>
        <v>0</v>
      </c>
      <c r="S42" s="382"/>
      <c r="T42" s="381"/>
      <c r="U42" s="624"/>
      <c r="V42" s="569">
        <f t="shared" si="11"/>
        <v>0</v>
      </c>
      <c r="W42" s="607"/>
      <c r="X42" s="383"/>
      <c r="Y42" s="607"/>
      <c r="Z42" s="383"/>
      <c r="AA42" s="607"/>
      <c r="AB42" s="718"/>
      <c r="AC42" s="335"/>
      <c r="AD42" s="383">
        <f>SUMIF('Asesorías AG anterior'!$B$7:$B$239,B42,'Asesorías AG anterior'!$I$7:$I$239)</f>
        <v>1E-3</v>
      </c>
      <c r="AE42" s="383">
        <f>SUMIF('Asesorías AG anterior'!$B$7:$B$239,B42,'Asesorías AG anterior'!$J$7:$J$239)</f>
        <v>0</v>
      </c>
      <c r="AF42" s="383">
        <f>SUMIF('Asesorías AG anterior'!$B$7:$B$239,B42,'Asesorías AG anterior'!$K$7:$K$239)</f>
        <v>1E-3</v>
      </c>
      <c r="AG42" s="383">
        <f>SUMIF('Asesorías AG anterior'!$B$7:$B$239,B42,'Asesorías AG anterior'!$L$7:$L$239)</f>
        <v>0</v>
      </c>
      <c r="AH42" s="383">
        <f>SUMIF('Asesorías AG anterior'!$B$7:$B$239,B42,'Asesorías AG anterior'!$M$7:$M$239)</f>
        <v>0</v>
      </c>
      <c r="AI42" s="383">
        <f>SUMIF('Asesorías AG anterior'!$B$7:$B$239,B42,'Asesorías AG anterior'!$N$7:$N$239)</f>
        <v>0</v>
      </c>
      <c r="AJ42" s="383">
        <f>SUMIF('Asesorías AG anterior'!$B$7:$B$239,B42,'Asesorías AG anterior'!$O$7:$O$239)</f>
        <v>1E-3</v>
      </c>
      <c r="AK42" s="383">
        <f>SUMIF('Asesorías AG anterior'!$B$7:$B$239,B42,'Asesorías AG anterior'!$P$7:$P$239)</f>
        <v>0</v>
      </c>
      <c r="AL42" s="383">
        <f>SUMIF('Asesorías AG anterior'!$B$7:$B$239,B42,'Asesorías AG anterior'!$Q$7:$Q$239)</f>
        <v>0</v>
      </c>
      <c r="AM42" s="383">
        <f>SUMIF('Asesorías AG anterior'!$B$7:$B$239,B42,'Asesorías AG anterior'!$R$7:$R$239)</f>
        <v>0</v>
      </c>
      <c r="AN42" s="383"/>
      <c r="AO42" s="383">
        <f>SUMIF('Asesorías AG anterior'!$B$7:$B$239,B42,'Asesorías AG anterior'!$T$7:$T$239)</f>
        <v>0</v>
      </c>
      <c r="AP42" s="383">
        <f>SUMIF('Asesorías AG anterior'!$B$7:$B$239,B42,'Asesorías AG anterior'!$U$7:$U$239)</f>
        <v>0</v>
      </c>
      <c r="AQ42" s="383">
        <f>SUMIF('Asesorías AG anterior'!$B$7:$B$239,B42,'Asesorías AG anterior'!$V$7:$V$239)</f>
        <v>0</v>
      </c>
      <c r="AR42" s="383">
        <f>SUMIF('Asesorías AG anterior'!$B$7:$B$239,B42,'Asesorías AG anterior'!$W$7:$W$239)</f>
        <v>0</v>
      </c>
      <c r="AS42" s="383">
        <f>SUMIF('Asesorías AG anterior'!$B$7:$B$239,B42,'Asesorías AG anterior'!$X$7:$X$239)</f>
        <v>0</v>
      </c>
      <c r="AT42" s="383">
        <f>SUMIF('Asesorías AG anterior'!$B$7:$B$239,B42,'Asesorías AG anterior'!$Y$7:$Y$239)</f>
        <v>0</v>
      </c>
      <c r="AU42" s="383">
        <f>SUMIF('Asesorías AG anterior'!$B$7:$B$239,B42,'Asesorías AG anterior'!$Z$7:$Z$239)</f>
        <v>0</v>
      </c>
      <c r="AV42" s="383">
        <f>SUMIF('Asesorías AG anterior'!$B$7:$B$239,B42,'Asesorías AG anterior'!$AA$7:$AA$239)</f>
        <v>0</v>
      </c>
      <c r="AW42" s="383">
        <f>SUMIF('Asesorías AG anterior'!$B$7:$B$239,B42,'Asesorías AG anterior'!$AB$7:$AB$239)</f>
        <v>0</v>
      </c>
      <c r="AX42" s="335"/>
      <c r="AZ42" s="1470" t="s">
        <v>33</v>
      </c>
    </row>
    <row r="43" spans="1:52" x14ac:dyDescent="0.2">
      <c r="A43" s="1184">
        <f t="shared" si="12"/>
        <v>37</v>
      </c>
      <c r="B43" s="1097" t="s">
        <v>35</v>
      </c>
      <c r="C43" s="1185">
        <f>_xlfn.XLOOKUP(B43,Códigos!$B$8:$B$406,Códigos!$A$8:$A$406,"Verificar",0)</f>
        <v>77</v>
      </c>
      <c r="D43" s="1114">
        <f>_xlfn.XLOOKUP(B43,'Consolidado Cobros'!$B$10:$B$312,'Consolidado Cobros'!$C$10:$C$312,"Verificar",0)</f>
        <v>43525573</v>
      </c>
      <c r="E43" s="1520">
        <f t="shared" si="6"/>
        <v>9</v>
      </c>
      <c r="F43" s="1517">
        <f t="shared" si="7"/>
        <v>0</v>
      </c>
      <c r="G43" s="1251">
        <f t="shared" si="8"/>
        <v>0</v>
      </c>
      <c r="H43" s="1240">
        <f t="shared" si="14"/>
        <v>0</v>
      </c>
      <c r="I43" s="1148"/>
      <c r="J43" s="383">
        <f t="shared" si="2"/>
        <v>0</v>
      </c>
      <c r="K43" s="712"/>
      <c r="L43" s="487">
        <f t="shared" si="9"/>
        <v>0</v>
      </c>
      <c r="M43" s="927"/>
      <c r="N43" s="672">
        <v>0</v>
      </c>
      <c r="O43" s="660"/>
      <c r="P43" s="1092">
        <f t="shared" si="10"/>
        <v>0</v>
      </c>
      <c r="Q43" s="1093">
        <v>0</v>
      </c>
      <c r="R43" s="381">
        <f t="shared" si="22"/>
        <v>0</v>
      </c>
      <c r="S43" s="382"/>
      <c r="T43" s="381"/>
      <c r="U43" s="624"/>
      <c r="V43" s="569">
        <f t="shared" si="11"/>
        <v>0</v>
      </c>
      <c r="W43" s="607"/>
      <c r="X43" s="383"/>
      <c r="Y43" s="607"/>
      <c r="Z43" s="383"/>
      <c r="AA43" s="607"/>
      <c r="AB43" s="718"/>
      <c r="AC43" s="335"/>
      <c r="AD43" s="383">
        <f>SUMIF('Asesorías AG anterior'!$B$7:$B$239,B43,'Asesorías AG anterior'!$I$7:$I$239)</f>
        <v>1E-3</v>
      </c>
      <c r="AE43" s="383">
        <f>SUMIF('Asesorías AG anterior'!$B$7:$B$239,B43,'Asesorías AG anterior'!$J$7:$J$239)</f>
        <v>0</v>
      </c>
      <c r="AF43" s="383">
        <f>SUMIF('Asesorías AG anterior'!$B$7:$B$239,B43,'Asesorías AG anterior'!$K$7:$K$239)</f>
        <v>1E-3</v>
      </c>
      <c r="AG43" s="383">
        <f>SUMIF('Asesorías AG anterior'!$B$7:$B$239,B43,'Asesorías AG anterior'!$L$7:$L$239)</f>
        <v>0</v>
      </c>
      <c r="AH43" s="383">
        <f>SUMIF('Asesorías AG anterior'!$B$7:$B$239,B43,'Asesorías AG anterior'!$M$7:$M$239)</f>
        <v>0</v>
      </c>
      <c r="AI43" s="383">
        <f>SUMIF('Asesorías AG anterior'!$B$7:$B$239,B43,'Asesorías AG anterior'!$N$7:$N$239)</f>
        <v>0</v>
      </c>
      <c r="AJ43" s="383">
        <f>SUMIF('Asesorías AG anterior'!$B$7:$B$239,B43,'Asesorías AG anterior'!$O$7:$O$239)</f>
        <v>1E-3</v>
      </c>
      <c r="AK43" s="383">
        <f>SUMIF('Asesorías AG anterior'!$B$7:$B$239,B43,'Asesorías AG anterior'!$P$7:$P$239)</f>
        <v>0</v>
      </c>
      <c r="AL43" s="383">
        <f>SUMIF('Asesorías AG anterior'!$B$7:$B$239,B43,'Asesorías AG anterior'!$Q$7:$Q$239)</f>
        <v>0</v>
      </c>
      <c r="AM43" s="383">
        <f>SUMIF('Asesorías AG anterior'!$B$7:$B$239,B43,'Asesorías AG anterior'!$R$7:$R$239)</f>
        <v>0</v>
      </c>
      <c r="AN43" s="383"/>
      <c r="AO43" s="383">
        <f>SUMIF('Asesorías AG anterior'!$B$7:$B$239,B43,'Asesorías AG anterior'!$T$7:$T$239)</f>
        <v>0</v>
      </c>
      <c r="AP43" s="383">
        <f>SUMIF('Asesorías AG anterior'!$B$7:$B$239,B43,'Asesorías AG anterior'!$U$7:$U$239)</f>
        <v>0</v>
      </c>
      <c r="AQ43" s="383">
        <f>SUMIF('Asesorías AG anterior'!$B$7:$B$239,B43,'Asesorías AG anterior'!$V$7:$V$239)</f>
        <v>0</v>
      </c>
      <c r="AR43" s="383">
        <f>SUMIF('Asesorías AG anterior'!$B$7:$B$239,B43,'Asesorías AG anterior'!$W$7:$W$239)</f>
        <v>0</v>
      </c>
      <c r="AS43" s="383">
        <f>SUMIF('Asesorías AG anterior'!$B$7:$B$239,B43,'Asesorías AG anterior'!$X$7:$X$239)</f>
        <v>0</v>
      </c>
      <c r="AT43" s="383">
        <f>SUMIF('Asesorías AG anterior'!$B$7:$B$239,B43,'Asesorías AG anterior'!$Y$7:$Y$239)</f>
        <v>0</v>
      </c>
      <c r="AU43" s="383">
        <f>SUMIF('Asesorías AG anterior'!$B$7:$B$239,B43,'Asesorías AG anterior'!$Z$7:$Z$239)</f>
        <v>0</v>
      </c>
      <c r="AV43" s="383">
        <f>SUMIF('Asesorías AG anterior'!$B$7:$B$239,B43,'Asesorías AG anterior'!$AA$7:$AA$239)</f>
        <v>0</v>
      </c>
      <c r="AW43" s="383">
        <f>SUMIF('Asesorías AG anterior'!$B$7:$B$239,B43,'Asesorías AG anterior'!$AB$7:$AB$239)</f>
        <v>0</v>
      </c>
      <c r="AX43" s="335"/>
      <c r="AZ43" s="1097" t="s">
        <v>35</v>
      </c>
    </row>
    <row r="44" spans="1:52" x14ac:dyDescent="0.2">
      <c r="A44" s="1184">
        <f t="shared" si="12"/>
        <v>38</v>
      </c>
      <c r="B44" s="1137" t="s">
        <v>673</v>
      </c>
      <c r="C44" s="1185">
        <f>_xlfn.XLOOKUP(B44,Códigos!$B$8:$B$406,Códigos!$A$8:$A$406,"Verificar",0)</f>
        <v>8</v>
      </c>
      <c r="D44" s="1114">
        <f>_xlfn.XLOOKUP(B44,'Consolidado Cobros'!$B$10:$B$312,'Consolidado Cobros'!$C$10:$C$312,"Verificar",0)</f>
        <v>811028472</v>
      </c>
      <c r="E44" s="1520">
        <f t="shared" si="6"/>
        <v>7</v>
      </c>
      <c r="F44" s="1517">
        <f t="shared" si="7"/>
        <v>0</v>
      </c>
      <c r="G44" s="1251">
        <f t="shared" si="8"/>
        <v>0</v>
      </c>
      <c r="H44" s="1240">
        <f t="shared" si="14"/>
        <v>0</v>
      </c>
      <c r="I44" s="1148">
        <v>3</v>
      </c>
      <c r="J44" s="383">
        <f t="shared" si="2"/>
        <v>0</v>
      </c>
      <c r="K44" s="712">
        <v>12</v>
      </c>
      <c r="L44" s="487">
        <f t="shared" si="9"/>
        <v>0</v>
      </c>
      <c r="M44" s="927"/>
      <c r="N44" s="672">
        <v>0</v>
      </c>
      <c r="O44" s="660"/>
      <c r="P44" s="1092">
        <f t="shared" si="10"/>
        <v>0</v>
      </c>
      <c r="Q44" s="1093">
        <v>0</v>
      </c>
      <c r="R44" s="381">
        <f t="shared" si="22"/>
        <v>0</v>
      </c>
      <c r="S44" s="382"/>
      <c r="T44" s="381"/>
      <c r="U44" s="624"/>
      <c r="V44" s="569">
        <f t="shared" si="11"/>
        <v>0</v>
      </c>
      <c r="W44" s="607"/>
      <c r="X44" s="383"/>
      <c r="Y44" s="607"/>
      <c r="Z44" s="383"/>
      <c r="AA44" s="607"/>
      <c r="AB44" s="718"/>
      <c r="AC44" s="335"/>
      <c r="AD44" s="383">
        <f>SUMIF('Asesorías AG anterior'!$B$7:$B$239,B44,'Asesorías AG anterior'!$I$7:$I$239)</f>
        <v>1E-3</v>
      </c>
      <c r="AE44" s="383">
        <f>SUMIF('Asesorías AG anterior'!$B$7:$B$239,B44,'Asesorías AG anterior'!$J$7:$J$239)</f>
        <v>0</v>
      </c>
      <c r="AF44" s="383">
        <f>SUMIF('Asesorías AG anterior'!$B$7:$B$239,B44,'Asesorías AG anterior'!$K$7:$K$239)</f>
        <v>1E-3</v>
      </c>
      <c r="AG44" s="383">
        <f>SUMIF('Asesorías AG anterior'!$B$7:$B$239,B44,'Asesorías AG anterior'!$L$7:$L$239)</f>
        <v>0</v>
      </c>
      <c r="AH44" s="383">
        <f>SUMIF('Asesorías AG anterior'!$B$7:$B$239,B44,'Asesorías AG anterior'!$M$7:$M$239)</f>
        <v>0</v>
      </c>
      <c r="AI44" s="383">
        <f>SUMIF('Asesorías AG anterior'!$B$7:$B$239,B44,'Asesorías AG anterior'!$N$7:$N$239)</f>
        <v>0</v>
      </c>
      <c r="AJ44" s="383">
        <f>SUMIF('Asesorías AG anterior'!$B$7:$B$239,B44,'Asesorías AG anterior'!$O$7:$O$239)</f>
        <v>1E-3</v>
      </c>
      <c r="AK44" s="383">
        <f>SUMIF('Asesorías AG anterior'!$B$7:$B$239,B44,'Asesorías AG anterior'!$P$7:$P$239)</f>
        <v>0</v>
      </c>
      <c r="AL44" s="383">
        <f>SUMIF('Asesorías AG anterior'!$B$7:$B$239,B44,'Asesorías AG anterior'!$Q$7:$Q$239)</f>
        <v>0</v>
      </c>
      <c r="AM44" s="383">
        <f>SUMIF('Asesorías AG anterior'!$B$7:$B$239,B44,'Asesorías AG anterior'!$R$7:$R$239)</f>
        <v>0</v>
      </c>
      <c r="AN44" s="383"/>
      <c r="AO44" s="383">
        <f>SUMIF('Asesorías AG anterior'!$B$7:$B$239,B44,'Asesorías AG anterior'!$T$7:$T$239)</f>
        <v>0</v>
      </c>
      <c r="AP44" s="383">
        <f>SUMIF('Asesorías AG anterior'!$B$7:$B$239,B44,'Asesorías AG anterior'!$U$7:$U$239)</f>
        <v>0</v>
      </c>
      <c r="AQ44" s="383">
        <f>SUMIF('Asesorías AG anterior'!$B$7:$B$239,B44,'Asesorías AG anterior'!$V$7:$V$239)</f>
        <v>0</v>
      </c>
      <c r="AR44" s="383">
        <f>SUMIF('Asesorías AG anterior'!$B$7:$B$239,B44,'Asesorías AG anterior'!$W$7:$W$239)</f>
        <v>0</v>
      </c>
      <c r="AS44" s="383">
        <f>SUMIF('Asesorías AG anterior'!$B$7:$B$239,B44,'Asesorías AG anterior'!$X$7:$X$239)</f>
        <v>0</v>
      </c>
      <c r="AT44" s="383">
        <f>SUMIF('Asesorías AG anterior'!$B$7:$B$239,B44,'Asesorías AG anterior'!$Y$7:$Y$239)</f>
        <v>0</v>
      </c>
      <c r="AU44" s="383">
        <f>SUMIF('Asesorías AG anterior'!$B$7:$B$239,B44,'Asesorías AG anterior'!$Z$7:$Z$239)</f>
        <v>0</v>
      </c>
      <c r="AV44" s="383">
        <f>SUMIF('Asesorías AG anterior'!$B$7:$B$239,B44,'Asesorías AG anterior'!$AA$7:$AA$239)</f>
        <v>0</v>
      </c>
      <c r="AW44" s="383">
        <f>SUMIF('Asesorías AG anterior'!$B$7:$B$239,B44,'Asesorías AG anterior'!$AB$7:$AB$239)</f>
        <v>0</v>
      </c>
      <c r="AX44" s="335"/>
      <c r="AZ44" s="1137" t="s">
        <v>673</v>
      </c>
    </row>
    <row r="45" spans="1:52" x14ac:dyDescent="0.2">
      <c r="A45" s="1184">
        <f t="shared" si="12"/>
        <v>39</v>
      </c>
      <c r="B45" s="1137" t="s">
        <v>317</v>
      </c>
      <c r="C45" s="1185">
        <f>_xlfn.XLOOKUP(B45,Códigos!$B$8:$B$406,Códigos!$A$8:$A$406,"Verificar",0)</f>
        <v>9</v>
      </c>
      <c r="D45" s="1114">
        <f>_xlfn.XLOOKUP(B45,'Consolidado Cobros'!$B$10:$B$312,'Consolidado Cobros'!$C$10:$C$312,"Verificar",0)</f>
        <v>811017889</v>
      </c>
      <c r="E45" s="1520">
        <f t="shared" si="6"/>
        <v>7</v>
      </c>
      <c r="F45" s="1517">
        <f t="shared" si="7"/>
        <v>1773794.876730659</v>
      </c>
      <c r="G45" s="1251">
        <f t="shared" si="8"/>
        <v>0</v>
      </c>
      <c r="H45" s="1240">
        <f t="shared" si="14"/>
        <v>1773794.876730659</v>
      </c>
      <c r="I45" s="1148">
        <v>6</v>
      </c>
      <c r="J45" s="383">
        <f t="shared" si="2"/>
        <v>769165.99424083834</v>
      </c>
      <c r="K45" s="712">
        <v>12</v>
      </c>
      <c r="L45" s="487">
        <f t="shared" si="9"/>
        <v>854628.88248982071</v>
      </c>
      <c r="M45" s="927"/>
      <c r="N45" s="672">
        <v>0</v>
      </c>
      <c r="O45" s="660" t="s">
        <v>318</v>
      </c>
      <c r="P45" s="1092">
        <v>150000</v>
      </c>
      <c r="Q45" s="1093">
        <v>0</v>
      </c>
      <c r="R45" s="381">
        <f t="shared" si="22"/>
        <v>150000</v>
      </c>
      <c r="S45" s="382"/>
      <c r="T45" s="381"/>
      <c r="U45" s="624"/>
      <c r="V45" s="569">
        <f t="shared" si="11"/>
        <v>0</v>
      </c>
      <c r="W45" s="607"/>
      <c r="X45" s="383"/>
      <c r="Y45" s="607"/>
      <c r="Z45" s="383"/>
      <c r="AA45" s="607"/>
      <c r="AB45" s="718"/>
      <c r="AC45" s="335"/>
      <c r="AD45" s="383">
        <f>SUMIF('Asesorías AG anterior'!$B$7:$B$239,B45,'Asesorías AG anterior'!$I$7:$I$239)</f>
        <v>6</v>
      </c>
      <c r="AE45" s="383">
        <f>SUMIF('Asesorías AG anterior'!$B$7:$B$239,B45,'Asesorías AG anterior'!$J$7:$J$239)</f>
        <v>731842.04970584053</v>
      </c>
      <c r="AF45" s="383">
        <f>SUMIF('Asesorías AG anterior'!$B$7:$B$239,B45,'Asesorías AG anterior'!$K$7:$K$239)</f>
        <v>12</v>
      </c>
      <c r="AG45" s="383">
        <f>SUMIF('Asesorías AG anterior'!$B$7:$B$239,B45,'Asesorías AG anterior'!$L$7:$L$239)</f>
        <v>813157.83300648979</v>
      </c>
      <c r="AH45" s="383">
        <f>SUMIF('Asesorías AG anterior'!$B$7:$B$239,B45,'Asesorías AG anterior'!$M$7:$M$239)</f>
        <v>0</v>
      </c>
      <c r="AI45" s="383">
        <f>SUMIF('Asesorías AG anterior'!$B$7:$B$239,B45,'Asesorías AG anterior'!$N$7:$N$239)</f>
        <v>0</v>
      </c>
      <c r="AJ45" s="383">
        <f>SUMIF('Asesorías AG anterior'!$B$7:$B$239,B45,'Asesorías AG anterior'!$O$7:$O$239)</f>
        <v>0</v>
      </c>
      <c r="AK45" s="383">
        <f>SUMIF('Asesorías AG anterior'!$B$7:$B$239,B45,'Asesorías AG anterior'!$P$7:$P$239)</f>
        <v>130000</v>
      </c>
      <c r="AL45" s="383">
        <f>SUMIF('Asesorías AG anterior'!$B$7:$B$239,B45,'Asesorías AG anterior'!$Q$7:$Q$239)</f>
        <v>0</v>
      </c>
      <c r="AM45" s="383">
        <f>SUMIF('Asesorías AG anterior'!$B$7:$B$239,B45,'Asesorías AG anterior'!$R$7:$R$239)</f>
        <v>0</v>
      </c>
      <c r="AN45" s="383"/>
      <c r="AO45" s="383">
        <f>SUMIF('Asesorías AG anterior'!$B$7:$B$239,B45,'Asesorías AG anterior'!$T$7:$T$239)</f>
        <v>0</v>
      </c>
      <c r="AP45" s="383">
        <f>SUMIF('Asesorías AG anterior'!$B$7:$B$239,B45,'Asesorías AG anterior'!$U$7:$U$239)</f>
        <v>0</v>
      </c>
      <c r="AQ45" s="383">
        <f>SUMIF('Asesorías AG anterior'!$B$7:$B$239,B45,'Asesorías AG anterior'!$V$7:$V$239)</f>
        <v>0</v>
      </c>
      <c r="AR45" s="383">
        <f>SUMIF('Asesorías AG anterior'!$B$7:$B$239,B45,'Asesorías AG anterior'!$W$7:$W$239)</f>
        <v>0</v>
      </c>
      <c r="AS45" s="383">
        <f>SUMIF('Asesorías AG anterior'!$B$7:$B$239,B45,'Asesorías AG anterior'!$X$7:$X$239)</f>
        <v>0</v>
      </c>
      <c r="AT45" s="383">
        <f>SUMIF('Asesorías AG anterior'!$B$7:$B$239,B45,'Asesorías AG anterior'!$Y$7:$Y$239)</f>
        <v>0</v>
      </c>
      <c r="AU45" s="383">
        <f>SUMIF('Asesorías AG anterior'!$B$7:$B$239,B45,'Asesorías AG anterior'!$Z$7:$Z$239)</f>
        <v>0</v>
      </c>
      <c r="AV45" s="383">
        <f>SUMIF('Asesorías AG anterior'!$B$7:$B$239,B45,'Asesorías AG anterior'!$AA$7:$AA$239)</f>
        <v>0</v>
      </c>
      <c r="AW45" s="383">
        <f>SUMIF('Asesorías AG anterior'!$B$7:$B$239,B45,'Asesorías AG anterior'!$AB$7:$AB$239)</f>
        <v>0</v>
      </c>
      <c r="AX45" s="335"/>
      <c r="AZ45" s="1201" t="s">
        <v>317</v>
      </c>
    </row>
    <row r="46" spans="1:52" x14ac:dyDescent="0.2">
      <c r="A46" s="1184">
        <f t="shared" si="12"/>
        <v>40</v>
      </c>
      <c r="B46" s="1097" t="s">
        <v>37</v>
      </c>
      <c r="C46" s="1185">
        <f>_xlfn.XLOOKUP(B46,Códigos!$B$8:$B$406,Códigos!$A$8:$A$406,"Verificar",0)</f>
        <v>303</v>
      </c>
      <c r="D46" s="1114">
        <f>_xlfn.XLOOKUP(B46,'Consolidado Cobros'!$B$10:$B$312,'Consolidado Cobros'!$C$10:$C$312,"Verificar",0)</f>
        <v>71750917</v>
      </c>
      <c r="E46" s="1520">
        <f t="shared" si="6"/>
        <v>4</v>
      </c>
      <c r="F46" s="1517">
        <f t="shared" si="7"/>
        <v>40000</v>
      </c>
      <c r="G46" s="1251">
        <f t="shared" si="8"/>
        <v>0</v>
      </c>
      <c r="H46" s="1240">
        <f t="shared" si="14"/>
        <v>40000</v>
      </c>
      <c r="I46" s="1148"/>
      <c r="J46" s="383">
        <f t="shared" si="2"/>
        <v>0</v>
      </c>
      <c r="K46" s="712"/>
      <c r="L46" s="487">
        <f t="shared" si="9"/>
        <v>0</v>
      </c>
      <c r="M46" s="927"/>
      <c r="N46" s="672">
        <v>0</v>
      </c>
      <c r="O46" s="660" t="s">
        <v>318</v>
      </c>
      <c r="P46" s="1092">
        <f>ROUND(IF(O46="SI",AK46*(100%+$P$4),0),-4)*0+40000</f>
        <v>40000</v>
      </c>
      <c r="Q46" s="1093">
        <v>0</v>
      </c>
      <c r="R46" s="381">
        <f t="shared" si="22"/>
        <v>40000</v>
      </c>
      <c r="S46" s="382"/>
      <c r="T46" s="381"/>
      <c r="U46" s="624"/>
      <c r="V46" s="569">
        <f t="shared" si="11"/>
        <v>0</v>
      </c>
      <c r="W46" s="607"/>
      <c r="X46" s="383"/>
      <c r="Y46" s="607"/>
      <c r="Z46" s="383"/>
      <c r="AA46" s="607"/>
      <c r="AB46" s="718"/>
      <c r="AC46" s="335"/>
      <c r="AD46" s="383">
        <f>SUMIF('Asesorías AG anterior'!$B$7:$B$239,B46,'Asesorías AG anterior'!$I$7:$I$239)</f>
        <v>1E-3</v>
      </c>
      <c r="AE46" s="383">
        <f>SUMIF('Asesorías AG anterior'!$B$7:$B$239,B46,'Asesorías AG anterior'!$J$7:$J$239)</f>
        <v>0</v>
      </c>
      <c r="AF46" s="383">
        <f>SUMIF('Asesorías AG anterior'!$B$7:$B$239,B46,'Asesorías AG anterior'!$K$7:$K$239)</f>
        <v>1E-3</v>
      </c>
      <c r="AG46" s="383">
        <f>SUMIF('Asesorías AG anterior'!$B$7:$B$239,B46,'Asesorías AG anterior'!$L$7:$L$239)</f>
        <v>0</v>
      </c>
      <c r="AH46" s="383">
        <f>SUMIF('Asesorías AG anterior'!$B$7:$B$239,B46,'Asesorías AG anterior'!$M$7:$M$239)</f>
        <v>0</v>
      </c>
      <c r="AI46" s="383">
        <f>SUMIF('Asesorías AG anterior'!$B$7:$B$239,B46,'Asesorías AG anterior'!$N$7:$N$239)</f>
        <v>0</v>
      </c>
      <c r="AJ46" s="383">
        <f>SUMIF('Asesorías AG anterior'!$B$7:$B$239,B46,'Asesorías AG anterior'!$O$7:$O$239)</f>
        <v>0</v>
      </c>
      <c r="AK46" s="383">
        <f>SUMIF('Asesorías AG anterior'!$B$7:$B$239,B46,'Asesorías AG anterior'!$P$7:$P$239)</f>
        <v>70000</v>
      </c>
      <c r="AL46" s="383">
        <f>SUMIF('Asesorías AG anterior'!$B$7:$B$239,B46,'Asesorías AG anterior'!$Q$7:$Q$239)</f>
        <v>0</v>
      </c>
      <c r="AM46" s="383">
        <f>SUMIF('Asesorías AG anterior'!$B$7:$B$239,B46,'Asesorías AG anterior'!$R$7:$R$239)</f>
        <v>0</v>
      </c>
      <c r="AN46" s="383"/>
      <c r="AO46" s="383">
        <f>SUMIF('Asesorías AG anterior'!$B$7:$B$239,B46,'Asesorías AG anterior'!$T$7:$T$239)</f>
        <v>0</v>
      </c>
      <c r="AP46" s="383">
        <f>SUMIF('Asesorías AG anterior'!$B$7:$B$239,B46,'Asesorías AG anterior'!$U$7:$U$239)</f>
        <v>0</v>
      </c>
      <c r="AQ46" s="383">
        <f>SUMIF('Asesorías AG anterior'!$B$7:$B$239,B46,'Asesorías AG anterior'!$V$7:$V$239)</f>
        <v>0</v>
      </c>
      <c r="AR46" s="383">
        <f>SUMIF('Asesorías AG anterior'!$B$7:$B$239,B46,'Asesorías AG anterior'!$W$7:$W$239)</f>
        <v>0</v>
      </c>
      <c r="AS46" s="383">
        <f>SUMIF('Asesorías AG anterior'!$B$7:$B$239,B46,'Asesorías AG anterior'!$X$7:$X$239)</f>
        <v>0</v>
      </c>
      <c r="AT46" s="383">
        <f>SUMIF('Asesorías AG anterior'!$B$7:$B$239,B46,'Asesorías AG anterior'!$Y$7:$Y$239)</f>
        <v>0</v>
      </c>
      <c r="AU46" s="383">
        <f>SUMIF('Asesorías AG anterior'!$B$7:$B$239,B46,'Asesorías AG anterior'!$Z$7:$Z$239)</f>
        <v>0</v>
      </c>
      <c r="AV46" s="383">
        <f>SUMIF('Asesorías AG anterior'!$B$7:$B$239,B46,'Asesorías AG anterior'!$AA$7:$AA$239)</f>
        <v>0</v>
      </c>
      <c r="AW46" s="383">
        <f>SUMIF('Asesorías AG anterior'!$B$7:$B$239,B46,'Asesorías AG anterior'!$AB$7:$AB$239)</f>
        <v>0</v>
      </c>
      <c r="AX46" s="335"/>
      <c r="AZ46" s="1097" t="s">
        <v>37</v>
      </c>
    </row>
    <row r="47" spans="1:52" x14ac:dyDescent="0.2">
      <c r="A47" s="1184">
        <f t="shared" si="12"/>
        <v>41</v>
      </c>
      <c r="B47" s="1097" t="s">
        <v>335</v>
      </c>
      <c r="C47" s="1185">
        <f>_xlfn.XLOOKUP(B47,Códigos!$B$8:$B$406,Códigos!$A$8:$A$406,"Verificar",0)</f>
        <v>348</v>
      </c>
      <c r="D47" s="1114">
        <f>_xlfn.XLOOKUP(B47,'Consolidado Cobros'!$B$10:$B$312,'Consolidado Cobros'!$C$10:$C$312,"Verificar",0)</f>
        <v>42874922</v>
      </c>
      <c r="E47" s="1520">
        <f t="shared" si="6"/>
        <v>9</v>
      </c>
      <c r="F47" s="1517">
        <f t="shared" si="7"/>
        <v>0</v>
      </c>
      <c r="G47" s="1251">
        <f t="shared" si="8"/>
        <v>0</v>
      </c>
      <c r="H47" s="1240">
        <f t="shared" si="14"/>
        <v>0</v>
      </c>
      <c r="I47" s="1148"/>
      <c r="J47" s="383">
        <f t="shared" si="2"/>
        <v>0</v>
      </c>
      <c r="K47" s="712"/>
      <c r="L47" s="487">
        <f t="shared" si="9"/>
        <v>0</v>
      </c>
      <c r="M47" s="927"/>
      <c r="N47" s="672">
        <v>0</v>
      </c>
      <c r="O47" s="660"/>
      <c r="P47" s="1092">
        <f t="shared" si="10"/>
        <v>0</v>
      </c>
      <c r="Q47" s="1093">
        <v>0</v>
      </c>
      <c r="R47" s="381">
        <f t="shared" si="22"/>
        <v>0</v>
      </c>
      <c r="S47" s="382"/>
      <c r="T47" s="381"/>
      <c r="U47" s="624"/>
      <c r="V47" s="569">
        <f t="shared" si="11"/>
        <v>0</v>
      </c>
      <c r="W47" s="607"/>
      <c r="X47" s="383"/>
      <c r="Y47" s="607"/>
      <c r="Z47" s="383"/>
      <c r="AA47" s="607"/>
      <c r="AB47" s="718"/>
      <c r="AC47" s="335"/>
      <c r="AD47" s="383">
        <f>SUMIF('Asesorías AG anterior'!$B$7:$B$239,B47,'Asesorías AG anterior'!$I$7:$I$239)</f>
        <v>1E-3</v>
      </c>
      <c r="AE47" s="383">
        <f>SUMIF('Asesorías AG anterior'!$B$7:$B$239,B47,'Asesorías AG anterior'!$J$7:$J$239)</f>
        <v>0</v>
      </c>
      <c r="AF47" s="383">
        <f>SUMIF('Asesorías AG anterior'!$B$7:$B$239,B47,'Asesorías AG anterior'!$K$7:$K$239)</f>
        <v>1E-3</v>
      </c>
      <c r="AG47" s="383">
        <f>SUMIF('Asesorías AG anterior'!$B$7:$B$239,B47,'Asesorías AG anterior'!$L$7:$L$239)</f>
        <v>0</v>
      </c>
      <c r="AH47" s="383">
        <f>SUMIF('Asesorías AG anterior'!$B$7:$B$239,B47,'Asesorías AG anterior'!$M$7:$M$239)</f>
        <v>0</v>
      </c>
      <c r="AI47" s="383">
        <f>SUMIF('Asesorías AG anterior'!$B$7:$B$239,B47,'Asesorías AG anterior'!$N$7:$N$239)</f>
        <v>0</v>
      </c>
      <c r="AJ47" s="383">
        <f>SUMIF('Asesorías AG anterior'!$B$7:$B$239,B47,'Asesorías AG anterior'!$O$7:$O$239)</f>
        <v>1E-3</v>
      </c>
      <c r="AK47" s="383">
        <f>SUMIF('Asesorías AG anterior'!$B$7:$B$239,B47,'Asesorías AG anterior'!$P$7:$P$239)</f>
        <v>0</v>
      </c>
      <c r="AL47" s="383">
        <f>SUMIF('Asesorías AG anterior'!$B$7:$B$239,B47,'Asesorías AG anterior'!$Q$7:$Q$239)</f>
        <v>0</v>
      </c>
      <c r="AM47" s="383">
        <f>SUMIF('Asesorías AG anterior'!$B$7:$B$239,B47,'Asesorías AG anterior'!$R$7:$R$239)</f>
        <v>0</v>
      </c>
      <c r="AN47" s="383"/>
      <c r="AO47" s="383">
        <f>SUMIF('Asesorías AG anterior'!$B$7:$B$239,B47,'Asesorías AG anterior'!$T$7:$T$239)</f>
        <v>0</v>
      </c>
      <c r="AP47" s="383">
        <f>SUMIF('Asesorías AG anterior'!$B$7:$B$239,B47,'Asesorías AG anterior'!$U$7:$U$239)</f>
        <v>0</v>
      </c>
      <c r="AQ47" s="383">
        <f>SUMIF('Asesorías AG anterior'!$B$7:$B$239,B47,'Asesorías AG anterior'!$V$7:$V$239)</f>
        <v>0</v>
      </c>
      <c r="AR47" s="383">
        <f>SUMIF('Asesorías AG anterior'!$B$7:$B$239,B47,'Asesorías AG anterior'!$W$7:$W$239)</f>
        <v>0</v>
      </c>
      <c r="AS47" s="383">
        <f>SUMIF('Asesorías AG anterior'!$B$7:$B$239,B47,'Asesorías AG anterior'!$X$7:$X$239)</f>
        <v>0</v>
      </c>
      <c r="AT47" s="383">
        <f>SUMIF('Asesorías AG anterior'!$B$7:$B$239,B47,'Asesorías AG anterior'!$Y$7:$Y$239)</f>
        <v>0</v>
      </c>
      <c r="AU47" s="383">
        <f>SUMIF('Asesorías AG anterior'!$B$7:$B$239,B47,'Asesorías AG anterior'!$Z$7:$Z$239)</f>
        <v>0</v>
      </c>
      <c r="AV47" s="383">
        <f>SUMIF('Asesorías AG anterior'!$B$7:$B$239,B47,'Asesorías AG anterior'!$AA$7:$AA$239)</f>
        <v>0</v>
      </c>
      <c r="AW47" s="383">
        <f>SUMIF('Asesorías AG anterior'!$B$7:$B$239,B47,'Asesorías AG anterior'!$AB$7:$AB$239)</f>
        <v>0</v>
      </c>
      <c r="AX47" s="335"/>
      <c r="AZ47" s="1097" t="s">
        <v>335</v>
      </c>
    </row>
    <row r="48" spans="1:52" x14ac:dyDescent="0.2">
      <c r="A48" s="1184">
        <f t="shared" si="12"/>
        <v>42</v>
      </c>
      <c r="B48" s="1097" t="s">
        <v>324</v>
      </c>
      <c r="C48" s="1185">
        <f>_xlfn.XLOOKUP(B48,Códigos!$B$8:$B$406,Códigos!$A$8:$A$406,"Verificar",0)</f>
        <v>338</v>
      </c>
      <c r="D48" s="1114">
        <f>_xlfn.XLOOKUP(B48,'Consolidado Cobros'!$B$10:$B$312,'Consolidado Cobros'!$C$10:$C$312,"Verificar",0)</f>
        <v>42876443</v>
      </c>
      <c r="E48" s="1520">
        <f t="shared" si="6"/>
        <v>1</v>
      </c>
      <c r="F48" s="1517">
        <f t="shared" si="7"/>
        <v>0</v>
      </c>
      <c r="G48" s="1251">
        <f t="shared" si="8"/>
        <v>0</v>
      </c>
      <c r="H48" s="1240">
        <f t="shared" si="14"/>
        <v>0</v>
      </c>
      <c r="I48" s="1148"/>
      <c r="J48" s="383">
        <f t="shared" si="2"/>
        <v>0</v>
      </c>
      <c r="K48" s="712"/>
      <c r="L48" s="487">
        <f t="shared" si="9"/>
        <v>0</v>
      </c>
      <c r="M48" s="927"/>
      <c r="N48" s="672">
        <v>0</v>
      </c>
      <c r="O48" s="660"/>
      <c r="P48" s="1092">
        <f t="shared" si="10"/>
        <v>0</v>
      </c>
      <c r="Q48" s="1093">
        <v>0</v>
      </c>
      <c r="R48" s="381">
        <f t="shared" si="22"/>
        <v>0</v>
      </c>
      <c r="S48" s="382"/>
      <c r="T48" s="381"/>
      <c r="U48" s="624"/>
      <c r="V48" s="569">
        <f t="shared" si="11"/>
        <v>0</v>
      </c>
      <c r="W48" s="607"/>
      <c r="X48" s="383"/>
      <c r="Y48" s="607"/>
      <c r="Z48" s="383"/>
      <c r="AA48" s="607"/>
      <c r="AB48" s="718"/>
      <c r="AC48" s="335"/>
      <c r="AD48" s="383">
        <f>SUMIF('Asesorías AG anterior'!$B$7:$B$239,B48,'Asesorías AG anterior'!$I$7:$I$239)</f>
        <v>1E-3</v>
      </c>
      <c r="AE48" s="383">
        <f>SUMIF('Asesorías AG anterior'!$B$7:$B$239,B48,'Asesorías AG anterior'!$J$7:$J$239)</f>
        <v>0</v>
      </c>
      <c r="AF48" s="383">
        <f>SUMIF('Asesorías AG anterior'!$B$7:$B$239,B48,'Asesorías AG anterior'!$K$7:$K$239)</f>
        <v>1E-3</v>
      </c>
      <c r="AG48" s="383">
        <f>SUMIF('Asesorías AG anterior'!$B$7:$B$239,B48,'Asesorías AG anterior'!$L$7:$L$239)</f>
        <v>0</v>
      </c>
      <c r="AH48" s="383">
        <f>SUMIF('Asesorías AG anterior'!$B$7:$B$239,B48,'Asesorías AG anterior'!$M$7:$M$239)</f>
        <v>0</v>
      </c>
      <c r="AI48" s="383">
        <f>SUMIF('Asesorías AG anterior'!$B$7:$B$239,B48,'Asesorías AG anterior'!$N$7:$N$239)</f>
        <v>0</v>
      </c>
      <c r="AJ48" s="383">
        <f>SUMIF('Asesorías AG anterior'!$B$7:$B$239,B48,'Asesorías AG anterior'!$O$7:$O$239)</f>
        <v>1E-3</v>
      </c>
      <c r="AK48" s="383">
        <f>SUMIF('Asesorías AG anterior'!$B$7:$B$239,B48,'Asesorías AG anterior'!$P$7:$P$239)</f>
        <v>0</v>
      </c>
      <c r="AL48" s="383">
        <f>SUMIF('Asesorías AG anterior'!$B$7:$B$239,B48,'Asesorías AG anterior'!$Q$7:$Q$239)</f>
        <v>0</v>
      </c>
      <c r="AM48" s="383">
        <f>SUMIF('Asesorías AG anterior'!$B$7:$B$239,B48,'Asesorías AG anterior'!$R$7:$R$239)</f>
        <v>150000</v>
      </c>
      <c r="AN48" s="383"/>
      <c r="AO48" s="383">
        <f>SUMIF('Asesorías AG anterior'!$B$7:$B$239,B48,'Asesorías AG anterior'!$T$7:$T$239)</f>
        <v>0</v>
      </c>
      <c r="AP48" s="383">
        <f>SUMIF('Asesorías AG anterior'!$B$7:$B$239,B48,'Asesorías AG anterior'!$U$7:$U$239)</f>
        <v>0</v>
      </c>
      <c r="AQ48" s="383">
        <f>SUMIF('Asesorías AG anterior'!$B$7:$B$239,B48,'Asesorías AG anterior'!$V$7:$V$239)</f>
        <v>0</v>
      </c>
      <c r="AR48" s="383">
        <f>SUMIF('Asesorías AG anterior'!$B$7:$B$239,B48,'Asesorías AG anterior'!$W$7:$W$239)</f>
        <v>0</v>
      </c>
      <c r="AS48" s="383">
        <f>SUMIF('Asesorías AG anterior'!$B$7:$B$239,B48,'Asesorías AG anterior'!$X$7:$X$239)</f>
        <v>0</v>
      </c>
      <c r="AT48" s="383">
        <f>SUMIF('Asesorías AG anterior'!$B$7:$B$239,B48,'Asesorías AG anterior'!$Y$7:$Y$239)</f>
        <v>0</v>
      </c>
      <c r="AU48" s="383">
        <f>SUMIF('Asesorías AG anterior'!$B$7:$B$239,B48,'Asesorías AG anterior'!$Z$7:$Z$239)</f>
        <v>0</v>
      </c>
      <c r="AV48" s="383">
        <f>SUMIF('Asesorías AG anterior'!$B$7:$B$239,B48,'Asesorías AG anterior'!$AA$7:$AA$239)</f>
        <v>0</v>
      </c>
      <c r="AW48" s="383">
        <f>SUMIF('Asesorías AG anterior'!$B$7:$B$239,B48,'Asesorías AG anterior'!$AB$7:$AB$239)</f>
        <v>0</v>
      </c>
      <c r="AX48" s="335"/>
      <c r="AZ48" s="1097" t="s">
        <v>324</v>
      </c>
    </row>
    <row r="49" spans="1:52" x14ac:dyDescent="0.2">
      <c r="A49" s="1184">
        <f t="shared" si="12"/>
        <v>43</v>
      </c>
      <c r="B49" s="1097" t="s">
        <v>241</v>
      </c>
      <c r="C49" s="1185">
        <f>_xlfn.XLOOKUP(B49,Códigos!$B$8:$B$406,Códigos!$A$8:$A$406,"Verificar",0)</f>
        <v>313</v>
      </c>
      <c r="D49" s="1114">
        <f>_xlfn.XLOOKUP(B49,'Consolidado Cobros'!$B$10:$B$312,'Consolidado Cobros'!$C$10:$C$312,"Verificar",0)</f>
        <v>43502550</v>
      </c>
      <c r="E49" s="1520">
        <f t="shared" si="6"/>
        <v>0</v>
      </c>
      <c r="F49" s="1517">
        <f t="shared" si="7"/>
        <v>0</v>
      </c>
      <c r="G49" s="1251">
        <f t="shared" si="8"/>
        <v>0</v>
      </c>
      <c r="H49" s="1240">
        <f t="shared" si="14"/>
        <v>0</v>
      </c>
      <c r="I49" s="1148"/>
      <c r="J49" s="383">
        <f t="shared" si="2"/>
        <v>0</v>
      </c>
      <c r="K49" s="712"/>
      <c r="L49" s="487">
        <f t="shared" si="9"/>
        <v>0</v>
      </c>
      <c r="M49" s="927"/>
      <c r="N49" s="672">
        <v>0</v>
      </c>
      <c r="O49" s="660"/>
      <c r="P49" s="1092">
        <f t="shared" si="10"/>
        <v>0</v>
      </c>
      <c r="Q49" s="1093">
        <v>0</v>
      </c>
      <c r="R49" s="381">
        <f t="shared" si="22"/>
        <v>0</v>
      </c>
      <c r="S49" s="382"/>
      <c r="T49" s="381"/>
      <c r="U49" s="624"/>
      <c r="V49" s="569">
        <f t="shared" si="11"/>
        <v>0</v>
      </c>
      <c r="W49" s="607"/>
      <c r="X49" s="383"/>
      <c r="Y49" s="607"/>
      <c r="Z49" s="383"/>
      <c r="AA49" s="607"/>
      <c r="AB49" s="718"/>
      <c r="AC49" s="335"/>
      <c r="AD49" s="383">
        <f>SUMIF('Asesorías AG anterior'!$B$7:$B$239,B49,'Asesorías AG anterior'!$I$7:$I$239)</f>
        <v>1E-3</v>
      </c>
      <c r="AE49" s="383">
        <f>SUMIF('Asesorías AG anterior'!$B$7:$B$239,B49,'Asesorías AG anterior'!$J$7:$J$239)</f>
        <v>0</v>
      </c>
      <c r="AF49" s="383">
        <f>SUMIF('Asesorías AG anterior'!$B$7:$B$239,B49,'Asesorías AG anterior'!$K$7:$K$239)</f>
        <v>1E-3</v>
      </c>
      <c r="AG49" s="383">
        <f>SUMIF('Asesorías AG anterior'!$B$7:$B$239,B49,'Asesorías AG anterior'!$L$7:$L$239)</f>
        <v>0</v>
      </c>
      <c r="AH49" s="383">
        <f>SUMIF('Asesorías AG anterior'!$B$7:$B$239,B49,'Asesorías AG anterior'!$M$7:$M$239)</f>
        <v>0</v>
      </c>
      <c r="AI49" s="383">
        <f>SUMIF('Asesorías AG anterior'!$B$7:$B$239,B49,'Asesorías AG anterior'!$N$7:$N$239)</f>
        <v>0</v>
      </c>
      <c r="AJ49" s="383">
        <f>SUMIF('Asesorías AG anterior'!$B$7:$B$239,B49,'Asesorías AG anterior'!$O$7:$O$239)</f>
        <v>1E-3</v>
      </c>
      <c r="AK49" s="383">
        <f>SUMIF('Asesorías AG anterior'!$B$7:$B$239,B49,'Asesorías AG anterior'!$P$7:$P$239)</f>
        <v>0</v>
      </c>
      <c r="AL49" s="383">
        <f>SUMIF('Asesorías AG anterior'!$B$7:$B$239,B49,'Asesorías AG anterior'!$Q$7:$Q$239)</f>
        <v>0</v>
      </c>
      <c r="AM49" s="383">
        <f>SUMIF('Asesorías AG anterior'!$B$7:$B$239,B49,'Asesorías AG anterior'!$R$7:$R$239)</f>
        <v>0</v>
      </c>
      <c r="AN49" s="383"/>
      <c r="AO49" s="383">
        <f>SUMIF('Asesorías AG anterior'!$B$7:$B$239,B49,'Asesorías AG anterior'!$T$7:$T$239)</f>
        <v>0</v>
      </c>
      <c r="AP49" s="383">
        <f>SUMIF('Asesorías AG anterior'!$B$7:$B$239,B49,'Asesorías AG anterior'!$U$7:$U$239)</f>
        <v>0</v>
      </c>
      <c r="AQ49" s="383">
        <f>SUMIF('Asesorías AG anterior'!$B$7:$B$239,B49,'Asesorías AG anterior'!$V$7:$V$239)</f>
        <v>0</v>
      </c>
      <c r="AR49" s="383">
        <f>SUMIF('Asesorías AG anterior'!$B$7:$B$239,B49,'Asesorías AG anterior'!$W$7:$W$239)</f>
        <v>0</v>
      </c>
      <c r="AS49" s="383">
        <f>SUMIF('Asesorías AG anterior'!$B$7:$B$239,B49,'Asesorías AG anterior'!$X$7:$X$239)</f>
        <v>0</v>
      </c>
      <c r="AT49" s="383">
        <f>SUMIF('Asesorías AG anterior'!$B$7:$B$239,B49,'Asesorías AG anterior'!$Y$7:$Y$239)</f>
        <v>0</v>
      </c>
      <c r="AU49" s="383">
        <f>SUMIF('Asesorías AG anterior'!$B$7:$B$239,B49,'Asesorías AG anterior'!$Z$7:$Z$239)</f>
        <v>0</v>
      </c>
      <c r="AV49" s="383">
        <f>SUMIF('Asesorías AG anterior'!$B$7:$B$239,B49,'Asesorías AG anterior'!$AA$7:$AA$239)</f>
        <v>0</v>
      </c>
      <c r="AW49" s="383">
        <f>SUMIF('Asesorías AG anterior'!$B$7:$B$239,B49,'Asesorías AG anterior'!$AB$7:$AB$239)</f>
        <v>0</v>
      </c>
      <c r="AX49" s="335"/>
      <c r="AZ49" s="1097" t="s">
        <v>241</v>
      </c>
    </row>
    <row r="50" spans="1:52" x14ac:dyDescent="0.2">
      <c r="A50" s="1184">
        <f t="shared" si="12"/>
        <v>44</v>
      </c>
      <c r="B50" s="1097" t="s">
        <v>273</v>
      </c>
      <c r="C50" s="1185">
        <f>_xlfn.XLOOKUP(B50,Códigos!$B$8:$B$406,Códigos!$A$8:$A$406,"Verificar",0)</f>
        <v>324</v>
      </c>
      <c r="D50" s="1114">
        <f>_xlfn.XLOOKUP(B50,'Consolidado Cobros'!$B$10:$B$312,'Consolidado Cobros'!$C$10:$C$312,"Verificar",0)</f>
        <v>43221128</v>
      </c>
      <c r="E50" s="1520">
        <f t="shared" si="6"/>
        <v>9</v>
      </c>
      <c r="F50" s="1517">
        <f t="shared" si="7"/>
        <v>0</v>
      </c>
      <c r="G50" s="1251">
        <f t="shared" si="8"/>
        <v>0</v>
      </c>
      <c r="H50" s="1240">
        <f t="shared" si="14"/>
        <v>0</v>
      </c>
      <c r="I50" s="1148"/>
      <c r="J50" s="383">
        <f t="shared" si="2"/>
        <v>0</v>
      </c>
      <c r="K50" s="712"/>
      <c r="L50" s="487">
        <f t="shared" si="9"/>
        <v>0</v>
      </c>
      <c r="M50" s="927"/>
      <c r="N50" s="672">
        <v>0</v>
      </c>
      <c r="O50" s="660"/>
      <c r="P50" s="1092">
        <f t="shared" si="10"/>
        <v>0</v>
      </c>
      <c r="Q50" s="1093">
        <v>0</v>
      </c>
      <c r="R50" s="381">
        <f t="shared" si="22"/>
        <v>0</v>
      </c>
      <c r="S50" s="382"/>
      <c r="T50" s="381"/>
      <c r="U50" s="624"/>
      <c r="V50" s="569">
        <f t="shared" si="11"/>
        <v>0</v>
      </c>
      <c r="W50" s="607"/>
      <c r="X50" s="383"/>
      <c r="Y50" s="607"/>
      <c r="Z50" s="383"/>
      <c r="AA50" s="607"/>
      <c r="AB50" s="718"/>
      <c r="AC50" s="335"/>
      <c r="AD50" s="383">
        <f>SUMIF('Asesorías AG anterior'!$B$7:$B$239,B50,'Asesorías AG anterior'!$I$7:$I$239)</f>
        <v>1E-3</v>
      </c>
      <c r="AE50" s="383">
        <f>SUMIF('Asesorías AG anterior'!$B$7:$B$239,B50,'Asesorías AG anterior'!$J$7:$J$239)</f>
        <v>0</v>
      </c>
      <c r="AF50" s="383">
        <f>SUMIF('Asesorías AG anterior'!$B$7:$B$239,B50,'Asesorías AG anterior'!$K$7:$K$239)</f>
        <v>1E-3</v>
      </c>
      <c r="AG50" s="383">
        <f>SUMIF('Asesorías AG anterior'!$B$7:$B$239,B50,'Asesorías AG anterior'!$L$7:$L$239)</f>
        <v>0</v>
      </c>
      <c r="AH50" s="383">
        <f>SUMIF('Asesorías AG anterior'!$B$7:$B$239,B50,'Asesorías AG anterior'!$M$7:$M$239)</f>
        <v>0</v>
      </c>
      <c r="AI50" s="383">
        <f>SUMIF('Asesorías AG anterior'!$B$7:$B$239,B50,'Asesorías AG anterior'!$N$7:$N$239)</f>
        <v>0</v>
      </c>
      <c r="AJ50" s="383">
        <f>SUMIF('Asesorías AG anterior'!$B$7:$B$239,B50,'Asesorías AG anterior'!$O$7:$O$239)</f>
        <v>1E-3</v>
      </c>
      <c r="AK50" s="383">
        <f>SUMIF('Asesorías AG anterior'!$B$7:$B$239,B50,'Asesorías AG anterior'!$P$7:$P$239)</f>
        <v>0</v>
      </c>
      <c r="AL50" s="383">
        <f>SUMIF('Asesorías AG anterior'!$B$7:$B$239,B50,'Asesorías AG anterior'!$Q$7:$Q$239)</f>
        <v>0</v>
      </c>
      <c r="AM50" s="383">
        <f>SUMIF('Asesorías AG anterior'!$B$7:$B$239,B50,'Asesorías AG anterior'!$R$7:$R$239)</f>
        <v>0</v>
      </c>
      <c r="AN50" s="383"/>
      <c r="AO50" s="383">
        <f>SUMIF('Asesorías AG anterior'!$B$7:$B$239,B50,'Asesorías AG anterior'!$T$7:$T$239)</f>
        <v>0</v>
      </c>
      <c r="AP50" s="383">
        <f>SUMIF('Asesorías AG anterior'!$B$7:$B$239,B50,'Asesorías AG anterior'!$U$7:$U$239)</f>
        <v>0</v>
      </c>
      <c r="AQ50" s="383">
        <f>SUMIF('Asesorías AG anterior'!$B$7:$B$239,B50,'Asesorías AG anterior'!$V$7:$V$239)</f>
        <v>0</v>
      </c>
      <c r="AR50" s="383">
        <f>SUMIF('Asesorías AG anterior'!$B$7:$B$239,B50,'Asesorías AG anterior'!$W$7:$W$239)</f>
        <v>0</v>
      </c>
      <c r="AS50" s="383">
        <f>SUMIF('Asesorías AG anterior'!$B$7:$B$239,B50,'Asesorías AG anterior'!$X$7:$X$239)</f>
        <v>0</v>
      </c>
      <c r="AT50" s="383">
        <f>SUMIF('Asesorías AG anterior'!$B$7:$B$239,B50,'Asesorías AG anterior'!$Y$7:$Y$239)</f>
        <v>0</v>
      </c>
      <c r="AU50" s="383">
        <f>SUMIF('Asesorías AG anterior'!$B$7:$B$239,B50,'Asesorías AG anterior'!$Z$7:$Z$239)</f>
        <v>0</v>
      </c>
      <c r="AV50" s="383">
        <f>SUMIF('Asesorías AG anterior'!$B$7:$B$239,B50,'Asesorías AG anterior'!$AA$7:$AA$239)</f>
        <v>0</v>
      </c>
      <c r="AW50" s="383">
        <f>SUMIF('Asesorías AG anterior'!$B$7:$B$239,B50,'Asesorías AG anterior'!$AB$7:$AB$239)</f>
        <v>0</v>
      </c>
      <c r="AX50" s="335"/>
      <c r="AZ50" s="1097" t="s">
        <v>273</v>
      </c>
    </row>
    <row r="51" spans="1:52" x14ac:dyDescent="0.2">
      <c r="A51" s="1184">
        <f t="shared" si="12"/>
        <v>45</v>
      </c>
      <c r="B51" s="1097" t="s">
        <v>428</v>
      </c>
      <c r="C51" s="1185">
        <f>_xlfn.XLOOKUP(B51,Códigos!$B$8:$B$406,Códigos!$A$8:$A$406,"Verificar",0)</f>
        <v>340</v>
      </c>
      <c r="D51" s="1114">
        <f>_xlfn.XLOOKUP(B51,'Consolidado Cobros'!$B$10:$B$312,'Consolidado Cobros'!$C$10:$C$312,"Verificar",0)</f>
        <v>8215384</v>
      </c>
      <c r="E51" s="1520">
        <f t="shared" si="6"/>
        <v>6</v>
      </c>
      <c r="F51" s="1517">
        <f t="shared" si="7"/>
        <v>0</v>
      </c>
      <c r="G51" s="1251">
        <f t="shared" si="8"/>
        <v>0</v>
      </c>
      <c r="H51" s="1240">
        <f t="shared" si="14"/>
        <v>0</v>
      </c>
      <c r="I51" s="1148"/>
      <c r="J51" s="383">
        <f t="shared" si="2"/>
        <v>0</v>
      </c>
      <c r="K51" s="712"/>
      <c r="L51" s="487">
        <f t="shared" si="9"/>
        <v>0</v>
      </c>
      <c r="M51" s="927"/>
      <c r="N51" s="672">
        <v>0</v>
      </c>
      <c r="O51" s="660"/>
      <c r="P51" s="1092">
        <f t="shared" si="10"/>
        <v>0</v>
      </c>
      <c r="Q51" s="1093">
        <v>0</v>
      </c>
      <c r="R51" s="381">
        <f t="shared" si="22"/>
        <v>0</v>
      </c>
      <c r="S51" s="382"/>
      <c r="T51" s="381"/>
      <c r="U51" s="624"/>
      <c r="V51" s="569">
        <f t="shared" si="11"/>
        <v>0</v>
      </c>
      <c r="W51" s="607"/>
      <c r="X51" s="383"/>
      <c r="Y51" s="607"/>
      <c r="Z51" s="383"/>
      <c r="AA51" s="607"/>
      <c r="AB51" s="718"/>
      <c r="AC51" s="335"/>
      <c r="AD51" s="383">
        <f>SUMIF('Asesorías AG anterior'!$B$7:$B$239,B51,'Asesorías AG anterior'!$I$7:$I$239)</f>
        <v>1E-3</v>
      </c>
      <c r="AE51" s="383">
        <f>SUMIF('Asesorías AG anterior'!$B$7:$B$239,B51,'Asesorías AG anterior'!$J$7:$J$239)</f>
        <v>0</v>
      </c>
      <c r="AF51" s="383">
        <f>SUMIF('Asesorías AG anterior'!$B$7:$B$239,B51,'Asesorías AG anterior'!$K$7:$K$239)</f>
        <v>1E-3</v>
      </c>
      <c r="AG51" s="383">
        <f>SUMIF('Asesorías AG anterior'!$B$7:$B$239,B51,'Asesorías AG anterior'!$L$7:$L$239)</f>
        <v>0</v>
      </c>
      <c r="AH51" s="383">
        <f>SUMIF('Asesorías AG anterior'!$B$7:$B$239,B51,'Asesorías AG anterior'!$M$7:$M$239)</f>
        <v>0</v>
      </c>
      <c r="AI51" s="383">
        <f>SUMIF('Asesorías AG anterior'!$B$7:$B$239,B51,'Asesorías AG anterior'!$N$7:$N$239)</f>
        <v>0</v>
      </c>
      <c r="AJ51" s="383">
        <f>SUMIF('Asesorías AG anterior'!$B$7:$B$239,B51,'Asesorías AG anterior'!$O$7:$O$239)</f>
        <v>1E-3</v>
      </c>
      <c r="AK51" s="383">
        <f>SUMIF('Asesorías AG anterior'!$B$7:$B$239,B51,'Asesorías AG anterior'!$P$7:$P$239)</f>
        <v>0</v>
      </c>
      <c r="AL51" s="383">
        <f>SUMIF('Asesorías AG anterior'!$B$7:$B$239,B51,'Asesorías AG anterior'!$Q$7:$Q$239)</f>
        <v>0</v>
      </c>
      <c r="AM51" s="383">
        <f>SUMIF('Asesorías AG anterior'!$B$7:$B$239,B51,'Asesorías AG anterior'!$R$7:$R$239)</f>
        <v>0</v>
      </c>
      <c r="AN51" s="383"/>
      <c r="AO51" s="383">
        <f>SUMIF('Asesorías AG anterior'!$B$7:$B$239,B51,'Asesorías AG anterior'!$T$7:$T$239)</f>
        <v>0</v>
      </c>
      <c r="AP51" s="383">
        <f>SUMIF('Asesorías AG anterior'!$B$7:$B$239,B51,'Asesorías AG anterior'!$U$7:$U$239)</f>
        <v>0</v>
      </c>
      <c r="AQ51" s="383">
        <f>SUMIF('Asesorías AG anterior'!$B$7:$B$239,B51,'Asesorías AG anterior'!$V$7:$V$239)</f>
        <v>0</v>
      </c>
      <c r="AR51" s="383">
        <f>SUMIF('Asesorías AG anterior'!$B$7:$B$239,B51,'Asesorías AG anterior'!$W$7:$W$239)</f>
        <v>0</v>
      </c>
      <c r="AS51" s="383">
        <f>SUMIF('Asesorías AG anterior'!$B$7:$B$239,B51,'Asesorías AG anterior'!$X$7:$X$239)</f>
        <v>0</v>
      </c>
      <c r="AT51" s="383">
        <f>SUMIF('Asesorías AG anterior'!$B$7:$B$239,B51,'Asesorías AG anterior'!$Y$7:$Y$239)</f>
        <v>0</v>
      </c>
      <c r="AU51" s="383">
        <f>SUMIF('Asesorías AG anterior'!$B$7:$B$239,B51,'Asesorías AG anterior'!$Z$7:$Z$239)</f>
        <v>0</v>
      </c>
      <c r="AV51" s="383">
        <f>SUMIF('Asesorías AG anterior'!$B$7:$B$239,B51,'Asesorías AG anterior'!$AA$7:$AA$239)</f>
        <v>0</v>
      </c>
      <c r="AW51" s="383">
        <f>SUMIF('Asesorías AG anterior'!$B$7:$B$239,B51,'Asesorías AG anterior'!$AB$7:$AB$239)</f>
        <v>0</v>
      </c>
      <c r="AX51" s="335"/>
      <c r="AZ51" s="1097" t="s">
        <v>428</v>
      </c>
    </row>
    <row r="52" spans="1:52" x14ac:dyDescent="0.2">
      <c r="A52" s="1184">
        <f t="shared" si="12"/>
        <v>46</v>
      </c>
      <c r="B52" s="1097" t="s">
        <v>429</v>
      </c>
      <c r="C52" s="1185">
        <f>_xlfn.XLOOKUP(B52,Códigos!$B$8:$B$406,Códigos!$A$8:$A$406,"Verificar",0)</f>
        <v>349</v>
      </c>
      <c r="D52" s="1114">
        <f>_xlfn.XLOOKUP(B52,'Consolidado Cobros'!$B$10:$B$312,'Consolidado Cobros'!$C$10:$C$312,"Verificar",0)</f>
        <v>75072481</v>
      </c>
      <c r="E52" s="1520">
        <f t="shared" si="6"/>
        <v>0</v>
      </c>
      <c r="F52" s="1517">
        <f t="shared" si="7"/>
        <v>0</v>
      </c>
      <c r="G52" s="1251">
        <f t="shared" si="8"/>
        <v>0</v>
      </c>
      <c r="H52" s="1240">
        <f t="shared" si="14"/>
        <v>0</v>
      </c>
      <c r="I52" s="1148"/>
      <c r="J52" s="383">
        <f t="shared" si="2"/>
        <v>0</v>
      </c>
      <c r="K52" s="712"/>
      <c r="L52" s="487">
        <f t="shared" si="9"/>
        <v>0</v>
      </c>
      <c r="M52" s="927"/>
      <c r="N52" s="672">
        <v>0</v>
      </c>
      <c r="O52" s="660"/>
      <c r="P52" s="1092">
        <f t="shared" si="10"/>
        <v>0</v>
      </c>
      <c r="Q52" s="1093">
        <v>0</v>
      </c>
      <c r="R52" s="381">
        <f t="shared" si="22"/>
        <v>0</v>
      </c>
      <c r="S52" s="382"/>
      <c r="T52" s="381"/>
      <c r="U52" s="624"/>
      <c r="V52" s="569">
        <f t="shared" si="11"/>
        <v>0</v>
      </c>
      <c r="W52" s="607"/>
      <c r="X52" s="383"/>
      <c r="Y52" s="607"/>
      <c r="Z52" s="383"/>
      <c r="AA52" s="607"/>
      <c r="AB52" s="718"/>
      <c r="AC52" s="335"/>
      <c r="AD52" s="383">
        <f>SUMIF('Asesorías AG anterior'!$B$7:$B$239,B52,'Asesorías AG anterior'!$I$7:$I$239)</f>
        <v>1E-3</v>
      </c>
      <c r="AE52" s="383">
        <f>SUMIF('Asesorías AG anterior'!$B$7:$B$239,B52,'Asesorías AG anterior'!$J$7:$J$239)</f>
        <v>0</v>
      </c>
      <c r="AF52" s="383">
        <f>SUMIF('Asesorías AG anterior'!$B$7:$B$239,B52,'Asesorías AG anterior'!$K$7:$K$239)</f>
        <v>1E-3</v>
      </c>
      <c r="AG52" s="383">
        <f>SUMIF('Asesorías AG anterior'!$B$7:$B$239,B52,'Asesorías AG anterior'!$L$7:$L$239)</f>
        <v>0</v>
      </c>
      <c r="AH52" s="383">
        <f>SUMIF('Asesorías AG anterior'!$B$7:$B$239,B52,'Asesorías AG anterior'!$M$7:$M$239)</f>
        <v>0</v>
      </c>
      <c r="AI52" s="383">
        <f>SUMIF('Asesorías AG anterior'!$B$7:$B$239,B52,'Asesorías AG anterior'!$N$7:$N$239)</f>
        <v>0</v>
      </c>
      <c r="AJ52" s="383">
        <f>SUMIF('Asesorías AG anterior'!$B$7:$B$239,B52,'Asesorías AG anterior'!$O$7:$O$239)</f>
        <v>1E-3</v>
      </c>
      <c r="AK52" s="383">
        <f>SUMIF('Asesorías AG anterior'!$B$7:$B$239,B52,'Asesorías AG anterior'!$P$7:$P$239)</f>
        <v>0</v>
      </c>
      <c r="AL52" s="383">
        <f>SUMIF('Asesorías AG anterior'!$B$7:$B$239,B52,'Asesorías AG anterior'!$Q$7:$Q$239)</f>
        <v>0</v>
      </c>
      <c r="AM52" s="383">
        <f>SUMIF('Asesorías AG anterior'!$B$7:$B$239,B52,'Asesorías AG anterior'!$R$7:$R$239)</f>
        <v>0</v>
      </c>
      <c r="AN52" s="383"/>
      <c r="AO52" s="383">
        <f>SUMIF('Asesorías AG anterior'!$B$7:$B$239,B52,'Asesorías AG anterior'!$T$7:$T$239)</f>
        <v>0</v>
      </c>
      <c r="AP52" s="383">
        <f>SUMIF('Asesorías AG anterior'!$B$7:$B$239,B52,'Asesorías AG anterior'!$U$7:$U$239)</f>
        <v>0</v>
      </c>
      <c r="AQ52" s="383">
        <f>SUMIF('Asesorías AG anterior'!$B$7:$B$239,B52,'Asesorías AG anterior'!$V$7:$V$239)</f>
        <v>0</v>
      </c>
      <c r="AR52" s="383">
        <f>SUMIF('Asesorías AG anterior'!$B$7:$B$239,B52,'Asesorías AG anterior'!$W$7:$W$239)</f>
        <v>0</v>
      </c>
      <c r="AS52" s="383">
        <f>SUMIF('Asesorías AG anterior'!$B$7:$B$239,B52,'Asesorías AG anterior'!$X$7:$X$239)</f>
        <v>0</v>
      </c>
      <c r="AT52" s="383">
        <f>SUMIF('Asesorías AG anterior'!$B$7:$B$239,B52,'Asesorías AG anterior'!$Y$7:$Y$239)</f>
        <v>0</v>
      </c>
      <c r="AU52" s="383">
        <f>SUMIF('Asesorías AG anterior'!$B$7:$B$239,B52,'Asesorías AG anterior'!$Z$7:$Z$239)</f>
        <v>0</v>
      </c>
      <c r="AV52" s="383">
        <f>SUMIF('Asesorías AG anterior'!$B$7:$B$239,B52,'Asesorías AG anterior'!$AA$7:$AA$239)</f>
        <v>0</v>
      </c>
      <c r="AW52" s="383">
        <f>SUMIF('Asesorías AG anterior'!$B$7:$B$239,B52,'Asesorías AG anterior'!$AB$7:$AB$239)</f>
        <v>0</v>
      </c>
      <c r="AX52" s="335"/>
      <c r="AZ52" s="1097" t="s">
        <v>429</v>
      </c>
    </row>
    <row r="53" spans="1:52" x14ac:dyDescent="0.2">
      <c r="A53" s="1184">
        <f t="shared" si="12"/>
        <v>47</v>
      </c>
      <c r="B53" s="1097" t="s">
        <v>40</v>
      </c>
      <c r="C53" s="1185">
        <f>_xlfn.XLOOKUP(B53,Códigos!$B$8:$B$406,Códigos!$A$8:$A$406,"Verificar",0)</f>
        <v>299</v>
      </c>
      <c r="D53" s="1114">
        <f>_xlfn.XLOOKUP(B53,'Consolidado Cobros'!$B$10:$B$312,'Consolidado Cobros'!$C$10:$C$312,"Verificar",0)</f>
        <v>8105540</v>
      </c>
      <c r="E53" s="1520">
        <f t="shared" si="6"/>
        <v>7</v>
      </c>
      <c r="F53" s="1517">
        <f t="shared" si="7"/>
        <v>0</v>
      </c>
      <c r="G53" s="1251">
        <f t="shared" si="8"/>
        <v>0</v>
      </c>
      <c r="H53" s="1240">
        <f t="shared" si="14"/>
        <v>0</v>
      </c>
      <c r="I53" s="1148"/>
      <c r="J53" s="383">
        <f t="shared" si="2"/>
        <v>0</v>
      </c>
      <c r="K53" s="712"/>
      <c r="L53" s="487">
        <f t="shared" si="9"/>
        <v>0</v>
      </c>
      <c r="M53" s="927"/>
      <c r="N53" s="672">
        <v>0</v>
      </c>
      <c r="O53" s="660"/>
      <c r="P53" s="1092">
        <f t="shared" si="10"/>
        <v>0</v>
      </c>
      <c r="Q53" s="1093">
        <v>0</v>
      </c>
      <c r="R53" s="381">
        <f t="shared" si="22"/>
        <v>0</v>
      </c>
      <c r="S53" s="382"/>
      <c r="T53" s="381"/>
      <c r="U53" s="624"/>
      <c r="V53" s="569">
        <f t="shared" si="11"/>
        <v>0</v>
      </c>
      <c r="W53" s="607"/>
      <c r="X53" s="383"/>
      <c r="Y53" s="607"/>
      <c r="Z53" s="383"/>
      <c r="AA53" s="607"/>
      <c r="AB53" s="718"/>
      <c r="AC53" s="335"/>
      <c r="AD53" s="383">
        <f>SUMIF('Asesorías AG anterior'!$B$7:$B$239,B53,'Asesorías AG anterior'!$I$7:$I$239)</f>
        <v>1E-3</v>
      </c>
      <c r="AE53" s="383">
        <f>SUMIF('Asesorías AG anterior'!$B$7:$B$239,B53,'Asesorías AG anterior'!$J$7:$J$239)</f>
        <v>0</v>
      </c>
      <c r="AF53" s="383">
        <f>SUMIF('Asesorías AG anterior'!$B$7:$B$239,B53,'Asesorías AG anterior'!$K$7:$K$239)</f>
        <v>1E-3</v>
      </c>
      <c r="AG53" s="383">
        <f>SUMIF('Asesorías AG anterior'!$B$7:$B$239,B53,'Asesorías AG anterior'!$L$7:$L$239)</f>
        <v>0</v>
      </c>
      <c r="AH53" s="383">
        <f>SUMIF('Asesorías AG anterior'!$B$7:$B$239,B53,'Asesorías AG anterior'!$M$7:$M$239)</f>
        <v>0</v>
      </c>
      <c r="AI53" s="383">
        <f>SUMIF('Asesorías AG anterior'!$B$7:$B$239,B53,'Asesorías AG anterior'!$N$7:$N$239)</f>
        <v>0</v>
      </c>
      <c r="AJ53" s="383">
        <f>SUMIF('Asesorías AG anterior'!$B$7:$B$239,B53,'Asesorías AG anterior'!$O$7:$O$239)</f>
        <v>1E-3</v>
      </c>
      <c r="AK53" s="383">
        <f>SUMIF('Asesorías AG anterior'!$B$7:$B$239,B53,'Asesorías AG anterior'!$P$7:$P$239)</f>
        <v>0</v>
      </c>
      <c r="AL53" s="383">
        <f>SUMIF('Asesorías AG anterior'!$B$7:$B$239,B53,'Asesorías AG anterior'!$Q$7:$Q$239)</f>
        <v>0</v>
      </c>
      <c r="AM53" s="383">
        <f>SUMIF('Asesorías AG anterior'!$B$7:$B$239,B53,'Asesorías AG anterior'!$R$7:$R$239)</f>
        <v>0</v>
      </c>
      <c r="AN53" s="383"/>
      <c r="AO53" s="383">
        <f>SUMIF('Asesorías AG anterior'!$B$7:$B$239,B53,'Asesorías AG anterior'!$T$7:$T$239)</f>
        <v>0</v>
      </c>
      <c r="AP53" s="383">
        <f>SUMIF('Asesorías AG anterior'!$B$7:$B$239,B53,'Asesorías AG anterior'!$U$7:$U$239)</f>
        <v>0</v>
      </c>
      <c r="AQ53" s="383">
        <f>SUMIF('Asesorías AG anterior'!$B$7:$B$239,B53,'Asesorías AG anterior'!$V$7:$V$239)</f>
        <v>0</v>
      </c>
      <c r="AR53" s="383">
        <f>SUMIF('Asesorías AG anterior'!$B$7:$B$239,B53,'Asesorías AG anterior'!$W$7:$W$239)</f>
        <v>0</v>
      </c>
      <c r="AS53" s="383">
        <f>SUMIF('Asesorías AG anterior'!$B$7:$B$239,B53,'Asesorías AG anterior'!$X$7:$X$239)</f>
        <v>0</v>
      </c>
      <c r="AT53" s="383">
        <f>SUMIF('Asesorías AG anterior'!$B$7:$B$239,B53,'Asesorías AG anterior'!$Y$7:$Y$239)</f>
        <v>0</v>
      </c>
      <c r="AU53" s="383">
        <f>SUMIF('Asesorías AG anterior'!$B$7:$B$239,B53,'Asesorías AG anterior'!$Z$7:$Z$239)</f>
        <v>0</v>
      </c>
      <c r="AV53" s="383">
        <f>SUMIF('Asesorías AG anterior'!$B$7:$B$239,B53,'Asesorías AG anterior'!$AA$7:$AA$239)</f>
        <v>0</v>
      </c>
      <c r="AW53" s="383">
        <f>SUMIF('Asesorías AG anterior'!$B$7:$B$239,B53,'Asesorías AG anterior'!$AB$7:$AB$239)</f>
        <v>0</v>
      </c>
      <c r="AX53" s="335"/>
      <c r="AZ53" s="1097" t="s">
        <v>40</v>
      </c>
    </row>
    <row r="54" spans="1:52" x14ac:dyDescent="0.2">
      <c r="A54" s="1184">
        <f t="shared" si="12"/>
        <v>48</v>
      </c>
      <c r="B54" s="1097" t="s">
        <v>39</v>
      </c>
      <c r="C54" s="1185">
        <f>_xlfn.XLOOKUP(B54,Códigos!$B$8:$B$406,Códigos!$A$8:$A$406,"Verificar",0)</f>
        <v>295</v>
      </c>
      <c r="D54" s="1114">
        <f>_xlfn.XLOOKUP(B54,'Consolidado Cobros'!$B$10:$B$312,'Consolidado Cobros'!$C$10:$C$312,"Verificar",0)</f>
        <v>10059375</v>
      </c>
      <c r="E54" s="1520">
        <f t="shared" si="6"/>
        <v>8</v>
      </c>
      <c r="F54" s="1517">
        <f t="shared" si="7"/>
        <v>0</v>
      </c>
      <c r="G54" s="1251">
        <f t="shared" si="8"/>
        <v>0</v>
      </c>
      <c r="H54" s="1240">
        <f t="shared" si="14"/>
        <v>0</v>
      </c>
      <c r="I54" s="1148"/>
      <c r="J54" s="383">
        <f t="shared" si="2"/>
        <v>0</v>
      </c>
      <c r="K54" s="712"/>
      <c r="L54" s="487">
        <f t="shared" si="9"/>
        <v>0</v>
      </c>
      <c r="M54" s="927"/>
      <c r="N54" s="672">
        <v>0</v>
      </c>
      <c r="O54" s="660"/>
      <c r="P54" s="1092">
        <f t="shared" si="10"/>
        <v>0</v>
      </c>
      <c r="Q54" s="1093">
        <v>0</v>
      </c>
      <c r="R54" s="381">
        <f t="shared" si="22"/>
        <v>0</v>
      </c>
      <c r="S54" s="382"/>
      <c r="T54" s="381"/>
      <c r="U54" s="624"/>
      <c r="V54" s="569">
        <f t="shared" si="11"/>
        <v>0</v>
      </c>
      <c r="W54" s="607"/>
      <c r="X54" s="383"/>
      <c r="Y54" s="607"/>
      <c r="Z54" s="383"/>
      <c r="AA54" s="607"/>
      <c r="AB54" s="718"/>
      <c r="AC54" s="335"/>
      <c r="AD54" s="383">
        <f>SUMIF('Asesorías AG anterior'!$B$7:$B$239,B54,'Asesorías AG anterior'!$I$7:$I$239)</f>
        <v>1E-3</v>
      </c>
      <c r="AE54" s="383">
        <f>SUMIF('Asesorías AG anterior'!$B$7:$B$239,B54,'Asesorías AG anterior'!$J$7:$J$239)</f>
        <v>0</v>
      </c>
      <c r="AF54" s="383">
        <f>SUMIF('Asesorías AG anterior'!$B$7:$B$239,B54,'Asesorías AG anterior'!$K$7:$K$239)</f>
        <v>1E-3</v>
      </c>
      <c r="AG54" s="383">
        <f>SUMIF('Asesorías AG anterior'!$B$7:$B$239,B54,'Asesorías AG anterior'!$L$7:$L$239)</f>
        <v>0</v>
      </c>
      <c r="AH54" s="383">
        <f>SUMIF('Asesorías AG anterior'!$B$7:$B$239,B54,'Asesorías AG anterior'!$M$7:$M$239)</f>
        <v>0</v>
      </c>
      <c r="AI54" s="383">
        <f>SUMIF('Asesorías AG anterior'!$B$7:$B$239,B54,'Asesorías AG anterior'!$N$7:$N$239)</f>
        <v>0</v>
      </c>
      <c r="AJ54" s="383">
        <f>SUMIF('Asesorías AG anterior'!$B$7:$B$239,B54,'Asesorías AG anterior'!$O$7:$O$239)</f>
        <v>1E-3</v>
      </c>
      <c r="AK54" s="383">
        <f>SUMIF('Asesorías AG anterior'!$B$7:$B$239,B54,'Asesorías AG anterior'!$P$7:$P$239)</f>
        <v>0</v>
      </c>
      <c r="AL54" s="383">
        <f>SUMIF('Asesorías AG anterior'!$B$7:$B$239,B54,'Asesorías AG anterior'!$Q$7:$Q$239)</f>
        <v>0</v>
      </c>
      <c r="AM54" s="383">
        <f>SUMIF('Asesorías AG anterior'!$B$7:$B$239,B54,'Asesorías AG anterior'!$R$7:$R$239)</f>
        <v>0</v>
      </c>
      <c r="AN54" s="383"/>
      <c r="AO54" s="383">
        <f>SUMIF('Asesorías AG anterior'!$B$7:$B$239,B54,'Asesorías AG anterior'!$T$7:$T$239)</f>
        <v>0</v>
      </c>
      <c r="AP54" s="383">
        <f>SUMIF('Asesorías AG anterior'!$B$7:$B$239,B54,'Asesorías AG anterior'!$U$7:$U$239)</f>
        <v>0</v>
      </c>
      <c r="AQ54" s="383">
        <f>SUMIF('Asesorías AG anterior'!$B$7:$B$239,B54,'Asesorías AG anterior'!$V$7:$V$239)</f>
        <v>0</v>
      </c>
      <c r="AR54" s="383">
        <f>SUMIF('Asesorías AG anterior'!$B$7:$B$239,B54,'Asesorías AG anterior'!$W$7:$W$239)</f>
        <v>0</v>
      </c>
      <c r="AS54" s="383">
        <f>SUMIF('Asesorías AG anterior'!$B$7:$B$239,B54,'Asesorías AG anterior'!$X$7:$X$239)</f>
        <v>0</v>
      </c>
      <c r="AT54" s="383">
        <f>SUMIF('Asesorías AG anterior'!$B$7:$B$239,B54,'Asesorías AG anterior'!$Y$7:$Y$239)</f>
        <v>0</v>
      </c>
      <c r="AU54" s="383">
        <f>SUMIF('Asesorías AG anterior'!$B$7:$B$239,B54,'Asesorías AG anterior'!$Z$7:$Z$239)</f>
        <v>0</v>
      </c>
      <c r="AV54" s="383">
        <f>SUMIF('Asesorías AG anterior'!$B$7:$B$239,B54,'Asesorías AG anterior'!$AA$7:$AA$239)</f>
        <v>0</v>
      </c>
      <c r="AW54" s="383">
        <f>SUMIF('Asesorías AG anterior'!$B$7:$B$239,B54,'Asesorías AG anterior'!$AB$7:$AB$239)</f>
        <v>0</v>
      </c>
      <c r="AX54" s="335"/>
      <c r="AZ54" s="1097" t="s">
        <v>39</v>
      </c>
    </row>
    <row r="55" spans="1:52" x14ac:dyDescent="0.2">
      <c r="A55" s="1184">
        <f t="shared" si="12"/>
        <v>49</v>
      </c>
      <c r="B55" s="1097" t="s">
        <v>41</v>
      </c>
      <c r="C55" s="1185">
        <f>_xlfn.XLOOKUP(B55,Códigos!$B$8:$B$406,Códigos!$A$8:$A$406,"Verificar",0)</f>
        <v>81</v>
      </c>
      <c r="D55" s="1114">
        <f>_xlfn.XLOOKUP(B55,'Consolidado Cobros'!$B$10:$B$312,'Consolidado Cobros'!$C$10:$C$312,"Verificar",0)</f>
        <v>21378780</v>
      </c>
      <c r="E55" s="1520">
        <f t="shared" si="6"/>
        <v>6</v>
      </c>
      <c r="F55" s="1517">
        <f t="shared" si="7"/>
        <v>0</v>
      </c>
      <c r="G55" s="1251">
        <f t="shared" si="8"/>
        <v>0</v>
      </c>
      <c r="H55" s="1240">
        <f t="shared" si="14"/>
        <v>0</v>
      </c>
      <c r="I55" s="1148"/>
      <c r="J55" s="383">
        <f t="shared" si="2"/>
        <v>0</v>
      </c>
      <c r="K55" s="712"/>
      <c r="L55" s="487">
        <f t="shared" si="9"/>
        <v>0</v>
      </c>
      <c r="M55" s="927"/>
      <c r="N55" s="672">
        <v>0</v>
      </c>
      <c r="O55" s="660"/>
      <c r="P55" s="1092">
        <f t="shared" si="10"/>
        <v>0</v>
      </c>
      <c r="Q55" s="1093">
        <v>0</v>
      </c>
      <c r="R55" s="381">
        <f t="shared" si="22"/>
        <v>0</v>
      </c>
      <c r="S55" s="382"/>
      <c r="T55" s="381"/>
      <c r="U55" s="624"/>
      <c r="V55" s="569">
        <f t="shared" si="11"/>
        <v>0</v>
      </c>
      <c r="W55" s="607"/>
      <c r="X55" s="383"/>
      <c r="Y55" s="607"/>
      <c r="Z55" s="383"/>
      <c r="AA55" s="607"/>
      <c r="AB55" s="718"/>
      <c r="AC55" s="335"/>
      <c r="AD55" s="383">
        <f>SUMIF('Asesorías AG anterior'!$B$7:$B$239,B55,'Asesorías AG anterior'!$I$7:$I$239)</f>
        <v>1E-3</v>
      </c>
      <c r="AE55" s="383">
        <f>SUMIF('Asesorías AG anterior'!$B$7:$B$239,B55,'Asesorías AG anterior'!$J$7:$J$239)</f>
        <v>0</v>
      </c>
      <c r="AF55" s="383">
        <f>SUMIF('Asesorías AG anterior'!$B$7:$B$239,B55,'Asesorías AG anterior'!$K$7:$K$239)</f>
        <v>1E-3</v>
      </c>
      <c r="AG55" s="383">
        <f>SUMIF('Asesorías AG anterior'!$B$7:$B$239,B55,'Asesorías AG anterior'!$L$7:$L$239)</f>
        <v>0</v>
      </c>
      <c r="AH55" s="383">
        <f>SUMIF('Asesorías AG anterior'!$B$7:$B$239,B55,'Asesorías AG anterior'!$M$7:$M$239)</f>
        <v>0</v>
      </c>
      <c r="AI55" s="383">
        <f>SUMIF('Asesorías AG anterior'!$B$7:$B$239,B55,'Asesorías AG anterior'!$N$7:$N$239)</f>
        <v>0</v>
      </c>
      <c r="AJ55" s="383">
        <f>SUMIF('Asesorías AG anterior'!$B$7:$B$239,B55,'Asesorías AG anterior'!$O$7:$O$239)</f>
        <v>1E-3</v>
      </c>
      <c r="AK55" s="383">
        <f>SUMIF('Asesorías AG anterior'!$B$7:$B$239,B55,'Asesorías AG anterior'!$P$7:$P$239)</f>
        <v>0</v>
      </c>
      <c r="AL55" s="383">
        <f>SUMIF('Asesorías AG anterior'!$B$7:$B$239,B55,'Asesorías AG anterior'!$Q$7:$Q$239)</f>
        <v>0</v>
      </c>
      <c r="AM55" s="383">
        <f>SUMIF('Asesorías AG anterior'!$B$7:$B$239,B55,'Asesorías AG anterior'!$R$7:$R$239)</f>
        <v>0</v>
      </c>
      <c r="AN55" s="383"/>
      <c r="AO55" s="383">
        <f>SUMIF('Asesorías AG anterior'!$B$7:$B$239,B55,'Asesorías AG anterior'!$T$7:$T$239)</f>
        <v>0</v>
      </c>
      <c r="AP55" s="383">
        <f>SUMIF('Asesorías AG anterior'!$B$7:$B$239,B55,'Asesorías AG anterior'!$U$7:$U$239)</f>
        <v>0</v>
      </c>
      <c r="AQ55" s="383">
        <f>SUMIF('Asesorías AG anterior'!$B$7:$B$239,B55,'Asesorías AG anterior'!$V$7:$V$239)</f>
        <v>0</v>
      </c>
      <c r="AR55" s="383">
        <f>SUMIF('Asesorías AG anterior'!$B$7:$B$239,B55,'Asesorías AG anterior'!$W$7:$W$239)</f>
        <v>0</v>
      </c>
      <c r="AS55" s="383">
        <f>SUMIF('Asesorías AG anterior'!$B$7:$B$239,B55,'Asesorías AG anterior'!$X$7:$X$239)</f>
        <v>0</v>
      </c>
      <c r="AT55" s="383">
        <f>SUMIF('Asesorías AG anterior'!$B$7:$B$239,B55,'Asesorías AG anterior'!$Y$7:$Y$239)</f>
        <v>0</v>
      </c>
      <c r="AU55" s="383">
        <f>SUMIF('Asesorías AG anterior'!$B$7:$B$239,B55,'Asesorías AG anterior'!$Z$7:$Z$239)</f>
        <v>0</v>
      </c>
      <c r="AV55" s="383">
        <f>SUMIF('Asesorías AG anterior'!$B$7:$B$239,B55,'Asesorías AG anterior'!$AA$7:$AA$239)</f>
        <v>0</v>
      </c>
      <c r="AW55" s="383">
        <f>SUMIF('Asesorías AG anterior'!$B$7:$B$239,B55,'Asesorías AG anterior'!$AB$7:$AB$239)</f>
        <v>0</v>
      </c>
      <c r="AX55" s="335"/>
      <c r="AZ55" s="1393" t="s">
        <v>41</v>
      </c>
    </row>
    <row r="56" spans="1:52" x14ac:dyDescent="0.2">
      <c r="A56" s="1184">
        <f t="shared" si="12"/>
        <v>50</v>
      </c>
      <c r="B56" s="1198" t="s">
        <v>269</v>
      </c>
      <c r="C56" s="1185">
        <f>_xlfn.XLOOKUP(B56,Códigos!$B$8:$B$406,Códigos!$A$8:$A$406,"Verificar",0)</f>
        <v>10</v>
      </c>
      <c r="D56" s="1114">
        <f>_xlfn.XLOOKUP(B56,'Consolidado Cobros'!$B$10:$B$312,'Consolidado Cobros'!$C$10:$C$312,"Verificar",0)</f>
        <v>890911921</v>
      </c>
      <c r="E56" s="1520">
        <f t="shared" si="6"/>
        <v>7</v>
      </c>
      <c r="F56" s="1517">
        <f t="shared" si="7"/>
        <v>0</v>
      </c>
      <c r="G56" s="1251">
        <f t="shared" si="8"/>
        <v>0</v>
      </c>
      <c r="H56" s="1240">
        <f t="shared" si="14"/>
        <v>0</v>
      </c>
      <c r="I56" s="1148"/>
      <c r="J56" s="383">
        <f t="shared" si="2"/>
        <v>0</v>
      </c>
      <c r="K56" s="712">
        <v>1</v>
      </c>
      <c r="L56" s="487">
        <f t="shared" si="9"/>
        <v>0</v>
      </c>
      <c r="M56" s="927"/>
      <c r="N56" s="672">
        <v>0</v>
      </c>
      <c r="O56" s="660"/>
      <c r="P56" s="1092">
        <f t="shared" si="10"/>
        <v>0</v>
      </c>
      <c r="Q56" s="1093">
        <v>0</v>
      </c>
      <c r="R56" s="381">
        <f t="shared" si="22"/>
        <v>0</v>
      </c>
      <c r="S56" s="382"/>
      <c r="T56" s="381"/>
      <c r="U56" s="624"/>
      <c r="V56" s="569">
        <f t="shared" si="11"/>
        <v>0</v>
      </c>
      <c r="W56" s="607"/>
      <c r="X56" s="383"/>
      <c r="Y56" s="607"/>
      <c r="Z56" s="383"/>
      <c r="AA56" s="607"/>
      <c r="AB56" s="718"/>
      <c r="AC56" s="335"/>
      <c r="AD56" s="383">
        <f>SUMIF('Asesorías AG anterior'!$B$7:$B$239,B56,'Asesorías AG anterior'!$I$7:$I$239)</f>
        <v>1E-3</v>
      </c>
      <c r="AE56" s="383">
        <f>SUMIF('Asesorías AG anterior'!$B$7:$B$239,B56,'Asesorías AG anterior'!$J$7:$J$239)</f>
        <v>0</v>
      </c>
      <c r="AF56" s="383">
        <f>SUMIF('Asesorías AG anterior'!$B$7:$B$239,B56,'Asesorías AG anterior'!$K$7:$K$239)</f>
        <v>1E-3</v>
      </c>
      <c r="AG56" s="383">
        <f>SUMIF('Asesorías AG anterior'!$B$7:$B$239,B56,'Asesorías AG anterior'!$L$7:$L$239)</f>
        <v>0</v>
      </c>
      <c r="AH56" s="383">
        <f>SUMIF('Asesorías AG anterior'!$B$7:$B$239,B56,'Asesorías AG anterior'!$M$7:$M$239)</f>
        <v>0</v>
      </c>
      <c r="AI56" s="383">
        <f>SUMIF('Asesorías AG anterior'!$B$7:$B$239,B56,'Asesorías AG anterior'!$N$7:$N$239)</f>
        <v>0</v>
      </c>
      <c r="AJ56" s="383">
        <f>SUMIF('Asesorías AG anterior'!$B$7:$B$239,B56,'Asesorías AG anterior'!$O$7:$O$239)</f>
        <v>1E-3</v>
      </c>
      <c r="AK56" s="383">
        <f>SUMIF('Asesorías AG anterior'!$B$7:$B$239,B56,'Asesorías AG anterior'!$P$7:$P$239)</f>
        <v>0</v>
      </c>
      <c r="AL56" s="383">
        <f>SUMIF('Asesorías AG anterior'!$B$7:$B$239,B56,'Asesorías AG anterior'!$Q$7:$Q$239)</f>
        <v>0</v>
      </c>
      <c r="AM56" s="383">
        <f>SUMIF('Asesorías AG anterior'!$B$7:$B$239,B56,'Asesorías AG anterior'!$R$7:$R$239)</f>
        <v>0</v>
      </c>
      <c r="AN56" s="383"/>
      <c r="AO56" s="383">
        <f>SUMIF('Asesorías AG anterior'!$B$7:$B$239,B56,'Asesorías AG anterior'!$T$7:$T$239)</f>
        <v>0</v>
      </c>
      <c r="AP56" s="383">
        <f>SUMIF('Asesorías AG anterior'!$B$7:$B$239,B56,'Asesorías AG anterior'!$U$7:$U$239)</f>
        <v>0</v>
      </c>
      <c r="AQ56" s="383">
        <f>SUMIF('Asesorías AG anterior'!$B$7:$B$239,B56,'Asesorías AG anterior'!$V$7:$V$239)</f>
        <v>0</v>
      </c>
      <c r="AR56" s="383">
        <f>SUMIF('Asesorías AG anterior'!$B$7:$B$239,B56,'Asesorías AG anterior'!$W$7:$W$239)</f>
        <v>0</v>
      </c>
      <c r="AS56" s="383">
        <f>SUMIF('Asesorías AG anterior'!$B$7:$B$239,B56,'Asesorías AG anterior'!$X$7:$X$239)</f>
        <v>0</v>
      </c>
      <c r="AT56" s="383">
        <f>SUMIF('Asesorías AG anterior'!$B$7:$B$239,B56,'Asesorías AG anterior'!$Y$7:$Y$239)</f>
        <v>0</v>
      </c>
      <c r="AU56" s="383">
        <f>SUMIF('Asesorías AG anterior'!$B$7:$B$239,B56,'Asesorías AG anterior'!$Z$7:$Z$239)</f>
        <v>0</v>
      </c>
      <c r="AV56" s="383">
        <f>SUMIF('Asesorías AG anterior'!$B$7:$B$239,B56,'Asesorías AG anterior'!$AA$7:$AA$239)</f>
        <v>0</v>
      </c>
      <c r="AW56" s="383">
        <f>SUMIF('Asesorías AG anterior'!$B$7:$B$239,B56,'Asesorías AG anterior'!$AB$7:$AB$239)</f>
        <v>0</v>
      </c>
      <c r="AX56" s="335"/>
      <c r="AZ56" s="1137" t="s">
        <v>269</v>
      </c>
    </row>
    <row r="57" spans="1:52" x14ac:dyDescent="0.2">
      <c r="A57" s="1184">
        <f t="shared" si="12"/>
        <v>51</v>
      </c>
      <c r="B57" s="1097" t="s">
        <v>42</v>
      </c>
      <c r="C57" s="1185">
        <f>_xlfn.XLOOKUP(B57,Códigos!$B$8:$B$406,Códigos!$A$8:$A$406,"Verificar",0)</f>
        <v>272</v>
      </c>
      <c r="D57" s="1114">
        <f>_xlfn.XLOOKUP(B57,'Consolidado Cobros'!$B$10:$B$312,'Consolidado Cobros'!$C$10:$C$312,"Verificar",0)</f>
        <v>43832021</v>
      </c>
      <c r="E57" s="1520">
        <f t="shared" si="6"/>
        <v>1</v>
      </c>
      <c r="F57" s="1517">
        <f t="shared" si="7"/>
        <v>0</v>
      </c>
      <c r="G57" s="1251">
        <f t="shared" si="8"/>
        <v>0</v>
      </c>
      <c r="H57" s="1240">
        <f t="shared" si="14"/>
        <v>0</v>
      </c>
      <c r="I57" s="1148"/>
      <c r="J57" s="383">
        <f t="shared" si="2"/>
        <v>0</v>
      </c>
      <c r="K57" s="712"/>
      <c r="L57" s="487">
        <f t="shared" si="9"/>
        <v>0</v>
      </c>
      <c r="M57" s="927"/>
      <c r="N57" s="672">
        <v>0</v>
      </c>
      <c r="O57" s="660"/>
      <c r="P57" s="1092">
        <f t="shared" si="10"/>
        <v>0</v>
      </c>
      <c r="Q57" s="1093">
        <v>0</v>
      </c>
      <c r="R57" s="381">
        <f t="shared" si="22"/>
        <v>0</v>
      </c>
      <c r="S57" s="382"/>
      <c r="T57" s="381"/>
      <c r="U57" s="624"/>
      <c r="V57" s="569">
        <f t="shared" si="11"/>
        <v>0</v>
      </c>
      <c r="W57" s="607"/>
      <c r="X57" s="383"/>
      <c r="Y57" s="607"/>
      <c r="Z57" s="383"/>
      <c r="AA57" s="607"/>
      <c r="AB57" s="718"/>
      <c r="AC57" s="335"/>
      <c r="AD57" s="383">
        <f>SUMIF('Asesorías AG anterior'!$B$7:$B$239,B57,'Asesorías AG anterior'!$I$7:$I$239)</f>
        <v>1E-3</v>
      </c>
      <c r="AE57" s="383">
        <f>SUMIF('Asesorías AG anterior'!$B$7:$B$239,B57,'Asesorías AG anterior'!$J$7:$J$239)</f>
        <v>0</v>
      </c>
      <c r="AF57" s="383">
        <f>SUMIF('Asesorías AG anterior'!$B$7:$B$239,B57,'Asesorías AG anterior'!$K$7:$K$239)</f>
        <v>1E-3</v>
      </c>
      <c r="AG57" s="383">
        <f>SUMIF('Asesorías AG anterior'!$B$7:$B$239,B57,'Asesorías AG anterior'!$L$7:$L$239)</f>
        <v>0</v>
      </c>
      <c r="AH57" s="383">
        <f>SUMIF('Asesorías AG anterior'!$B$7:$B$239,B57,'Asesorías AG anterior'!$M$7:$M$239)</f>
        <v>0</v>
      </c>
      <c r="AI57" s="383">
        <f>SUMIF('Asesorías AG anterior'!$B$7:$B$239,B57,'Asesorías AG anterior'!$N$7:$N$239)</f>
        <v>0</v>
      </c>
      <c r="AJ57" s="383">
        <f>SUMIF('Asesorías AG anterior'!$B$7:$B$239,B57,'Asesorías AG anterior'!$O$7:$O$239)</f>
        <v>1E-3</v>
      </c>
      <c r="AK57" s="383">
        <f>SUMIF('Asesorías AG anterior'!$B$7:$B$239,B57,'Asesorías AG anterior'!$P$7:$P$239)</f>
        <v>0</v>
      </c>
      <c r="AL57" s="383">
        <f>SUMIF('Asesorías AG anterior'!$B$7:$B$239,B57,'Asesorías AG anterior'!$Q$7:$Q$239)</f>
        <v>0</v>
      </c>
      <c r="AM57" s="383">
        <f>SUMIF('Asesorías AG anterior'!$B$7:$B$239,B57,'Asesorías AG anterior'!$R$7:$R$239)</f>
        <v>0</v>
      </c>
      <c r="AN57" s="383"/>
      <c r="AO57" s="383">
        <f>SUMIF('Asesorías AG anterior'!$B$7:$B$239,B57,'Asesorías AG anterior'!$T$7:$T$239)</f>
        <v>0</v>
      </c>
      <c r="AP57" s="383">
        <f>SUMIF('Asesorías AG anterior'!$B$7:$B$239,B57,'Asesorías AG anterior'!$U$7:$U$239)</f>
        <v>0</v>
      </c>
      <c r="AQ57" s="383">
        <f>SUMIF('Asesorías AG anterior'!$B$7:$B$239,B57,'Asesorías AG anterior'!$V$7:$V$239)</f>
        <v>0</v>
      </c>
      <c r="AR57" s="383">
        <f>SUMIF('Asesorías AG anterior'!$B$7:$B$239,B57,'Asesorías AG anterior'!$W$7:$W$239)</f>
        <v>0</v>
      </c>
      <c r="AS57" s="383">
        <f>SUMIF('Asesorías AG anterior'!$B$7:$B$239,B57,'Asesorías AG anterior'!$X$7:$X$239)</f>
        <v>0</v>
      </c>
      <c r="AT57" s="383">
        <f>SUMIF('Asesorías AG anterior'!$B$7:$B$239,B57,'Asesorías AG anterior'!$Y$7:$Y$239)</f>
        <v>0</v>
      </c>
      <c r="AU57" s="383">
        <f>SUMIF('Asesorías AG anterior'!$B$7:$B$239,B57,'Asesorías AG anterior'!$Z$7:$Z$239)</f>
        <v>0</v>
      </c>
      <c r="AV57" s="383">
        <f>SUMIF('Asesorías AG anterior'!$B$7:$B$239,B57,'Asesorías AG anterior'!$AA$7:$AA$239)</f>
        <v>0</v>
      </c>
      <c r="AW57" s="383">
        <f>SUMIF('Asesorías AG anterior'!$B$7:$B$239,B57,'Asesorías AG anterior'!$AB$7:$AB$239)</f>
        <v>0</v>
      </c>
      <c r="AX57" s="335"/>
      <c r="AZ57" s="1097" t="s">
        <v>42</v>
      </c>
    </row>
    <row r="58" spans="1:52" x14ac:dyDescent="0.2">
      <c r="A58" s="1184">
        <f t="shared" si="12"/>
        <v>52</v>
      </c>
      <c r="B58" s="1097" t="s">
        <v>43</v>
      </c>
      <c r="C58" s="1185">
        <f>_xlfn.XLOOKUP(B58,Códigos!$B$8:$B$406,Códigos!$A$8:$A$406,"Verificar",0)</f>
        <v>83</v>
      </c>
      <c r="D58" s="1114">
        <f>_xlfn.XLOOKUP(B58,'Consolidado Cobros'!$B$10:$B$312,'Consolidado Cobros'!$C$10:$C$312,"Verificar",0)</f>
        <v>42684082</v>
      </c>
      <c r="E58" s="1520">
        <f t="shared" si="6"/>
        <v>1</v>
      </c>
      <c r="F58" s="1517">
        <f t="shared" si="7"/>
        <v>0</v>
      </c>
      <c r="G58" s="1251">
        <f t="shared" si="8"/>
        <v>0</v>
      </c>
      <c r="H58" s="1240">
        <f t="shared" si="14"/>
        <v>0</v>
      </c>
      <c r="I58" s="1148"/>
      <c r="J58" s="383">
        <f t="shared" si="2"/>
        <v>0</v>
      </c>
      <c r="K58" s="712"/>
      <c r="L58" s="487">
        <f t="shared" si="9"/>
        <v>0</v>
      </c>
      <c r="M58" s="927"/>
      <c r="N58" s="672">
        <v>0</v>
      </c>
      <c r="O58" s="660"/>
      <c r="P58" s="1092">
        <f t="shared" si="10"/>
        <v>0</v>
      </c>
      <c r="Q58" s="1093">
        <v>0</v>
      </c>
      <c r="R58" s="381">
        <f t="shared" si="22"/>
        <v>0</v>
      </c>
      <c r="S58" s="382"/>
      <c r="T58" s="381"/>
      <c r="U58" s="624"/>
      <c r="V58" s="569">
        <f t="shared" si="11"/>
        <v>0</v>
      </c>
      <c r="W58" s="607"/>
      <c r="X58" s="383"/>
      <c r="Y58" s="607"/>
      <c r="Z58" s="383"/>
      <c r="AA58" s="607"/>
      <c r="AB58" s="718"/>
      <c r="AC58" s="335"/>
      <c r="AD58" s="383">
        <f>SUMIF('Asesorías AG anterior'!$B$7:$B$239,B58,'Asesorías AG anterior'!$I$7:$I$239)</f>
        <v>1E-3</v>
      </c>
      <c r="AE58" s="383">
        <f>SUMIF('Asesorías AG anterior'!$B$7:$B$239,B58,'Asesorías AG anterior'!$J$7:$J$239)</f>
        <v>0</v>
      </c>
      <c r="AF58" s="383">
        <f>SUMIF('Asesorías AG anterior'!$B$7:$B$239,B58,'Asesorías AG anterior'!$K$7:$K$239)</f>
        <v>1E-3</v>
      </c>
      <c r="AG58" s="383">
        <f>SUMIF('Asesorías AG anterior'!$B$7:$B$239,B58,'Asesorías AG anterior'!$L$7:$L$239)</f>
        <v>0</v>
      </c>
      <c r="AH58" s="383">
        <f>SUMIF('Asesorías AG anterior'!$B$7:$B$239,B58,'Asesorías AG anterior'!$M$7:$M$239)</f>
        <v>0</v>
      </c>
      <c r="AI58" s="383">
        <f>SUMIF('Asesorías AG anterior'!$B$7:$B$239,B58,'Asesorías AG anterior'!$N$7:$N$239)</f>
        <v>0</v>
      </c>
      <c r="AJ58" s="383">
        <f>SUMIF('Asesorías AG anterior'!$B$7:$B$239,B58,'Asesorías AG anterior'!$O$7:$O$239)</f>
        <v>1E-3</v>
      </c>
      <c r="AK58" s="383">
        <f>SUMIF('Asesorías AG anterior'!$B$7:$B$239,B58,'Asesorías AG anterior'!$P$7:$P$239)</f>
        <v>0</v>
      </c>
      <c r="AL58" s="383">
        <f>SUMIF('Asesorías AG anterior'!$B$7:$B$239,B58,'Asesorías AG anterior'!$Q$7:$Q$239)</f>
        <v>0</v>
      </c>
      <c r="AM58" s="383">
        <f>SUMIF('Asesorías AG anterior'!$B$7:$B$239,B58,'Asesorías AG anterior'!$R$7:$R$239)</f>
        <v>0</v>
      </c>
      <c r="AN58" s="383"/>
      <c r="AO58" s="383">
        <f>SUMIF('Asesorías AG anterior'!$B$7:$B$239,B58,'Asesorías AG anterior'!$T$7:$T$239)</f>
        <v>0</v>
      </c>
      <c r="AP58" s="383">
        <f>SUMIF('Asesorías AG anterior'!$B$7:$B$239,B58,'Asesorías AG anterior'!$U$7:$U$239)</f>
        <v>0</v>
      </c>
      <c r="AQ58" s="383">
        <f>SUMIF('Asesorías AG anterior'!$B$7:$B$239,B58,'Asesorías AG anterior'!$V$7:$V$239)</f>
        <v>0</v>
      </c>
      <c r="AR58" s="383">
        <f>SUMIF('Asesorías AG anterior'!$B$7:$B$239,B58,'Asesorías AG anterior'!$W$7:$W$239)</f>
        <v>0</v>
      </c>
      <c r="AS58" s="383">
        <f>SUMIF('Asesorías AG anterior'!$B$7:$B$239,B58,'Asesorías AG anterior'!$X$7:$X$239)</f>
        <v>0</v>
      </c>
      <c r="AT58" s="383">
        <f>SUMIF('Asesorías AG anterior'!$B$7:$B$239,B58,'Asesorías AG anterior'!$Y$7:$Y$239)</f>
        <v>0</v>
      </c>
      <c r="AU58" s="383">
        <f>SUMIF('Asesorías AG anterior'!$B$7:$B$239,B58,'Asesorías AG anterior'!$Z$7:$Z$239)</f>
        <v>0</v>
      </c>
      <c r="AV58" s="383">
        <f>SUMIF('Asesorías AG anterior'!$B$7:$B$239,B58,'Asesorías AG anterior'!$AA$7:$AA$239)</f>
        <v>0</v>
      </c>
      <c r="AW58" s="383">
        <f>SUMIF('Asesorías AG anterior'!$B$7:$B$239,B58,'Asesorías AG anterior'!$AB$7:$AB$239)</f>
        <v>0</v>
      </c>
      <c r="AX58" s="335"/>
      <c r="AZ58" s="1097" t="s">
        <v>43</v>
      </c>
    </row>
    <row r="59" spans="1:52" x14ac:dyDescent="0.2">
      <c r="A59" s="1184">
        <f t="shared" si="12"/>
        <v>53</v>
      </c>
      <c r="B59" s="1097" t="s">
        <v>44</v>
      </c>
      <c r="C59" s="1185">
        <f>_xlfn.XLOOKUP(B59,Códigos!$B$8:$B$406,Códigos!$A$8:$A$406,"Verificar",0)</f>
        <v>84</v>
      </c>
      <c r="D59" s="1114">
        <f>_xlfn.XLOOKUP(B59,'Consolidado Cobros'!$B$10:$B$312,'Consolidado Cobros'!$C$10:$C$312,"Verificar",0)</f>
        <v>3309812</v>
      </c>
      <c r="E59" s="1520">
        <f t="shared" si="6"/>
        <v>3</v>
      </c>
      <c r="F59" s="1517">
        <f t="shared" si="7"/>
        <v>0</v>
      </c>
      <c r="G59" s="1251">
        <f t="shared" si="8"/>
        <v>0</v>
      </c>
      <c r="H59" s="1240">
        <f t="shared" si="14"/>
        <v>0</v>
      </c>
      <c r="I59" s="1148"/>
      <c r="J59" s="383">
        <f t="shared" si="2"/>
        <v>0</v>
      </c>
      <c r="K59" s="712"/>
      <c r="L59" s="487">
        <f t="shared" si="9"/>
        <v>0</v>
      </c>
      <c r="M59" s="927"/>
      <c r="N59" s="672">
        <v>0</v>
      </c>
      <c r="O59" s="660"/>
      <c r="P59" s="1092">
        <f t="shared" si="10"/>
        <v>0</v>
      </c>
      <c r="Q59" s="1093">
        <v>0</v>
      </c>
      <c r="R59" s="381">
        <f t="shared" si="22"/>
        <v>0</v>
      </c>
      <c r="S59" s="382"/>
      <c r="T59" s="381"/>
      <c r="U59" s="624"/>
      <c r="V59" s="569">
        <f t="shared" si="11"/>
        <v>0</v>
      </c>
      <c r="W59" s="607"/>
      <c r="X59" s="383"/>
      <c r="Y59" s="607"/>
      <c r="Z59" s="383"/>
      <c r="AA59" s="607"/>
      <c r="AB59" s="718"/>
      <c r="AC59" s="335"/>
      <c r="AD59" s="383">
        <f>SUMIF('Asesorías AG anterior'!$B$7:$B$239,B59,'Asesorías AG anterior'!$I$7:$I$239)</f>
        <v>1E-3</v>
      </c>
      <c r="AE59" s="383">
        <f>SUMIF('Asesorías AG anterior'!$B$7:$B$239,B59,'Asesorías AG anterior'!$J$7:$J$239)</f>
        <v>0</v>
      </c>
      <c r="AF59" s="383">
        <f>SUMIF('Asesorías AG anterior'!$B$7:$B$239,B59,'Asesorías AG anterior'!$K$7:$K$239)</f>
        <v>1E-3</v>
      </c>
      <c r="AG59" s="383">
        <f>SUMIF('Asesorías AG anterior'!$B$7:$B$239,B59,'Asesorías AG anterior'!$L$7:$L$239)</f>
        <v>0</v>
      </c>
      <c r="AH59" s="383">
        <f>SUMIF('Asesorías AG anterior'!$B$7:$B$239,B59,'Asesorías AG anterior'!$M$7:$M$239)</f>
        <v>0</v>
      </c>
      <c r="AI59" s="383">
        <f>SUMIF('Asesorías AG anterior'!$B$7:$B$239,B59,'Asesorías AG anterior'!$N$7:$N$239)</f>
        <v>0</v>
      </c>
      <c r="AJ59" s="383">
        <f>SUMIF('Asesorías AG anterior'!$B$7:$B$239,B59,'Asesorías AG anterior'!$O$7:$O$239)</f>
        <v>1E-3</v>
      </c>
      <c r="AK59" s="383">
        <f>SUMIF('Asesorías AG anterior'!$B$7:$B$239,B59,'Asesorías AG anterior'!$P$7:$P$239)</f>
        <v>0</v>
      </c>
      <c r="AL59" s="383">
        <f>SUMIF('Asesorías AG anterior'!$B$7:$B$239,B59,'Asesorías AG anterior'!$Q$7:$Q$239)</f>
        <v>0</v>
      </c>
      <c r="AM59" s="383">
        <f>SUMIF('Asesorías AG anterior'!$B$7:$B$239,B59,'Asesorías AG anterior'!$R$7:$R$239)</f>
        <v>0</v>
      </c>
      <c r="AN59" s="383"/>
      <c r="AO59" s="383">
        <f>SUMIF('Asesorías AG anterior'!$B$7:$B$239,B59,'Asesorías AG anterior'!$T$7:$T$239)</f>
        <v>0</v>
      </c>
      <c r="AP59" s="383">
        <f>SUMIF('Asesorías AG anterior'!$B$7:$B$239,B59,'Asesorías AG anterior'!$U$7:$U$239)</f>
        <v>0</v>
      </c>
      <c r="AQ59" s="383">
        <f>SUMIF('Asesorías AG anterior'!$B$7:$B$239,B59,'Asesorías AG anterior'!$V$7:$V$239)</f>
        <v>0</v>
      </c>
      <c r="AR59" s="383">
        <f>SUMIF('Asesorías AG anterior'!$B$7:$B$239,B59,'Asesorías AG anterior'!$W$7:$W$239)</f>
        <v>0</v>
      </c>
      <c r="AS59" s="383">
        <f>SUMIF('Asesorías AG anterior'!$B$7:$B$239,B59,'Asesorías AG anterior'!$X$7:$X$239)</f>
        <v>0</v>
      </c>
      <c r="AT59" s="383">
        <f>SUMIF('Asesorías AG anterior'!$B$7:$B$239,B59,'Asesorías AG anterior'!$Y$7:$Y$239)</f>
        <v>0</v>
      </c>
      <c r="AU59" s="383">
        <f>SUMIF('Asesorías AG anterior'!$B$7:$B$239,B59,'Asesorías AG anterior'!$Z$7:$Z$239)</f>
        <v>0</v>
      </c>
      <c r="AV59" s="383">
        <f>SUMIF('Asesorías AG anterior'!$B$7:$B$239,B59,'Asesorías AG anterior'!$AA$7:$AA$239)</f>
        <v>0</v>
      </c>
      <c r="AW59" s="383">
        <f>SUMIF('Asesorías AG anterior'!$B$7:$B$239,B59,'Asesorías AG anterior'!$AB$7:$AB$239)</f>
        <v>0</v>
      </c>
      <c r="AX59" s="335"/>
      <c r="AZ59" s="1097" t="s">
        <v>44</v>
      </c>
    </row>
    <row r="60" spans="1:52" x14ac:dyDescent="0.2">
      <c r="A60" s="1184">
        <f t="shared" si="12"/>
        <v>54</v>
      </c>
      <c r="B60" s="1097" t="s">
        <v>313</v>
      </c>
      <c r="C60" s="1185">
        <f>_xlfn.XLOOKUP(B60,Códigos!$B$8:$B$406,Códigos!$A$8:$A$406,"Verificar",0)</f>
        <v>329</v>
      </c>
      <c r="D60" s="1114">
        <f>_xlfn.XLOOKUP(B60,'Consolidado Cobros'!$B$10:$B$312,'Consolidado Cobros'!$C$10:$C$312,"Verificar",0)</f>
        <v>21344340</v>
      </c>
      <c r="E60" s="1520">
        <f t="shared" si="6"/>
        <v>2</v>
      </c>
      <c r="F60" s="1517">
        <f t="shared" si="7"/>
        <v>0</v>
      </c>
      <c r="G60" s="1251">
        <f t="shared" si="8"/>
        <v>0</v>
      </c>
      <c r="H60" s="1240">
        <f t="shared" si="14"/>
        <v>0</v>
      </c>
      <c r="I60" s="1148"/>
      <c r="J60" s="383">
        <f t="shared" si="2"/>
        <v>0</v>
      </c>
      <c r="K60" s="712"/>
      <c r="L60" s="487">
        <f t="shared" si="9"/>
        <v>0</v>
      </c>
      <c r="M60" s="927"/>
      <c r="N60" s="672">
        <v>0</v>
      </c>
      <c r="O60" s="660"/>
      <c r="P60" s="1092">
        <f t="shared" si="10"/>
        <v>0</v>
      </c>
      <c r="Q60" s="1093">
        <v>0</v>
      </c>
      <c r="R60" s="381">
        <f t="shared" si="22"/>
        <v>0</v>
      </c>
      <c r="S60" s="382"/>
      <c r="T60" s="381"/>
      <c r="U60" s="624"/>
      <c r="V60" s="569">
        <f t="shared" si="11"/>
        <v>0</v>
      </c>
      <c r="W60" s="607"/>
      <c r="X60" s="383"/>
      <c r="Y60" s="607"/>
      <c r="Z60" s="383"/>
      <c r="AA60" s="607"/>
      <c r="AB60" s="718"/>
      <c r="AC60" s="335"/>
      <c r="AD60" s="383">
        <f>SUMIF('Asesorías AG anterior'!$B$7:$B$239,B60,'Asesorías AG anterior'!$I$7:$I$239)</f>
        <v>1E-3</v>
      </c>
      <c r="AE60" s="383">
        <f>SUMIF('Asesorías AG anterior'!$B$7:$B$239,B60,'Asesorías AG anterior'!$J$7:$J$239)</f>
        <v>0</v>
      </c>
      <c r="AF60" s="383">
        <f>SUMIF('Asesorías AG anterior'!$B$7:$B$239,B60,'Asesorías AG anterior'!$K$7:$K$239)</f>
        <v>1E-3</v>
      </c>
      <c r="AG60" s="383">
        <f>SUMIF('Asesorías AG anterior'!$B$7:$B$239,B60,'Asesorías AG anterior'!$L$7:$L$239)</f>
        <v>0</v>
      </c>
      <c r="AH60" s="383">
        <f>SUMIF('Asesorías AG anterior'!$B$7:$B$239,B60,'Asesorías AG anterior'!$M$7:$M$239)</f>
        <v>0</v>
      </c>
      <c r="AI60" s="383">
        <f>SUMIF('Asesorías AG anterior'!$B$7:$B$239,B60,'Asesorías AG anterior'!$N$7:$N$239)</f>
        <v>0</v>
      </c>
      <c r="AJ60" s="383">
        <f>SUMIF('Asesorías AG anterior'!$B$7:$B$239,B60,'Asesorías AG anterior'!$O$7:$O$239)</f>
        <v>1E-3</v>
      </c>
      <c r="AK60" s="383">
        <f>SUMIF('Asesorías AG anterior'!$B$7:$B$239,B60,'Asesorías AG anterior'!$P$7:$P$239)</f>
        <v>0</v>
      </c>
      <c r="AL60" s="383">
        <f>SUMIF('Asesorías AG anterior'!$B$7:$B$239,B60,'Asesorías AG anterior'!$Q$7:$Q$239)</f>
        <v>0</v>
      </c>
      <c r="AM60" s="383">
        <f>SUMIF('Asesorías AG anterior'!$B$7:$B$239,B60,'Asesorías AG anterior'!$R$7:$R$239)</f>
        <v>0</v>
      </c>
      <c r="AN60" s="383"/>
      <c r="AO60" s="383">
        <f>SUMIF('Asesorías AG anterior'!$B$7:$B$239,B60,'Asesorías AG anterior'!$T$7:$T$239)</f>
        <v>0</v>
      </c>
      <c r="AP60" s="383">
        <f>SUMIF('Asesorías AG anterior'!$B$7:$B$239,B60,'Asesorías AG anterior'!$U$7:$U$239)</f>
        <v>0</v>
      </c>
      <c r="AQ60" s="383">
        <f>SUMIF('Asesorías AG anterior'!$B$7:$B$239,B60,'Asesorías AG anterior'!$V$7:$V$239)</f>
        <v>0</v>
      </c>
      <c r="AR60" s="383">
        <f>SUMIF('Asesorías AG anterior'!$B$7:$B$239,B60,'Asesorías AG anterior'!$W$7:$W$239)</f>
        <v>0</v>
      </c>
      <c r="AS60" s="383">
        <f>SUMIF('Asesorías AG anterior'!$B$7:$B$239,B60,'Asesorías AG anterior'!$X$7:$X$239)</f>
        <v>0</v>
      </c>
      <c r="AT60" s="383">
        <f>SUMIF('Asesorías AG anterior'!$B$7:$B$239,B60,'Asesorías AG anterior'!$Y$7:$Y$239)</f>
        <v>0</v>
      </c>
      <c r="AU60" s="383">
        <f>SUMIF('Asesorías AG anterior'!$B$7:$B$239,B60,'Asesorías AG anterior'!$Z$7:$Z$239)</f>
        <v>0</v>
      </c>
      <c r="AV60" s="383">
        <f>SUMIF('Asesorías AG anterior'!$B$7:$B$239,B60,'Asesorías AG anterior'!$AA$7:$AA$239)</f>
        <v>0</v>
      </c>
      <c r="AW60" s="383">
        <f>SUMIF('Asesorías AG anterior'!$B$7:$B$239,B60,'Asesorías AG anterior'!$AB$7:$AB$239)</f>
        <v>0</v>
      </c>
      <c r="AX60" s="335"/>
      <c r="AZ60" s="1097" t="s">
        <v>313</v>
      </c>
    </row>
    <row r="61" spans="1:52" x14ac:dyDescent="0.2">
      <c r="A61" s="1184">
        <f t="shared" si="12"/>
        <v>55</v>
      </c>
      <c r="B61" s="1097" t="s">
        <v>432</v>
      </c>
      <c r="C61" s="1185">
        <f>_xlfn.XLOOKUP(B61,Códigos!$B$8:$B$406,Códigos!$A$8:$A$406,"Verificar",0)</f>
        <v>85</v>
      </c>
      <c r="D61" s="1114">
        <f>_xlfn.XLOOKUP(B61,'Consolidado Cobros'!$B$10:$B$312,'Consolidado Cobros'!$C$10:$C$312,"Verificar",0)</f>
        <v>42888678</v>
      </c>
      <c r="E61" s="1520">
        <f t="shared" si="6"/>
        <v>7</v>
      </c>
      <c r="F61" s="1517">
        <f t="shared" si="7"/>
        <v>0</v>
      </c>
      <c r="G61" s="1251">
        <f t="shared" si="8"/>
        <v>0</v>
      </c>
      <c r="H61" s="1240">
        <f t="shared" si="14"/>
        <v>0</v>
      </c>
      <c r="I61" s="1148"/>
      <c r="J61" s="383">
        <f t="shared" si="2"/>
        <v>0</v>
      </c>
      <c r="K61" s="712"/>
      <c r="L61" s="487">
        <f t="shared" si="9"/>
        <v>0</v>
      </c>
      <c r="M61" s="927"/>
      <c r="N61" s="672">
        <v>0</v>
      </c>
      <c r="O61" s="660"/>
      <c r="P61" s="1092">
        <f t="shared" si="10"/>
        <v>0</v>
      </c>
      <c r="Q61" s="1093">
        <v>0</v>
      </c>
      <c r="R61" s="381">
        <f t="shared" si="22"/>
        <v>0</v>
      </c>
      <c r="S61" s="382"/>
      <c r="T61" s="381"/>
      <c r="U61" s="624"/>
      <c r="V61" s="569">
        <f t="shared" si="11"/>
        <v>0</v>
      </c>
      <c r="W61" s="607"/>
      <c r="X61" s="383"/>
      <c r="Y61" s="607"/>
      <c r="Z61" s="383"/>
      <c r="AA61" s="607"/>
      <c r="AB61" s="718"/>
      <c r="AC61" s="335"/>
      <c r="AD61" s="383">
        <f>SUMIF('Asesorías AG anterior'!$B$7:$B$239,B61,'Asesorías AG anterior'!$I$7:$I$239)</f>
        <v>1E-3</v>
      </c>
      <c r="AE61" s="383">
        <f>SUMIF('Asesorías AG anterior'!$B$7:$B$239,B61,'Asesorías AG anterior'!$J$7:$J$239)</f>
        <v>0</v>
      </c>
      <c r="AF61" s="383">
        <f>SUMIF('Asesorías AG anterior'!$B$7:$B$239,B61,'Asesorías AG anterior'!$K$7:$K$239)</f>
        <v>1E-3</v>
      </c>
      <c r="AG61" s="383">
        <f>SUMIF('Asesorías AG anterior'!$B$7:$B$239,B61,'Asesorías AG anterior'!$L$7:$L$239)</f>
        <v>0</v>
      </c>
      <c r="AH61" s="383">
        <f>SUMIF('Asesorías AG anterior'!$B$7:$B$239,B61,'Asesorías AG anterior'!$M$7:$M$239)</f>
        <v>0</v>
      </c>
      <c r="AI61" s="383">
        <f>SUMIF('Asesorías AG anterior'!$B$7:$B$239,B61,'Asesorías AG anterior'!$N$7:$N$239)</f>
        <v>0</v>
      </c>
      <c r="AJ61" s="383">
        <f>SUMIF('Asesorías AG anterior'!$B$7:$B$239,B61,'Asesorías AG anterior'!$O$7:$O$239)</f>
        <v>1E-3</v>
      </c>
      <c r="AK61" s="383">
        <f>SUMIF('Asesorías AG anterior'!$B$7:$B$239,B61,'Asesorías AG anterior'!$P$7:$P$239)</f>
        <v>0</v>
      </c>
      <c r="AL61" s="383">
        <f>SUMIF('Asesorías AG anterior'!$B$7:$B$239,B61,'Asesorías AG anterior'!$Q$7:$Q$239)</f>
        <v>0</v>
      </c>
      <c r="AM61" s="383">
        <f>SUMIF('Asesorías AG anterior'!$B$7:$B$239,B61,'Asesorías AG anterior'!$R$7:$R$239)</f>
        <v>0</v>
      </c>
      <c r="AN61" s="383"/>
      <c r="AO61" s="383">
        <f>SUMIF('Asesorías AG anterior'!$B$7:$B$239,B61,'Asesorías AG anterior'!$T$7:$T$239)</f>
        <v>0</v>
      </c>
      <c r="AP61" s="383">
        <f>SUMIF('Asesorías AG anterior'!$B$7:$B$239,B61,'Asesorías AG anterior'!$U$7:$U$239)</f>
        <v>0</v>
      </c>
      <c r="AQ61" s="383">
        <f>SUMIF('Asesorías AG anterior'!$B$7:$B$239,B61,'Asesorías AG anterior'!$V$7:$V$239)</f>
        <v>0</v>
      </c>
      <c r="AR61" s="383">
        <f>SUMIF('Asesorías AG anterior'!$B$7:$B$239,B61,'Asesorías AG anterior'!$W$7:$W$239)</f>
        <v>0</v>
      </c>
      <c r="AS61" s="383">
        <f>SUMIF('Asesorías AG anterior'!$B$7:$B$239,B61,'Asesorías AG anterior'!$X$7:$X$239)</f>
        <v>0</v>
      </c>
      <c r="AT61" s="383">
        <f>SUMIF('Asesorías AG anterior'!$B$7:$B$239,B61,'Asesorías AG anterior'!$Y$7:$Y$239)</f>
        <v>0</v>
      </c>
      <c r="AU61" s="383">
        <f>SUMIF('Asesorías AG anterior'!$B$7:$B$239,B61,'Asesorías AG anterior'!$Z$7:$Z$239)</f>
        <v>0</v>
      </c>
      <c r="AV61" s="383">
        <f>SUMIF('Asesorías AG anterior'!$B$7:$B$239,B61,'Asesorías AG anterior'!$AA$7:$AA$239)</f>
        <v>0</v>
      </c>
      <c r="AW61" s="383">
        <f>SUMIF('Asesorías AG anterior'!$B$7:$B$239,B61,'Asesorías AG anterior'!$AB$7:$AB$239)</f>
        <v>0</v>
      </c>
      <c r="AX61" s="335"/>
      <c r="AZ61" s="1097" t="s">
        <v>432</v>
      </c>
    </row>
    <row r="62" spans="1:52" x14ac:dyDescent="0.2">
      <c r="A62" s="1184">
        <f t="shared" si="12"/>
        <v>56</v>
      </c>
      <c r="B62" s="1097" t="s">
        <v>46</v>
      </c>
      <c r="C62" s="1185">
        <f>_xlfn.XLOOKUP(B62,Códigos!$B$8:$B$406,Códigos!$A$8:$A$406,"Verificar",0)</f>
        <v>273</v>
      </c>
      <c r="D62" s="1114">
        <f>_xlfn.XLOOKUP(B62,'Consolidado Cobros'!$B$10:$B$312,'Consolidado Cobros'!$C$10:$C$312,"Verificar",0)</f>
        <v>43870119</v>
      </c>
      <c r="E62" s="1520">
        <f t="shared" si="6"/>
        <v>6</v>
      </c>
      <c r="F62" s="1517">
        <f t="shared" si="7"/>
        <v>0</v>
      </c>
      <c r="G62" s="1251">
        <f t="shared" si="8"/>
        <v>0</v>
      </c>
      <c r="H62" s="1240">
        <f t="shared" si="14"/>
        <v>0</v>
      </c>
      <c r="I62" s="1148"/>
      <c r="J62" s="383">
        <f t="shared" si="2"/>
        <v>0</v>
      </c>
      <c r="K62" s="712"/>
      <c r="L62" s="487">
        <f t="shared" si="9"/>
        <v>0</v>
      </c>
      <c r="M62" s="927"/>
      <c r="N62" s="672">
        <v>0</v>
      </c>
      <c r="O62" s="660"/>
      <c r="P62" s="1092">
        <f t="shared" si="10"/>
        <v>0</v>
      </c>
      <c r="Q62" s="1093">
        <v>0</v>
      </c>
      <c r="R62" s="381">
        <f t="shared" si="22"/>
        <v>0</v>
      </c>
      <c r="S62" s="382"/>
      <c r="T62" s="381"/>
      <c r="U62" s="624"/>
      <c r="V62" s="569">
        <f t="shared" si="11"/>
        <v>0</v>
      </c>
      <c r="W62" s="607"/>
      <c r="X62" s="383"/>
      <c r="Y62" s="607"/>
      <c r="Z62" s="383"/>
      <c r="AA62" s="607"/>
      <c r="AB62" s="718"/>
      <c r="AC62" s="335"/>
      <c r="AD62" s="383">
        <f>SUMIF('Asesorías AG anterior'!$B$7:$B$239,B62,'Asesorías AG anterior'!$I$7:$I$239)</f>
        <v>1E-3</v>
      </c>
      <c r="AE62" s="383">
        <f>SUMIF('Asesorías AG anterior'!$B$7:$B$239,B62,'Asesorías AG anterior'!$J$7:$J$239)</f>
        <v>0</v>
      </c>
      <c r="AF62" s="383">
        <f>SUMIF('Asesorías AG anterior'!$B$7:$B$239,B62,'Asesorías AG anterior'!$K$7:$K$239)</f>
        <v>1E-3</v>
      </c>
      <c r="AG62" s="383">
        <f>SUMIF('Asesorías AG anterior'!$B$7:$B$239,B62,'Asesorías AG anterior'!$L$7:$L$239)</f>
        <v>0</v>
      </c>
      <c r="AH62" s="383">
        <f>SUMIF('Asesorías AG anterior'!$B$7:$B$239,B62,'Asesorías AG anterior'!$M$7:$M$239)</f>
        <v>0</v>
      </c>
      <c r="AI62" s="383">
        <f>SUMIF('Asesorías AG anterior'!$B$7:$B$239,B62,'Asesorías AG anterior'!$N$7:$N$239)</f>
        <v>0</v>
      </c>
      <c r="AJ62" s="383">
        <f>SUMIF('Asesorías AG anterior'!$B$7:$B$239,B62,'Asesorías AG anterior'!$O$7:$O$239)</f>
        <v>1E-3</v>
      </c>
      <c r="AK62" s="383">
        <f>SUMIF('Asesorías AG anterior'!$B$7:$B$239,B62,'Asesorías AG anterior'!$P$7:$P$239)</f>
        <v>0</v>
      </c>
      <c r="AL62" s="383">
        <f>SUMIF('Asesorías AG anterior'!$B$7:$B$239,B62,'Asesorías AG anterior'!$Q$7:$Q$239)</f>
        <v>0</v>
      </c>
      <c r="AM62" s="383">
        <f>SUMIF('Asesorías AG anterior'!$B$7:$B$239,B62,'Asesorías AG anterior'!$R$7:$R$239)</f>
        <v>0</v>
      </c>
      <c r="AN62" s="383"/>
      <c r="AO62" s="383">
        <f>SUMIF('Asesorías AG anterior'!$B$7:$B$239,B62,'Asesorías AG anterior'!$T$7:$T$239)</f>
        <v>0</v>
      </c>
      <c r="AP62" s="383">
        <f>SUMIF('Asesorías AG anterior'!$B$7:$B$239,B62,'Asesorías AG anterior'!$U$7:$U$239)</f>
        <v>0</v>
      </c>
      <c r="AQ62" s="383">
        <f>SUMIF('Asesorías AG anterior'!$B$7:$B$239,B62,'Asesorías AG anterior'!$V$7:$V$239)</f>
        <v>0</v>
      </c>
      <c r="AR62" s="383">
        <f>SUMIF('Asesorías AG anterior'!$B$7:$B$239,B62,'Asesorías AG anterior'!$W$7:$W$239)</f>
        <v>0</v>
      </c>
      <c r="AS62" s="383">
        <f>SUMIF('Asesorías AG anterior'!$B$7:$B$239,B62,'Asesorías AG anterior'!$X$7:$X$239)</f>
        <v>0</v>
      </c>
      <c r="AT62" s="383">
        <f>SUMIF('Asesorías AG anterior'!$B$7:$B$239,B62,'Asesorías AG anterior'!$Y$7:$Y$239)</f>
        <v>0</v>
      </c>
      <c r="AU62" s="383">
        <f>SUMIF('Asesorías AG anterior'!$B$7:$B$239,B62,'Asesorías AG anterior'!$Z$7:$Z$239)</f>
        <v>0</v>
      </c>
      <c r="AV62" s="383">
        <f>SUMIF('Asesorías AG anterior'!$B$7:$B$239,B62,'Asesorías AG anterior'!$AA$7:$AA$239)</f>
        <v>0</v>
      </c>
      <c r="AW62" s="383">
        <f>SUMIF('Asesorías AG anterior'!$B$7:$B$239,B62,'Asesorías AG anterior'!$AB$7:$AB$239)</f>
        <v>0</v>
      </c>
      <c r="AX62" s="335"/>
      <c r="AZ62" s="1097" t="s">
        <v>46</v>
      </c>
    </row>
    <row r="63" spans="1:52" x14ac:dyDescent="0.2">
      <c r="A63" s="1184">
        <f t="shared" si="12"/>
        <v>57</v>
      </c>
      <c r="B63" s="1097" t="s">
        <v>47</v>
      </c>
      <c r="C63" s="1185">
        <f>_xlfn.XLOOKUP(B63,Códigos!$B$8:$B$406,Códigos!$A$8:$A$406,"Verificar",0)</f>
        <v>87</v>
      </c>
      <c r="D63" s="1114">
        <f>_xlfn.XLOOKUP(B63,'Consolidado Cobros'!$B$10:$B$312,'Consolidado Cobros'!$C$10:$C$312,"Verificar",0)</f>
        <v>1000410740</v>
      </c>
      <c r="E63" s="1520">
        <f t="shared" si="6"/>
        <v>2</v>
      </c>
      <c r="F63" s="1517">
        <f t="shared" si="7"/>
        <v>0</v>
      </c>
      <c r="G63" s="1251">
        <f t="shared" si="8"/>
        <v>0</v>
      </c>
      <c r="H63" s="1240">
        <f t="shared" si="14"/>
        <v>0</v>
      </c>
      <c r="I63" s="1148"/>
      <c r="J63" s="383">
        <f t="shared" si="2"/>
        <v>0</v>
      </c>
      <c r="K63" s="712"/>
      <c r="L63" s="487">
        <f t="shared" si="9"/>
        <v>0</v>
      </c>
      <c r="M63" s="927"/>
      <c r="N63" s="672">
        <v>0</v>
      </c>
      <c r="O63" s="660"/>
      <c r="P63" s="1092">
        <f t="shared" si="10"/>
        <v>0</v>
      </c>
      <c r="Q63" s="1093">
        <v>0</v>
      </c>
      <c r="R63" s="381">
        <f t="shared" si="22"/>
        <v>0</v>
      </c>
      <c r="S63" s="382"/>
      <c r="T63" s="381"/>
      <c r="U63" s="624"/>
      <c r="V63" s="569">
        <f t="shared" si="11"/>
        <v>0</v>
      </c>
      <c r="W63" s="607"/>
      <c r="X63" s="383"/>
      <c r="Y63" s="607"/>
      <c r="Z63" s="383"/>
      <c r="AA63" s="607"/>
      <c r="AB63" s="718"/>
      <c r="AC63" s="335"/>
      <c r="AD63" s="383">
        <f>SUMIF('Asesorías AG anterior'!$B$7:$B$239,B63,'Asesorías AG anterior'!$I$7:$I$239)</f>
        <v>1E-3</v>
      </c>
      <c r="AE63" s="383">
        <f>SUMIF('Asesorías AG anterior'!$B$7:$B$239,B63,'Asesorías AG anterior'!$J$7:$J$239)</f>
        <v>0</v>
      </c>
      <c r="AF63" s="383">
        <f>SUMIF('Asesorías AG anterior'!$B$7:$B$239,B63,'Asesorías AG anterior'!$K$7:$K$239)</f>
        <v>1E-3</v>
      </c>
      <c r="AG63" s="383">
        <f>SUMIF('Asesorías AG anterior'!$B$7:$B$239,B63,'Asesorías AG anterior'!$L$7:$L$239)</f>
        <v>0</v>
      </c>
      <c r="AH63" s="383">
        <f>SUMIF('Asesorías AG anterior'!$B$7:$B$239,B63,'Asesorías AG anterior'!$M$7:$M$239)</f>
        <v>0</v>
      </c>
      <c r="AI63" s="383">
        <f>SUMIF('Asesorías AG anterior'!$B$7:$B$239,B63,'Asesorías AG anterior'!$N$7:$N$239)</f>
        <v>0</v>
      </c>
      <c r="AJ63" s="383">
        <f>SUMIF('Asesorías AG anterior'!$B$7:$B$239,B63,'Asesorías AG anterior'!$O$7:$O$239)</f>
        <v>1E-3</v>
      </c>
      <c r="AK63" s="383">
        <f>SUMIF('Asesorías AG anterior'!$B$7:$B$239,B63,'Asesorías AG anterior'!$P$7:$P$239)</f>
        <v>0</v>
      </c>
      <c r="AL63" s="383">
        <f>SUMIF('Asesorías AG anterior'!$B$7:$B$239,B63,'Asesorías AG anterior'!$Q$7:$Q$239)</f>
        <v>0</v>
      </c>
      <c r="AM63" s="383">
        <f>SUMIF('Asesorías AG anterior'!$B$7:$B$239,B63,'Asesorías AG anterior'!$R$7:$R$239)</f>
        <v>0</v>
      </c>
      <c r="AN63" s="383"/>
      <c r="AO63" s="383">
        <f>SUMIF('Asesorías AG anterior'!$B$7:$B$239,B63,'Asesorías AG anterior'!$T$7:$T$239)</f>
        <v>0</v>
      </c>
      <c r="AP63" s="383">
        <f>SUMIF('Asesorías AG anterior'!$B$7:$B$239,B63,'Asesorías AG anterior'!$U$7:$U$239)</f>
        <v>0</v>
      </c>
      <c r="AQ63" s="383">
        <f>SUMIF('Asesorías AG anterior'!$B$7:$B$239,B63,'Asesorías AG anterior'!$V$7:$V$239)</f>
        <v>0</v>
      </c>
      <c r="AR63" s="383">
        <f>SUMIF('Asesorías AG anterior'!$B$7:$B$239,B63,'Asesorías AG anterior'!$W$7:$W$239)</f>
        <v>0</v>
      </c>
      <c r="AS63" s="383">
        <f>SUMIF('Asesorías AG anterior'!$B$7:$B$239,B63,'Asesorías AG anterior'!$X$7:$X$239)</f>
        <v>0</v>
      </c>
      <c r="AT63" s="383">
        <f>SUMIF('Asesorías AG anterior'!$B$7:$B$239,B63,'Asesorías AG anterior'!$Y$7:$Y$239)</f>
        <v>0</v>
      </c>
      <c r="AU63" s="383">
        <f>SUMIF('Asesorías AG anterior'!$B$7:$B$239,B63,'Asesorías AG anterior'!$Z$7:$Z$239)</f>
        <v>0</v>
      </c>
      <c r="AV63" s="383">
        <f>SUMIF('Asesorías AG anterior'!$B$7:$B$239,B63,'Asesorías AG anterior'!$AA$7:$AA$239)</f>
        <v>0</v>
      </c>
      <c r="AW63" s="383">
        <f>SUMIF('Asesorías AG anterior'!$B$7:$B$239,B63,'Asesorías AG anterior'!$AB$7:$AB$239)</f>
        <v>0</v>
      </c>
      <c r="AX63" s="335"/>
      <c r="AZ63" s="1097" t="s">
        <v>47</v>
      </c>
    </row>
    <row r="64" spans="1:52" x14ac:dyDescent="0.2">
      <c r="A64" s="1184">
        <f t="shared" si="12"/>
        <v>58</v>
      </c>
      <c r="B64" s="1097" t="s">
        <v>48</v>
      </c>
      <c r="C64" s="1185">
        <f>_xlfn.XLOOKUP(B64,Códigos!$B$8:$B$406,Códigos!$A$8:$A$406,"Verificar",0)</f>
        <v>88</v>
      </c>
      <c r="D64" s="1114">
        <f>_xlfn.XLOOKUP(B64,'Consolidado Cobros'!$B$10:$B$312,'Consolidado Cobros'!$C$10:$C$312,"Verificar",0)</f>
        <v>1017922378</v>
      </c>
      <c r="E64" s="1520">
        <f t="shared" si="6"/>
        <v>8</v>
      </c>
      <c r="F64" s="1517">
        <f t="shared" si="7"/>
        <v>0</v>
      </c>
      <c r="G64" s="1251">
        <f t="shared" si="8"/>
        <v>0</v>
      </c>
      <c r="H64" s="1240">
        <f t="shared" si="14"/>
        <v>0</v>
      </c>
      <c r="I64" s="1148"/>
      <c r="J64" s="383">
        <f t="shared" si="2"/>
        <v>0</v>
      </c>
      <c r="K64" s="712"/>
      <c r="L64" s="487">
        <f t="shared" si="9"/>
        <v>0</v>
      </c>
      <c r="M64" s="927"/>
      <c r="N64" s="672">
        <v>0</v>
      </c>
      <c r="O64" s="660"/>
      <c r="P64" s="1092">
        <f t="shared" si="10"/>
        <v>0</v>
      </c>
      <c r="Q64" s="1093">
        <v>0</v>
      </c>
      <c r="R64" s="381">
        <f t="shared" si="22"/>
        <v>0</v>
      </c>
      <c r="S64" s="382"/>
      <c r="T64" s="381"/>
      <c r="U64" s="624"/>
      <c r="V64" s="569">
        <f t="shared" si="11"/>
        <v>0</v>
      </c>
      <c r="W64" s="607"/>
      <c r="X64" s="383"/>
      <c r="Y64" s="607"/>
      <c r="Z64" s="383"/>
      <c r="AA64" s="607"/>
      <c r="AB64" s="718"/>
      <c r="AC64" s="335"/>
      <c r="AD64" s="383">
        <f>SUMIF('Asesorías AG anterior'!$B$7:$B$239,B64,'Asesorías AG anterior'!$I$7:$I$239)</f>
        <v>1E-3</v>
      </c>
      <c r="AE64" s="383">
        <f>SUMIF('Asesorías AG anterior'!$B$7:$B$239,B64,'Asesorías AG anterior'!$J$7:$J$239)</f>
        <v>0</v>
      </c>
      <c r="AF64" s="383">
        <f>SUMIF('Asesorías AG anterior'!$B$7:$B$239,B64,'Asesorías AG anterior'!$K$7:$K$239)</f>
        <v>1E-3</v>
      </c>
      <c r="AG64" s="383">
        <f>SUMIF('Asesorías AG anterior'!$B$7:$B$239,B64,'Asesorías AG anterior'!$L$7:$L$239)</f>
        <v>0</v>
      </c>
      <c r="AH64" s="383">
        <f>SUMIF('Asesorías AG anterior'!$B$7:$B$239,B64,'Asesorías AG anterior'!$M$7:$M$239)</f>
        <v>0</v>
      </c>
      <c r="AI64" s="383">
        <f>SUMIF('Asesorías AG anterior'!$B$7:$B$239,B64,'Asesorías AG anterior'!$N$7:$N$239)</f>
        <v>0</v>
      </c>
      <c r="AJ64" s="383">
        <f>SUMIF('Asesorías AG anterior'!$B$7:$B$239,B64,'Asesorías AG anterior'!$O$7:$O$239)</f>
        <v>1E-3</v>
      </c>
      <c r="AK64" s="383">
        <f>SUMIF('Asesorías AG anterior'!$B$7:$B$239,B64,'Asesorías AG anterior'!$P$7:$P$239)</f>
        <v>0</v>
      </c>
      <c r="AL64" s="383">
        <f>SUMIF('Asesorías AG anterior'!$B$7:$B$239,B64,'Asesorías AG anterior'!$Q$7:$Q$239)</f>
        <v>0</v>
      </c>
      <c r="AM64" s="383">
        <f>SUMIF('Asesorías AG anterior'!$B$7:$B$239,B64,'Asesorías AG anterior'!$R$7:$R$239)</f>
        <v>0</v>
      </c>
      <c r="AN64" s="383"/>
      <c r="AO64" s="383">
        <f>SUMIF('Asesorías AG anterior'!$B$7:$B$239,B64,'Asesorías AG anterior'!$T$7:$T$239)</f>
        <v>0</v>
      </c>
      <c r="AP64" s="383">
        <f>SUMIF('Asesorías AG anterior'!$B$7:$B$239,B64,'Asesorías AG anterior'!$U$7:$U$239)</f>
        <v>0</v>
      </c>
      <c r="AQ64" s="383">
        <f>SUMIF('Asesorías AG anterior'!$B$7:$B$239,B64,'Asesorías AG anterior'!$V$7:$V$239)</f>
        <v>0</v>
      </c>
      <c r="AR64" s="383">
        <f>SUMIF('Asesorías AG anterior'!$B$7:$B$239,B64,'Asesorías AG anterior'!$W$7:$W$239)</f>
        <v>0</v>
      </c>
      <c r="AS64" s="383">
        <f>SUMIF('Asesorías AG anterior'!$B$7:$B$239,B64,'Asesorías AG anterior'!$X$7:$X$239)</f>
        <v>0</v>
      </c>
      <c r="AT64" s="383">
        <f>SUMIF('Asesorías AG anterior'!$B$7:$B$239,B64,'Asesorías AG anterior'!$Y$7:$Y$239)</f>
        <v>0</v>
      </c>
      <c r="AU64" s="383">
        <f>SUMIF('Asesorías AG anterior'!$B$7:$B$239,B64,'Asesorías AG anterior'!$Z$7:$Z$239)</f>
        <v>0</v>
      </c>
      <c r="AV64" s="383">
        <f>SUMIF('Asesorías AG anterior'!$B$7:$B$239,B64,'Asesorías AG anterior'!$AA$7:$AA$239)</f>
        <v>0</v>
      </c>
      <c r="AW64" s="383">
        <f>SUMIF('Asesorías AG anterior'!$B$7:$B$239,B64,'Asesorías AG anterior'!$AB$7:$AB$239)</f>
        <v>0</v>
      </c>
      <c r="AX64" s="335"/>
      <c r="AZ64" s="1097" t="s">
        <v>48</v>
      </c>
    </row>
    <row r="65" spans="1:52" x14ac:dyDescent="0.2">
      <c r="A65" s="1184">
        <f t="shared" si="12"/>
        <v>59</v>
      </c>
      <c r="B65" s="1097" t="s">
        <v>774</v>
      </c>
      <c r="C65" s="1185">
        <f>_xlfn.XLOOKUP(B65,Códigos!$B$8:$B$406,Códigos!$A$8:$A$406,"Verificar",0)</f>
        <v>309</v>
      </c>
      <c r="D65" s="1114">
        <f>_xlfn.XLOOKUP(B65,'Consolidado Cobros'!$B$10:$B$312,'Consolidado Cobros'!$C$10:$C$312,"Verificar",0)</f>
        <v>42780425</v>
      </c>
      <c r="E65" s="1520">
        <f t="shared" ref="E65" si="23">IF((MOD((VALUE(MID(TEXT(D65,"000000000000000"),15,1))*3+VALUE(MID(TEXT(D65,"000000000000000"),14,1))*7+VALUE(MID(TEXT(D65,"000000000000000"),13,1))*13+VALUE(MID(TEXT(D65,"000000000000000"),12,1))*17+VALUE(MID(TEXT(D65,"000000000000000"),11,1))*19+VALUE(MID(TEXT(D65,"000000000000000"),10,1))*23+VALUE(MID(TEXT(D65,"000000000000000"),9,1))*29+VALUE(MID(TEXT(D65,"000000000000000"),8,1))*37+VALUE(MID(TEXT(D65,"000000000000000"),7,1))*41+VALUE(MID(TEXT(D65,"000000000000000"),6,1))*43+VALUE(MID(TEXT(D65,"000000000000000"),5,1))*47+VALUE(MID(TEXT(D65,"000000000000000"),4,1))*53+VALUE(MID(TEXT(D65,"000000000000000"),3,1))*59+VALUE(MID(TEXT(D65,"000000000000000"),2,1))*67+VALUE(MID(TEXT(D65,"000000000000000"),1,1))*71),11))=0,0,IF((MOD((VALUE(MID(TEXT(D65,"000000000000000"),15,1))*3+VALUE(MID(TEXT(D65,"000000000000000"),14,1))*7+VALUE(MID(TEXT(D65,"000000000000000"),13,1))*13+VALUE(MID(TEXT(D65,"000000000000000"),12,1))*17+VALUE(MID(TEXT(D65,"000000000000000"),11,1))*19+VALUE(MID(TEXT(D65,"000000000000000"),10,1))*23+VALUE(MID(TEXT(D65,"000000000000000"),9,1))*29+VALUE(MID(TEXT(D65,"000000000000000"),8,1))*37+VALUE(MID(TEXT(D65,"000000000000000"),7,1))*41+VALUE(MID(TEXT(D65,"000000000000000"),6,1))*43+VALUE(MID(TEXT(D65,"000000000000000"),5,1))*47+VALUE(MID(TEXT(D65,"000000000000000"),4,1))*53+VALUE(MID(TEXT(D65,"000000000000000"),3,1))*59+VALUE(MID(TEXT(D65,"000000000000000"),2,1))*67+VALUE(MID(TEXT(D65,"000000000000000"),1,1))*71),11))=1,1,11-(MOD((VALUE(MID(TEXT(D65,"000000000000000"),15,1))*3+VALUE(MID(TEXT(D65,"000000000000000"),14,1))*7+VALUE(MID(TEXT(D65,"000000000000000"),13,1))*13+VALUE(MID(TEXT(D65,"000000000000000"),12,1))*17+VALUE(MID(TEXT(D65,"000000000000000"),11,1))*19+VALUE(MID(TEXT(D65,"000000000000000"),10,1))*23+VALUE(MID(TEXT(D65,"000000000000000"),9,1))*29+VALUE(MID(TEXT(D65,"000000000000000"),8,1))*37+VALUE(MID(TEXT(D65,"000000000000000"),7,1))*41+VALUE(MID(TEXT(D65,"000000000000000"),6,1))*43+VALUE(MID(TEXT(D65,"000000000000000"),5,1))*47+VALUE(MID(TEXT(D65,"000000000000000"),4,1))*53+VALUE(MID(TEXT(D65,"000000000000000"),3,1))*59+VALUE(MID(TEXT(D65,"000000000000000"),2,1))*67+VALUE(MID(TEXT(D65,"000000000000000"),1,1))*71),11))))</f>
        <v>5</v>
      </c>
      <c r="F65" s="1517">
        <f t="shared" ref="F65" si="24">+IF(H65&gt;0,H65,0)</f>
        <v>0</v>
      </c>
      <c r="G65" s="1251">
        <f t="shared" ref="G65" si="25">+IF(V65&gt;0,V65,0)</f>
        <v>0</v>
      </c>
      <c r="H65" s="1240">
        <f t="shared" si="14"/>
        <v>0</v>
      </c>
      <c r="I65" s="1148"/>
      <c r="J65" s="383">
        <f t="shared" ref="J65" si="26">+(AE65/AD65*(100%+$J$4))*I65</f>
        <v>0</v>
      </c>
      <c r="K65" s="712"/>
      <c r="L65" s="487">
        <f t="shared" ref="L65" si="27">+(AG65/AF65*(100%+$J$4))*K65</f>
        <v>0</v>
      </c>
      <c r="M65" s="927"/>
      <c r="N65" s="672">
        <v>0</v>
      </c>
      <c r="O65" s="660"/>
      <c r="P65" s="1092">
        <f t="shared" ref="P65" si="28">ROUND(IF(O65="SI",AK65*(100%+$P$4),0),-4)</f>
        <v>0</v>
      </c>
      <c r="Q65" s="1093">
        <v>0</v>
      </c>
      <c r="R65" s="381">
        <f t="shared" si="22"/>
        <v>0</v>
      </c>
      <c r="S65" s="382"/>
      <c r="T65" s="381"/>
      <c r="U65" s="624"/>
      <c r="V65" s="569">
        <f t="shared" ref="V65" si="29">+X65+Z65+AB65</f>
        <v>0</v>
      </c>
      <c r="W65" s="607"/>
      <c r="X65" s="383"/>
      <c r="Y65" s="607"/>
      <c r="Z65" s="383"/>
      <c r="AA65" s="607"/>
      <c r="AB65" s="718"/>
      <c r="AC65" s="335"/>
      <c r="AD65" s="383">
        <f>SUMIF('Asesorías AG anterior'!$B$7:$B$239,B65,'Asesorías AG anterior'!$I$7:$I$239)</f>
        <v>1E-3</v>
      </c>
      <c r="AE65" s="383">
        <f>SUMIF('Asesorías AG anterior'!$B$7:$B$239,B65,'Asesorías AG anterior'!$J$7:$J$239)</f>
        <v>0</v>
      </c>
      <c r="AF65" s="383">
        <f>SUMIF('Asesorías AG anterior'!$B$7:$B$239,B65,'Asesorías AG anterior'!$K$7:$K$239)</f>
        <v>1E-3</v>
      </c>
      <c r="AG65" s="383">
        <f>SUMIF('Asesorías AG anterior'!$B$7:$B$239,B65,'Asesorías AG anterior'!$L$7:$L$239)</f>
        <v>0</v>
      </c>
      <c r="AH65" s="383">
        <f>SUMIF('Asesorías AG anterior'!$B$7:$B$239,B65,'Asesorías AG anterior'!$M$7:$M$239)</f>
        <v>0</v>
      </c>
      <c r="AI65" s="383">
        <f>SUMIF('Asesorías AG anterior'!$B$7:$B$239,B65,'Asesorías AG anterior'!$N$7:$N$239)</f>
        <v>0</v>
      </c>
      <c r="AJ65" s="383">
        <f>SUMIF('Asesorías AG anterior'!$B$7:$B$239,B65,'Asesorías AG anterior'!$O$7:$O$239)</f>
        <v>1E-3</v>
      </c>
      <c r="AK65" s="383">
        <f>SUMIF('Asesorías AG anterior'!$B$7:$B$239,B65,'Asesorías AG anterior'!$P$7:$P$239)</f>
        <v>0</v>
      </c>
      <c r="AL65" s="383">
        <f>SUMIF('Asesorías AG anterior'!$B$7:$B$239,B65,'Asesorías AG anterior'!$Q$7:$Q$239)</f>
        <v>0</v>
      </c>
      <c r="AM65" s="383">
        <f>SUMIF('Asesorías AG anterior'!$B$7:$B$239,B65,'Asesorías AG anterior'!$R$7:$R$239)</f>
        <v>0</v>
      </c>
      <c r="AN65" s="383"/>
      <c r="AO65" s="383">
        <f>SUMIF('Asesorías AG anterior'!$B$7:$B$239,B65,'Asesorías AG anterior'!$T$7:$T$239)</f>
        <v>0</v>
      </c>
      <c r="AP65" s="383">
        <f>SUMIF('Asesorías AG anterior'!$B$7:$B$239,B65,'Asesorías AG anterior'!$U$7:$U$239)</f>
        <v>0</v>
      </c>
      <c r="AQ65" s="383">
        <f>SUMIF('Asesorías AG anterior'!$B$7:$B$239,B65,'Asesorías AG anterior'!$V$7:$V$239)</f>
        <v>0</v>
      </c>
      <c r="AR65" s="383">
        <f>SUMIF('Asesorías AG anterior'!$B$7:$B$239,B65,'Asesorías AG anterior'!$W$7:$W$239)</f>
        <v>0</v>
      </c>
      <c r="AS65" s="383">
        <f>SUMIF('Asesorías AG anterior'!$B$7:$B$239,B65,'Asesorías AG anterior'!$X$7:$X$239)</f>
        <v>0</v>
      </c>
      <c r="AT65" s="383">
        <f>SUMIF('Asesorías AG anterior'!$B$7:$B$239,B65,'Asesorías AG anterior'!$Y$7:$Y$239)</f>
        <v>0</v>
      </c>
      <c r="AU65" s="383">
        <f>SUMIF('Asesorías AG anterior'!$B$7:$B$239,B65,'Asesorías AG anterior'!$Z$7:$Z$239)</f>
        <v>0</v>
      </c>
      <c r="AV65" s="383">
        <f>SUMIF('Asesorías AG anterior'!$B$7:$B$239,B65,'Asesorías AG anterior'!$AA$7:$AA$239)</f>
        <v>0</v>
      </c>
      <c r="AW65" s="383">
        <f>SUMIF('Asesorías AG anterior'!$B$7:$B$239,B65,'Asesorías AG anterior'!$AB$7:$AB$239)</f>
        <v>0</v>
      </c>
      <c r="AX65" s="335"/>
      <c r="AZ65" s="1097" t="s">
        <v>774</v>
      </c>
    </row>
    <row r="66" spans="1:52" x14ac:dyDescent="0.2">
      <c r="A66" s="1184">
        <f t="shared" si="12"/>
        <v>60</v>
      </c>
      <c r="B66" s="1097" t="s">
        <v>657</v>
      </c>
      <c r="C66" s="1185">
        <f>_xlfn.XLOOKUP(B66,Códigos!$B$8:$B$406,Códigos!$A$8:$A$406,"Verificar",0)</f>
        <v>244</v>
      </c>
      <c r="D66" s="1114">
        <f>_xlfn.XLOOKUP(B66,'Consolidado Cobros'!$B$10:$B$312,'Consolidado Cobros'!$C$10:$C$312,"Verificar",0)</f>
        <v>71227472</v>
      </c>
      <c r="E66" s="1520">
        <f t="shared" ref="E66:E111" si="30">IF((MOD((VALUE(MID(TEXT(D66,"000000000000000"),15,1))*3+VALUE(MID(TEXT(D66,"000000000000000"),14,1))*7+VALUE(MID(TEXT(D66,"000000000000000"),13,1))*13+VALUE(MID(TEXT(D66,"000000000000000"),12,1))*17+VALUE(MID(TEXT(D66,"000000000000000"),11,1))*19+VALUE(MID(TEXT(D66,"000000000000000"),10,1))*23+VALUE(MID(TEXT(D66,"000000000000000"),9,1))*29+VALUE(MID(TEXT(D66,"000000000000000"),8,1))*37+VALUE(MID(TEXT(D66,"000000000000000"),7,1))*41+VALUE(MID(TEXT(D66,"000000000000000"),6,1))*43+VALUE(MID(TEXT(D66,"000000000000000"),5,1))*47+VALUE(MID(TEXT(D66,"000000000000000"),4,1))*53+VALUE(MID(TEXT(D66,"000000000000000"),3,1))*59+VALUE(MID(TEXT(D66,"000000000000000"),2,1))*67+VALUE(MID(TEXT(D66,"000000000000000"),1,1))*71),11))=0,0,IF((MOD((VALUE(MID(TEXT(D66,"000000000000000"),15,1))*3+VALUE(MID(TEXT(D66,"000000000000000"),14,1))*7+VALUE(MID(TEXT(D66,"000000000000000"),13,1))*13+VALUE(MID(TEXT(D66,"000000000000000"),12,1))*17+VALUE(MID(TEXT(D66,"000000000000000"),11,1))*19+VALUE(MID(TEXT(D66,"000000000000000"),10,1))*23+VALUE(MID(TEXT(D66,"000000000000000"),9,1))*29+VALUE(MID(TEXT(D66,"000000000000000"),8,1))*37+VALUE(MID(TEXT(D66,"000000000000000"),7,1))*41+VALUE(MID(TEXT(D66,"000000000000000"),6,1))*43+VALUE(MID(TEXT(D66,"000000000000000"),5,1))*47+VALUE(MID(TEXT(D66,"000000000000000"),4,1))*53+VALUE(MID(TEXT(D66,"000000000000000"),3,1))*59+VALUE(MID(TEXT(D66,"000000000000000"),2,1))*67+VALUE(MID(TEXT(D66,"000000000000000"),1,1))*71),11))=1,1,11-(MOD((VALUE(MID(TEXT(D66,"000000000000000"),15,1))*3+VALUE(MID(TEXT(D66,"000000000000000"),14,1))*7+VALUE(MID(TEXT(D66,"000000000000000"),13,1))*13+VALUE(MID(TEXT(D66,"000000000000000"),12,1))*17+VALUE(MID(TEXT(D66,"000000000000000"),11,1))*19+VALUE(MID(TEXT(D66,"000000000000000"),10,1))*23+VALUE(MID(TEXT(D66,"000000000000000"),9,1))*29+VALUE(MID(TEXT(D66,"000000000000000"),8,1))*37+VALUE(MID(TEXT(D66,"000000000000000"),7,1))*41+VALUE(MID(TEXT(D66,"000000000000000"),6,1))*43+VALUE(MID(TEXT(D66,"000000000000000"),5,1))*47+VALUE(MID(TEXT(D66,"000000000000000"),4,1))*53+VALUE(MID(TEXT(D66,"000000000000000"),3,1))*59+VALUE(MID(TEXT(D66,"000000000000000"),2,1))*67+VALUE(MID(TEXT(D66,"000000000000000"),1,1))*71),11))))</f>
        <v>7</v>
      </c>
      <c r="F66" s="1517">
        <f t="shared" ref="F66:F111" si="31">+IF(H66&gt;0,H66,0)</f>
        <v>0</v>
      </c>
      <c r="G66" s="1251">
        <f t="shared" ref="G66:G111" si="32">+IF(V66&gt;0,V66,0)</f>
        <v>0</v>
      </c>
      <c r="H66" s="1240">
        <f t="shared" si="14"/>
        <v>0</v>
      </c>
      <c r="I66" s="1148"/>
      <c r="J66" s="383">
        <f t="shared" ref="J66:J111" si="33">+(AE66/AD66*(100%+$J$4))*I66</f>
        <v>0</v>
      </c>
      <c r="K66" s="712"/>
      <c r="L66" s="487">
        <f t="shared" ref="L66:L111" si="34">+(AG66/AF66*(100%+$J$4))*K66</f>
        <v>0</v>
      </c>
      <c r="M66" s="927"/>
      <c r="N66" s="672">
        <v>0</v>
      </c>
      <c r="O66" s="660"/>
      <c r="P66" s="1092">
        <f t="shared" ref="P66:P111" si="35">ROUND(IF(O66="SI",AK66*(100%+$P$4),0),-4)</f>
        <v>0</v>
      </c>
      <c r="Q66" s="1093">
        <v>0</v>
      </c>
      <c r="R66" s="381">
        <f t="shared" si="22"/>
        <v>0</v>
      </c>
      <c r="S66" s="382"/>
      <c r="T66" s="381"/>
      <c r="U66" s="624"/>
      <c r="V66" s="569">
        <f t="shared" ref="V66:V111" si="36">+X66+Z66+AB66</f>
        <v>0</v>
      </c>
      <c r="W66" s="607"/>
      <c r="X66" s="383"/>
      <c r="Y66" s="607"/>
      <c r="Z66" s="383"/>
      <c r="AA66" s="607"/>
      <c r="AB66" s="718"/>
      <c r="AC66" s="335"/>
      <c r="AD66" s="383">
        <f>SUMIF('Asesorías AG anterior'!$B$7:$B$239,B66,'Asesorías AG anterior'!$I$7:$I$239)</f>
        <v>1E-3</v>
      </c>
      <c r="AE66" s="383">
        <f>SUMIF('Asesorías AG anterior'!$B$7:$B$239,B66,'Asesorías AG anterior'!$J$7:$J$239)</f>
        <v>0</v>
      </c>
      <c r="AF66" s="383">
        <f>SUMIF('Asesorías AG anterior'!$B$7:$B$239,B66,'Asesorías AG anterior'!$K$7:$K$239)</f>
        <v>1E-3</v>
      </c>
      <c r="AG66" s="383">
        <f>SUMIF('Asesorías AG anterior'!$B$7:$B$239,B66,'Asesorías AG anterior'!$L$7:$L$239)</f>
        <v>0</v>
      </c>
      <c r="AH66" s="383">
        <f>SUMIF('Asesorías AG anterior'!$B$7:$B$239,B66,'Asesorías AG anterior'!$M$7:$M$239)</f>
        <v>0</v>
      </c>
      <c r="AI66" s="383">
        <f>SUMIF('Asesorías AG anterior'!$B$7:$B$239,B66,'Asesorías AG anterior'!$N$7:$N$239)</f>
        <v>0</v>
      </c>
      <c r="AJ66" s="383">
        <f>SUMIF('Asesorías AG anterior'!$B$7:$B$239,B66,'Asesorías AG anterior'!$O$7:$O$239)</f>
        <v>1E-3</v>
      </c>
      <c r="AK66" s="383">
        <f>SUMIF('Asesorías AG anterior'!$B$7:$B$239,B66,'Asesorías AG anterior'!$P$7:$P$239)</f>
        <v>0</v>
      </c>
      <c r="AL66" s="383">
        <f>SUMIF('Asesorías AG anterior'!$B$7:$B$239,B66,'Asesorías AG anterior'!$Q$7:$Q$239)</f>
        <v>0</v>
      </c>
      <c r="AM66" s="383">
        <f>SUMIF('Asesorías AG anterior'!$B$7:$B$239,B66,'Asesorías AG anterior'!$R$7:$R$239)</f>
        <v>0</v>
      </c>
      <c r="AN66" s="383"/>
      <c r="AO66" s="383">
        <f>SUMIF('Asesorías AG anterior'!$B$7:$B$239,B66,'Asesorías AG anterior'!$T$7:$T$239)</f>
        <v>0</v>
      </c>
      <c r="AP66" s="383">
        <f>SUMIF('Asesorías AG anterior'!$B$7:$B$239,B66,'Asesorías AG anterior'!$U$7:$U$239)</f>
        <v>0</v>
      </c>
      <c r="AQ66" s="383">
        <f>SUMIF('Asesorías AG anterior'!$B$7:$B$239,B66,'Asesorías AG anterior'!$V$7:$V$239)</f>
        <v>0</v>
      </c>
      <c r="AR66" s="383">
        <f>SUMIF('Asesorías AG anterior'!$B$7:$B$239,B66,'Asesorías AG anterior'!$W$7:$W$239)</f>
        <v>0</v>
      </c>
      <c r="AS66" s="383">
        <f>SUMIF('Asesorías AG anterior'!$B$7:$B$239,B66,'Asesorías AG anterior'!$X$7:$X$239)</f>
        <v>0</v>
      </c>
      <c r="AT66" s="383">
        <f>SUMIF('Asesorías AG anterior'!$B$7:$B$239,B66,'Asesorías AG anterior'!$Y$7:$Y$239)</f>
        <v>0</v>
      </c>
      <c r="AU66" s="383">
        <f>SUMIF('Asesorías AG anterior'!$B$7:$B$239,B66,'Asesorías AG anterior'!$Z$7:$Z$239)</f>
        <v>0</v>
      </c>
      <c r="AV66" s="383">
        <f>SUMIF('Asesorías AG anterior'!$B$7:$B$239,B66,'Asesorías AG anterior'!$AA$7:$AA$239)</f>
        <v>0</v>
      </c>
      <c r="AW66" s="383">
        <f>SUMIF('Asesorías AG anterior'!$B$7:$B$239,B66,'Asesorías AG anterior'!$AB$7:$AB$239)</f>
        <v>0</v>
      </c>
      <c r="AX66" s="335"/>
      <c r="AZ66" s="1137" t="s">
        <v>657</v>
      </c>
    </row>
    <row r="67" spans="1:52" x14ac:dyDescent="0.2">
      <c r="A67" s="1184">
        <f t="shared" si="12"/>
        <v>61</v>
      </c>
      <c r="B67" s="1097" t="s">
        <v>52</v>
      </c>
      <c r="C67" s="1185">
        <f>_xlfn.XLOOKUP(B67,Códigos!$B$8:$B$406,Códigos!$A$8:$A$406,"Verificar",0)</f>
        <v>91</v>
      </c>
      <c r="D67" s="1114">
        <f>_xlfn.XLOOKUP(B67,'Consolidado Cobros'!$B$10:$B$312,'Consolidado Cobros'!$C$10:$C$312,"Verificar",0)</f>
        <v>71639489</v>
      </c>
      <c r="E67" s="1520">
        <f t="shared" si="30"/>
        <v>1</v>
      </c>
      <c r="F67" s="1517">
        <f t="shared" si="31"/>
        <v>0</v>
      </c>
      <c r="G67" s="1251">
        <f t="shared" si="32"/>
        <v>0</v>
      </c>
      <c r="H67" s="1240">
        <f t="shared" si="14"/>
        <v>0</v>
      </c>
      <c r="I67" s="1148"/>
      <c r="J67" s="383">
        <f t="shared" si="33"/>
        <v>0</v>
      </c>
      <c r="K67" s="712"/>
      <c r="L67" s="487">
        <f t="shared" si="34"/>
        <v>0</v>
      </c>
      <c r="M67" s="927"/>
      <c r="N67" s="672">
        <v>0</v>
      </c>
      <c r="O67" s="660"/>
      <c r="P67" s="1092">
        <f t="shared" si="35"/>
        <v>0</v>
      </c>
      <c r="Q67" s="1093">
        <v>0</v>
      </c>
      <c r="R67" s="381">
        <f t="shared" si="22"/>
        <v>0</v>
      </c>
      <c r="S67" s="382"/>
      <c r="T67" s="381"/>
      <c r="U67" s="624"/>
      <c r="V67" s="569">
        <f t="shared" si="36"/>
        <v>0</v>
      </c>
      <c r="W67" s="607"/>
      <c r="X67" s="383"/>
      <c r="Y67" s="607"/>
      <c r="Z67" s="383"/>
      <c r="AA67" s="607"/>
      <c r="AB67" s="718"/>
      <c r="AC67" s="335"/>
      <c r="AD67" s="383">
        <f>SUMIF('Asesorías AG anterior'!$B$7:$B$239,B67,'Asesorías AG anterior'!$I$7:$I$239)</f>
        <v>1E-3</v>
      </c>
      <c r="AE67" s="383">
        <f>SUMIF('Asesorías AG anterior'!$B$7:$B$239,B67,'Asesorías AG anterior'!$J$7:$J$239)</f>
        <v>0</v>
      </c>
      <c r="AF67" s="383">
        <f>SUMIF('Asesorías AG anterior'!$B$7:$B$239,B67,'Asesorías AG anterior'!$K$7:$K$239)</f>
        <v>1E-3</v>
      </c>
      <c r="AG67" s="383">
        <f>SUMIF('Asesorías AG anterior'!$B$7:$B$239,B67,'Asesorías AG anterior'!$L$7:$L$239)</f>
        <v>0</v>
      </c>
      <c r="AH67" s="383">
        <f>SUMIF('Asesorías AG anterior'!$B$7:$B$239,B67,'Asesorías AG anterior'!$M$7:$M$239)</f>
        <v>0</v>
      </c>
      <c r="AI67" s="383">
        <f>SUMIF('Asesorías AG anterior'!$B$7:$B$239,B67,'Asesorías AG anterior'!$N$7:$N$239)</f>
        <v>0</v>
      </c>
      <c r="AJ67" s="383">
        <f>SUMIF('Asesorías AG anterior'!$B$7:$B$239,B67,'Asesorías AG anterior'!$O$7:$O$239)</f>
        <v>1E-3</v>
      </c>
      <c r="AK67" s="383">
        <f>SUMIF('Asesorías AG anterior'!$B$7:$B$239,B67,'Asesorías AG anterior'!$P$7:$P$239)</f>
        <v>0</v>
      </c>
      <c r="AL67" s="383">
        <f>SUMIF('Asesorías AG anterior'!$B$7:$B$239,B67,'Asesorías AG anterior'!$Q$7:$Q$239)</f>
        <v>0</v>
      </c>
      <c r="AM67" s="383">
        <f>SUMIF('Asesorías AG anterior'!$B$7:$B$239,B67,'Asesorías AG anterior'!$R$7:$R$239)</f>
        <v>0</v>
      </c>
      <c r="AN67" s="383"/>
      <c r="AO67" s="383">
        <f>SUMIF('Asesorías AG anterior'!$B$7:$B$239,B67,'Asesorías AG anterior'!$T$7:$T$239)</f>
        <v>0</v>
      </c>
      <c r="AP67" s="383">
        <f>SUMIF('Asesorías AG anterior'!$B$7:$B$239,B67,'Asesorías AG anterior'!$U$7:$U$239)</f>
        <v>0</v>
      </c>
      <c r="AQ67" s="383">
        <f>SUMIF('Asesorías AG anterior'!$B$7:$B$239,B67,'Asesorías AG anterior'!$V$7:$V$239)</f>
        <v>0</v>
      </c>
      <c r="AR67" s="383">
        <f>SUMIF('Asesorías AG anterior'!$B$7:$B$239,B67,'Asesorías AG anterior'!$W$7:$W$239)</f>
        <v>0</v>
      </c>
      <c r="AS67" s="383">
        <f>SUMIF('Asesorías AG anterior'!$B$7:$B$239,B67,'Asesorías AG anterior'!$X$7:$X$239)</f>
        <v>0</v>
      </c>
      <c r="AT67" s="383">
        <f>SUMIF('Asesorías AG anterior'!$B$7:$B$239,B67,'Asesorías AG anterior'!$Y$7:$Y$239)</f>
        <v>0</v>
      </c>
      <c r="AU67" s="383">
        <f>SUMIF('Asesorías AG anterior'!$B$7:$B$239,B67,'Asesorías AG anterior'!$Z$7:$Z$239)</f>
        <v>0</v>
      </c>
      <c r="AV67" s="383">
        <f>SUMIF('Asesorías AG anterior'!$B$7:$B$239,B67,'Asesorías AG anterior'!$AA$7:$AA$239)</f>
        <v>0</v>
      </c>
      <c r="AW67" s="383">
        <f>SUMIF('Asesorías AG anterior'!$B$7:$B$239,B67,'Asesorías AG anterior'!$AB$7:$AB$239)</f>
        <v>0</v>
      </c>
      <c r="AX67" s="335"/>
      <c r="AZ67" s="1097" t="s">
        <v>52</v>
      </c>
    </row>
    <row r="68" spans="1:52" x14ac:dyDescent="0.2">
      <c r="A68" s="1184">
        <f t="shared" si="12"/>
        <v>62</v>
      </c>
      <c r="B68" s="1097" t="s">
        <v>53</v>
      </c>
      <c r="C68" s="1185">
        <f>_xlfn.XLOOKUP(B68,Códigos!$B$8:$B$406,Códigos!$A$8:$A$406,"Verificar",0)</f>
        <v>222</v>
      </c>
      <c r="D68" s="1114">
        <f>_xlfn.XLOOKUP(B68,'Consolidado Cobros'!$B$10:$B$312,'Consolidado Cobros'!$C$10:$C$312,"Verificar",0)</f>
        <v>8268050</v>
      </c>
      <c r="E68" s="1520">
        <f t="shared" si="30"/>
        <v>9</v>
      </c>
      <c r="F68" s="1517">
        <f t="shared" si="31"/>
        <v>0</v>
      </c>
      <c r="G68" s="1251">
        <f t="shared" si="32"/>
        <v>0</v>
      </c>
      <c r="H68" s="1240">
        <f t="shared" si="14"/>
        <v>0</v>
      </c>
      <c r="I68" s="1148"/>
      <c r="J68" s="383">
        <f t="shared" si="33"/>
        <v>0</v>
      </c>
      <c r="K68" s="712"/>
      <c r="L68" s="487">
        <f t="shared" si="34"/>
        <v>0</v>
      </c>
      <c r="M68" s="927"/>
      <c r="N68" s="672">
        <v>0</v>
      </c>
      <c r="O68" s="660"/>
      <c r="P68" s="1092">
        <f t="shared" si="35"/>
        <v>0</v>
      </c>
      <c r="Q68" s="1093">
        <v>0</v>
      </c>
      <c r="R68" s="381">
        <f t="shared" si="22"/>
        <v>0</v>
      </c>
      <c r="S68" s="382"/>
      <c r="T68" s="381"/>
      <c r="U68" s="624"/>
      <c r="V68" s="569">
        <f t="shared" si="36"/>
        <v>0</v>
      </c>
      <c r="W68" s="607"/>
      <c r="X68" s="383"/>
      <c r="Y68" s="607"/>
      <c r="Z68" s="383"/>
      <c r="AA68" s="607"/>
      <c r="AB68" s="718"/>
      <c r="AC68" s="335"/>
      <c r="AD68" s="383">
        <f>SUMIF('Asesorías AG anterior'!$B$7:$B$239,B68,'Asesorías AG anterior'!$I$7:$I$239)</f>
        <v>1E-3</v>
      </c>
      <c r="AE68" s="383">
        <f>SUMIF('Asesorías AG anterior'!$B$7:$B$239,B68,'Asesorías AG anterior'!$J$7:$J$239)</f>
        <v>0</v>
      </c>
      <c r="AF68" s="383">
        <f>SUMIF('Asesorías AG anterior'!$B$7:$B$239,B68,'Asesorías AG anterior'!$K$7:$K$239)</f>
        <v>1E-3</v>
      </c>
      <c r="AG68" s="383">
        <f>SUMIF('Asesorías AG anterior'!$B$7:$B$239,B68,'Asesorías AG anterior'!$L$7:$L$239)</f>
        <v>0</v>
      </c>
      <c r="AH68" s="383">
        <f>SUMIF('Asesorías AG anterior'!$B$7:$B$239,B68,'Asesorías AG anterior'!$M$7:$M$239)</f>
        <v>0</v>
      </c>
      <c r="AI68" s="383">
        <f>SUMIF('Asesorías AG anterior'!$B$7:$B$239,B68,'Asesorías AG anterior'!$N$7:$N$239)</f>
        <v>0</v>
      </c>
      <c r="AJ68" s="383">
        <f>SUMIF('Asesorías AG anterior'!$B$7:$B$239,B68,'Asesorías AG anterior'!$O$7:$O$239)</f>
        <v>1E-3</v>
      </c>
      <c r="AK68" s="383">
        <f>SUMIF('Asesorías AG anterior'!$B$7:$B$239,B68,'Asesorías AG anterior'!$P$7:$P$239)</f>
        <v>0</v>
      </c>
      <c r="AL68" s="383">
        <f>SUMIF('Asesorías AG anterior'!$B$7:$B$239,B68,'Asesorías AG anterior'!$Q$7:$Q$239)</f>
        <v>0</v>
      </c>
      <c r="AM68" s="383">
        <f>SUMIF('Asesorías AG anterior'!$B$7:$B$239,B68,'Asesorías AG anterior'!$R$7:$R$239)</f>
        <v>0</v>
      </c>
      <c r="AN68" s="383"/>
      <c r="AO68" s="383">
        <f>SUMIF('Asesorías AG anterior'!$B$7:$B$239,B68,'Asesorías AG anterior'!$T$7:$T$239)</f>
        <v>0</v>
      </c>
      <c r="AP68" s="383">
        <f>SUMIF('Asesorías AG anterior'!$B$7:$B$239,B68,'Asesorías AG anterior'!$U$7:$U$239)</f>
        <v>0</v>
      </c>
      <c r="AQ68" s="383">
        <f>SUMIF('Asesorías AG anterior'!$B$7:$B$239,B68,'Asesorías AG anterior'!$V$7:$V$239)</f>
        <v>0</v>
      </c>
      <c r="AR68" s="383">
        <f>SUMIF('Asesorías AG anterior'!$B$7:$B$239,B68,'Asesorías AG anterior'!$W$7:$W$239)</f>
        <v>0</v>
      </c>
      <c r="AS68" s="383">
        <f>SUMIF('Asesorías AG anterior'!$B$7:$B$239,B68,'Asesorías AG anterior'!$X$7:$X$239)</f>
        <v>0</v>
      </c>
      <c r="AT68" s="383">
        <f>SUMIF('Asesorías AG anterior'!$B$7:$B$239,B68,'Asesorías AG anterior'!$Y$7:$Y$239)</f>
        <v>0</v>
      </c>
      <c r="AU68" s="383">
        <f>SUMIF('Asesorías AG anterior'!$B$7:$B$239,B68,'Asesorías AG anterior'!$Z$7:$Z$239)</f>
        <v>0</v>
      </c>
      <c r="AV68" s="383">
        <f>SUMIF('Asesorías AG anterior'!$B$7:$B$239,B68,'Asesorías AG anterior'!$AA$7:$AA$239)</f>
        <v>0</v>
      </c>
      <c r="AW68" s="383">
        <f>SUMIF('Asesorías AG anterior'!$B$7:$B$239,B68,'Asesorías AG anterior'!$AB$7:$AB$239)</f>
        <v>0</v>
      </c>
      <c r="AX68" s="335"/>
      <c r="AZ68" s="1097" t="s">
        <v>53</v>
      </c>
    </row>
    <row r="69" spans="1:52" x14ac:dyDescent="0.2">
      <c r="A69" s="1184">
        <f t="shared" si="12"/>
        <v>63</v>
      </c>
      <c r="B69" s="1097" t="s">
        <v>54</v>
      </c>
      <c r="C69" s="1185">
        <f>_xlfn.XLOOKUP(B69,Códigos!$B$8:$B$406,Códigos!$A$8:$A$406,"Verificar",0)</f>
        <v>92</v>
      </c>
      <c r="D69" s="1114">
        <f>_xlfn.XLOOKUP(B69,'Consolidado Cobros'!$B$10:$B$312,'Consolidado Cobros'!$C$10:$C$312,"Verificar",0)</f>
        <v>6053547</v>
      </c>
      <c r="E69" s="1520">
        <f t="shared" si="30"/>
        <v>6</v>
      </c>
      <c r="F69" s="1517">
        <f t="shared" si="31"/>
        <v>0</v>
      </c>
      <c r="G69" s="1251">
        <f t="shared" si="32"/>
        <v>0</v>
      </c>
      <c r="H69" s="1240">
        <f t="shared" si="14"/>
        <v>0</v>
      </c>
      <c r="I69" s="1148"/>
      <c r="J69" s="383">
        <f t="shared" si="33"/>
        <v>0</v>
      </c>
      <c r="K69" s="712"/>
      <c r="L69" s="487">
        <f t="shared" si="34"/>
        <v>0</v>
      </c>
      <c r="M69" s="927"/>
      <c r="N69" s="672">
        <v>0</v>
      </c>
      <c r="O69" s="660"/>
      <c r="P69" s="1092">
        <f t="shared" si="35"/>
        <v>0</v>
      </c>
      <c r="Q69" s="1093">
        <v>0</v>
      </c>
      <c r="R69" s="381">
        <f t="shared" si="22"/>
        <v>0</v>
      </c>
      <c r="S69" s="382"/>
      <c r="T69" s="381"/>
      <c r="U69" s="624"/>
      <c r="V69" s="569">
        <f t="shared" si="36"/>
        <v>0</v>
      </c>
      <c r="W69" s="607"/>
      <c r="X69" s="383"/>
      <c r="Y69" s="607"/>
      <c r="Z69" s="383"/>
      <c r="AA69" s="607"/>
      <c r="AB69" s="718"/>
      <c r="AC69" s="335"/>
      <c r="AD69" s="383">
        <f>SUMIF('Asesorías AG anterior'!$B$7:$B$239,B69,'Asesorías AG anterior'!$I$7:$I$239)</f>
        <v>1E-3</v>
      </c>
      <c r="AE69" s="383">
        <f>SUMIF('Asesorías AG anterior'!$B$7:$B$239,B69,'Asesorías AG anterior'!$J$7:$J$239)</f>
        <v>0</v>
      </c>
      <c r="AF69" s="383">
        <f>SUMIF('Asesorías AG anterior'!$B$7:$B$239,B69,'Asesorías AG anterior'!$K$7:$K$239)</f>
        <v>1E-3</v>
      </c>
      <c r="AG69" s="383">
        <f>SUMIF('Asesorías AG anterior'!$B$7:$B$239,B69,'Asesorías AG anterior'!$L$7:$L$239)</f>
        <v>0</v>
      </c>
      <c r="AH69" s="383">
        <f>SUMIF('Asesorías AG anterior'!$B$7:$B$239,B69,'Asesorías AG anterior'!$M$7:$M$239)</f>
        <v>0</v>
      </c>
      <c r="AI69" s="383">
        <f>SUMIF('Asesorías AG anterior'!$B$7:$B$239,B69,'Asesorías AG anterior'!$N$7:$N$239)</f>
        <v>0</v>
      </c>
      <c r="AJ69" s="383">
        <f>SUMIF('Asesorías AG anterior'!$B$7:$B$239,B69,'Asesorías AG anterior'!$O$7:$O$239)</f>
        <v>1E-3</v>
      </c>
      <c r="AK69" s="383">
        <f>SUMIF('Asesorías AG anterior'!$B$7:$B$239,B69,'Asesorías AG anterior'!$P$7:$P$239)</f>
        <v>0</v>
      </c>
      <c r="AL69" s="383">
        <f>SUMIF('Asesorías AG anterior'!$B$7:$B$239,B69,'Asesorías AG anterior'!$Q$7:$Q$239)</f>
        <v>0</v>
      </c>
      <c r="AM69" s="383">
        <f>SUMIF('Asesorías AG anterior'!$B$7:$B$239,B69,'Asesorías AG anterior'!$R$7:$R$239)</f>
        <v>0</v>
      </c>
      <c r="AN69" s="383"/>
      <c r="AO69" s="383">
        <f>SUMIF('Asesorías AG anterior'!$B$7:$B$239,B69,'Asesorías AG anterior'!$T$7:$T$239)</f>
        <v>0</v>
      </c>
      <c r="AP69" s="383">
        <f>SUMIF('Asesorías AG anterior'!$B$7:$B$239,B69,'Asesorías AG anterior'!$U$7:$U$239)</f>
        <v>0</v>
      </c>
      <c r="AQ69" s="383">
        <f>SUMIF('Asesorías AG anterior'!$B$7:$B$239,B69,'Asesorías AG anterior'!$V$7:$V$239)</f>
        <v>0</v>
      </c>
      <c r="AR69" s="383">
        <f>SUMIF('Asesorías AG anterior'!$B$7:$B$239,B69,'Asesorías AG anterior'!$W$7:$W$239)</f>
        <v>0</v>
      </c>
      <c r="AS69" s="383">
        <f>SUMIF('Asesorías AG anterior'!$B$7:$B$239,B69,'Asesorías AG anterior'!$X$7:$X$239)</f>
        <v>0</v>
      </c>
      <c r="AT69" s="383">
        <f>SUMIF('Asesorías AG anterior'!$B$7:$B$239,B69,'Asesorías AG anterior'!$Y$7:$Y$239)</f>
        <v>0</v>
      </c>
      <c r="AU69" s="383">
        <f>SUMIF('Asesorías AG anterior'!$B$7:$B$239,B69,'Asesorías AG anterior'!$Z$7:$Z$239)</f>
        <v>0</v>
      </c>
      <c r="AV69" s="383">
        <f>SUMIF('Asesorías AG anterior'!$B$7:$B$239,B69,'Asesorías AG anterior'!$AA$7:$AA$239)</f>
        <v>0</v>
      </c>
      <c r="AW69" s="383">
        <f>SUMIF('Asesorías AG anterior'!$B$7:$B$239,B69,'Asesorías AG anterior'!$AB$7:$AB$239)</f>
        <v>0</v>
      </c>
      <c r="AX69" s="335"/>
      <c r="AZ69" s="1097" t="s">
        <v>54</v>
      </c>
    </row>
    <row r="70" spans="1:52" x14ac:dyDescent="0.2">
      <c r="A70" s="1184">
        <f t="shared" si="12"/>
        <v>64</v>
      </c>
      <c r="B70" s="1097" t="s">
        <v>308</v>
      </c>
      <c r="C70" s="1185">
        <f>_xlfn.XLOOKUP(B70,Códigos!$B$8:$B$406,Códigos!$A$8:$A$406,"Verificar",0)</f>
        <v>287</v>
      </c>
      <c r="D70" s="1114">
        <f>_xlfn.XLOOKUP(B70,'Consolidado Cobros'!$B$10:$B$312,'Consolidado Cobros'!$C$10:$C$312,"Verificar",0)</f>
        <v>98661685</v>
      </c>
      <c r="E70" s="1520">
        <f t="shared" si="30"/>
        <v>7</v>
      </c>
      <c r="F70" s="1517">
        <f t="shared" si="31"/>
        <v>0</v>
      </c>
      <c r="G70" s="1251">
        <f t="shared" si="32"/>
        <v>0</v>
      </c>
      <c r="H70" s="1240">
        <f t="shared" si="14"/>
        <v>0</v>
      </c>
      <c r="I70" s="1148"/>
      <c r="J70" s="383">
        <f t="shared" si="33"/>
        <v>0</v>
      </c>
      <c r="K70" s="712"/>
      <c r="L70" s="487">
        <f t="shared" si="34"/>
        <v>0</v>
      </c>
      <c r="M70" s="927"/>
      <c r="N70" s="672">
        <v>0</v>
      </c>
      <c r="O70" s="660"/>
      <c r="P70" s="1092">
        <f t="shared" si="35"/>
        <v>0</v>
      </c>
      <c r="Q70" s="1093">
        <v>0</v>
      </c>
      <c r="R70" s="381">
        <f t="shared" si="22"/>
        <v>0</v>
      </c>
      <c r="S70" s="382"/>
      <c r="T70" s="381"/>
      <c r="U70" s="624"/>
      <c r="V70" s="569">
        <f t="shared" si="36"/>
        <v>0</v>
      </c>
      <c r="W70" s="607"/>
      <c r="X70" s="383"/>
      <c r="Y70" s="607"/>
      <c r="Z70" s="383"/>
      <c r="AA70" s="607"/>
      <c r="AB70" s="718"/>
      <c r="AC70" s="335"/>
      <c r="AD70" s="383">
        <f>SUMIF('Asesorías AG anterior'!$B$7:$B$239,B70,'Asesorías AG anterior'!$I$7:$I$239)</f>
        <v>1E-3</v>
      </c>
      <c r="AE70" s="383">
        <f>SUMIF('Asesorías AG anterior'!$B$7:$B$239,B70,'Asesorías AG anterior'!$J$7:$J$239)</f>
        <v>0</v>
      </c>
      <c r="AF70" s="383">
        <f>SUMIF('Asesorías AG anterior'!$B$7:$B$239,B70,'Asesorías AG anterior'!$K$7:$K$239)</f>
        <v>1E-3</v>
      </c>
      <c r="AG70" s="383">
        <f>SUMIF('Asesorías AG anterior'!$B$7:$B$239,B70,'Asesorías AG anterior'!$L$7:$L$239)</f>
        <v>0</v>
      </c>
      <c r="AH70" s="383">
        <f>SUMIF('Asesorías AG anterior'!$B$7:$B$239,B70,'Asesorías AG anterior'!$M$7:$M$239)</f>
        <v>0</v>
      </c>
      <c r="AI70" s="383">
        <f>SUMIF('Asesorías AG anterior'!$B$7:$B$239,B70,'Asesorías AG anterior'!$N$7:$N$239)</f>
        <v>0</v>
      </c>
      <c r="AJ70" s="383">
        <f>SUMIF('Asesorías AG anterior'!$B$7:$B$239,B70,'Asesorías AG anterior'!$O$7:$O$239)</f>
        <v>1E-3</v>
      </c>
      <c r="AK70" s="383">
        <f>SUMIF('Asesorías AG anterior'!$B$7:$B$239,B70,'Asesorías AG anterior'!$P$7:$P$239)</f>
        <v>0</v>
      </c>
      <c r="AL70" s="383">
        <f>SUMIF('Asesorías AG anterior'!$B$7:$B$239,B70,'Asesorías AG anterior'!$Q$7:$Q$239)</f>
        <v>0</v>
      </c>
      <c r="AM70" s="383">
        <f>SUMIF('Asesorías AG anterior'!$B$7:$B$239,B70,'Asesorías AG anterior'!$R$7:$R$239)</f>
        <v>0</v>
      </c>
      <c r="AN70" s="383"/>
      <c r="AO70" s="383">
        <f>SUMIF('Asesorías AG anterior'!$B$7:$B$239,B70,'Asesorías AG anterior'!$T$7:$T$239)</f>
        <v>0</v>
      </c>
      <c r="AP70" s="383">
        <f>SUMIF('Asesorías AG anterior'!$B$7:$B$239,B70,'Asesorías AG anterior'!$U$7:$U$239)</f>
        <v>0</v>
      </c>
      <c r="AQ70" s="383">
        <f>SUMIF('Asesorías AG anterior'!$B$7:$B$239,B70,'Asesorías AG anterior'!$V$7:$V$239)</f>
        <v>0</v>
      </c>
      <c r="AR70" s="383">
        <f>SUMIF('Asesorías AG anterior'!$B$7:$B$239,B70,'Asesorías AG anterior'!$W$7:$W$239)</f>
        <v>0</v>
      </c>
      <c r="AS70" s="383">
        <f>SUMIF('Asesorías AG anterior'!$B$7:$B$239,B70,'Asesorías AG anterior'!$X$7:$X$239)</f>
        <v>0</v>
      </c>
      <c r="AT70" s="383">
        <f>SUMIF('Asesorías AG anterior'!$B$7:$B$239,B70,'Asesorías AG anterior'!$Y$7:$Y$239)</f>
        <v>0</v>
      </c>
      <c r="AU70" s="383">
        <f>SUMIF('Asesorías AG anterior'!$B$7:$B$239,B70,'Asesorías AG anterior'!$Z$7:$Z$239)</f>
        <v>0</v>
      </c>
      <c r="AV70" s="383">
        <f>SUMIF('Asesorías AG anterior'!$B$7:$B$239,B70,'Asesorías AG anterior'!$AA$7:$AA$239)</f>
        <v>0</v>
      </c>
      <c r="AW70" s="383">
        <f>SUMIF('Asesorías AG anterior'!$B$7:$B$239,B70,'Asesorías AG anterior'!$AB$7:$AB$239)</f>
        <v>0</v>
      </c>
      <c r="AX70" s="335"/>
      <c r="AZ70" s="1097" t="s">
        <v>308</v>
      </c>
    </row>
    <row r="71" spans="1:52" x14ac:dyDescent="0.2">
      <c r="A71" s="1184">
        <f t="shared" si="12"/>
        <v>65</v>
      </c>
      <c r="B71" s="1097" t="s">
        <v>55</v>
      </c>
      <c r="C71" s="1185">
        <f>_xlfn.XLOOKUP(B71,Códigos!$B$8:$B$406,Códigos!$A$8:$A$406,"Verificar",0)</f>
        <v>95</v>
      </c>
      <c r="D71" s="1114">
        <f>_xlfn.XLOOKUP(B71,'Consolidado Cobros'!$B$10:$B$312,'Consolidado Cobros'!$C$10:$C$312,"Verificar",0)</f>
        <v>680956579</v>
      </c>
      <c r="E71" s="1520">
        <f t="shared" si="30"/>
        <v>2</v>
      </c>
      <c r="F71" s="1517">
        <f t="shared" si="31"/>
        <v>0</v>
      </c>
      <c r="G71" s="1251">
        <f t="shared" si="32"/>
        <v>0</v>
      </c>
      <c r="H71" s="1240">
        <f t="shared" si="14"/>
        <v>0</v>
      </c>
      <c r="I71" s="1148"/>
      <c r="J71" s="383">
        <f t="shared" si="33"/>
        <v>0</v>
      </c>
      <c r="K71" s="712"/>
      <c r="L71" s="487">
        <f t="shared" si="34"/>
        <v>0</v>
      </c>
      <c r="M71" s="927"/>
      <c r="N71" s="672">
        <v>0</v>
      </c>
      <c r="O71" s="660"/>
      <c r="P71" s="1092">
        <f t="shared" si="35"/>
        <v>0</v>
      </c>
      <c r="Q71" s="1093">
        <v>0</v>
      </c>
      <c r="R71" s="381">
        <f t="shared" si="22"/>
        <v>0</v>
      </c>
      <c r="S71" s="382"/>
      <c r="T71" s="381"/>
      <c r="U71" s="624"/>
      <c r="V71" s="569">
        <f t="shared" si="36"/>
        <v>0</v>
      </c>
      <c r="W71" s="607"/>
      <c r="X71" s="383"/>
      <c r="Y71" s="607"/>
      <c r="Z71" s="383"/>
      <c r="AA71" s="607"/>
      <c r="AB71" s="718"/>
      <c r="AC71" s="335"/>
      <c r="AD71" s="383">
        <f>SUMIF('Asesorías AG anterior'!$B$7:$B$239,B71,'Asesorías AG anterior'!$I$7:$I$239)</f>
        <v>1E-3</v>
      </c>
      <c r="AE71" s="383">
        <f>SUMIF('Asesorías AG anterior'!$B$7:$B$239,B71,'Asesorías AG anterior'!$J$7:$J$239)</f>
        <v>0</v>
      </c>
      <c r="AF71" s="383">
        <f>SUMIF('Asesorías AG anterior'!$B$7:$B$239,B71,'Asesorías AG anterior'!$K$7:$K$239)</f>
        <v>1E-3</v>
      </c>
      <c r="AG71" s="383">
        <f>SUMIF('Asesorías AG anterior'!$B$7:$B$239,B71,'Asesorías AG anterior'!$L$7:$L$239)</f>
        <v>0</v>
      </c>
      <c r="AH71" s="383">
        <f>SUMIF('Asesorías AG anterior'!$B$7:$B$239,B71,'Asesorías AG anterior'!$M$7:$M$239)</f>
        <v>0</v>
      </c>
      <c r="AI71" s="383">
        <f>SUMIF('Asesorías AG anterior'!$B$7:$B$239,B71,'Asesorías AG anterior'!$N$7:$N$239)</f>
        <v>0</v>
      </c>
      <c r="AJ71" s="383">
        <f>SUMIF('Asesorías AG anterior'!$B$7:$B$239,B71,'Asesorías AG anterior'!$O$7:$O$239)</f>
        <v>1E-3</v>
      </c>
      <c r="AK71" s="383">
        <f>SUMIF('Asesorías AG anterior'!$B$7:$B$239,B71,'Asesorías AG anterior'!$P$7:$P$239)</f>
        <v>0</v>
      </c>
      <c r="AL71" s="383">
        <f>SUMIF('Asesorías AG anterior'!$B$7:$B$239,B71,'Asesorías AG anterior'!$Q$7:$Q$239)</f>
        <v>0</v>
      </c>
      <c r="AM71" s="383">
        <f>SUMIF('Asesorías AG anterior'!$B$7:$B$239,B71,'Asesorías AG anterior'!$R$7:$R$239)</f>
        <v>0</v>
      </c>
      <c r="AN71" s="383"/>
      <c r="AO71" s="383">
        <f>SUMIF('Asesorías AG anterior'!$B$7:$B$239,B71,'Asesorías AG anterior'!$T$7:$T$239)</f>
        <v>0</v>
      </c>
      <c r="AP71" s="383">
        <f>SUMIF('Asesorías AG anterior'!$B$7:$B$239,B71,'Asesorías AG anterior'!$U$7:$U$239)</f>
        <v>0</v>
      </c>
      <c r="AQ71" s="383">
        <f>SUMIF('Asesorías AG anterior'!$B$7:$B$239,B71,'Asesorías AG anterior'!$V$7:$V$239)</f>
        <v>0</v>
      </c>
      <c r="AR71" s="383">
        <f>SUMIF('Asesorías AG anterior'!$B$7:$B$239,B71,'Asesorías AG anterior'!$W$7:$W$239)</f>
        <v>0</v>
      </c>
      <c r="AS71" s="383">
        <f>SUMIF('Asesorías AG anterior'!$B$7:$B$239,B71,'Asesorías AG anterior'!$X$7:$X$239)</f>
        <v>0</v>
      </c>
      <c r="AT71" s="383">
        <f>SUMIF('Asesorías AG anterior'!$B$7:$B$239,B71,'Asesorías AG anterior'!$Y$7:$Y$239)</f>
        <v>0</v>
      </c>
      <c r="AU71" s="383">
        <f>SUMIF('Asesorías AG anterior'!$B$7:$B$239,B71,'Asesorías AG anterior'!$Z$7:$Z$239)</f>
        <v>0</v>
      </c>
      <c r="AV71" s="383">
        <f>SUMIF('Asesorías AG anterior'!$B$7:$B$239,B71,'Asesorías AG anterior'!$AA$7:$AA$239)</f>
        <v>0</v>
      </c>
      <c r="AW71" s="383">
        <f>SUMIF('Asesorías AG anterior'!$B$7:$B$239,B71,'Asesorías AG anterior'!$AB$7:$AB$239)</f>
        <v>0</v>
      </c>
      <c r="AX71" s="335"/>
      <c r="AZ71" s="1097" t="s">
        <v>55</v>
      </c>
    </row>
    <row r="72" spans="1:52" x14ac:dyDescent="0.2">
      <c r="A72" s="1184">
        <f t="shared" si="12"/>
        <v>66</v>
      </c>
      <c r="B72" s="1097" t="s">
        <v>56</v>
      </c>
      <c r="C72" s="1185">
        <f>_xlfn.XLOOKUP(B72,Códigos!$B$8:$B$406,Códigos!$A$8:$A$406,"Verificar",0)</f>
        <v>96</v>
      </c>
      <c r="D72" s="1114">
        <f>_xlfn.XLOOKUP(B72,'Consolidado Cobros'!$B$10:$B$312,'Consolidado Cobros'!$C$10:$C$312,"Verificar",0)</f>
        <v>43747351</v>
      </c>
      <c r="E72" s="1520">
        <f t="shared" si="30"/>
        <v>3</v>
      </c>
      <c r="F72" s="1517">
        <f t="shared" si="31"/>
        <v>484582.99712041923</v>
      </c>
      <c r="G72" s="1251">
        <f t="shared" si="32"/>
        <v>0</v>
      </c>
      <c r="H72" s="1240">
        <f t="shared" si="14"/>
        <v>484582.99712041923</v>
      </c>
      <c r="I72" s="1148">
        <v>3</v>
      </c>
      <c r="J72" s="383">
        <f t="shared" si="33"/>
        <v>384582.99712041923</v>
      </c>
      <c r="K72" s="712"/>
      <c r="L72" s="487">
        <f t="shared" si="34"/>
        <v>0</v>
      </c>
      <c r="M72" s="927"/>
      <c r="N72" s="672">
        <v>0</v>
      </c>
      <c r="O72" s="660" t="s">
        <v>318</v>
      </c>
      <c r="P72" s="1092">
        <v>100000</v>
      </c>
      <c r="Q72" s="1093">
        <v>0</v>
      </c>
      <c r="R72" s="381">
        <f t="shared" si="22"/>
        <v>100000</v>
      </c>
      <c r="S72" s="382"/>
      <c r="T72" s="381"/>
      <c r="U72" s="624"/>
      <c r="V72" s="569">
        <f t="shared" si="36"/>
        <v>0</v>
      </c>
      <c r="W72" s="607"/>
      <c r="X72" s="383"/>
      <c r="Y72" s="607"/>
      <c r="Z72" s="383"/>
      <c r="AA72" s="607"/>
      <c r="AB72" s="718"/>
      <c r="AC72" s="335"/>
      <c r="AD72" s="383">
        <f>SUMIF('Asesorías AG anterior'!$B$7:$B$239,B72,'Asesorías AG anterior'!$I$7:$I$239)</f>
        <v>3</v>
      </c>
      <c r="AE72" s="383">
        <f>SUMIF('Asesorías AG anterior'!$B$7:$B$239,B72,'Asesorías AG anterior'!$J$7:$J$239)</f>
        <v>365921.02485292032</v>
      </c>
      <c r="AF72" s="383">
        <f>SUMIF('Asesorías AG anterior'!$B$7:$B$239,B72,'Asesorías AG anterior'!$K$7:$K$239)</f>
        <v>1E-3</v>
      </c>
      <c r="AG72" s="383">
        <f>SUMIF('Asesorías AG anterior'!$B$7:$B$239,B72,'Asesorías AG anterior'!$L$7:$L$239)</f>
        <v>0</v>
      </c>
      <c r="AH72" s="383">
        <f>SUMIF('Asesorías AG anterior'!$B$7:$B$239,B72,'Asesorías AG anterior'!$M$7:$M$239)</f>
        <v>0</v>
      </c>
      <c r="AI72" s="383">
        <f>SUMIF('Asesorías AG anterior'!$B$7:$B$239,B72,'Asesorías AG anterior'!$N$7:$N$239)</f>
        <v>0</v>
      </c>
      <c r="AJ72" s="383">
        <f>SUMIF('Asesorías AG anterior'!$B$7:$B$239,B72,'Asesorías AG anterior'!$O$7:$O$239)</f>
        <v>0</v>
      </c>
      <c r="AK72" s="383">
        <f>SUMIF('Asesorías AG anterior'!$B$7:$B$239,B72,'Asesorías AG anterior'!$P$7:$P$239)</f>
        <v>70000</v>
      </c>
      <c r="AL72" s="383">
        <f>SUMIF('Asesorías AG anterior'!$B$7:$B$239,B72,'Asesorías AG anterior'!$Q$7:$Q$239)</f>
        <v>0</v>
      </c>
      <c r="AM72" s="383">
        <f>SUMIF('Asesorías AG anterior'!$B$7:$B$239,B72,'Asesorías AG anterior'!$R$7:$R$239)</f>
        <v>0</v>
      </c>
      <c r="AN72" s="383"/>
      <c r="AO72" s="383">
        <f>SUMIF('Asesorías AG anterior'!$B$7:$B$239,B72,'Asesorías AG anterior'!$T$7:$T$239)</f>
        <v>0</v>
      </c>
      <c r="AP72" s="383">
        <f>SUMIF('Asesorías AG anterior'!$B$7:$B$239,B72,'Asesorías AG anterior'!$U$7:$U$239)</f>
        <v>0</v>
      </c>
      <c r="AQ72" s="383">
        <f>SUMIF('Asesorías AG anterior'!$B$7:$B$239,B72,'Asesorías AG anterior'!$V$7:$V$239)</f>
        <v>0</v>
      </c>
      <c r="AR72" s="383">
        <f>SUMIF('Asesorías AG anterior'!$B$7:$B$239,B72,'Asesorías AG anterior'!$W$7:$W$239)</f>
        <v>0</v>
      </c>
      <c r="AS72" s="383">
        <f>SUMIF('Asesorías AG anterior'!$B$7:$B$239,B72,'Asesorías AG anterior'!$X$7:$X$239)</f>
        <v>0</v>
      </c>
      <c r="AT72" s="383">
        <f>SUMIF('Asesorías AG anterior'!$B$7:$B$239,B72,'Asesorías AG anterior'!$Y$7:$Y$239)</f>
        <v>0</v>
      </c>
      <c r="AU72" s="383">
        <f>SUMIF('Asesorías AG anterior'!$B$7:$B$239,B72,'Asesorías AG anterior'!$Z$7:$Z$239)</f>
        <v>0</v>
      </c>
      <c r="AV72" s="383">
        <f>SUMIF('Asesorías AG anterior'!$B$7:$B$239,B72,'Asesorías AG anterior'!$AA$7:$AA$239)</f>
        <v>0</v>
      </c>
      <c r="AW72" s="383">
        <f>SUMIF('Asesorías AG anterior'!$B$7:$B$239,B72,'Asesorías AG anterior'!$AB$7:$AB$239)</f>
        <v>0</v>
      </c>
      <c r="AX72" s="335"/>
      <c r="AZ72" s="1097" t="s">
        <v>56</v>
      </c>
    </row>
    <row r="73" spans="1:52" x14ac:dyDescent="0.2">
      <c r="A73" s="1184">
        <f t="shared" ref="A73:A138" si="37">+A72+1</f>
        <v>67</v>
      </c>
      <c r="B73" s="1097" t="s">
        <v>57</v>
      </c>
      <c r="C73" s="1185">
        <f>_xlfn.XLOOKUP(B73,Códigos!$B$8:$B$406,Códigos!$A$8:$A$406,"Verificar",0)</f>
        <v>97</v>
      </c>
      <c r="D73" s="1114">
        <f>_xlfn.XLOOKUP(B73,'Consolidado Cobros'!$B$10:$B$312,'Consolidado Cobros'!$C$10:$C$312,"Verificar",0)</f>
        <v>43628330</v>
      </c>
      <c r="E73" s="1520">
        <f t="shared" si="30"/>
        <v>9</v>
      </c>
      <c r="F73" s="1517">
        <f t="shared" si="31"/>
        <v>484582.99712041923</v>
      </c>
      <c r="G73" s="1251">
        <f t="shared" si="32"/>
        <v>0</v>
      </c>
      <c r="H73" s="1240">
        <f t="shared" si="14"/>
        <v>484582.99712041923</v>
      </c>
      <c r="I73" s="1148">
        <v>3</v>
      </c>
      <c r="J73" s="383">
        <f t="shared" si="33"/>
        <v>384582.99712041923</v>
      </c>
      <c r="K73" s="712"/>
      <c r="L73" s="487">
        <f t="shared" si="34"/>
        <v>0</v>
      </c>
      <c r="M73" s="927"/>
      <c r="N73" s="672">
        <v>0</v>
      </c>
      <c r="O73" s="660" t="s">
        <v>318</v>
      </c>
      <c r="P73" s="1092">
        <v>100000</v>
      </c>
      <c r="Q73" s="1093">
        <v>0</v>
      </c>
      <c r="R73" s="381">
        <f t="shared" si="22"/>
        <v>100000</v>
      </c>
      <c r="S73" s="382"/>
      <c r="T73" s="381"/>
      <c r="U73" s="624"/>
      <c r="V73" s="569">
        <f t="shared" si="36"/>
        <v>0</v>
      </c>
      <c r="W73" s="607"/>
      <c r="X73" s="383"/>
      <c r="Y73" s="607"/>
      <c r="Z73" s="383"/>
      <c r="AA73" s="607"/>
      <c r="AB73" s="718"/>
      <c r="AC73" s="335"/>
      <c r="AD73" s="383">
        <f>SUMIF('Asesorías AG anterior'!$B$7:$B$239,B73,'Asesorías AG anterior'!$I$7:$I$239)</f>
        <v>3</v>
      </c>
      <c r="AE73" s="383">
        <f>SUMIF('Asesorías AG anterior'!$B$7:$B$239,B73,'Asesorías AG anterior'!$J$7:$J$239)</f>
        <v>365921.02485292032</v>
      </c>
      <c r="AF73" s="383">
        <f>SUMIF('Asesorías AG anterior'!$B$7:$B$239,B73,'Asesorías AG anterior'!$K$7:$K$239)</f>
        <v>1E-3</v>
      </c>
      <c r="AG73" s="383">
        <f>SUMIF('Asesorías AG anterior'!$B$7:$B$239,B73,'Asesorías AG anterior'!$L$7:$L$239)</f>
        <v>0</v>
      </c>
      <c r="AH73" s="383">
        <f>SUMIF('Asesorías AG anterior'!$B$7:$B$239,B73,'Asesorías AG anterior'!$M$7:$M$239)</f>
        <v>0</v>
      </c>
      <c r="AI73" s="383">
        <f>SUMIF('Asesorías AG anterior'!$B$7:$B$239,B73,'Asesorías AG anterior'!$N$7:$N$239)</f>
        <v>0</v>
      </c>
      <c r="AJ73" s="383">
        <f>SUMIF('Asesorías AG anterior'!$B$7:$B$239,B73,'Asesorías AG anterior'!$O$7:$O$239)</f>
        <v>0</v>
      </c>
      <c r="AK73" s="383">
        <f>SUMIF('Asesorías AG anterior'!$B$7:$B$239,B73,'Asesorías AG anterior'!$P$7:$P$239)</f>
        <v>70000</v>
      </c>
      <c r="AL73" s="383">
        <f>SUMIF('Asesorías AG anterior'!$B$7:$B$239,B73,'Asesorías AG anterior'!$Q$7:$Q$239)</f>
        <v>0</v>
      </c>
      <c r="AM73" s="383">
        <f>SUMIF('Asesorías AG anterior'!$B$7:$B$239,B73,'Asesorías AG anterior'!$R$7:$R$239)</f>
        <v>0</v>
      </c>
      <c r="AN73" s="383"/>
      <c r="AO73" s="383">
        <f>SUMIF('Asesorías AG anterior'!$B$7:$B$239,B73,'Asesorías AG anterior'!$T$7:$T$239)</f>
        <v>0</v>
      </c>
      <c r="AP73" s="383">
        <f>SUMIF('Asesorías AG anterior'!$B$7:$B$239,B73,'Asesorías AG anterior'!$U$7:$U$239)</f>
        <v>0</v>
      </c>
      <c r="AQ73" s="383">
        <f>SUMIF('Asesorías AG anterior'!$B$7:$B$239,B73,'Asesorías AG anterior'!$V$7:$V$239)</f>
        <v>0</v>
      </c>
      <c r="AR73" s="383">
        <f>SUMIF('Asesorías AG anterior'!$B$7:$B$239,B73,'Asesorías AG anterior'!$W$7:$W$239)</f>
        <v>0</v>
      </c>
      <c r="AS73" s="383">
        <f>SUMIF('Asesorías AG anterior'!$B$7:$B$239,B73,'Asesorías AG anterior'!$X$7:$X$239)</f>
        <v>0</v>
      </c>
      <c r="AT73" s="383">
        <f>SUMIF('Asesorías AG anterior'!$B$7:$B$239,B73,'Asesorías AG anterior'!$Y$7:$Y$239)</f>
        <v>0</v>
      </c>
      <c r="AU73" s="383">
        <f>SUMIF('Asesorías AG anterior'!$B$7:$B$239,B73,'Asesorías AG anterior'!$Z$7:$Z$239)</f>
        <v>0</v>
      </c>
      <c r="AV73" s="383">
        <f>SUMIF('Asesorías AG anterior'!$B$7:$B$239,B73,'Asesorías AG anterior'!$AA$7:$AA$239)</f>
        <v>0</v>
      </c>
      <c r="AW73" s="383">
        <f>SUMIF('Asesorías AG anterior'!$B$7:$B$239,B73,'Asesorías AG anterior'!$AB$7:$AB$239)</f>
        <v>0</v>
      </c>
      <c r="AX73" s="335"/>
      <c r="AZ73" s="1097" t="s">
        <v>57</v>
      </c>
    </row>
    <row r="74" spans="1:52" x14ac:dyDescent="0.2">
      <c r="A74" s="1184">
        <f t="shared" si="37"/>
        <v>68</v>
      </c>
      <c r="B74" s="1097" t="s">
        <v>58</v>
      </c>
      <c r="C74" s="1185">
        <f>_xlfn.XLOOKUP(B74,Códigos!$B$8:$B$406,Códigos!$A$8:$A$406,"Verificar",0)</f>
        <v>98</v>
      </c>
      <c r="D74" s="1114">
        <f>_xlfn.XLOOKUP(B74,'Consolidado Cobros'!$B$10:$B$312,'Consolidado Cobros'!$C$10:$C$312,"Verificar",0)</f>
        <v>43739786</v>
      </c>
      <c r="E74" s="1520">
        <f t="shared" si="30"/>
        <v>1</v>
      </c>
      <c r="F74" s="1517">
        <f t="shared" si="31"/>
        <v>0</v>
      </c>
      <c r="G74" s="1251">
        <f t="shared" si="32"/>
        <v>0</v>
      </c>
      <c r="H74" s="1240">
        <f t="shared" si="14"/>
        <v>0</v>
      </c>
      <c r="I74" s="1148"/>
      <c r="J74" s="383">
        <f t="shared" si="33"/>
        <v>0</v>
      </c>
      <c r="K74" s="712"/>
      <c r="L74" s="487">
        <f t="shared" si="34"/>
        <v>0</v>
      </c>
      <c r="M74" s="927"/>
      <c r="N74" s="672">
        <v>0</v>
      </c>
      <c r="O74" s="660"/>
      <c r="P74" s="1092">
        <f t="shared" si="35"/>
        <v>0</v>
      </c>
      <c r="Q74" s="1093">
        <v>0</v>
      </c>
      <c r="R74" s="381">
        <f t="shared" si="22"/>
        <v>0</v>
      </c>
      <c r="S74" s="382"/>
      <c r="T74" s="381"/>
      <c r="U74" s="624"/>
      <c r="V74" s="569">
        <f t="shared" si="36"/>
        <v>0</v>
      </c>
      <c r="W74" s="607"/>
      <c r="X74" s="383"/>
      <c r="Y74" s="607"/>
      <c r="Z74" s="383"/>
      <c r="AA74" s="607"/>
      <c r="AB74" s="718"/>
      <c r="AC74" s="335"/>
      <c r="AD74" s="383">
        <f>SUMIF('Asesorías AG anterior'!$B$7:$B$239,B74,'Asesorías AG anterior'!$I$7:$I$239)</f>
        <v>1E-3</v>
      </c>
      <c r="AE74" s="383">
        <f>SUMIF('Asesorías AG anterior'!$B$7:$B$239,B74,'Asesorías AG anterior'!$J$7:$J$239)</f>
        <v>0</v>
      </c>
      <c r="AF74" s="383">
        <f>SUMIF('Asesorías AG anterior'!$B$7:$B$239,B74,'Asesorías AG anterior'!$K$7:$K$239)</f>
        <v>1E-3</v>
      </c>
      <c r="AG74" s="383">
        <f>SUMIF('Asesorías AG anterior'!$B$7:$B$239,B74,'Asesorías AG anterior'!$L$7:$L$239)</f>
        <v>0</v>
      </c>
      <c r="AH74" s="383">
        <f>SUMIF('Asesorías AG anterior'!$B$7:$B$239,B74,'Asesorías AG anterior'!$M$7:$M$239)</f>
        <v>0</v>
      </c>
      <c r="AI74" s="383">
        <f>SUMIF('Asesorías AG anterior'!$B$7:$B$239,B74,'Asesorías AG anterior'!$N$7:$N$239)</f>
        <v>0</v>
      </c>
      <c r="AJ74" s="383">
        <f>SUMIF('Asesorías AG anterior'!$B$7:$B$239,B74,'Asesorías AG anterior'!$O$7:$O$239)</f>
        <v>1E-3</v>
      </c>
      <c r="AK74" s="383">
        <f>SUMIF('Asesorías AG anterior'!$B$7:$B$239,B74,'Asesorías AG anterior'!$P$7:$P$239)</f>
        <v>0</v>
      </c>
      <c r="AL74" s="383">
        <f>SUMIF('Asesorías AG anterior'!$B$7:$B$239,B74,'Asesorías AG anterior'!$Q$7:$Q$239)</f>
        <v>0</v>
      </c>
      <c r="AM74" s="383">
        <f>SUMIF('Asesorías AG anterior'!$B$7:$B$239,B74,'Asesorías AG anterior'!$R$7:$R$239)</f>
        <v>0</v>
      </c>
      <c r="AN74" s="383"/>
      <c r="AO74" s="383">
        <f>SUMIF('Asesorías AG anterior'!$B$7:$B$239,B74,'Asesorías AG anterior'!$T$7:$T$239)</f>
        <v>0</v>
      </c>
      <c r="AP74" s="383">
        <f>SUMIF('Asesorías AG anterior'!$B$7:$B$239,B74,'Asesorías AG anterior'!$U$7:$U$239)</f>
        <v>0</v>
      </c>
      <c r="AQ74" s="383">
        <f>SUMIF('Asesorías AG anterior'!$B$7:$B$239,B74,'Asesorías AG anterior'!$V$7:$V$239)</f>
        <v>0</v>
      </c>
      <c r="AR74" s="383">
        <f>SUMIF('Asesorías AG anterior'!$B$7:$B$239,B74,'Asesorías AG anterior'!$W$7:$W$239)</f>
        <v>0</v>
      </c>
      <c r="AS74" s="383">
        <f>SUMIF('Asesorías AG anterior'!$B$7:$B$239,B74,'Asesorías AG anterior'!$X$7:$X$239)</f>
        <v>0</v>
      </c>
      <c r="AT74" s="383">
        <f>SUMIF('Asesorías AG anterior'!$B$7:$B$239,B74,'Asesorías AG anterior'!$Y$7:$Y$239)</f>
        <v>0</v>
      </c>
      <c r="AU74" s="383">
        <f>SUMIF('Asesorías AG anterior'!$B$7:$B$239,B74,'Asesorías AG anterior'!$Z$7:$Z$239)</f>
        <v>0</v>
      </c>
      <c r="AV74" s="383">
        <f>SUMIF('Asesorías AG anterior'!$B$7:$B$239,B74,'Asesorías AG anterior'!$AA$7:$AA$239)</f>
        <v>0</v>
      </c>
      <c r="AW74" s="383">
        <f>SUMIF('Asesorías AG anterior'!$B$7:$B$239,B74,'Asesorías AG anterior'!$AB$7:$AB$239)</f>
        <v>0</v>
      </c>
      <c r="AX74" s="335"/>
      <c r="AZ74" s="1097" t="s">
        <v>58</v>
      </c>
    </row>
    <row r="75" spans="1:52" x14ac:dyDescent="0.2">
      <c r="A75" s="1184">
        <f t="shared" si="37"/>
        <v>69</v>
      </c>
      <c r="B75" s="1137" t="s">
        <v>175</v>
      </c>
      <c r="C75" s="1185">
        <f>_xlfn.XLOOKUP(B75,Códigos!$B$8:$B$406,Códigos!$A$8:$A$406,"Verificar",0)</f>
        <v>12</v>
      </c>
      <c r="D75" s="1114">
        <f>_xlfn.XLOOKUP(B75,'Consolidado Cobros'!$B$10:$B$312,'Consolidado Cobros'!$C$10:$C$312,"Verificar",0)</f>
        <v>800076166</v>
      </c>
      <c r="E75" s="1520">
        <f t="shared" si="30"/>
        <v>2</v>
      </c>
      <c r="F75" s="1517">
        <f t="shared" si="31"/>
        <v>0</v>
      </c>
      <c r="G75" s="1251">
        <f t="shared" si="32"/>
        <v>0</v>
      </c>
      <c r="H75" s="1240">
        <f t="shared" si="14"/>
        <v>0</v>
      </c>
      <c r="I75" s="1148"/>
      <c r="J75" s="383">
        <f t="shared" si="33"/>
        <v>0</v>
      </c>
      <c r="K75" s="712"/>
      <c r="L75" s="487">
        <f t="shared" si="34"/>
        <v>0</v>
      </c>
      <c r="M75" s="927"/>
      <c r="N75" s="672">
        <v>0</v>
      </c>
      <c r="O75" s="660"/>
      <c r="P75" s="1092">
        <f t="shared" si="35"/>
        <v>0</v>
      </c>
      <c r="Q75" s="1093">
        <v>0</v>
      </c>
      <c r="R75" s="381">
        <f t="shared" si="22"/>
        <v>0</v>
      </c>
      <c r="S75" s="382"/>
      <c r="T75" s="381"/>
      <c r="U75" s="624"/>
      <c r="V75" s="569">
        <f t="shared" si="36"/>
        <v>0</v>
      </c>
      <c r="W75" s="607"/>
      <c r="X75" s="383"/>
      <c r="Y75" s="607"/>
      <c r="Z75" s="383"/>
      <c r="AA75" s="607"/>
      <c r="AB75" s="718"/>
      <c r="AC75" s="335"/>
      <c r="AD75" s="383">
        <f>SUMIF('Asesorías AG anterior'!$B$7:$B$239,B75,'Asesorías AG anterior'!$I$7:$I$239)</f>
        <v>1E-3</v>
      </c>
      <c r="AE75" s="383">
        <f>SUMIF('Asesorías AG anterior'!$B$7:$B$239,B75,'Asesorías AG anterior'!$J$7:$J$239)</f>
        <v>0</v>
      </c>
      <c r="AF75" s="383">
        <f>SUMIF('Asesorías AG anterior'!$B$7:$B$239,B75,'Asesorías AG anterior'!$K$7:$K$239)</f>
        <v>1E-3</v>
      </c>
      <c r="AG75" s="383">
        <f>SUMIF('Asesorías AG anterior'!$B$7:$B$239,B75,'Asesorías AG anterior'!$L$7:$L$239)</f>
        <v>0</v>
      </c>
      <c r="AH75" s="383">
        <f>SUMIF('Asesorías AG anterior'!$B$7:$B$239,B75,'Asesorías AG anterior'!$M$7:$M$239)</f>
        <v>0</v>
      </c>
      <c r="AI75" s="383">
        <f>SUMIF('Asesorías AG anterior'!$B$7:$B$239,B75,'Asesorías AG anterior'!$N$7:$N$239)</f>
        <v>0</v>
      </c>
      <c r="AJ75" s="383">
        <f>SUMIF('Asesorías AG anterior'!$B$7:$B$239,B75,'Asesorías AG anterior'!$O$7:$O$239)</f>
        <v>1E-3</v>
      </c>
      <c r="AK75" s="383">
        <f>SUMIF('Asesorías AG anterior'!$B$7:$B$239,B75,'Asesorías AG anterior'!$P$7:$P$239)</f>
        <v>0</v>
      </c>
      <c r="AL75" s="383">
        <f>SUMIF('Asesorías AG anterior'!$B$7:$B$239,B75,'Asesorías AG anterior'!$Q$7:$Q$239)</f>
        <v>0</v>
      </c>
      <c r="AM75" s="383">
        <f>SUMIF('Asesorías AG anterior'!$B$7:$B$239,B75,'Asesorías AG anterior'!$R$7:$R$239)</f>
        <v>0</v>
      </c>
      <c r="AN75" s="383"/>
      <c r="AO75" s="383">
        <f>SUMIF('Asesorías AG anterior'!$B$7:$B$239,B75,'Asesorías AG anterior'!$T$7:$T$239)</f>
        <v>0</v>
      </c>
      <c r="AP75" s="383">
        <f>SUMIF('Asesorías AG anterior'!$B$7:$B$239,B75,'Asesorías AG anterior'!$U$7:$U$239)</f>
        <v>0</v>
      </c>
      <c r="AQ75" s="383">
        <f>SUMIF('Asesorías AG anterior'!$B$7:$B$239,B75,'Asesorías AG anterior'!$V$7:$V$239)</f>
        <v>0</v>
      </c>
      <c r="AR75" s="383">
        <f>SUMIF('Asesorías AG anterior'!$B$7:$B$239,B75,'Asesorías AG anterior'!$W$7:$W$239)</f>
        <v>0</v>
      </c>
      <c r="AS75" s="383">
        <f>SUMIF('Asesorías AG anterior'!$B$7:$B$239,B75,'Asesorías AG anterior'!$X$7:$X$239)</f>
        <v>0</v>
      </c>
      <c r="AT75" s="383">
        <f>SUMIF('Asesorías AG anterior'!$B$7:$B$239,B75,'Asesorías AG anterior'!$Y$7:$Y$239)</f>
        <v>0</v>
      </c>
      <c r="AU75" s="383">
        <f>SUMIF('Asesorías AG anterior'!$B$7:$B$239,B75,'Asesorías AG anterior'!$Z$7:$Z$239)</f>
        <v>0</v>
      </c>
      <c r="AV75" s="383">
        <f>SUMIF('Asesorías AG anterior'!$B$7:$B$239,B75,'Asesorías AG anterior'!$AA$7:$AA$239)</f>
        <v>0</v>
      </c>
      <c r="AW75" s="383">
        <f>SUMIF('Asesorías AG anterior'!$B$7:$B$239,B75,'Asesorías AG anterior'!$AB$7:$AB$239)</f>
        <v>0</v>
      </c>
      <c r="AX75" s="335"/>
      <c r="AZ75" s="1137" t="s">
        <v>175</v>
      </c>
    </row>
    <row r="76" spans="1:52" x14ac:dyDescent="0.2">
      <c r="A76" s="1184">
        <f t="shared" si="37"/>
        <v>70</v>
      </c>
      <c r="B76" s="1097" t="s">
        <v>409</v>
      </c>
      <c r="C76" s="1185">
        <f>_xlfn.XLOOKUP(B76,Códigos!$B$8:$B$406,Códigos!$A$8:$A$406,"Verificar",0)</f>
        <v>46</v>
      </c>
      <c r="D76" s="1114">
        <f>_xlfn.XLOOKUP(B76,'Consolidado Cobros'!$B$10:$B$312,'Consolidado Cobros'!$C$10:$C$312,"Verificar",0)</f>
        <v>43079748</v>
      </c>
      <c r="E76" s="1520">
        <f t="shared" si="30"/>
        <v>7</v>
      </c>
      <c r="F76" s="1517">
        <f t="shared" si="31"/>
        <v>0</v>
      </c>
      <c r="G76" s="1251">
        <f t="shared" si="32"/>
        <v>0</v>
      </c>
      <c r="H76" s="1240">
        <f t="shared" ref="H76:H139" si="38">+J76+L76+N76+P76+U76</f>
        <v>0</v>
      </c>
      <c r="I76" s="1148"/>
      <c r="J76" s="383">
        <f t="shared" si="33"/>
        <v>0</v>
      </c>
      <c r="K76" s="712"/>
      <c r="L76" s="487">
        <f t="shared" si="34"/>
        <v>0</v>
      </c>
      <c r="M76" s="927"/>
      <c r="N76" s="672">
        <v>0</v>
      </c>
      <c r="O76" s="660"/>
      <c r="P76" s="1092">
        <f t="shared" si="35"/>
        <v>0</v>
      </c>
      <c r="Q76" s="1093">
        <v>0</v>
      </c>
      <c r="R76" s="381">
        <f t="shared" si="22"/>
        <v>0</v>
      </c>
      <c r="S76" s="382"/>
      <c r="T76" s="381"/>
      <c r="U76" s="624"/>
      <c r="V76" s="569">
        <f t="shared" si="36"/>
        <v>0</v>
      </c>
      <c r="W76" s="607"/>
      <c r="X76" s="383"/>
      <c r="Y76" s="607"/>
      <c r="Z76" s="383"/>
      <c r="AA76" s="607"/>
      <c r="AB76" s="718"/>
      <c r="AC76" s="335"/>
      <c r="AD76" s="383">
        <f>SUMIF('Asesorías AG anterior'!$B$7:$B$239,B76,'Asesorías AG anterior'!$I$7:$I$239)</f>
        <v>1E-3</v>
      </c>
      <c r="AE76" s="383">
        <f>SUMIF('Asesorías AG anterior'!$B$7:$B$239,B76,'Asesorías AG anterior'!$J$7:$J$239)</f>
        <v>0</v>
      </c>
      <c r="AF76" s="383">
        <f>SUMIF('Asesorías AG anterior'!$B$7:$B$239,B76,'Asesorías AG anterior'!$K$7:$K$239)</f>
        <v>1E-3</v>
      </c>
      <c r="AG76" s="383">
        <f>SUMIF('Asesorías AG anterior'!$B$7:$B$239,B76,'Asesorías AG anterior'!$L$7:$L$239)</f>
        <v>0</v>
      </c>
      <c r="AH76" s="383">
        <f>SUMIF('Asesorías AG anterior'!$B$7:$B$239,B76,'Asesorías AG anterior'!$M$7:$M$239)</f>
        <v>0</v>
      </c>
      <c r="AI76" s="383">
        <f>SUMIF('Asesorías AG anterior'!$B$7:$B$239,B76,'Asesorías AG anterior'!$N$7:$N$239)</f>
        <v>0</v>
      </c>
      <c r="AJ76" s="383">
        <f>SUMIF('Asesorías AG anterior'!$B$7:$B$239,B76,'Asesorías AG anterior'!$O$7:$O$239)</f>
        <v>1E-3</v>
      </c>
      <c r="AK76" s="383">
        <f>SUMIF('Asesorías AG anterior'!$B$7:$B$239,B76,'Asesorías AG anterior'!$P$7:$P$239)</f>
        <v>0</v>
      </c>
      <c r="AL76" s="383">
        <f>SUMIF('Asesorías AG anterior'!$B$7:$B$239,B76,'Asesorías AG anterior'!$Q$7:$Q$239)</f>
        <v>0</v>
      </c>
      <c r="AM76" s="383">
        <f>SUMIF('Asesorías AG anterior'!$B$7:$B$239,B76,'Asesorías AG anterior'!$R$7:$R$239)</f>
        <v>0</v>
      </c>
      <c r="AN76" s="383"/>
      <c r="AO76" s="383">
        <f>SUMIF('Asesorías AG anterior'!$B$7:$B$239,B76,'Asesorías AG anterior'!$T$7:$T$239)</f>
        <v>0</v>
      </c>
      <c r="AP76" s="383">
        <f>SUMIF('Asesorías AG anterior'!$B$7:$B$239,B76,'Asesorías AG anterior'!$U$7:$U$239)</f>
        <v>0</v>
      </c>
      <c r="AQ76" s="383">
        <f>SUMIF('Asesorías AG anterior'!$B$7:$B$239,B76,'Asesorías AG anterior'!$V$7:$V$239)</f>
        <v>0</v>
      </c>
      <c r="AR76" s="383">
        <f>SUMIF('Asesorías AG anterior'!$B$7:$B$239,B76,'Asesorías AG anterior'!$W$7:$W$239)</f>
        <v>0</v>
      </c>
      <c r="AS76" s="383">
        <f>SUMIF('Asesorías AG anterior'!$B$7:$B$239,B76,'Asesorías AG anterior'!$X$7:$X$239)</f>
        <v>0</v>
      </c>
      <c r="AT76" s="383">
        <f>SUMIF('Asesorías AG anterior'!$B$7:$B$239,B76,'Asesorías AG anterior'!$Y$7:$Y$239)</f>
        <v>0</v>
      </c>
      <c r="AU76" s="383">
        <f>SUMIF('Asesorías AG anterior'!$B$7:$B$239,B76,'Asesorías AG anterior'!$Z$7:$Z$239)</f>
        <v>0</v>
      </c>
      <c r="AV76" s="383">
        <f>SUMIF('Asesorías AG anterior'!$B$7:$B$239,B76,'Asesorías AG anterior'!$AA$7:$AA$239)</f>
        <v>0</v>
      </c>
      <c r="AW76" s="383">
        <f>SUMIF('Asesorías AG anterior'!$B$7:$B$239,B76,'Asesorías AG anterior'!$AB$7:$AB$239)</f>
        <v>0</v>
      </c>
      <c r="AX76" s="335"/>
      <c r="AZ76" s="1097" t="s">
        <v>409</v>
      </c>
    </row>
    <row r="77" spans="1:52" x14ac:dyDescent="0.2">
      <c r="A77" s="1184">
        <f t="shared" si="37"/>
        <v>71</v>
      </c>
      <c r="B77" s="1097" t="s">
        <v>390</v>
      </c>
      <c r="C77" s="1185">
        <f>_xlfn.XLOOKUP(B77,Códigos!$B$8:$B$406,Códigos!$A$8:$A$406,"Verificar",0)</f>
        <v>54</v>
      </c>
      <c r="D77" s="1114">
        <f>_xlfn.XLOOKUP(B77,'Consolidado Cobros'!$B$10:$B$312,'Consolidado Cobros'!$C$10:$C$312,"Verificar",0)</f>
        <v>43422834</v>
      </c>
      <c r="E77" s="1520">
        <f t="shared" si="30"/>
        <v>3</v>
      </c>
      <c r="F77" s="1517">
        <f t="shared" si="31"/>
        <v>0</v>
      </c>
      <c r="G77" s="1251">
        <f t="shared" si="32"/>
        <v>0</v>
      </c>
      <c r="H77" s="1240">
        <f t="shared" si="38"/>
        <v>0</v>
      </c>
      <c r="I77" s="1148"/>
      <c r="J77" s="383">
        <f t="shared" si="33"/>
        <v>0</v>
      </c>
      <c r="K77" s="712"/>
      <c r="L77" s="487">
        <f t="shared" si="34"/>
        <v>0</v>
      </c>
      <c r="M77" s="927"/>
      <c r="N77" s="672">
        <v>0</v>
      </c>
      <c r="O77" s="660"/>
      <c r="P77" s="1092">
        <f t="shared" si="35"/>
        <v>0</v>
      </c>
      <c r="Q77" s="1093">
        <v>0</v>
      </c>
      <c r="R77" s="381">
        <f t="shared" si="22"/>
        <v>0</v>
      </c>
      <c r="S77" s="382"/>
      <c r="T77" s="381"/>
      <c r="U77" s="624"/>
      <c r="V77" s="569">
        <f t="shared" si="36"/>
        <v>0</v>
      </c>
      <c r="W77" s="607"/>
      <c r="X77" s="383"/>
      <c r="Y77" s="607"/>
      <c r="Z77" s="383"/>
      <c r="AA77" s="607"/>
      <c r="AB77" s="718"/>
      <c r="AC77" s="335"/>
      <c r="AD77" s="383">
        <f>SUMIF('Asesorías AG anterior'!$B$7:$B$239,B77,'Asesorías AG anterior'!$I$7:$I$239)</f>
        <v>1E-3</v>
      </c>
      <c r="AE77" s="383">
        <f>SUMIF('Asesorías AG anterior'!$B$7:$B$239,B77,'Asesorías AG anterior'!$J$7:$J$239)</f>
        <v>0</v>
      </c>
      <c r="AF77" s="383">
        <f>SUMIF('Asesorías AG anterior'!$B$7:$B$239,B77,'Asesorías AG anterior'!$K$7:$K$239)</f>
        <v>1E-3</v>
      </c>
      <c r="AG77" s="383">
        <f>SUMIF('Asesorías AG anterior'!$B$7:$B$239,B77,'Asesorías AG anterior'!$L$7:$L$239)</f>
        <v>0</v>
      </c>
      <c r="AH77" s="383">
        <f>SUMIF('Asesorías AG anterior'!$B$7:$B$239,B77,'Asesorías AG anterior'!$M$7:$M$239)</f>
        <v>0</v>
      </c>
      <c r="AI77" s="383">
        <f>SUMIF('Asesorías AG anterior'!$B$7:$B$239,B77,'Asesorías AG anterior'!$N$7:$N$239)</f>
        <v>0</v>
      </c>
      <c r="AJ77" s="383">
        <f>SUMIF('Asesorías AG anterior'!$B$7:$B$239,B77,'Asesorías AG anterior'!$O$7:$O$239)</f>
        <v>1E-3</v>
      </c>
      <c r="AK77" s="383">
        <f>SUMIF('Asesorías AG anterior'!$B$7:$B$239,B77,'Asesorías AG anterior'!$P$7:$P$239)</f>
        <v>0</v>
      </c>
      <c r="AL77" s="383">
        <f>SUMIF('Asesorías AG anterior'!$B$7:$B$239,B77,'Asesorías AG anterior'!$Q$7:$Q$239)</f>
        <v>0</v>
      </c>
      <c r="AM77" s="383">
        <f>SUMIF('Asesorías AG anterior'!$B$7:$B$239,B77,'Asesorías AG anterior'!$R$7:$R$239)</f>
        <v>0</v>
      </c>
      <c r="AN77" s="383"/>
      <c r="AO77" s="383">
        <f>SUMIF('Asesorías AG anterior'!$B$7:$B$239,B77,'Asesorías AG anterior'!$T$7:$T$239)</f>
        <v>0</v>
      </c>
      <c r="AP77" s="383">
        <f>SUMIF('Asesorías AG anterior'!$B$7:$B$239,B77,'Asesorías AG anterior'!$U$7:$U$239)</f>
        <v>0</v>
      </c>
      <c r="AQ77" s="383">
        <f>SUMIF('Asesorías AG anterior'!$B$7:$B$239,B77,'Asesorías AG anterior'!$V$7:$V$239)</f>
        <v>0</v>
      </c>
      <c r="AR77" s="383">
        <f>SUMIF('Asesorías AG anterior'!$B$7:$B$239,B77,'Asesorías AG anterior'!$W$7:$W$239)</f>
        <v>0</v>
      </c>
      <c r="AS77" s="383">
        <f>SUMIF('Asesorías AG anterior'!$B$7:$B$239,B77,'Asesorías AG anterior'!$X$7:$X$239)</f>
        <v>0</v>
      </c>
      <c r="AT77" s="383">
        <f>SUMIF('Asesorías AG anterior'!$B$7:$B$239,B77,'Asesorías AG anterior'!$Y$7:$Y$239)</f>
        <v>0</v>
      </c>
      <c r="AU77" s="383">
        <f>SUMIF('Asesorías AG anterior'!$B$7:$B$239,B77,'Asesorías AG anterior'!$Z$7:$Z$239)</f>
        <v>0</v>
      </c>
      <c r="AV77" s="383">
        <f>SUMIF('Asesorías AG anterior'!$B$7:$B$239,B77,'Asesorías AG anterior'!$AA$7:$AA$239)</f>
        <v>0</v>
      </c>
      <c r="AW77" s="383">
        <f>SUMIF('Asesorías AG anterior'!$B$7:$B$239,B77,'Asesorías AG anterior'!$AB$7:$AB$239)</f>
        <v>0</v>
      </c>
      <c r="AX77" s="335"/>
      <c r="AZ77" s="1393" t="s">
        <v>390</v>
      </c>
    </row>
    <row r="78" spans="1:52" x14ac:dyDescent="0.2">
      <c r="A78" s="1184">
        <f t="shared" si="37"/>
        <v>72</v>
      </c>
      <c r="B78" s="1097" t="s">
        <v>59</v>
      </c>
      <c r="C78" s="1185">
        <f>_xlfn.XLOOKUP(B78,Códigos!$B$8:$B$406,Códigos!$A$8:$A$406,"Verificar",0)</f>
        <v>99</v>
      </c>
      <c r="D78" s="1114">
        <f>_xlfn.XLOOKUP(B78,'Consolidado Cobros'!$B$10:$B$312,'Consolidado Cobros'!$C$10:$C$312,"Verificar",0)</f>
        <v>43422711</v>
      </c>
      <c r="E78" s="1520">
        <f t="shared" si="30"/>
        <v>6</v>
      </c>
      <c r="F78" s="1517">
        <f t="shared" si="31"/>
        <v>0</v>
      </c>
      <c r="G78" s="1251">
        <f t="shared" si="32"/>
        <v>0</v>
      </c>
      <c r="H78" s="1240">
        <f t="shared" si="38"/>
        <v>0</v>
      </c>
      <c r="I78" s="1148"/>
      <c r="J78" s="383">
        <f t="shared" si="33"/>
        <v>0</v>
      </c>
      <c r="K78" s="712"/>
      <c r="L78" s="487">
        <f t="shared" si="34"/>
        <v>0</v>
      </c>
      <c r="M78" s="927"/>
      <c r="N78" s="672">
        <v>0</v>
      </c>
      <c r="O78" s="660"/>
      <c r="P78" s="1092">
        <f t="shared" si="35"/>
        <v>0</v>
      </c>
      <c r="Q78" s="1093">
        <v>0</v>
      </c>
      <c r="R78" s="381">
        <f t="shared" si="22"/>
        <v>0</v>
      </c>
      <c r="S78" s="382"/>
      <c r="T78" s="381"/>
      <c r="U78" s="624"/>
      <c r="V78" s="569">
        <f t="shared" si="36"/>
        <v>0</v>
      </c>
      <c r="W78" s="607"/>
      <c r="X78" s="383"/>
      <c r="Y78" s="607"/>
      <c r="Z78" s="383"/>
      <c r="AA78" s="607"/>
      <c r="AB78" s="718"/>
      <c r="AC78" s="335"/>
      <c r="AD78" s="383">
        <f>SUMIF('Asesorías AG anterior'!$B$7:$B$239,B78,'Asesorías AG anterior'!$I$7:$I$239)</f>
        <v>1E-3</v>
      </c>
      <c r="AE78" s="383">
        <f>SUMIF('Asesorías AG anterior'!$B$7:$B$239,B78,'Asesorías AG anterior'!$J$7:$J$239)</f>
        <v>0</v>
      </c>
      <c r="AF78" s="383">
        <f>SUMIF('Asesorías AG anterior'!$B$7:$B$239,B78,'Asesorías AG anterior'!$K$7:$K$239)</f>
        <v>1E-3</v>
      </c>
      <c r="AG78" s="383">
        <f>SUMIF('Asesorías AG anterior'!$B$7:$B$239,B78,'Asesorías AG anterior'!$L$7:$L$239)</f>
        <v>0</v>
      </c>
      <c r="AH78" s="383">
        <f>SUMIF('Asesorías AG anterior'!$B$7:$B$239,B78,'Asesorías AG anterior'!$M$7:$M$239)</f>
        <v>0</v>
      </c>
      <c r="AI78" s="383">
        <f>SUMIF('Asesorías AG anterior'!$B$7:$B$239,B78,'Asesorías AG anterior'!$N$7:$N$239)</f>
        <v>0</v>
      </c>
      <c r="AJ78" s="383">
        <f>SUMIF('Asesorías AG anterior'!$B$7:$B$239,B78,'Asesorías AG anterior'!$O$7:$O$239)</f>
        <v>1E-3</v>
      </c>
      <c r="AK78" s="383">
        <f>SUMIF('Asesorías AG anterior'!$B$7:$B$239,B78,'Asesorías AG anterior'!$P$7:$P$239)</f>
        <v>0</v>
      </c>
      <c r="AL78" s="383">
        <f>SUMIF('Asesorías AG anterior'!$B$7:$B$239,B78,'Asesorías AG anterior'!$Q$7:$Q$239)</f>
        <v>0</v>
      </c>
      <c r="AM78" s="383">
        <f>SUMIF('Asesorías AG anterior'!$B$7:$B$239,B78,'Asesorías AG anterior'!$R$7:$R$239)</f>
        <v>0</v>
      </c>
      <c r="AN78" s="383"/>
      <c r="AO78" s="383">
        <f>SUMIF('Asesorías AG anterior'!$B$7:$B$239,B78,'Asesorías AG anterior'!$T$7:$T$239)</f>
        <v>0</v>
      </c>
      <c r="AP78" s="383">
        <f>SUMIF('Asesorías AG anterior'!$B$7:$B$239,B78,'Asesorías AG anterior'!$U$7:$U$239)</f>
        <v>0</v>
      </c>
      <c r="AQ78" s="383">
        <f>SUMIF('Asesorías AG anterior'!$B$7:$B$239,B78,'Asesorías AG anterior'!$V$7:$V$239)</f>
        <v>0</v>
      </c>
      <c r="AR78" s="383">
        <f>SUMIF('Asesorías AG anterior'!$B$7:$B$239,B78,'Asesorías AG anterior'!$W$7:$W$239)</f>
        <v>0</v>
      </c>
      <c r="AS78" s="383">
        <f>SUMIF('Asesorías AG anterior'!$B$7:$B$239,B78,'Asesorías AG anterior'!$X$7:$X$239)</f>
        <v>0</v>
      </c>
      <c r="AT78" s="383">
        <f>SUMIF('Asesorías AG anterior'!$B$7:$B$239,B78,'Asesorías AG anterior'!$Y$7:$Y$239)</f>
        <v>0</v>
      </c>
      <c r="AU78" s="383">
        <f>SUMIF('Asesorías AG anterior'!$B$7:$B$239,B78,'Asesorías AG anterior'!$Z$7:$Z$239)</f>
        <v>0</v>
      </c>
      <c r="AV78" s="383">
        <f>SUMIF('Asesorías AG anterior'!$B$7:$B$239,B78,'Asesorías AG anterior'!$AA$7:$AA$239)</f>
        <v>0</v>
      </c>
      <c r="AW78" s="383">
        <f>SUMIF('Asesorías AG anterior'!$B$7:$B$239,B78,'Asesorías AG anterior'!$AB$7:$AB$239)</f>
        <v>0</v>
      </c>
      <c r="AX78" s="335"/>
      <c r="AZ78" s="1393" t="s">
        <v>59</v>
      </c>
    </row>
    <row r="79" spans="1:52" x14ac:dyDescent="0.2">
      <c r="A79" s="1184">
        <f t="shared" si="37"/>
        <v>73</v>
      </c>
      <c r="B79" s="1097" t="s">
        <v>650</v>
      </c>
      <c r="C79" s="1185">
        <f>_xlfn.XLOOKUP(B79,Códigos!$B$8:$B$406,Códigos!$A$8:$A$406,"Verificar",0)</f>
        <v>233</v>
      </c>
      <c r="D79" s="1114">
        <f>_xlfn.XLOOKUP(B79,'Consolidado Cobros'!$B$10:$B$312,'Consolidado Cobros'!$C$10:$C$312,"Verificar",0)</f>
        <v>71274022</v>
      </c>
      <c r="E79" s="1520">
        <f t="shared" si="30"/>
        <v>6</v>
      </c>
      <c r="F79" s="1517">
        <f t="shared" si="31"/>
        <v>0</v>
      </c>
      <c r="G79" s="1251">
        <f t="shared" si="32"/>
        <v>0</v>
      </c>
      <c r="H79" s="1240">
        <f t="shared" si="38"/>
        <v>0</v>
      </c>
      <c r="I79" s="1148"/>
      <c r="J79" s="383">
        <f t="shared" si="33"/>
        <v>0</v>
      </c>
      <c r="K79" s="712"/>
      <c r="L79" s="487">
        <f t="shared" si="34"/>
        <v>0</v>
      </c>
      <c r="M79" s="927"/>
      <c r="N79" s="672">
        <v>0</v>
      </c>
      <c r="O79" s="660"/>
      <c r="P79" s="1092">
        <f t="shared" si="35"/>
        <v>0</v>
      </c>
      <c r="Q79" s="1093">
        <v>0</v>
      </c>
      <c r="R79" s="381">
        <f t="shared" si="22"/>
        <v>0</v>
      </c>
      <c r="S79" s="382"/>
      <c r="T79" s="381"/>
      <c r="U79" s="624"/>
      <c r="V79" s="569">
        <f t="shared" si="36"/>
        <v>0</v>
      </c>
      <c r="W79" s="607"/>
      <c r="X79" s="383"/>
      <c r="Y79" s="607"/>
      <c r="Z79" s="383"/>
      <c r="AA79" s="607"/>
      <c r="AB79" s="718"/>
      <c r="AC79" s="335"/>
      <c r="AD79" s="383">
        <f>SUMIF('Asesorías AG anterior'!$B$7:$B$239,B79,'Asesorías AG anterior'!$I$7:$I$239)</f>
        <v>1E-3</v>
      </c>
      <c r="AE79" s="383">
        <f>SUMIF('Asesorías AG anterior'!$B$7:$B$239,B79,'Asesorías AG anterior'!$J$7:$J$239)</f>
        <v>0</v>
      </c>
      <c r="AF79" s="383">
        <f>SUMIF('Asesorías AG anterior'!$B$7:$B$239,B79,'Asesorías AG anterior'!$K$7:$K$239)</f>
        <v>1E-3</v>
      </c>
      <c r="AG79" s="383">
        <f>SUMIF('Asesorías AG anterior'!$B$7:$B$239,B79,'Asesorías AG anterior'!$L$7:$L$239)</f>
        <v>0</v>
      </c>
      <c r="AH79" s="383">
        <f>SUMIF('Asesorías AG anterior'!$B$7:$B$239,B79,'Asesorías AG anterior'!$M$7:$M$239)</f>
        <v>0</v>
      </c>
      <c r="AI79" s="383">
        <f>SUMIF('Asesorías AG anterior'!$B$7:$B$239,B79,'Asesorías AG anterior'!$N$7:$N$239)</f>
        <v>0</v>
      </c>
      <c r="AJ79" s="383">
        <f>SUMIF('Asesorías AG anterior'!$B$7:$B$239,B79,'Asesorías AG anterior'!$O$7:$O$239)</f>
        <v>1E-3</v>
      </c>
      <c r="AK79" s="383">
        <f>SUMIF('Asesorías AG anterior'!$B$7:$B$239,B79,'Asesorías AG anterior'!$P$7:$P$239)</f>
        <v>0</v>
      </c>
      <c r="AL79" s="383">
        <f>SUMIF('Asesorías AG anterior'!$B$7:$B$239,B79,'Asesorías AG anterior'!$Q$7:$Q$239)</f>
        <v>0</v>
      </c>
      <c r="AM79" s="383">
        <f>SUMIF('Asesorías AG anterior'!$B$7:$B$239,B79,'Asesorías AG anterior'!$R$7:$R$239)</f>
        <v>0</v>
      </c>
      <c r="AN79" s="383"/>
      <c r="AO79" s="383">
        <f>SUMIF('Asesorías AG anterior'!$B$7:$B$239,B79,'Asesorías AG anterior'!$T$7:$T$239)</f>
        <v>0</v>
      </c>
      <c r="AP79" s="383">
        <f>SUMIF('Asesorías AG anterior'!$B$7:$B$239,B79,'Asesorías AG anterior'!$U$7:$U$239)</f>
        <v>0</v>
      </c>
      <c r="AQ79" s="383">
        <f>SUMIF('Asesorías AG anterior'!$B$7:$B$239,B79,'Asesorías AG anterior'!$V$7:$V$239)</f>
        <v>0</v>
      </c>
      <c r="AR79" s="383">
        <f>SUMIF('Asesorías AG anterior'!$B$7:$B$239,B79,'Asesorías AG anterior'!$W$7:$W$239)</f>
        <v>0</v>
      </c>
      <c r="AS79" s="383">
        <f>SUMIF('Asesorías AG anterior'!$B$7:$B$239,B79,'Asesorías AG anterior'!$X$7:$X$239)</f>
        <v>0</v>
      </c>
      <c r="AT79" s="383">
        <f>SUMIF('Asesorías AG anterior'!$B$7:$B$239,B79,'Asesorías AG anterior'!$Y$7:$Y$239)</f>
        <v>0</v>
      </c>
      <c r="AU79" s="383">
        <f>SUMIF('Asesorías AG anterior'!$B$7:$B$239,B79,'Asesorías AG anterior'!$Z$7:$Z$239)</f>
        <v>0</v>
      </c>
      <c r="AV79" s="383">
        <f>SUMIF('Asesorías AG anterior'!$B$7:$B$239,B79,'Asesorías AG anterior'!$AA$7:$AA$239)</f>
        <v>0</v>
      </c>
      <c r="AW79" s="383">
        <f>SUMIF('Asesorías AG anterior'!$B$7:$B$239,B79,'Asesorías AG anterior'!$AB$7:$AB$239)</f>
        <v>0</v>
      </c>
      <c r="AX79" s="335"/>
      <c r="AZ79" s="1137" t="s">
        <v>650</v>
      </c>
    </row>
    <row r="80" spans="1:52" x14ac:dyDescent="0.2">
      <c r="A80" s="1184">
        <f t="shared" si="37"/>
        <v>74</v>
      </c>
      <c r="B80" s="1097" t="s">
        <v>294</v>
      </c>
      <c r="C80" s="1185">
        <f>_xlfn.XLOOKUP(B80,Códigos!$B$8:$B$406,Códigos!$A$8:$A$406,"Verificar",0)</f>
        <v>330</v>
      </c>
      <c r="D80" s="1114">
        <f>_xlfn.XLOOKUP(B80,'Consolidado Cobros'!$B$10:$B$312,'Consolidado Cobros'!$C$10:$C$312,"Verificar",0)</f>
        <v>3473739</v>
      </c>
      <c r="E80" s="1520">
        <f t="shared" si="30"/>
        <v>4</v>
      </c>
      <c r="F80" s="1517">
        <f t="shared" si="31"/>
        <v>0</v>
      </c>
      <c r="G80" s="1251">
        <f t="shared" si="32"/>
        <v>0</v>
      </c>
      <c r="H80" s="1240">
        <f t="shared" si="38"/>
        <v>0</v>
      </c>
      <c r="I80" s="1148"/>
      <c r="J80" s="383">
        <f t="shared" si="33"/>
        <v>0</v>
      </c>
      <c r="K80" s="712"/>
      <c r="L80" s="487">
        <f t="shared" si="34"/>
        <v>0</v>
      </c>
      <c r="M80" s="927"/>
      <c r="N80" s="672">
        <v>0</v>
      </c>
      <c r="O80" s="660"/>
      <c r="P80" s="1092">
        <f t="shared" si="35"/>
        <v>0</v>
      </c>
      <c r="Q80" s="1093">
        <v>0</v>
      </c>
      <c r="R80" s="381">
        <f t="shared" si="22"/>
        <v>0</v>
      </c>
      <c r="S80" s="382"/>
      <c r="T80" s="381"/>
      <c r="U80" s="624"/>
      <c r="V80" s="569">
        <f t="shared" si="36"/>
        <v>0</v>
      </c>
      <c r="W80" s="607"/>
      <c r="X80" s="383"/>
      <c r="Y80" s="607"/>
      <c r="Z80" s="383"/>
      <c r="AA80" s="607"/>
      <c r="AB80" s="718"/>
      <c r="AC80" s="335"/>
      <c r="AD80" s="383">
        <f>SUMIF('Asesorías AG anterior'!$B$7:$B$239,B80,'Asesorías AG anterior'!$I$7:$I$239)</f>
        <v>1E-3</v>
      </c>
      <c r="AE80" s="383">
        <f>SUMIF('Asesorías AG anterior'!$B$7:$B$239,B80,'Asesorías AG anterior'!$J$7:$J$239)</f>
        <v>0</v>
      </c>
      <c r="AF80" s="383">
        <f>SUMIF('Asesorías AG anterior'!$B$7:$B$239,B80,'Asesorías AG anterior'!$K$7:$K$239)</f>
        <v>1E-3</v>
      </c>
      <c r="AG80" s="383">
        <f>SUMIF('Asesorías AG anterior'!$B$7:$B$239,B80,'Asesorías AG anterior'!$L$7:$L$239)</f>
        <v>0</v>
      </c>
      <c r="AH80" s="383">
        <f>SUMIF('Asesorías AG anterior'!$B$7:$B$239,B80,'Asesorías AG anterior'!$M$7:$M$239)</f>
        <v>0</v>
      </c>
      <c r="AI80" s="383">
        <f>SUMIF('Asesorías AG anterior'!$B$7:$B$239,B80,'Asesorías AG anterior'!$N$7:$N$239)</f>
        <v>0</v>
      </c>
      <c r="AJ80" s="383">
        <f>SUMIF('Asesorías AG anterior'!$B$7:$B$239,B80,'Asesorías AG anterior'!$O$7:$O$239)</f>
        <v>1E-3</v>
      </c>
      <c r="AK80" s="383">
        <f>SUMIF('Asesorías AG anterior'!$B$7:$B$239,B80,'Asesorías AG anterior'!$P$7:$P$239)</f>
        <v>0</v>
      </c>
      <c r="AL80" s="383">
        <f>SUMIF('Asesorías AG anterior'!$B$7:$B$239,B80,'Asesorías AG anterior'!$Q$7:$Q$239)</f>
        <v>0</v>
      </c>
      <c r="AM80" s="383">
        <f>SUMIF('Asesorías AG anterior'!$B$7:$B$239,B80,'Asesorías AG anterior'!$R$7:$R$239)</f>
        <v>0</v>
      </c>
      <c r="AN80" s="383"/>
      <c r="AO80" s="383">
        <f>SUMIF('Asesorías AG anterior'!$B$7:$B$239,B80,'Asesorías AG anterior'!$T$7:$T$239)</f>
        <v>0</v>
      </c>
      <c r="AP80" s="383">
        <f>SUMIF('Asesorías AG anterior'!$B$7:$B$239,B80,'Asesorías AG anterior'!$U$7:$U$239)</f>
        <v>0</v>
      </c>
      <c r="AQ80" s="383">
        <f>SUMIF('Asesorías AG anterior'!$B$7:$B$239,B80,'Asesorías AG anterior'!$V$7:$V$239)</f>
        <v>0</v>
      </c>
      <c r="AR80" s="383">
        <f>SUMIF('Asesorías AG anterior'!$B$7:$B$239,B80,'Asesorías AG anterior'!$W$7:$W$239)</f>
        <v>0</v>
      </c>
      <c r="AS80" s="383">
        <f>SUMIF('Asesorías AG anterior'!$B$7:$B$239,B80,'Asesorías AG anterior'!$X$7:$X$239)</f>
        <v>0</v>
      </c>
      <c r="AT80" s="383">
        <f>SUMIF('Asesorías AG anterior'!$B$7:$B$239,B80,'Asesorías AG anterior'!$Y$7:$Y$239)</f>
        <v>0</v>
      </c>
      <c r="AU80" s="383">
        <f>SUMIF('Asesorías AG anterior'!$B$7:$B$239,B80,'Asesorías AG anterior'!$Z$7:$Z$239)</f>
        <v>0</v>
      </c>
      <c r="AV80" s="383">
        <f>SUMIF('Asesorías AG anterior'!$B$7:$B$239,B80,'Asesorías AG anterior'!$AA$7:$AA$239)</f>
        <v>0</v>
      </c>
      <c r="AW80" s="383">
        <f>SUMIF('Asesorías AG anterior'!$B$7:$B$239,B80,'Asesorías AG anterior'!$AB$7:$AB$239)</f>
        <v>0</v>
      </c>
      <c r="AX80" s="335"/>
      <c r="AZ80" s="1097" t="s">
        <v>294</v>
      </c>
    </row>
    <row r="81" spans="1:52" x14ac:dyDescent="0.2">
      <c r="A81" s="1184">
        <f t="shared" si="37"/>
        <v>75</v>
      </c>
      <c r="B81" s="1097" t="s">
        <v>62</v>
      </c>
      <c r="C81" s="1185">
        <f>_xlfn.XLOOKUP(B81,Códigos!$B$8:$B$406,Códigos!$A$8:$A$406,"Verificar",0)</f>
        <v>223</v>
      </c>
      <c r="D81" s="1114">
        <f>_xlfn.XLOOKUP(B81,'Consolidado Cobros'!$B$10:$B$312,'Consolidado Cobros'!$C$10:$C$312,"Verificar",0)</f>
        <v>1037601220</v>
      </c>
      <c r="E81" s="1520">
        <f t="shared" si="30"/>
        <v>9</v>
      </c>
      <c r="F81" s="1517">
        <f t="shared" si="31"/>
        <v>0</v>
      </c>
      <c r="G81" s="1251">
        <f t="shared" si="32"/>
        <v>0</v>
      </c>
      <c r="H81" s="1240">
        <f t="shared" si="38"/>
        <v>0</v>
      </c>
      <c r="I81" s="1148"/>
      <c r="J81" s="383">
        <f t="shared" si="33"/>
        <v>0</v>
      </c>
      <c r="K81" s="712"/>
      <c r="L81" s="487">
        <f t="shared" si="34"/>
        <v>0</v>
      </c>
      <c r="M81" s="927"/>
      <c r="N81" s="672">
        <v>0</v>
      </c>
      <c r="O81" s="660"/>
      <c r="P81" s="1092">
        <f t="shared" si="35"/>
        <v>0</v>
      </c>
      <c r="Q81" s="1093">
        <v>0</v>
      </c>
      <c r="R81" s="381">
        <f t="shared" si="22"/>
        <v>0</v>
      </c>
      <c r="S81" s="382"/>
      <c r="T81" s="381"/>
      <c r="U81" s="624"/>
      <c r="V81" s="569">
        <f t="shared" si="36"/>
        <v>0</v>
      </c>
      <c r="W81" s="607"/>
      <c r="X81" s="383"/>
      <c r="Y81" s="607"/>
      <c r="Z81" s="383"/>
      <c r="AA81" s="607"/>
      <c r="AB81" s="718"/>
      <c r="AC81" s="335"/>
      <c r="AD81" s="383">
        <f>SUMIF('Asesorías AG anterior'!$B$7:$B$239,B81,'Asesorías AG anterior'!$I$7:$I$239)</f>
        <v>1E-3</v>
      </c>
      <c r="AE81" s="383">
        <f>SUMIF('Asesorías AG anterior'!$B$7:$B$239,B81,'Asesorías AG anterior'!$J$7:$J$239)</f>
        <v>0</v>
      </c>
      <c r="AF81" s="383">
        <f>SUMIF('Asesorías AG anterior'!$B$7:$B$239,B81,'Asesorías AG anterior'!$K$7:$K$239)</f>
        <v>1E-3</v>
      </c>
      <c r="AG81" s="383">
        <f>SUMIF('Asesorías AG anterior'!$B$7:$B$239,B81,'Asesorías AG anterior'!$L$7:$L$239)</f>
        <v>0</v>
      </c>
      <c r="AH81" s="383">
        <f>SUMIF('Asesorías AG anterior'!$B$7:$B$239,B81,'Asesorías AG anterior'!$M$7:$M$239)</f>
        <v>0</v>
      </c>
      <c r="AI81" s="383">
        <f>SUMIF('Asesorías AG anterior'!$B$7:$B$239,B81,'Asesorías AG anterior'!$N$7:$N$239)</f>
        <v>0</v>
      </c>
      <c r="AJ81" s="383">
        <f>SUMIF('Asesorías AG anterior'!$B$7:$B$239,B81,'Asesorías AG anterior'!$O$7:$O$239)</f>
        <v>1E-3</v>
      </c>
      <c r="AK81" s="383">
        <f>SUMIF('Asesorías AG anterior'!$B$7:$B$239,B81,'Asesorías AG anterior'!$P$7:$P$239)</f>
        <v>0</v>
      </c>
      <c r="AL81" s="383">
        <f>SUMIF('Asesorías AG anterior'!$B$7:$B$239,B81,'Asesorías AG anterior'!$Q$7:$Q$239)</f>
        <v>0</v>
      </c>
      <c r="AM81" s="383">
        <f>SUMIF('Asesorías AG anterior'!$B$7:$B$239,B81,'Asesorías AG anterior'!$R$7:$R$239)</f>
        <v>0</v>
      </c>
      <c r="AN81" s="383"/>
      <c r="AO81" s="383">
        <f>SUMIF('Asesorías AG anterior'!$B$7:$B$239,B81,'Asesorías AG anterior'!$T$7:$T$239)</f>
        <v>0</v>
      </c>
      <c r="AP81" s="383">
        <f>SUMIF('Asesorías AG anterior'!$B$7:$B$239,B81,'Asesorías AG anterior'!$U$7:$U$239)</f>
        <v>0</v>
      </c>
      <c r="AQ81" s="383">
        <f>SUMIF('Asesorías AG anterior'!$B$7:$B$239,B81,'Asesorías AG anterior'!$V$7:$V$239)</f>
        <v>0</v>
      </c>
      <c r="AR81" s="383">
        <f>SUMIF('Asesorías AG anterior'!$B$7:$B$239,B81,'Asesorías AG anterior'!$W$7:$W$239)</f>
        <v>0</v>
      </c>
      <c r="AS81" s="383">
        <f>SUMIF('Asesorías AG anterior'!$B$7:$B$239,B81,'Asesorías AG anterior'!$X$7:$X$239)</f>
        <v>0</v>
      </c>
      <c r="AT81" s="383">
        <f>SUMIF('Asesorías AG anterior'!$B$7:$B$239,B81,'Asesorías AG anterior'!$Y$7:$Y$239)</f>
        <v>0</v>
      </c>
      <c r="AU81" s="383">
        <f>SUMIF('Asesorías AG anterior'!$B$7:$B$239,B81,'Asesorías AG anterior'!$Z$7:$Z$239)</f>
        <v>0</v>
      </c>
      <c r="AV81" s="383">
        <f>SUMIF('Asesorías AG anterior'!$B$7:$B$239,B81,'Asesorías AG anterior'!$AA$7:$AA$239)</f>
        <v>0</v>
      </c>
      <c r="AW81" s="383">
        <f>SUMIF('Asesorías AG anterior'!$B$7:$B$239,B81,'Asesorías AG anterior'!$AB$7:$AB$239)</f>
        <v>0</v>
      </c>
      <c r="AX81" s="335"/>
      <c r="AZ81" s="1097" t="s">
        <v>62</v>
      </c>
    </row>
    <row r="82" spans="1:52" x14ac:dyDescent="0.2">
      <c r="A82" s="1184">
        <f t="shared" si="37"/>
        <v>76</v>
      </c>
      <c r="B82" s="1097" t="s">
        <v>63</v>
      </c>
      <c r="C82" s="1185">
        <f>_xlfn.XLOOKUP(B82,Códigos!$B$8:$B$406,Códigos!$A$8:$A$406,"Verificar",0)</f>
        <v>101</v>
      </c>
      <c r="D82" s="1114">
        <f>_xlfn.XLOOKUP(B82,'Consolidado Cobros'!$B$10:$B$312,'Consolidado Cobros'!$C$10:$C$312,"Verificar",0)</f>
        <v>15502980</v>
      </c>
      <c r="E82" s="1520">
        <f t="shared" si="30"/>
        <v>2</v>
      </c>
      <c r="F82" s="1517">
        <f t="shared" si="31"/>
        <v>548826.8118285829</v>
      </c>
      <c r="G82" s="1251">
        <f t="shared" si="32"/>
        <v>0</v>
      </c>
      <c r="H82" s="1240">
        <f t="shared" si="38"/>
        <v>548826.8118285829</v>
      </c>
      <c r="I82" s="1148">
        <v>3</v>
      </c>
      <c r="J82" s="383">
        <f t="shared" si="33"/>
        <v>398826.8118285829</v>
      </c>
      <c r="K82" s="712"/>
      <c r="L82" s="487">
        <f t="shared" si="34"/>
        <v>0</v>
      </c>
      <c r="M82" s="927"/>
      <c r="N82" s="672">
        <v>0</v>
      </c>
      <c r="O82" s="660" t="s">
        <v>318</v>
      </c>
      <c r="P82" s="1092">
        <v>150000</v>
      </c>
      <c r="Q82" s="1093">
        <v>0</v>
      </c>
      <c r="R82" s="381">
        <f t="shared" si="22"/>
        <v>150000</v>
      </c>
      <c r="S82" s="382"/>
      <c r="T82" s="381"/>
      <c r="U82" s="624"/>
      <c r="V82" s="569">
        <f t="shared" si="36"/>
        <v>0</v>
      </c>
      <c r="W82" s="607"/>
      <c r="X82" s="383"/>
      <c r="Y82" s="607"/>
      <c r="Z82" s="383"/>
      <c r="AA82" s="607"/>
      <c r="AB82" s="718"/>
      <c r="AC82" s="335"/>
      <c r="AD82" s="383">
        <f>SUMIF('Asesorías AG anterior'!$B$7:$B$239,B82,'Asesorías AG anterior'!$I$7:$I$239)</f>
        <v>3</v>
      </c>
      <c r="AE82" s="383">
        <f>SUMIF('Asesorías AG anterior'!$B$7:$B$239,B82,'Asesorías AG anterior'!$J$7:$J$239)</f>
        <v>379473.65540302848</v>
      </c>
      <c r="AF82" s="383">
        <f>SUMIF('Asesorías AG anterior'!$B$7:$B$239,B82,'Asesorías AG anterior'!$K$7:$K$239)</f>
        <v>1E-3</v>
      </c>
      <c r="AG82" s="383">
        <f>SUMIF('Asesorías AG anterior'!$B$7:$B$239,B82,'Asesorías AG anterior'!$L$7:$L$239)</f>
        <v>0</v>
      </c>
      <c r="AH82" s="383">
        <f>SUMIF('Asesorías AG anterior'!$B$7:$B$239,B82,'Asesorías AG anterior'!$M$7:$M$239)</f>
        <v>0</v>
      </c>
      <c r="AI82" s="383">
        <f>SUMIF('Asesorías AG anterior'!$B$7:$B$239,B82,'Asesorías AG anterior'!$N$7:$N$239)</f>
        <v>0</v>
      </c>
      <c r="AJ82" s="383">
        <f>SUMIF('Asesorías AG anterior'!$B$7:$B$239,B82,'Asesorías AG anterior'!$O$7:$O$239)</f>
        <v>0</v>
      </c>
      <c r="AK82" s="383">
        <f>SUMIF('Asesorías AG anterior'!$B$7:$B$239,B82,'Asesorías AG anterior'!$P$7:$P$239)</f>
        <v>130000</v>
      </c>
      <c r="AL82" s="383">
        <f>SUMIF('Asesorías AG anterior'!$B$7:$B$239,B82,'Asesorías AG anterior'!$Q$7:$Q$239)</f>
        <v>0</v>
      </c>
      <c r="AM82" s="383">
        <f>SUMIF('Asesorías AG anterior'!$B$7:$B$239,B82,'Asesorías AG anterior'!$R$7:$R$239)</f>
        <v>0</v>
      </c>
      <c r="AN82" s="383"/>
      <c r="AO82" s="383">
        <f>SUMIF('Asesorías AG anterior'!$B$7:$B$239,B82,'Asesorías AG anterior'!$T$7:$T$239)</f>
        <v>0</v>
      </c>
      <c r="AP82" s="383">
        <f>SUMIF('Asesorías AG anterior'!$B$7:$B$239,B82,'Asesorías AG anterior'!$U$7:$U$239)</f>
        <v>0</v>
      </c>
      <c r="AQ82" s="383">
        <f>SUMIF('Asesorías AG anterior'!$B$7:$B$239,B82,'Asesorías AG anterior'!$V$7:$V$239)</f>
        <v>0</v>
      </c>
      <c r="AR82" s="383">
        <f>SUMIF('Asesorías AG anterior'!$B$7:$B$239,B82,'Asesorías AG anterior'!$W$7:$W$239)</f>
        <v>0</v>
      </c>
      <c r="AS82" s="383">
        <f>SUMIF('Asesorías AG anterior'!$B$7:$B$239,B82,'Asesorías AG anterior'!$X$7:$X$239)</f>
        <v>0</v>
      </c>
      <c r="AT82" s="383">
        <f>SUMIF('Asesorías AG anterior'!$B$7:$B$239,B82,'Asesorías AG anterior'!$Y$7:$Y$239)</f>
        <v>0</v>
      </c>
      <c r="AU82" s="383">
        <f>SUMIF('Asesorías AG anterior'!$B$7:$B$239,B82,'Asesorías AG anterior'!$Z$7:$Z$239)</f>
        <v>0</v>
      </c>
      <c r="AV82" s="383">
        <f>SUMIF('Asesorías AG anterior'!$B$7:$B$239,B82,'Asesorías AG anterior'!$AA$7:$AA$239)</f>
        <v>0</v>
      </c>
      <c r="AW82" s="383">
        <f>SUMIF('Asesorías AG anterior'!$B$7:$B$239,B82,'Asesorías AG anterior'!$AB$7:$AB$239)</f>
        <v>0</v>
      </c>
      <c r="AX82" s="335"/>
      <c r="AZ82" s="1097" t="s">
        <v>63</v>
      </c>
    </row>
    <row r="83" spans="1:52" x14ac:dyDescent="0.2">
      <c r="A83" s="1184">
        <f t="shared" si="37"/>
        <v>77</v>
      </c>
      <c r="B83" s="1097" t="s">
        <v>65</v>
      </c>
      <c r="C83" s="1185">
        <f>_xlfn.XLOOKUP(B83,Códigos!$B$8:$B$406,Códigos!$A$8:$A$406,"Verificar",0)</f>
        <v>263</v>
      </c>
      <c r="D83" s="1114">
        <f>_xlfn.XLOOKUP(B83,'Consolidado Cobros'!$B$10:$B$312,'Consolidado Cobros'!$C$10:$C$312,"Verificar",0)</f>
        <v>42681418</v>
      </c>
      <c r="E83" s="1520">
        <f t="shared" si="30"/>
        <v>9</v>
      </c>
      <c r="F83" s="1517">
        <f t="shared" si="31"/>
        <v>0</v>
      </c>
      <c r="G83" s="1251">
        <f t="shared" si="32"/>
        <v>0</v>
      </c>
      <c r="H83" s="1240">
        <f t="shared" si="38"/>
        <v>0</v>
      </c>
      <c r="I83" s="1148"/>
      <c r="J83" s="383">
        <f t="shared" si="33"/>
        <v>0</v>
      </c>
      <c r="K83" s="712"/>
      <c r="L83" s="487">
        <f t="shared" si="34"/>
        <v>0</v>
      </c>
      <c r="M83" s="927"/>
      <c r="N83" s="672">
        <v>0</v>
      </c>
      <c r="O83" s="660"/>
      <c r="P83" s="1092">
        <f t="shared" si="35"/>
        <v>0</v>
      </c>
      <c r="Q83" s="1093">
        <v>0</v>
      </c>
      <c r="R83" s="381">
        <f t="shared" si="22"/>
        <v>0</v>
      </c>
      <c r="S83" s="382"/>
      <c r="T83" s="381"/>
      <c r="U83" s="624"/>
      <c r="V83" s="569">
        <f t="shared" si="36"/>
        <v>0</v>
      </c>
      <c r="W83" s="607"/>
      <c r="X83" s="383"/>
      <c r="Y83" s="607"/>
      <c r="Z83" s="383"/>
      <c r="AA83" s="607"/>
      <c r="AB83" s="718"/>
      <c r="AC83" s="335"/>
      <c r="AD83" s="383">
        <f>SUMIF('Asesorías AG anterior'!$B$7:$B$239,B83,'Asesorías AG anterior'!$I$7:$I$239)</f>
        <v>1E-3</v>
      </c>
      <c r="AE83" s="383">
        <f>SUMIF('Asesorías AG anterior'!$B$7:$B$239,B83,'Asesorías AG anterior'!$J$7:$J$239)</f>
        <v>0</v>
      </c>
      <c r="AF83" s="383">
        <f>SUMIF('Asesorías AG anterior'!$B$7:$B$239,B83,'Asesorías AG anterior'!$K$7:$K$239)</f>
        <v>1E-3</v>
      </c>
      <c r="AG83" s="383">
        <f>SUMIF('Asesorías AG anterior'!$B$7:$B$239,B83,'Asesorías AG anterior'!$L$7:$L$239)</f>
        <v>0</v>
      </c>
      <c r="AH83" s="383">
        <f>SUMIF('Asesorías AG anterior'!$B$7:$B$239,B83,'Asesorías AG anterior'!$M$7:$M$239)</f>
        <v>0</v>
      </c>
      <c r="AI83" s="383">
        <f>SUMIF('Asesorías AG anterior'!$B$7:$B$239,B83,'Asesorías AG anterior'!$N$7:$N$239)</f>
        <v>0</v>
      </c>
      <c r="AJ83" s="383">
        <f>SUMIF('Asesorías AG anterior'!$B$7:$B$239,B83,'Asesorías AG anterior'!$O$7:$O$239)</f>
        <v>1E-3</v>
      </c>
      <c r="AK83" s="383">
        <f>SUMIF('Asesorías AG anterior'!$B$7:$B$239,B83,'Asesorías AG anterior'!$P$7:$P$239)</f>
        <v>0</v>
      </c>
      <c r="AL83" s="383">
        <f>SUMIF('Asesorías AG anterior'!$B$7:$B$239,B83,'Asesorías AG anterior'!$Q$7:$Q$239)</f>
        <v>0</v>
      </c>
      <c r="AM83" s="383">
        <f>SUMIF('Asesorías AG anterior'!$B$7:$B$239,B83,'Asesorías AG anterior'!$R$7:$R$239)</f>
        <v>0</v>
      </c>
      <c r="AN83" s="383"/>
      <c r="AO83" s="383">
        <f>SUMIF('Asesorías AG anterior'!$B$7:$B$239,B83,'Asesorías AG anterior'!$T$7:$T$239)</f>
        <v>0</v>
      </c>
      <c r="AP83" s="383">
        <f>SUMIF('Asesorías AG anterior'!$B$7:$B$239,B83,'Asesorías AG anterior'!$U$7:$U$239)</f>
        <v>0</v>
      </c>
      <c r="AQ83" s="383">
        <f>SUMIF('Asesorías AG anterior'!$B$7:$B$239,B83,'Asesorías AG anterior'!$V$7:$V$239)</f>
        <v>0</v>
      </c>
      <c r="AR83" s="383">
        <f>SUMIF('Asesorías AG anterior'!$B$7:$B$239,B83,'Asesorías AG anterior'!$W$7:$W$239)</f>
        <v>0</v>
      </c>
      <c r="AS83" s="383">
        <f>SUMIF('Asesorías AG anterior'!$B$7:$B$239,B83,'Asesorías AG anterior'!$X$7:$X$239)</f>
        <v>0</v>
      </c>
      <c r="AT83" s="383">
        <f>SUMIF('Asesorías AG anterior'!$B$7:$B$239,B83,'Asesorías AG anterior'!$Y$7:$Y$239)</f>
        <v>0</v>
      </c>
      <c r="AU83" s="383">
        <f>SUMIF('Asesorías AG anterior'!$B$7:$B$239,B83,'Asesorías AG anterior'!$Z$7:$Z$239)</f>
        <v>0</v>
      </c>
      <c r="AV83" s="383">
        <f>SUMIF('Asesorías AG anterior'!$B$7:$B$239,B83,'Asesorías AG anterior'!$AA$7:$AA$239)</f>
        <v>0</v>
      </c>
      <c r="AW83" s="383">
        <f>SUMIF('Asesorías AG anterior'!$B$7:$B$239,B83,'Asesorías AG anterior'!$AB$7:$AB$239)</f>
        <v>0</v>
      </c>
      <c r="AX83" s="335"/>
      <c r="AZ83" s="1097" t="s">
        <v>65</v>
      </c>
    </row>
    <row r="84" spans="1:52" x14ac:dyDescent="0.2">
      <c r="A84" s="1184">
        <f t="shared" si="37"/>
        <v>78</v>
      </c>
      <c r="B84" s="1097" t="s">
        <v>406</v>
      </c>
      <c r="C84" s="1185">
        <f>_xlfn.XLOOKUP(B84,Códigos!$B$8:$B$406,Códigos!$A$8:$A$406,"Verificar",0)</f>
        <v>57</v>
      </c>
      <c r="D84" s="1114">
        <f>_xlfn.XLOOKUP(B84,'Consolidado Cobros'!$B$10:$B$312,'Consolidado Cobros'!$C$10:$C$312,"Verificar",0)</f>
        <v>32415325</v>
      </c>
      <c r="E84" s="1520">
        <f t="shared" si="30"/>
        <v>7</v>
      </c>
      <c r="F84" s="1517">
        <f t="shared" si="31"/>
        <v>0</v>
      </c>
      <c r="G84" s="1251">
        <f t="shared" si="32"/>
        <v>0</v>
      </c>
      <c r="H84" s="1240">
        <f t="shared" si="38"/>
        <v>0</v>
      </c>
      <c r="I84" s="1148"/>
      <c r="J84" s="383">
        <f t="shared" si="33"/>
        <v>0</v>
      </c>
      <c r="K84" s="712"/>
      <c r="L84" s="487">
        <f t="shared" si="34"/>
        <v>0</v>
      </c>
      <c r="M84" s="927"/>
      <c r="N84" s="672">
        <v>0</v>
      </c>
      <c r="O84" s="660"/>
      <c r="P84" s="1092">
        <f t="shared" si="35"/>
        <v>0</v>
      </c>
      <c r="Q84" s="1093">
        <v>0</v>
      </c>
      <c r="R84" s="381">
        <f t="shared" si="22"/>
        <v>0</v>
      </c>
      <c r="S84" s="382"/>
      <c r="T84" s="381"/>
      <c r="U84" s="624"/>
      <c r="V84" s="569">
        <f t="shared" si="36"/>
        <v>0</v>
      </c>
      <c r="W84" s="607"/>
      <c r="X84" s="383"/>
      <c r="Y84" s="607"/>
      <c r="Z84" s="383"/>
      <c r="AA84" s="607"/>
      <c r="AB84" s="718"/>
      <c r="AC84" s="335"/>
      <c r="AD84" s="383">
        <f>SUMIF('Asesorías AG anterior'!$B$7:$B$239,B84,'Asesorías AG anterior'!$I$7:$I$239)</f>
        <v>1E-3</v>
      </c>
      <c r="AE84" s="383">
        <f>SUMIF('Asesorías AG anterior'!$B$7:$B$239,B84,'Asesorías AG anterior'!$J$7:$J$239)</f>
        <v>0</v>
      </c>
      <c r="AF84" s="383">
        <f>SUMIF('Asesorías AG anterior'!$B$7:$B$239,B84,'Asesorías AG anterior'!$K$7:$K$239)</f>
        <v>1E-3</v>
      </c>
      <c r="AG84" s="383">
        <f>SUMIF('Asesorías AG anterior'!$B$7:$B$239,B84,'Asesorías AG anterior'!$L$7:$L$239)</f>
        <v>0</v>
      </c>
      <c r="AH84" s="383">
        <f>SUMIF('Asesorías AG anterior'!$B$7:$B$239,B84,'Asesorías AG anterior'!$M$7:$M$239)</f>
        <v>0</v>
      </c>
      <c r="AI84" s="383">
        <f>SUMIF('Asesorías AG anterior'!$B$7:$B$239,B84,'Asesorías AG anterior'!$N$7:$N$239)</f>
        <v>0</v>
      </c>
      <c r="AJ84" s="383">
        <f>SUMIF('Asesorías AG anterior'!$B$7:$B$239,B84,'Asesorías AG anterior'!$O$7:$O$239)</f>
        <v>1E-3</v>
      </c>
      <c r="AK84" s="383">
        <f>SUMIF('Asesorías AG anterior'!$B$7:$B$239,B84,'Asesorías AG anterior'!$P$7:$P$239)</f>
        <v>0</v>
      </c>
      <c r="AL84" s="383">
        <f>SUMIF('Asesorías AG anterior'!$B$7:$B$239,B84,'Asesorías AG anterior'!$Q$7:$Q$239)</f>
        <v>0</v>
      </c>
      <c r="AM84" s="383">
        <f>SUMIF('Asesorías AG anterior'!$B$7:$B$239,B84,'Asesorías AG anterior'!$R$7:$R$239)</f>
        <v>0</v>
      </c>
      <c r="AN84" s="383"/>
      <c r="AO84" s="383">
        <f>SUMIF('Asesorías AG anterior'!$B$7:$B$239,B84,'Asesorías AG anterior'!$T$7:$T$239)</f>
        <v>0</v>
      </c>
      <c r="AP84" s="383">
        <f>SUMIF('Asesorías AG anterior'!$B$7:$B$239,B84,'Asesorías AG anterior'!$U$7:$U$239)</f>
        <v>0</v>
      </c>
      <c r="AQ84" s="383">
        <f>SUMIF('Asesorías AG anterior'!$B$7:$B$239,B84,'Asesorías AG anterior'!$V$7:$V$239)</f>
        <v>0</v>
      </c>
      <c r="AR84" s="383">
        <f>SUMIF('Asesorías AG anterior'!$B$7:$B$239,B84,'Asesorías AG anterior'!$W$7:$W$239)</f>
        <v>0</v>
      </c>
      <c r="AS84" s="383">
        <f>SUMIF('Asesorías AG anterior'!$B$7:$B$239,B84,'Asesorías AG anterior'!$X$7:$X$239)</f>
        <v>0</v>
      </c>
      <c r="AT84" s="383">
        <f>SUMIF('Asesorías AG anterior'!$B$7:$B$239,B84,'Asesorías AG anterior'!$Y$7:$Y$239)</f>
        <v>0</v>
      </c>
      <c r="AU84" s="383">
        <f>SUMIF('Asesorías AG anterior'!$B$7:$B$239,B84,'Asesorías AG anterior'!$Z$7:$Z$239)</f>
        <v>0</v>
      </c>
      <c r="AV84" s="383">
        <f>SUMIF('Asesorías AG anterior'!$B$7:$B$239,B84,'Asesorías AG anterior'!$AA$7:$AA$239)</f>
        <v>0</v>
      </c>
      <c r="AW84" s="383">
        <f>SUMIF('Asesorías AG anterior'!$B$7:$B$239,B84,'Asesorías AG anterior'!$AB$7:$AB$239)</f>
        <v>0</v>
      </c>
      <c r="AX84" s="335"/>
      <c r="AZ84" s="1097" t="s">
        <v>406</v>
      </c>
    </row>
    <row r="85" spans="1:52" x14ac:dyDescent="0.2">
      <c r="A85" s="1184">
        <f t="shared" si="37"/>
        <v>79</v>
      </c>
      <c r="B85" s="1097" t="s">
        <v>384</v>
      </c>
      <c r="C85" s="1185">
        <f>_xlfn.XLOOKUP(B85,Códigos!$B$8:$B$406,Códigos!$A$8:$A$406,"Verificar",0)</f>
        <v>24</v>
      </c>
      <c r="D85" s="1114">
        <f>_xlfn.XLOOKUP(B85,'Consolidado Cobros'!$B$10:$B$312,'Consolidado Cobros'!$C$10:$C$312,"Verificar",0)</f>
        <v>15925921</v>
      </c>
      <c r="E85" s="1520">
        <f t="shared" si="30"/>
        <v>3</v>
      </c>
      <c r="F85" s="1517">
        <f t="shared" si="31"/>
        <v>0</v>
      </c>
      <c r="G85" s="1251">
        <f t="shared" si="32"/>
        <v>0</v>
      </c>
      <c r="H85" s="1240">
        <f t="shared" si="38"/>
        <v>0</v>
      </c>
      <c r="I85" s="1148"/>
      <c r="J85" s="383">
        <f t="shared" si="33"/>
        <v>0</v>
      </c>
      <c r="K85" s="712"/>
      <c r="L85" s="487">
        <f t="shared" si="34"/>
        <v>0</v>
      </c>
      <c r="M85" s="927"/>
      <c r="N85" s="672">
        <v>0</v>
      </c>
      <c r="O85" s="660"/>
      <c r="P85" s="1092">
        <f t="shared" si="35"/>
        <v>0</v>
      </c>
      <c r="Q85" s="1093">
        <v>0</v>
      </c>
      <c r="R85" s="381">
        <f t="shared" si="22"/>
        <v>0</v>
      </c>
      <c r="S85" s="382"/>
      <c r="T85" s="381"/>
      <c r="U85" s="624"/>
      <c r="V85" s="569">
        <f t="shared" si="36"/>
        <v>0</v>
      </c>
      <c r="W85" s="607"/>
      <c r="X85" s="383"/>
      <c r="Y85" s="607"/>
      <c r="Z85" s="383"/>
      <c r="AA85" s="607"/>
      <c r="AB85" s="718"/>
      <c r="AC85" s="335"/>
      <c r="AD85" s="383">
        <f>SUMIF('Asesorías AG anterior'!$B$7:$B$239,B85,'Asesorías AG anterior'!$I$7:$I$239)</f>
        <v>1E-3</v>
      </c>
      <c r="AE85" s="383">
        <f>SUMIF('Asesorías AG anterior'!$B$7:$B$239,B85,'Asesorías AG anterior'!$J$7:$J$239)</f>
        <v>0</v>
      </c>
      <c r="AF85" s="383">
        <f>SUMIF('Asesorías AG anterior'!$B$7:$B$239,B85,'Asesorías AG anterior'!$K$7:$K$239)</f>
        <v>1E-3</v>
      </c>
      <c r="AG85" s="383">
        <f>SUMIF('Asesorías AG anterior'!$B$7:$B$239,B85,'Asesorías AG anterior'!$L$7:$L$239)</f>
        <v>0</v>
      </c>
      <c r="AH85" s="383">
        <f>SUMIF('Asesorías AG anterior'!$B$7:$B$239,B85,'Asesorías AG anterior'!$M$7:$M$239)</f>
        <v>0</v>
      </c>
      <c r="AI85" s="383">
        <f>SUMIF('Asesorías AG anterior'!$B$7:$B$239,B85,'Asesorías AG anterior'!$N$7:$N$239)</f>
        <v>0</v>
      </c>
      <c r="AJ85" s="383">
        <f>SUMIF('Asesorías AG anterior'!$B$7:$B$239,B85,'Asesorías AG anterior'!$O$7:$O$239)</f>
        <v>1E-3</v>
      </c>
      <c r="AK85" s="383">
        <f>SUMIF('Asesorías AG anterior'!$B$7:$B$239,B85,'Asesorías AG anterior'!$P$7:$P$239)</f>
        <v>0</v>
      </c>
      <c r="AL85" s="383">
        <f>SUMIF('Asesorías AG anterior'!$B$7:$B$239,B85,'Asesorías AG anterior'!$Q$7:$Q$239)</f>
        <v>0</v>
      </c>
      <c r="AM85" s="383">
        <f>SUMIF('Asesorías AG anterior'!$B$7:$B$239,B85,'Asesorías AG anterior'!$R$7:$R$239)</f>
        <v>0</v>
      </c>
      <c r="AN85" s="383"/>
      <c r="AO85" s="383">
        <f>SUMIF('Asesorías AG anterior'!$B$7:$B$239,B85,'Asesorías AG anterior'!$T$7:$T$239)</f>
        <v>0</v>
      </c>
      <c r="AP85" s="383">
        <f>SUMIF('Asesorías AG anterior'!$B$7:$B$239,B85,'Asesorías AG anterior'!$U$7:$U$239)</f>
        <v>0</v>
      </c>
      <c r="AQ85" s="383">
        <f>SUMIF('Asesorías AG anterior'!$B$7:$B$239,B85,'Asesorías AG anterior'!$V$7:$V$239)</f>
        <v>0</v>
      </c>
      <c r="AR85" s="383">
        <f>SUMIF('Asesorías AG anterior'!$B$7:$B$239,B85,'Asesorías AG anterior'!$W$7:$W$239)</f>
        <v>0</v>
      </c>
      <c r="AS85" s="383">
        <f>SUMIF('Asesorías AG anterior'!$B$7:$B$239,B85,'Asesorías AG anterior'!$X$7:$X$239)</f>
        <v>0</v>
      </c>
      <c r="AT85" s="383">
        <f>SUMIF('Asesorías AG anterior'!$B$7:$B$239,B85,'Asesorías AG anterior'!$Y$7:$Y$239)</f>
        <v>0</v>
      </c>
      <c r="AU85" s="383">
        <f>SUMIF('Asesorías AG anterior'!$B$7:$B$239,B85,'Asesorías AG anterior'!$Z$7:$Z$239)</f>
        <v>0</v>
      </c>
      <c r="AV85" s="383">
        <f>SUMIF('Asesorías AG anterior'!$B$7:$B$239,B85,'Asesorías AG anterior'!$AA$7:$AA$239)</f>
        <v>0</v>
      </c>
      <c r="AW85" s="383">
        <f>SUMIF('Asesorías AG anterior'!$B$7:$B$239,B85,'Asesorías AG anterior'!$AB$7:$AB$239)</f>
        <v>0</v>
      </c>
      <c r="AX85" s="335"/>
      <c r="AZ85" s="1097" t="s">
        <v>384</v>
      </c>
    </row>
    <row r="86" spans="1:52" x14ac:dyDescent="0.2">
      <c r="A86" s="1184">
        <f t="shared" si="37"/>
        <v>80</v>
      </c>
      <c r="B86" s="1097" t="s">
        <v>67</v>
      </c>
      <c r="C86" s="1185">
        <f>_xlfn.XLOOKUP(B86,Códigos!$B$8:$B$406,Códigos!$A$8:$A$406,"Verificar",0)</f>
        <v>110</v>
      </c>
      <c r="D86" s="1114">
        <f>_xlfn.XLOOKUP(B86,'Consolidado Cobros'!$B$10:$B$312,'Consolidado Cobros'!$C$10:$C$312,"Verificar",0)</f>
        <v>98619761</v>
      </c>
      <c r="E86" s="1520">
        <f t="shared" si="30"/>
        <v>1</v>
      </c>
      <c r="F86" s="1517">
        <f t="shared" si="31"/>
        <v>0</v>
      </c>
      <c r="G86" s="1251">
        <f t="shared" si="32"/>
        <v>0</v>
      </c>
      <c r="H86" s="1240">
        <f t="shared" si="38"/>
        <v>0</v>
      </c>
      <c r="I86" s="1148"/>
      <c r="J86" s="383">
        <f t="shared" si="33"/>
        <v>0</v>
      </c>
      <c r="K86" s="712"/>
      <c r="L86" s="487">
        <f t="shared" si="34"/>
        <v>0</v>
      </c>
      <c r="M86" s="927"/>
      <c r="N86" s="672">
        <v>0</v>
      </c>
      <c r="O86" s="660"/>
      <c r="P86" s="1092">
        <f t="shared" si="35"/>
        <v>0</v>
      </c>
      <c r="Q86" s="1093">
        <v>0</v>
      </c>
      <c r="R86" s="381">
        <f t="shared" si="22"/>
        <v>0</v>
      </c>
      <c r="S86" s="382"/>
      <c r="T86" s="381"/>
      <c r="U86" s="624"/>
      <c r="V86" s="569">
        <f t="shared" si="36"/>
        <v>0</v>
      </c>
      <c r="W86" s="607"/>
      <c r="X86" s="383"/>
      <c r="Y86" s="607"/>
      <c r="Z86" s="383"/>
      <c r="AA86" s="607"/>
      <c r="AB86" s="718"/>
      <c r="AC86" s="335"/>
      <c r="AD86" s="383">
        <f>SUMIF('Asesorías AG anterior'!$B$7:$B$239,B86,'Asesorías AG anterior'!$I$7:$I$239)</f>
        <v>1E-3</v>
      </c>
      <c r="AE86" s="383">
        <f>SUMIF('Asesorías AG anterior'!$B$7:$B$239,B86,'Asesorías AG anterior'!$J$7:$J$239)</f>
        <v>0</v>
      </c>
      <c r="AF86" s="383">
        <f>SUMIF('Asesorías AG anterior'!$B$7:$B$239,B86,'Asesorías AG anterior'!$K$7:$K$239)</f>
        <v>1E-3</v>
      </c>
      <c r="AG86" s="383">
        <f>SUMIF('Asesorías AG anterior'!$B$7:$B$239,B86,'Asesorías AG anterior'!$L$7:$L$239)</f>
        <v>0</v>
      </c>
      <c r="AH86" s="383">
        <f>SUMIF('Asesorías AG anterior'!$B$7:$B$239,B86,'Asesorías AG anterior'!$M$7:$M$239)</f>
        <v>0</v>
      </c>
      <c r="AI86" s="383">
        <f>SUMIF('Asesorías AG anterior'!$B$7:$B$239,B86,'Asesorías AG anterior'!$N$7:$N$239)</f>
        <v>0</v>
      </c>
      <c r="AJ86" s="383">
        <f>SUMIF('Asesorías AG anterior'!$B$7:$B$239,B86,'Asesorías AG anterior'!$O$7:$O$239)</f>
        <v>1E-3</v>
      </c>
      <c r="AK86" s="383">
        <f>SUMIF('Asesorías AG anterior'!$B$7:$B$239,B86,'Asesorías AG anterior'!$P$7:$P$239)</f>
        <v>0</v>
      </c>
      <c r="AL86" s="383">
        <f>SUMIF('Asesorías AG anterior'!$B$7:$B$239,B86,'Asesorías AG anterior'!$Q$7:$Q$239)</f>
        <v>0</v>
      </c>
      <c r="AM86" s="383">
        <f>SUMIF('Asesorías AG anterior'!$B$7:$B$239,B86,'Asesorías AG anterior'!$R$7:$R$239)</f>
        <v>0</v>
      </c>
      <c r="AN86" s="383"/>
      <c r="AO86" s="383">
        <f>SUMIF('Asesorías AG anterior'!$B$7:$B$239,B86,'Asesorías AG anterior'!$T$7:$T$239)</f>
        <v>0</v>
      </c>
      <c r="AP86" s="383">
        <f>SUMIF('Asesorías AG anterior'!$B$7:$B$239,B86,'Asesorías AG anterior'!$U$7:$U$239)</f>
        <v>0</v>
      </c>
      <c r="AQ86" s="383">
        <f>SUMIF('Asesorías AG anterior'!$B$7:$B$239,B86,'Asesorías AG anterior'!$V$7:$V$239)</f>
        <v>0</v>
      </c>
      <c r="AR86" s="383">
        <f>SUMIF('Asesorías AG anterior'!$B$7:$B$239,B86,'Asesorías AG anterior'!$W$7:$W$239)</f>
        <v>0</v>
      </c>
      <c r="AS86" s="383">
        <f>SUMIF('Asesorías AG anterior'!$B$7:$B$239,B86,'Asesorías AG anterior'!$X$7:$X$239)</f>
        <v>0</v>
      </c>
      <c r="AT86" s="383">
        <f>SUMIF('Asesorías AG anterior'!$B$7:$B$239,B86,'Asesorías AG anterior'!$Y$7:$Y$239)</f>
        <v>0</v>
      </c>
      <c r="AU86" s="383">
        <f>SUMIF('Asesorías AG anterior'!$B$7:$B$239,B86,'Asesorías AG anterior'!$Z$7:$Z$239)</f>
        <v>0</v>
      </c>
      <c r="AV86" s="383">
        <f>SUMIF('Asesorías AG anterior'!$B$7:$B$239,B86,'Asesorías AG anterior'!$AA$7:$AA$239)</f>
        <v>0</v>
      </c>
      <c r="AW86" s="383">
        <f>SUMIF('Asesorías AG anterior'!$B$7:$B$239,B86,'Asesorías AG anterior'!$AB$7:$AB$239)</f>
        <v>0</v>
      </c>
      <c r="AX86" s="335"/>
      <c r="AZ86" s="1097" t="s">
        <v>67</v>
      </c>
    </row>
    <row r="87" spans="1:52" x14ac:dyDescent="0.2">
      <c r="A87" s="1184">
        <f t="shared" si="37"/>
        <v>81</v>
      </c>
      <c r="B87" s="1097" t="s">
        <v>68</v>
      </c>
      <c r="C87" s="1185">
        <f>_xlfn.XLOOKUP(B87,Códigos!$B$8:$B$406,Códigos!$A$8:$A$406,"Verificar",0)</f>
        <v>111</v>
      </c>
      <c r="D87" s="1114">
        <f>_xlfn.XLOOKUP(B87,'Consolidado Cobros'!$B$10:$B$312,'Consolidado Cobros'!$C$10:$C$312,"Verificar",0)</f>
        <v>98570880</v>
      </c>
      <c r="E87" s="1520">
        <f t="shared" si="30"/>
        <v>6</v>
      </c>
      <c r="F87" s="1517">
        <f t="shared" si="31"/>
        <v>0</v>
      </c>
      <c r="G87" s="1251">
        <f t="shared" si="32"/>
        <v>0</v>
      </c>
      <c r="H87" s="1240">
        <f t="shared" si="38"/>
        <v>0</v>
      </c>
      <c r="I87" s="1148"/>
      <c r="J87" s="383">
        <f t="shared" si="33"/>
        <v>0</v>
      </c>
      <c r="K87" s="712"/>
      <c r="L87" s="487">
        <f t="shared" si="34"/>
        <v>0</v>
      </c>
      <c r="M87" s="927"/>
      <c r="N87" s="672">
        <v>0</v>
      </c>
      <c r="O87" s="660"/>
      <c r="P87" s="1092">
        <f t="shared" si="35"/>
        <v>0</v>
      </c>
      <c r="Q87" s="1093">
        <v>0</v>
      </c>
      <c r="R87" s="381">
        <f t="shared" ref="R87:R150" si="39">+P87</f>
        <v>0</v>
      </c>
      <c r="S87" s="382"/>
      <c r="T87" s="381"/>
      <c r="U87" s="624"/>
      <c r="V87" s="569">
        <f t="shared" si="36"/>
        <v>0</v>
      </c>
      <c r="W87" s="607"/>
      <c r="X87" s="383"/>
      <c r="Y87" s="607"/>
      <c r="Z87" s="383"/>
      <c r="AA87" s="607"/>
      <c r="AB87" s="718"/>
      <c r="AC87" s="335"/>
      <c r="AD87" s="383">
        <f>SUMIF('Asesorías AG anterior'!$B$7:$B$239,B87,'Asesorías AG anterior'!$I$7:$I$239)</f>
        <v>1E-3</v>
      </c>
      <c r="AE87" s="383">
        <f>SUMIF('Asesorías AG anterior'!$B$7:$B$239,B87,'Asesorías AG anterior'!$J$7:$J$239)</f>
        <v>0</v>
      </c>
      <c r="AF87" s="383">
        <f>SUMIF('Asesorías AG anterior'!$B$7:$B$239,B87,'Asesorías AG anterior'!$K$7:$K$239)</f>
        <v>1E-3</v>
      </c>
      <c r="AG87" s="383">
        <f>SUMIF('Asesorías AG anterior'!$B$7:$B$239,B87,'Asesorías AG anterior'!$L$7:$L$239)</f>
        <v>0</v>
      </c>
      <c r="AH87" s="383">
        <f>SUMIF('Asesorías AG anterior'!$B$7:$B$239,B87,'Asesorías AG anterior'!$M$7:$M$239)</f>
        <v>0</v>
      </c>
      <c r="AI87" s="383">
        <f>SUMIF('Asesorías AG anterior'!$B$7:$B$239,B87,'Asesorías AG anterior'!$N$7:$N$239)</f>
        <v>0</v>
      </c>
      <c r="AJ87" s="383">
        <f>SUMIF('Asesorías AG anterior'!$B$7:$B$239,B87,'Asesorías AG anterior'!$O$7:$O$239)</f>
        <v>1E-3</v>
      </c>
      <c r="AK87" s="383">
        <f>SUMIF('Asesorías AG anterior'!$B$7:$B$239,B87,'Asesorías AG anterior'!$P$7:$P$239)</f>
        <v>0</v>
      </c>
      <c r="AL87" s="383">
        <f>SUMIF('Asesorías AG anterior'!$B$7:$B$239,B87,'Asesorías AG anterior'!$Q$7:$Q$239)</f>
        <v>0</v>
      </c>
      <c r="AM87" s="383">
        <f>SUMIF('Asesorías AG anterior'!$B$7:$B$239,B87,'Asesorías AG anterior'!$R$7:$R$239)</f>
        <v>0</v>
      </c>
      <c r="AN87" s="383"/>
      <c r="AO87" s="383">
        <f>SUMIF('Asesorías AG anterior'!$B$7:$B$239,B87,'Asesorías AG anterior'!$T$7:$T$239)</f>
        <v>0</v>
      </c>
      <c r="AP87" s="383">
        <f>SUMIF('Asesorías AG anterior'!$B$7:$B$239,B87,'Asesorías AG anterior'!$U$7:$U$239)</f>
        <v>0</v>
      </c>
      <c r="AQ87" s="383">
        <f>SUMIF('Asesorías AG anterior'!$B$7:$B$239,B87,'Asesorías AG anterior'!$V$7:$V$239)</f>
        <v>0</v>
      </c>
      <c r="AR87" s="383">
        <f>SUMIF('Asesorías AG anterior'!$B$7:$B$239,B87,'Asesorías AG anterior'!$W$7:$W$239)</f>
        <v>0</v>
      </c>
      <c r="AS87" s="383">
        <f>SUMIF('Asesorías AG anterior'!$B$7:$B$239,B87,'Asesorías AG anterior'!$X$7:$X$239)</f>
        <v>0</v>
      </c>
      <c r="AT87" s="383">
        <f>SUMIF('Asesorías AG anterior'!$B$7:$B$239,B87,'Asesorías AG anterior'!$Y$7:$Y$239)</f>
        <v>0</v>
      </c>
      <c r="AU87" s="383">
        <f>SUMIF('Asesorías AG anterior'!$B$7:$B$239,B87,'Asesorías AG anterior'!$Z$7:$Z$239)</f>
        <v>0</v>
      </c>
      <c r="AV87" s="383">
        <f>SUMIF('Asesorías AG anterior'!$B$7:$B$239,B87,'Asesorías AG anterior'!$AA$7:$AA$239)</f>
        <v>0</v>
      </c>
      <c r="AW87" s="383">
        <f>SUMIF('Asesorías AG anterior'!$B$7:$B$239,B87,'Asesorías AG anterior'!$AB$7:$AB$239)</f>
        <v>0</v>
      </c>
      <c r="AX87" s="335"/>
      <c r="AZ87" s="1097" t="s">
        <v>68</v>
      </c>
    </row>
    <row r="88" spans="1:52" x14ac:dyDescent="0.2">
      <c r="A88" s="1184">
        <f t="shared" si="37"/>
        <v>82</v>
      </c>
      <c r="B88" s="1097" t="s">
        <v>332</v>
      </c>
      <c r="C88" s="1185">
        <f>_xlfn.XLOOKUP(B88,Códigos!$B$8:$B$406,Códigos!$A$8:$A$406,"Verificar",0)</f>
        <v>343</v>
      </c>
      <c r="D88" s="1114">
        <f>_xlfn.XLOOKUP(B88,'Consolidado Cobros'!$B$10:$B$312,'Consolidado Cobros'!$C$10:$C$312,"Verificar",0)</f>
        <v>98570881</v>
      </c>
      <c r="E88" s="1520">
        <f t="shared" si="30"/>
        <v>3</v>
      </c>
      <c r="F88" s="1517">
        <f t="shared" si="31"/>
        <v>0</v>
      </c>
      <c r="G88" s="1251">
        <f t="shared" si="32"/>
        <v>0</v>
      </c>
      <c r="H88" s="1240">
        <f t="shared" si="38"/>
        <v>0</v>
      </c>
      <c r="I88" s="1148"/>
      <c r="J88" s="383">
        <f t="shared" si="33"/>
        <v>0</v>
      </c>
      <c r="K88" s="712"/>
      <c r="L88" s="487">
        <f t="shared" si="34"/>
        <v>0</v>
      </c>
      <c r="M88" s="927"/>
      <c r="N88" s="672">
        <v>0</v>
      </c>
      <c r="O88" s="660"/>
      <c r="P88" s="1092">
        <f t="shared" si="35"/>
        <v>0</v>
      </c>
      <c r="Q88" s="1093">
        <v>0</v>
      </c>
      <c r="R88" s="381">
        <f t="shared" si="39"/>
        <v>0</v>
      </c>
      <c r="S88" s="382"/>
      <c r="T88" s="381"/>
      <c r="U88" s="624"/>
      <c r="V88" s="569">
        <f t="shared" si="36"/>
        <v>0</v>
      </c>
      <c r="W88" s="607"/>
      <c r="X88" s="383"/>
      <c r="Y88" s="607"/>
      <c r="Z88" s="383"/>
      <c r="AA88" s="607"/>
      <c r="AB88" s="718"/>
      <c r="AC88" s="335"/>
      <c r="AD88" s="383">
        <f>SUMIF('Asesorías AG anterior'!$B$7:$B$239,B88,'Asesorías AG anterior'!$I$7:$I$239)</f>
        <v>1E-3</v>
      </c>
      <c r="AE88" s="383">
        <f>SUMIF('Asesorías AG anterior'!$B$7:$B$239,B88,'Asesorías AG anterior'!$J$7:$J$239)</f>
        <v>0</v>
      </c>
      <c r="AF88" s="383">
        <f>SUMIF('Asesorías AG anterior'!$B$7:$B$239,B88,'Asesorías AG anterior'!$K$7:$K$239)</f>
        <v>1E-3</v>
      </c>
      <c r="AG88" s="383">
        <f>SUMIF('Asesorías AG anterior'!$B$7:$B$239,B88,'Asesorías AG anterior'!$L$7:$L$239)</f>
        <v>0</v>
      </c>
      <c r="AH88" s="383">
        <f>SUMIF('Asesorías AG anterior'!$B$7:$B$239,B88,'Asesorías AG anterior'!$M$7:$M$239)</f>
        <v>0</v>
      </c>
      <c r="AI88" s="383">
        <f>SUMIF('Asesorías AG anterior'!$B$7:$B$239,B88,'Asesorías AG anterior'!$N$7:$N$239)</f>
        <v>0</v>
      </c>
      <c r="AJ88" s="383">
        <f>SUMIF('Asesorías AG anterior'!$B$7:$B$239,B88,'Asesorías AG anterior'!$O$7:$O$239)</f>
        <v>1E-3</v>
      </c>
      <c r="AK88" s="383">
        <f>SUMIF('Asesorías AG anterior'!$B$7:$B$239,B88,'Asesorías AG anterior'!$P$7:$P$239)</f>
        <v>0</v>
      </c>
      <c r="AL88" s="383">
        <f>SUMIF('Asesorías AG anterior'!$B$7:$B$239,B88,'Asesorías AG anterior'!$Q$7:$Q$239)</f>
        <v>0</v>
      </c>
      <c r="AM88" s="383">
        <f>SUMIF('Asesorías AG anterior'!$B$7:$B$239,B88,'Asesorías AG anterior'!$R$7:$R$239)</f>
        <v>0</v>
      </c>
      <c r="AN88" s="383"/>
      <c r="AO88" s="383">
        <f>SUMIF('Asesorías AG anterior'!$B$7:$B$239,B88,'Asesorías AG anterior'!$T$7:$T$239)</f>
        <v>0</v>
      </c>
      <c r="AP88" s="383">
        <f>SUMIF('Asesorías AG anterior'!$B$7:$B$239,B88,'Asesorías AG anterior'!$U$7:$U$239)</f>
        <v>0</v>
      </c>
      <c r="AQ88" s="383">
        <f>SUMIF('Asesorías AG anterior'!$B$7:$B$239,B88,'Asesorías AG anterior'!$V$7:$V$239)</f>
        <v>0</v>
      </c>
      <c r="AR88" s="383">
        <f>SUMIF('Asesorías AG anterior'!$B$7:$B$239,B88,'Asesorías AG anterior'!$W$7:$W$239)</f>
        <v>0</v>
      </c>
      <c r="AS88" s="383">
        <f>SUMIF('Asesorías AG anterior'!$B$7:$B$239,B88,'Asesorías AG anterior'!$X$7:$X$239)</f>
        <v>0</v>
      </c>
      <c r="AT88" s="383">
        <f>SUMIF('Asesorías AG anterior'!$B$7:$B$239,B88,'Asesorías AG anterior'!$Y$7:$Y$239)</f>
        <v>0</v>
      </c>
      <c r="AU88" s="383">
        <f>SUMIF('Asesorías AG anterior'!$B$7:$B$239,B88,'Asesorías AG anterior'!$Z$7:$Z$239)</f>
        <v>0</v>
      </c>
      <c r="AV88" s="383">
        <f>SUMIF('Asesorías AG anterior'!$B$7:$B$239,B88,'Asesorías AG anterior'!$AA$7:$AA$239)</f>
        <v>0</v>
      </c>
      <c r="AW88" s="383">
        <f>SUMIF('Asesorías AG anterior'!$B$7:$B$239,B88,'Asesorías AG anterior'!$AB$7:$AB$239)</f>
        <v>0</v>
      </c>
      <c r="AX88" s="335"/>
      <c r="AZ88" s="1097" t="s">
        <v>332</v>
      </c>
    </row>
    <row r="89" spans="1:52" x14ac:dyDescent="0.2">
      <c r="A89" s="1184">
        <f t="shared" si="37"/>
        <v>83</v>
      </c>
      <c r="B89" s="1097" t="s">
        <v>69</v>
      </c>
      <c r="C89" s="1185">
        <f>_xlfn.XLOOKUP(B89,Códigos!$B$8:$B$406,Códigos!$A$8:$A$406,"Verificar",0)</f>
        <v>305</v>
      </c>
      <c r="D89" s="1114">
        <f>_xlfn.XLOOKUP(B89,'Consolidado Cobros'!$B$10:$B$312,'Consolidado Cobros'!$C$10:$C$312,"Verificar",0)</f>
        <v>98549455</v>
      </c>
      <c r="E89" s="1520">
        <f t="shared" si="30"/>
        <v>1</v>
      </c>
      <c r="F89" s="1517">
        <f t="shared" si="31"/>
        <v>0</v>
      </c>
      <c r="G89" s="1251">
        <f t="shared" si="32"/>
        <v>0</v>
      </c>
      <c r="H89" s="1240">
        <f t="shared" si="38"/>
        <v>0</v>
      </c>
      <c r="I89" s="1148"/>
      <c r="J89" s="383">
        <f t="shared" si="33"/>
        <v>0</v>
      </c>
      <c r="K89" s="712"/>
      <c r="L89" s="487">
        <f t="shared" si="34"/>
        <v>0</v>
      </c>
      <c r="M89" s="927"/>
      <c r="N89" s="672">
        <v>0</v>
      </c>
      <c r="O89" s="660"/>
      <c r="P89" s="1092">
        <f t="shared" si="35"/>
        <v>0</v>
      </c>
      <c r="Q89" s="1093">
        <v>0</v>
      </c>
      <c r="R89" s="381">
        <f t="shared" si="39"/>
        <v>0</v>
      </c>
      <c r="S89" s="382"/>
      <c r="T89" s="381"/>
      <c r="U89" s="624"/>
      <c r="V89" s="569">
        <f t="shared" si="36"/>
        <v>0</v>
      </c>
      <c r="W89" s="607"/>
      <c r="X89" s="383"/>
      <c r="Y89" s="607"/>
      <c r="Z89" s="383"/>
      <c r="AA89" s="607"/>
      <c r="AB89" s="718"/>
      <c r="AC89" s="335"/>
      <c r="AD89" s="383">
        <f>SUMIF('Asesorías AG anterior'!$B$7:$B$239,B89,'Asesorías AG anterior'!$I$7:$I$239)</f>
        <v>1E-3</v>
      </c>
      <c r="AE89" s="383">
        <f>SUMIF('Asesorías AG anterior'!$B$7:$B$239,B89,'Asesorías AG anterior'!$J$7:$J$239)</f>
        <v>0</v>
      </c>
      <c r="AF89" s="383">
        <f>SUMIF('Asesorías AG anterior'!$B$7:$B$239,B89,'Asesorías AG anterior'!$K$7:$K$239)</f>
        <v>1E-3</v>
      </c>
      <c r="AG89" s="383">
        <f>SUMIF('Asesorías AG anterior'!$B$7:$B$239,B89,'Asesorías AG anterior'!$L$7:$L$239)</f>
        <v>0</v>
      </c>
      <c r="AH89" s="383">
        <f>SUMIF('Asesorías AG anterior'!$B$7:$B$239,B89,'Asesorías AG anterior'!$M$7:$M$239)</f>
        <v>0</v>
      </c>
      <c r="AI89" s="383">
        <f>SUMIF('Asesorías AG anterior'!$B$7:$B$239,B89,'Asesorías AG anterior'!$N$7:$N$239)</f>
        <v>0</v>
      </c>
      <c r="AJ89" s="383">
        <f>SUMIF('Asesorías AG anterior'!$B$7:$B$239,B89,'Asesorías AG anterior'!$O$7:$O$239)</f>
        <v>1E-3</v>
      </c>
      <c r="AK89" s="383">
        <f>SUMIF('Asesorías AG anterior'!$B$7:$B$239,B89,'Asesorías AG anterior'!$P$7:$P$239)</f>
        <v>0</v>
      </c>
      <c r="AL89" s="383">
        <f>SUMIF('Asesorías AG anterior'!$B$7:$B$239,B89,'Asesorías AG anterior'!$Q$7:$Q$239)</f>
        <v>0</v>
      </c>
      <c r="AM89" s="383">
        <f>SUMIF('Asesorías AG anterior'!$B$7:$B$239,B89,'Asesorías AG anterior'!$R$7:$R$239)</f>
        <v>0</v>
      </c>
      <c r="AN89" s="383"/>
      <c r="AO89" s="383">
        <f>SUMIF('Asesorías AG anterior'!$B$7:$B$239,B89,'Asesorías AG anterior'!$T$7:$T$239)</f>
        <v>0</v>
      </c>
      <c r="AP89" s="383">
        <f>SUMIF('Asesorías AG anterior'!$B$7:$B$239,B89,'Asesorías AG anterior'!$U$7:$U$239)</f>
        <v>0</v>
      </c>
      <c r="AQ89" s="383">
        <f>SUMIF('Asesorías AG anterior'!$B$7:$B$239,B89,'Asesorías AG anterior'!$V$7:$V$239)</f>
        <v>0</v>
      </c>
      <c r="AR89" s="383">
        <f>SUMIF('Asesorías AG anterior'!$B$7:$B$239,B89,'Asesorías AG anterior'!$W$7:$W$239)</f>
        <v>0</v>
      </c>
      <c r="AS89" s="383">
        <f>SUMIF('Asesorías AG anterior'!$B$7:$B$239,B89,'Asesorías AG anterior'!$X$7:$X$239)</f>
        <v>0</v>
      </c>
      <c r="AT89" s="383">
        <f>SUMIF('Asesorías AG anterior'!$B$7:$B$239,B89,'Asesorías AG anterior'!$Y$7:$Y$239)</f>
        <v>0</v>
      </c>
      <c r="AU89" s="383">
        <f>SUMIF('Asesorías AG anterior'!$B$7:$B$239,B89,'Asesorías AG anterior'!$Z$7:$Z$239)</f>
        <v>0</v>
      </c>
      <c r="AV89" s="383">
        <f>SUMIF('Asesorías AG anterior'!$B$7:$B$239,B89,'Asesorías AG anterior'!$AA$7:$AA$239)</f>
        <v>0</v>
      </c>
      <c r="AW89" s="383">
        <f>SUMIF('Asesorías AG anterior'!$B$7:$B$239,B89,'Asesorías AG anterior'!$AB$7:$AB$239)</f>
        <v>0</v>
      </c>
      <c r="AX89" s="335"/>
      <c r="AZ89" s="1097" t="s">
        <v>69</v>
      </c>
    </row>
    <row r="90" spans="1:52" x14ac:dyDescent="0.2">
      <c r="A90" s="1184">
        <f t="shared" si="37"/>
        <v>84</v>
      </c>
      <c r="B90" s="1097" t="s">
        <v>659</v>
      </c>
      <c r="C90" s="1185">
        <f>_xlfn.XLOOKUP(B90,Códigos!$B$8:$B$406,Códigos!$A$8:$A$406,"Verificar",0)</f>
        <v>224</v>
      </c>
      <c r="D90" s="1114">
        <f>_xlfn.XLOOKUP(B90,'Consolidado Cobros'!$B$10:$B$312,'Consolidado Cobros'!$C$10:$C$312,"Verificar",0)</f>
        <v>1034995481</v>
      </c>
      <c r="E90" s="1520">
        <f t="shared" si="30"/>
        <v>3</v>
      </c>
      <c r="F90" s="1517">
        <f t="shared" si="31"/>
        <v>0</v>
      </c>
      <c r="G90" s="1251">
        <f t="shared" si="32"/>
        <v>0</v>
      </c>
      <c r="H90" s="1240">
        <f t="shared" si="38"/>
        <v>0</v>
      </c>
      <c r="I90" s="1148"/>
      <c r="J90" s="383">
        <f t="shared" si="33"/>
        <v>0</v>
      </c>
      <c r="K90" s="712"/>
      <c r="L90" s="487">
        <f t="shared" si="34"/>
        <v>0</v>
      </c>
      <c r="M90" s="927"/>
      <c r="N90" s="672">
        <v>0</v>
      </c>
      <c r="O90" s="660"/>
      <c r="P90" s="1092">
        <f t="shared" si="35"/>
        <v>0</v>
      </c>
      <c r="Q90" s="1093">
        <v>0</v>
      </c>
      <c r="R90" s="381">
        <f t="shared" si="39"/>
        <v>0</v>
      </c>
      <c r="S90" s="382"/>
      <c r="T90" s="381"/>
      <c r="U90" s="624"/>
      <c r="V90" s="569">
        <f t="shared" si="36"/>
        <v>0</v>
      </c>
      <c r="W90" s="607"/>
      <c r="X90" s="383"/>
      <c r="Y90" s="607"/>
      <c r="Z90" s="383"/>
      <c r="AA90" s="607"/>
      <c r="AB90" s="718"/>
      <c r="AC90" s="335"/>
      <c r="AD90" s="383">
        <f>SUMIF('Asesorías AG anterior'!$B$7:$B$239,B90,'Asesorías AG anterior'!$I$7:$I$239)</f>
        <v>1E-3</v>
      </c>
      <c r="AE90" s="383">
        <f>SUMIF('Asesorías AG anterior'!$B$7:$B$239,B90,'Asesorías AG anterior'!$J$7:$J$239)</f>
        <v>0</v>
      </c>
      <c r="AF90" s="383">
        <f>SUMIF('Asesorías AG anterior'!$B$7:$B$239,B90,'Asesorías AG anterior'!$K$7:$K$239)</f>
        <v>1E-3</v>
      </c>
      <c r="AG90" s="383">
        <f>SUMIF('Asesorías AG anterior'!$B$7:$B$239,B90,'Asesorías AG anterior'!$L$7:$L$239)</f>
        <v>0</v>
      </c>
      <c r="AH90" s="383">
        <f>SUMIF('Asesorías AG anterior'!$B$7:$B$239,B90,'Asesorías AG anterior'!$M$7:$M$239)</f>
        <v>0</v>
      </c>
      <c r="AI90" s="383">
        <f>SUMIF('Asesorías AG anterior'!$B$7:$B$239,B90,'Asesorías AG anterior'!$N$7:$N$239)</f>
        <v>0</v>
      </c>
      <c r="AJ90" s="383">
        <f>SUMIF('Asesorías AG anterior'!$B$7:$B$239,B90,'Asesorías AG anterior'!$O$7:$O$239)</f>
        <v>1E-3</v>
      </c>
      <c r="AK90" s="383">
        <f>SUMIF('Asesorías AG anterior'!$B$7:$B$239,B90,'Asesorías AG anterior'!$P$7:$P$239)</f>
        <v>0</v>
      </c>
      <c r="AL90" s="383">
        <f>SUMIF('Asesorías AG anterior'!$B$7:$B$239,B90,'Asesorías AG anterior'!$Q$7:$Q$239)</f>
        <v>0</v>
      </c>
      <c r="AM90" s="383">
        <f>SUMIF('Asesorías AG anterior'!$B$7:$B$239,B90,'Asesorías AG anterior'!$R$7:$R$239)</f>
        <v>0</v>
      </c>
      <c r="AN90" s="383"/>
      <c r="AO90" s="383">
        <f>SUMIF('Asesorías AG anterior'!$B$7:$B$239,B90,'Asesorías AG anterior'!$T$7:$T$239)</f>
        <v>0</v>
      </c>
      <c r="AP90" s="383">
        <f>SUMIF('Asesorías AG anterior'!$B$7:$B$239,B90,'Asesorías AG anterior'!$U$7:$U$239)</f>
        <v>0</v>
      </c>
      <c r="AQ90" s="383">
        <f>SUMIF('Asesorías AG anterior'!$B$7:$B$239,B90,'Asesorías AG anterior'!$V$7:$V$239)</f>
        <v>0</v>
      </c>
      <c r="AR90" s="383">
        <f>SUMIF('Asesorías AG anterior'!$B$7:$B$239,B90,'Asesorías AG anterior'!$W$7:$W$239)</f>
        <v>0</v>
      </c>
      <c r="AS90" s="383">
        <f>SUMIF('Asesorías AG anterior'!$B$7:$B$239,B90,'Asesorías AG anterior'!$X$7:$X$239)</f>
        <v>0</v>
      </c>
      <c r="AT90" s="383">
        <f>SUMIF('Asesorías AG anterior'!$B$7:$B$239,B90,'Asesorías AG anterior'!$Y$7:$Y$239)</f>
        <v>0</v>
      </c>
      <c r="AU90" s="383">
        <f>SUMIF('Asesorías AG anterior'!$B$7:$B$239,B90,'Asesorías AG anterior'!$Z$7:$Z$239)</f>
        <v>0</v>
      </c>
      <c r="AV90" s="383">
        <f>SUMIF('Asesorías AG anterior'!$B$7:$B$239,B90,'Asesorías AG anterior'!$AA$7:$AA$239)</f>
        <v>0</v>
      </c>
      <c r="AW90" s="383">
        <f>SUMIF('Asesorías AG anterior'!$B$7:$B$239,B90,'Asesorías AG anterior'!$AB$7:$AB$239)</f>
        <v>0</v>
      </c>
      <c r="AX90" s="335"/>
      <c r="AZ90" s="1137" t="s">
        <v>659</v>
      </c>
    </row>
    <row r="91" spans="1:52" x14ac:dyDescent="0.2">
      <c r="A91" s="1184">
        <f t="shared" si="37"/>
        <v>85</v>
      </c>
      <c r="B91" s="1097" t="s">
        <v>646</v>
      </c>
      <c r="C91" s="1185">
        <f>_xlfn.XLOOKUP(B91,Códigos!$B$8:$B$406,Códigos!$A$8:$A$406,"Verificar",0)</f>
        <v>228</v>
      </c>
      <c r="D91" s="1114">
        <f>_xlfn.XLOOKUP(B91,'Consolidado Cobros'!$B$10:$B$312,'Consolidado Cobros'!$C$10:$C$312,"Verificar",0)</f>
        <v>1034991081</v>
      </c>
      <c r="E91" s="1520">
        <f t="shared" si="30"/>
        <v>2</v>
      </c>
      <c r="F91" s="1517">
        <f t="shared" si="31"/>
        <v>0</v>
      </c>
      <c r="G91" s="1251">
        <f t="shared" si="32"/>
        <v>0</v>
      </c>
      <c r="H91" s="1240">
        <f t="shared" si="38"/>
        <v>0</v>
      </c>
      <c r="I91" s="1148"/>
      <c r="J91" s="383">
        <f t="shared" si="33"/>
        <v>0</v>
      </c>
      <c r="K91" s="712"/>
      <c r="L91" s="487">
        <f t="shared" si="34"/>
        <v>0</v>
      </c>
      <c r="M91" s="927"/>
      <c r="N91" s="672">
        <v>0</v>
      </c>
      <c r="O91" s="660"/>
      <c r="P91" s="1092">
        <f t="shared" si="35"/>
        <v>0</v>
      </c>
      <c r="Q91" s="1093">
        <v>0</v>
      </c>
      <c r="R91" s="381">
        <f t="shared" si="39"/>
        <v>0</v>
      </c>
      <c r="S91" s="382"/>
      <c r="T91" s="381"/>
      <c r="U91" s="624"/>
      <c r="V91" s="569">
        <f t="shared" si="36"/>
        <v>0</v>
      </c>
      <c r="W91" s="607"/>
      <c r="X91" s="383"/>
      <c r="Y91" s="607"/>
      <c r="Z91" s="383"/>
      <c r="AA91" s="607"/>
      <c r="AB91" s="718"/>
      <c r="AC91" s="335"/>
      <c r="AD91" s="383">
        <f>SUMIF('Asesorías AG anterior'!$B$7:$B$239,B91,'Asesorías AG anterior'!$I$7:$I$239)</f>
        <v>1E-3</v>
      </c>
      <c r="AE91" s="383">
        <f>SUMIF('Asesorías AG anterior'!$B$7:$B$239,B91,'Asesorías AG anterior'!$J$7:$J$239)</f>
        <v>0</v>
      </c>
      <c r="AF91" s="383">
        <f>SUMIF('Asesorías AG anterior'!$B$7:$B$239,B91,'Asesorías AG anterior'!$K$7:$K$239)</f>
        <v>1E-3</v>
      </c>
      <c r="AG91" s="383">
        <f>SUMIF('Asesorías AG anterior'!$B$7:$B$239,B91,'Asesorías AG anterior'!$L$7:$L$239)</f>
        <v>0</v>
      </c>
      <c r="AH91" s="383">
        <f>SUMIF('Asesorías AG anterior'!$B$7:$B$239,B91,'Asesorías AG anterior'!$M$7:$M$239)</f>
        <v>0</v>
      </c>
      <c r="AI91" s="383">
        <f>SUMIF('Asesorías AG anterior'!$B$7:$B$239,B91,'Asesorías AG anterior'!$N$7:$N$239)</f>
        <v>0</v>
      </c>
      <c r="AJ91" s="383">
        <f>SUMIF('Asesorías AG anterior'!$B$7:$B$239,B91,'Asesorías AG anterior'!$O$7:$O$239)</f>
        <v>1E-3</v>
      </c>
      <c r="AK91" s="383">
        <f>SUMIF('Asesorías AG anterior'!$B$7:$B$239,B91,'Asesorías AG anterior'!$P$7:$P$239)</f>
        <v>0</v>
      </c>
      <c r="AL91" s="383">
        <f>SUMIF('Asesorías AG anterior'!$B$7:$B$239,B91,'Asesorías AG anterior'!$Q$7:$Q$239)</f>
        <v>0</v>
      </c>
      <c r="AM91" s="383">
        <f>SUMIF('Asesorías AG anterior'!$B$7:$B$239,B91,'Asesorías AG anterior'!$R$7:$R$239)</f>
        <v>0</v>
      </c>
      <c r="AN91" s="383"/>
      <c r="AO91" s="383">
        <f>SUMIF('Asesorías AG anterior'!$B$7:$B$239,B91,'Asesorías AG anterior'!$T$7:$T$239)</f>
        <v>0</v>
      </c>
      <c r="AP91" s="383">
        <f>SUMIF('Asesorías AG anterior'!$B$7:$B$239,B91,'Asesorías AG anterior'!$U$7:$U$239)</f>
        <v>0</v>
      </c>
      <c r="AQ91" s="383">
        <f>SUMIF('Asesorías AG anterior'!$B$7:$B$239,B91,'Asesorías AG anterior'!$V$7:$V$239)</f>
        <v>0</v>
      </c>
      <c r="AR91" s="383">
        <f>SUMIF('Asesorías AG anterior'!$B$7:$B$239,B91,'Asesorías AG anterior'!$W$7:$W$239)</f>
        <v>0</v>
      </c>
      <c r="AS91" s="383">
        <f>SUMIF('Asesorías AG anterior'!$B$7:$B$239,B91,'Asesorías AG anterior'!$X$7:$X$239)</f>
        <v>0</v>
      </c>
      <c r="AT91" s="383">
        <f>SUMIF('Asesorías AG anterior'!$B$7:$B$239,B91,'Asesorías AG anterior'!$Y$7:$Y$239)</f>
        <v>0</v>
      </c>
      <c r="AU91" s="383">
        <f>SUMIF('Asesorías AG anterior'!$B$7:$B$239,B91,'Asesorías AG anterior'!$Z$7:$Z$239)</f>
        <v>0</v>
      </c>
      <c r="AV91" s="383">
        <f>SUMIF('Asesorías AG anterior'!$B$7:$B$239,B91,'Asesorías AG anterior'!$AA$7:$AA$239)</f>
        <v>0</v>
      </c>
      <c r="AW91" s="383">
        <f>SUMIF('Asesorías AG anterior'!$B$7:$B$239,B91,'Asesorías AG anterior'!$AB$7:$AB$239)</f>
        <v>0</v>
      </c>
      <c r="AX91" s="335"/>
      <c r="AZ91" s="1137" t="s">
        <v>646</v>
      </c>
    </row>
    <row r="92" spans="1:52" x14ac:dyDescent="0.2">
      <c r="A92" s="1184">
        <f t="shared" si="37"/>
        <v>86</v>
      </c>
      <c r="B92" s="1097" t="s">
        <v>70</v>
      </c>
      <c r="C92" s="1185">
        <f>_xlfn.XLOOKUP(B92,Códigos!$B$8:$B$406,Códigos!$A$8:$A$406,"Verificar",0)</f>
        <v>289</v>
      </c>
      <c r="D92" s="1114">
        <f>_xlfn.XLOOKUP(B92,'Consolidado Cobros'!$B$10:$B$312,'Consolidado Cobros'!$C$10:$C$312,"Verificar",0)</f>
        <v>32517259</v>
      </c>
      <c r="E92" s="1520">
        <f t="shared" si="30"/>
        <v>7</v>
      </c>
      <c r="F92" s="1517">
        <f t="shared" si="31"/>
        <v>0</v>
      </c>
      <c r="G92" s="1251">
        <f t="shared" si="32"/>
        <v>0</v>
      </c>
      <c r="H92" s="1240">
        <f t="shared" si="38"/>
        <v>0</v>
      </c>
      <c r="I92" s="1148"/>
      <c r="J92" s="383">
        <f t="shared" si="33"/>
        <v>0</v>
      </c>
      <c r="K92" s="712"/>
      <c r="L92" s="487">
        <f t="shared" si="34"/>
        <v>0</v>
      </c>
      <c r="M92" s="927"/>
      <c r="N92" s="672">
        <v>0</v>
      </c>
      <c r="O92" s="660"/>
      <c r="P92" s="1092">
        <f t="shared" si="35"/>
        <v>0</v>
      </c>
      <c r="Q92" s="1093">
        <v>0</v>
      </c>
      <c r="R92" s="381">
        <f t="shared" si="39"/>
        <v>0</v>
      </c>
      <c r="S92" s="382"/>
      <c r="T92" s="381"/>
      <c r="U92" s="624"/>
      <c r="V92" s="569">
        <f t="shared" si="36"/>
        <v>0</v>
      </c>
      <c r="W92" s="607"/>
      <c r="X92" s="383"/>
      <c r="Y92" s="607"/>
      <c r="Z92" s="383"/>
      <c r="AA92" s="607"/>
      <c r="AB92" s="718"/>
      <c r="AC92" s="335"/>
      <c r="AD92" s="383">
        <f>SUMIF('Asesorías AG anterior'!$B$7:$B$239,B92,'Asesorías AG anterior'!$I$7:$I$239)</f>
        <v>1E-3</v>
      </c>
      <c r="AE92" s="383">
        <f>SUMIF('Asesorías AG anterior'!$B$7:$B$239,B92,'Asesorías AG anterior'!$J$7:$J$239)</f>
        <v>0</v>
      </c>
      <c r="AF92" s="383">
        <f>SUMIF('Asesorías AG anterior'!$B$7:$B$239,B92,'Asesorías AG anterior'!$K$7:$K$239)</f>
        <v>1E-3</v>
      </c>
      <c r="AG92" s="383">
        <f>SUMIF('Asesorías AG anterior'!$B$7:$B$239,B92,'Asesorías AG anterior'!$L$7:$L$239)</f>
        <v>0</v>
      </c>
      <c r="AH92" s="383">
        <f>SUMIF('Asesorías AG anterior'!$B$7:$B$239,B92,'Asesorías AG anterior'!$M$7:$M$239)</f>
        <v>0</v>
      </c>
      <c r="AI92" s="383">
        <f>SUMIF('Asesorías AG anterior'!$B$7:$B$239,B92,'Asesorías AG anterior'!$N$7:$N$239)</f>
        <v>0</v>
      </c>
      <c r="AJ92" s="383">
        <f>SUMIF('Asesorías AG anterior'!$B$7:$B$239,B92,'Asesorías AG anterior'!$O$7:$O$239)</f>
        <v>1E-3</v>
      </c>
      <c r="AK92" s="383">
        <f>SUMIF('Asesorías AG anterior'!$B$7:$B$239,B92,'Asesorías AG anterior'!$P$7:$P$239)</f>
        <v>0</v>
      </c>
      <c r="AL92" s="383">
        <f>SUMIF('Asesorías AG anterior'!$B$7:$B$239,B92,'Asesorías AG anterior'!$Q$7:$Q$239)</f>
        <v>0</v>
      </c>
      <c r="AM92" s="383">
        <f>SUMIF('Asesorías AG anterior'!$B$7:$B$239,B92,'Asesorías AG anterior'!$R$7:$R$239)</f>
        <v>0</v>
      </c>
      <c r="AN92" s="383"/>
      <c r="AO92" s="383">
        <f>SUMIF('Asesorías AG anterior'!$B$7:$B$239,B92,'Asesorías AG anterior'!$T$7:$T$239)</f>
        <v>0</v>
      </c>
      <c r="AP92" s="383">
        <f>SUMIF('Asesorías AG anterior'!$B$7:$B$239,B92,'Asesorías AG anterior'!$U$7:$U$239)</f>
        <v>0</v>
      </c>
      <c r="AQ92" s="383">
        <f>SUMIF('Asesorías AG anterior'!$B$7:$B$239,B92,'Asesorías AG anterior'!$V$7:$V$239)</f>
        <v>0</v>
      </c>
      <c r="AR92" s="383">
        <f>SUMIF('Asesorías AG anterior'!$B$7:$B$239,B92,'Asesorías AG anterior'!$W$7:$W$239)</f>
        <v>0</v>
      </c>
      <c r="AS92" s="383">
        <f>SUMIF('Asesorías AG anterior'!$B$7:$B$239,B92,'Asesorías AG anterior'!$X$7:$X$239)</f>
        <v>0</v>
      </c>
      <c r="AT92" s="383">
        <f>SUMIF('Asesorías AG anterior'!$B$7:$B$239,B92,'Asesorías AG anterior'!$Y$7:$Y$239)</f>
        <v>0</v>
      </c>
      <c r="AU92" s="383">
        <f>SUMIF('Asesorías AG anterior'!$B$7:$B$239,B92,'Asesorías AG anterior'!$Z$7:$Z$239)</f>
        <v>0</v>
      </c>
      <c r="AV92" s="383">
        <f>SUMIF('Asesorías AG anterior'!$B$7:$B$239,B92,'Asesorías AG anterior'!$AA$7:$AA$239)</f>
        <v>0</v>
      </c>
      <c r="AW92" s="383">
        <f>SUMIF('Asesorías AG anterior'!$B$7:$B$239,B92,'Asesorías AG anterior'!$AB$7:$AB$239)</f>
        <v>0</v>
      </c>
      <c r="AX92" s="335"/>
      <c r="AZ92" s="1097" t="s">
        <v>70</v>
      </c>
    </row>
    <row r="93" spans="1:52" x14ac:dyDescent="0.2">
      <c r="A93" s="1184">
        <f t="shared" si="37"/>
        <v>87</v>
      </c>
      <c r="B93" s="1097" t="s">
        <v>71</v>
      </c>
      <c r="C93" s="1185">
        <f>_xlfn.XLOOKUP(B93,Códigos!$B$8:$B$406,Códigos!$A$8:$A$406,"Verificar",0)</f>
        <v>112</v>
      </c>
      <c r="D93" s="1114">
        <f>_xlfn.XLOOKUP(B93,'Consolidado Cobros'!$B$10:$B$312,'Consolidado Cobros'!$C$10:$C$312,"Verificar",0)</f>
        <v>32476412</v>
      </c>
      <c r="E93" s="1520">
        <f t="shared" si="30"/>
        <v>0</v>
      </c>
      <c r="F93" s="1517">
        <f t="shared" si="31"/>
        <v>0</v>
      </c>
      <c r="G93" s="1251">
        <f t="shared" si="32"/>
        <v>0</v>
      </c>
      <c r="H93" s="1240">
        <f t="shared" si="38"/>
        <v>0</v>
      </c>
      <c r="I93" s="1148"/>
      <c r="J93" s="383">
        <f t="shared" si="33"/>
        <v>0</v>
      </c>
      <c r="K93" s="712"/>
      <c r="L93" s="487">
        <f t="shared" si="34"/>
        <v>0</v>
      </c>
      <c r="M93" s="927"/>
      <c r="N93" s="672">
        <v>0</v>
      </c>
      <c r="O93" s="660"/>
      <c r="P93" s="1092">
        <f t="shared" si="35"/>
        <v>0</v>
      </c>
      <c r="Q93" s="1093">
        <v>0</v>
      </c>
      <c r="R93" s="381">
        <f t="shared" si="39"/>
        <v>0</v>
      </c>
      <c r="S93" s="382"/>
      <c r="T93" s="381"/>
      <c r="U93" s="624"/>
      <c r="V93" s="569">
        <f t="shared" si="36"/>
        <v>0</v>
      </c>
      <c r="W93" s="607"/>
      <c r="X93" s="383"/>
      <c r="Y93" s="607"/>
      <c r="Z93" s="383"/>
      <c r="AA93" s="607"/>
      <c r="AB93" s="718"/>
      <c r="AC93" s="335"/>
      <c r="AD93" s="383">
        <f>SUMIF('Asesorías AG anterior'!$B$7:$B$239,B93,'Asesorías AG anterior'!$I$7:$I$239)</f>
        <v>1E-3</v>
      </c>
      <c r="AE93" s="383">
        <f>SUMIF('Asesorías AG anterior'!$B$7:$B$239,B93,'Asesorías AG anterior'!$J$7:$J$239)</f>
        <v>0</v>
      </c>
      <c r="AF93" s="383">
        <f>SUMIF('Asesorías AG anterior'!$B$7:$B$239,B93,'Asesorías AG anterior'!$K$7:$K$239)</f>
        <v>1E-3</v>
      </c>
      <c r="AG93" s="383">
        <f>SUMIF('Asesorías AG anterior'!$B$7:$B$239,B93,'Asesorías AG anterior'!$L$7:$L$239)</f>
        <v>0</v>
      </c>
      <c r="AH93" s="383">
        <f>SUMIF('Asesorías AG anterior'!$B$7:$B$239,B93,'Asesorías AG anterior'!$M$7:$M$239)</f>
        <v>0</v>
      </c>
      <c r="AI93" s="383">
        <f>SUMIF('Asesorías AG anterior'!$B$7:$B$239,B93,'Asesorías AG anterior'!$N$7:$N$239)</f>
        <v>0</v>
      </c>
      <c r="AJ93" s="383">
        <f>SUMIF('Asesorías AG anterior'!$B$7:$B$239,B93,'Asesorías AG anterior'!$O$7:$O$239)</f>
        <v>1E-3</v>
      </c>
      <c r="AK93" s="383">
        <f>SUMIF('Asesorías AG anterior'!$B$7:$B$239,B93,'Asesorías AG anterior'!$P$7:$P$239)</f>
        <v>0</v>
      </c>
      <c r="AL93" s="383">
        <f>SUMIF('Asesorías AG anterior'!$B$7:$B$239,B93,'Asesorías AG anterior'!$Q$7:$Q$239)</f>
        <v>0</v>
      </c>
      <c r="AM93" s="383">
        <f>SUMIF('Asesorías AG anterior'!$B$7:$B$239,B93,'Asesorías AG anterior'!$R$7:$R$239)</f>
        <v>0</v>
      </c>
      <c r="AN93" s="383"/>
      <c r="AO93" s="383">
        <f>SUMIF('Asesorías AG anterior'!$B$7:$B$239,B93,'Asesorías AG anterior'!$T$7:$T$239)</f>
        <v>0</v>
      </c>
      <c r="AP93" s="383">
        <f>SUMIF('Asesorías AG anterior'!$B$7:$B$239,B93,'Asesorías AG anterior'!$U$7:$U$239)</f>
        <v>0</v>
      </c>
      <c r="AQ93" s="383">
        <f>SUMIF('Asesorías AG anterior'!$B$7:$B$239,B93,'Asesorías AG anterior'!$V$7:$V$239)</f>
        <v>0</v>
      </c>
      <c r="AR93" s="383">
        <f>SUMIF('Asesorías AG anterior'!$B$7:$B$239,B93,'Asesorías AG anterior'!$W$7:$W$239)</f>
        <v>0</v>
      </c>
      <c r="AS93" s="383">
        <f>SUMIF('Asesorías AG anterior'!$B$7:$B$239,B93,'Asesorías AG anterior'!$X$7:$X$239)</f>
        <v>0</v>
      </c>
      <c r="AT93" s="383">
        <f>SUMIF('Asesorías AG anterior'!$B$7:$B$239,B93,'Asesorías AG anterior'!$Y$7:$Y$239)</f>
        <v>0</v>
      </c>
      <c r="AU93" s="383">
        <f>SUMIF('Asesorías AG anterior'!$B$7:$B$239,B93,'Asesorías AG anterior'!$Z$7:$Z$239)</f>
        <v>0</v>
      </c>
      <c r="AV93" s="383">
        <f>SUMIF('Asesorías AG anterior'!$B$7:$B$239,B93,'Asesorías AG anterior'!$AA$7:$AA$239)</f>
        <v>0</v>
      </c>
      <c r="AW93" s="383">
        <f>SUMIF('Asesorías AG anterior'!$B$7:$B$239,B93,'Asesorías AG anterior'!$AB$7:$AB$239)</f>
        <v>0</v>
      </c>
      <c r="AX93" s="335"/>
      <c r="AZ93" s="1097" t="s">
        <v>71</v>
      </c>
    </row>
    <row r="94" spans="1:52" x14ac:dyDescent="0.2">
      <c r="A94" s="1184">
        <f t="shared" si="37"/>
        <v>88</v>
      </c>
      <c r="B94" s="1137" t="s">
        <v>674</v>
      </c>
      <c r="C94" s="1185">
        <f>_xlfn.XLOOKUP(B94,Códigos!$B$8:$B$406,Códigos!$A$8:$A$406,"Verificar",0)</f>
        <v>258</v>
      </c>
      <c r="D94" s="1114">
        <f>_xlfn.XLOOKUP(B94,'Consolidado Cobros'!$B$10:$B$312,'Consolidado Cobros'!$C$10:$C$312,"Verificar",0)</f>
        <v>900625975</v>
      </c>
      <c r="E94" s="1520">
        <f t="shared" si="30"/>
        <v>3</v>
      </c>
      <c r="F94" s="1517">
        <f t="shared" si="31"/>
        <v>0</v>
      </c>
      <c r="G94" s="1251">
        <f t="shared" si="32"/>
        <v>0</v>
      </c>
      <c r="H94" s="1240">
        <f t="shared" si="38"/>
        <v>0</v>
      </c>
      <c r="I94" s="1148"/>
      <c r="J94" s="383">
        <f t="shared" si="33"/>
        <v>0</v>
      </c>
      <c r="K94" s="712"/>
      <c r="L94" s="487">
        <f t="shared" si="34"/>
        <v>0</v>
      </c>
      <c r="M94" s="927"/>
      <c r="N94" s="672">
        <v>0</v>
      </c>
      <c r="O94" s="660"/>
      <c r="P94" s="1092">
        <f t="shared" si="35"/>
        <v>0</v>
      </c>
      <c r="Q94" s="1093">
        <v>0</v>
      </c>
      <c r="R94" s="381">
        <f t="shared" si="39"/>
        <v>0</v>
      </c>
      <c r="S94" s="382"/>
      <c r="T94" s="381"/>
      <c r="U94" s="624"/>
      <c r="V94" s="569">
        <f t="shared" si="36"/>
        <v>0</v>
      </c>
      <c r="W94" s="607"/>
      <c r="X94" s="383"/>
      <c r="Y94" s="607"/>
      <c r="Z94" s="383"/>
      <c r="AA94" s="607"/>
      <c r="AB94" s="718"/>
      <c r="AC94" s="335"/>
      <c r="AD94" s="383">
        <f>SUMIF('Asesorías AG anterior'!$B$7:$B$239,B94,'Asesorías AG anterior'!$I$7:$I$239)</f>
        <v>1E-3</v>
      </c>
      <c r="AE94" s="383">
        <f>SUMIF('Asesorías AG anterior'!$B$7:$B$239,B94,'Asesorías AG anterior'!$J$7:$J$239)</f>
        <v>0</v>
      </c>
      <c r="AF94" s="383">
        <f>SUMIF('Asesorías AG anterior'!$B$7:$B$239,B94,'Asesorías AG anterior'!$K$7:$K$239)</f>
        <v>1E-3</v>
      </c>
      <c r="AG94" s="383">
        <f>SUMIF('Asesorías AG anterior'!$B$7:$B$239,B94,'Asesorías AG anterior'!$L$7:$L$239)</f>
        <v>0</v>
      </c>
      <c r="AH94" s="383">
        <f>SUMIF('Asesorías AG anterior'!$B$7:$B$239,B94,'Asesorías AG anterior'!$M$7:$M$239)</f>
        <v>0</v>
      </c>
      <c r="AI94" s="383">
        <f>SUMIF('Asesorías AG anterior'!$B$7:$B$239,B94,'Asesorías AG anterior'!$N$7:$N$239)</f>
        <v>0</v>
      </c>
      <c r="AJ94" s="383">
        <f>SUMIF('Asesorías AG anterior'!$B$7:$B$239,B94,'Asesorías AG anterior'!$O$7:$O$239)</f>
        <v>1E-3</v>
      </c>
      <c r="AK94" s="383">
        <f>SUMIF('Asesorías AG anterior'!$B$7:$B$239,B94,'Asesorías AG anterior'!$P$7:$P$239)</f>
        <v>0</v>
      </c>
      <c r="AL94" s="383">
        <f>SUMIF('Asesorías AG anterior'!$B$7:$B$239,B94,'Asesorías AG anterior'!$Q$7:$Q$239)</f>
        <v>0</v>
      </c>
      <c r="AM94" s="383">
        <f>SUMIF('Asesorías AG anterior'!$B$7:$B$239,B94,'Asesorías AG anterior'!$R$7:$R$239)</f>
        <v>0</v>
      </c>
      <c r="AN94" s="383"/>
      <c r="AO94" s="383">
        <f>SUMIF('Asesorías AG anterior'!$B$7:$B$239,B94,'Asesorías AG anterior'!$T$7:$T$239)</f>
        <v>0</v>
      </c>
      <c r="AP94" s="383">
        <f>SUMIF('Asesorías AG anterior'!$B$7:$B$239,B94,'Asesorías AG anterior'!$U$7:$U$239)</f>
        <v>0</v>
      </c>
      <c r="AQ94" s="383">
        <f>SUMIF('Asesorías AG anterior'!$B$7:$B$239,B94,'Asesorías AG anterior'!$V$7:$V$239)</f>
        <v>0</v>
      </c>
      <c r="AR94" s="383">
        <f>SUMIF('Asesorías AG anterior'!$B$7:$B$239,B94,'Asesorías AG anterior'!$W$7:$W$239)</f>
        <v>0</v>
      </c>
      <c r="AS94" s="383">
        <f>SUMIF('Asesorías AG anterior'!$B$7:$B$239,B94,'Asesorías AG anterior'!$X$7:$X$239)</f>
        <v>0</v>
      </c>
      <c r="AT94" s="383">
        <f>SUMIF('Asesorías AG anterior'!$B$7:$B$239,B94,'Asesorías AG anterior'!$Y$7:$Y$239)</f>
        <v>0</v>
      </c>
      <c r="AU94" s="383">
        <f>SUMIF('Asesorías AG anterior'!$B$7:$B$239,B94,'Asesorías AG anterior'!$Z$7:$Z$239)</f>
        <v>0</v>
      </c>
      <c r="AV94" s="383">
        <f>SUMIF('Asesorías AG anterior'!$B$7:$B$239,B94,'Asesorías AG anterior'!$AA$7:$AA$239)</f>
        <v>0</v>
      </c>
      <c r="AW94" s="383">
        <f>SUMIF('Asesorías AG anterior'!$B$7:$B$239,B94,'Asesorías AG anterior'!$AB$7:$AB$239)</f>
        <v>0</v>
      </c>
      <c r="AX94" s="335"/>
      <c r="AZ94" s="1137" t="s">
        <v>674</v>
      </c>
    </row>
    <row r="95" spans="1:52" x14ac:dyDescent="0.2">
      <c r="A95" s="1184">
        <f t="shared" si="37"/>
        <v>89</v>
      </c>
      <c r="B95" s="1097" t="s">
        <v>73</v>
      </c>
      <c r="C95" s="1185">
        <f>_xlfn.XLOOKUP(B95,Códigos!$B$8:$B$406,Códigos!$A$8:$A$406,"Verificar",0)</f>
        <v>116</v>
      </c>
      <c r="D95" s="1114">
        <f>_xlfn.XLOOKUP(B95,'Consolidado Cobros'!$B$10:$B$312,'Consolidado Cobros'!$C$10:$C$312,"Verificar",0)</f>
        <v>33166790</v>
      </c>
      <c r="E95" s="1520">
        <f t="shared" si="30"/>
        <v>3</v>
      </c>
      <c r="F95" s="1517">
        <f t="shared" si="31"/>
        <v>0</v>
      </c>
      <c r="G95" s="1251">
        <f t="shared" si="32"/>
        <v>0</v>
      </c>
      <c r="H95" s="1240">
        <f t="shared" si="38"/>
        <v>0</v>
      </c>
      <c r="I95" s="1148"/>
      <c r="J95" s="383">
        <f t="shared" si="33"/>
        <v>0</v>
      </c>
      <c r="K95" s="712"/>
      <c r="L95" s="487">
        <f t="shared" si="34"/>
        <v>0</v>
      </c>
      <c r="M95" s="927"/>
      <c r="N95" s="672">
        <v>0</v>
      </c>
      <c r="O95" s="660"/>
      <c r="P95" s="1092">
        <f t="shared" si="35"/>
        <v>0</v>
      </c>
      <c r="Q95" s="1093">
        <v>0</v>
      </c>
      <c r="R95" s="381">
        <f t="shared" si="39"/>
        <v>0</v>
      </c>
      <c r="S95" s="382"/>
      <c r="T95" s="381"/>
      <c r="U95" s="624"/>
      <c r="V95" s="569">
        <f t="shared" si="36"/>
        <v>0</v>
      </c>
      <c r="W95" s="607"/>
      <c r="X95" s="383"/>
      <c r="Y95" s="607"/>
      <c r="Z95" s="383"/>
      <c r="AA95" s="607"/>
      <c r="AB95" s="718"/>
      <c r="AC95" s="335"/>
      <c r="AD95" s="383">
        <f>SUMIF('Asesorías AG anterior'!$B$7:$B$239,B95,'Asesorías AG anterior'!$I$7:$I$239)</f>
        <v>1E-3</v>
      </c>
      <c r="AE95" s="383">
        <f>SUMIF('Asesorías AG anterior'!$B$7:$B$239,B95,'Asesorías AG anterior'!$J$7:$J$239)</f>
        <v>0</v>
      </c>
      <c r="AF95" s="383">
        <f>SUMIF('Asesorías AG anterior'!$B$7:$B$239,B95,'Asesorías AG anterior'!$K$7:$K$239)</f>
        <v>1E-3</v>
      </c>
      <c r="AG95" s="383">
        <f>SUMIF('Asesorías AG anterior'!$B$7:$B$239,B95,'Asesorías AG anterior'!$L$7:$L$239)</f>
        <v>0</v>
      </c>
      <c r="AH95" s="383">
        <f>SUMIF('Asesorías AG anterior'!$B$7:$B$239,B95,'Asesorías AG anterior'!$M$7:$M$239)</f>
        <v>0</v>
      </c>
      <c r="AI95" s="383">
        <f>SUMIF('Asesorías AG anterior'!$B$7:$B$239,B95,'Asesorías AG anterior'!$N$7:$N$239)</f>
        <v>0</v>
      </c>
      <c r="AJ95" s="383">
        <f>SUMIF('Asesorías AG anterior'!$B$7:$B$239,B95,'Asesorías AG anterior'!$O$7:$O$239)</f>
        <v>1E-3</v>
      </c>
      <c r="AK95" s="383">
        <f>SUMIF('Asesorías AG anterior'!$B$7:$B$239,B95,'Asesorías AG anterior'!$P$7:$P$239)</f>
        <v>0</v>
      </c>
      <c r="AL95" s="383">
        <f>SUMIF('Asesorías AG anterior'!$B$7:$B$239,B95,'Asesorías AG anterior'!$Q$7:$Q$239)</f>
        <v>0</v>
      </c>
      <c r="AM95" s="383">
        <f>SUMIF('Asesorías AG anterior'!$B$7:$B$239,B95,'Asesorías AG anterior'!$R$7:$R$239)</f>
        <v>0</v>
      </c>
      <c r="AN95" s="383"/>
      <c r="AO95" s="383">
        <f>SUMIF('Asesorías AG anterior'!$B$7:$B$239,B95,'Asesorías AG anterior'!$T$7:$T$239)</f>
        <v>0</v>
      </c>
      <c r="AP95" s="383">
        <f>SUMIF('Asesorías AG anterior'!$B$7:$B$239,B95,'Asesorías AG anterior'!$U$7:$U$239)</f>
        <v>0</v>
      </c>
      <c r="AQ95" s="383">
        <f>SUMIF('Asesorías AG anterior'!$B$7:$B$239,B95,'Asesorías AG anterior'!$V$7:$V$239)</f>
        <v>0</v>
      </c>
      <c r="AR95" s="383">
        <f>SUMIF('Asesorías AG anterior'!$B$7:$B$239,B95,'Asesorías AG anterior'!$W$7:$W$239)</f>
        <v>0</v>
      </c>
      <c r="AS95" s="383">
        <f>SUMIF('Asesorías AG anterior'!$B$7:$B$239,B95,'Asesorías AG anterior'!$X$7:$X$239)</f>
        <v>0</v>
      </c>
      <c r="AT95" s="383">
        <f>SUMIF('Asesorías AG anterior'!$B$7:$B$239,B95,'Asesorías AG anterior'!$Y$7:$Y$239)</f>
        <v>0</v>
      </c>
      <c r="AU95" s="383">
        <f>SUMIF('Asesorías AG anterior'!$B$7:$B$239,B95,'Asesorías AG anterior'!$Z$7:$Z$239)</f>
        <v>0</v>
      </c>
      <c r="AV95" s="383">
        <f>SUMIF('Asesorías AG anterior'!$B$7:$B$239,B95,'Asesorías AG anterior'!$AA$7:$AA$239)</f>
        <v>0</v>
      </c>
      <c r="AW95" s="383">
        <f>SUMIF('Asesorías AG anterior'!$B$7:$B$239,B95,'Asesorías AG anterior'!$AB$7:$AB$239)</f>
        <v>0</v>
      </c>
      <c r="AX95" s="335"/>
      <c r="AZ95" s="1097" t="s">
        <v>73</v>
      </c>
    </row>
    <row r="96" spans="1:52" x14ac:dyDescent="0.2">
      <c r="A96" s="1184">
        <f t="shared" si="37"/>
        <v>90</v>
      </c>
      <c r="B96" s="1097" t="s">
        <v>295</v>
      </c>
      <c r="C96" s="1185">
        <f>_xlfn.XLOOKUP(B96,Códigos!$B$8:$B$406,Códigos!$A$8:$A$406,"Verificar",0)</f>
        <v>331</v>
      </c>
      <c r="D96" s="1114">
        <f>_xlfn.XLOOKUP(B96,'Consolidado Cobros'!$B$10:$B$312,'Consolidado Cobros'!$C$10:$C$312,"Verificar",0)</f>
        <v>21350229</v>
      </c>
      <c r="E96" s="1520">
        <f t="shared" si="30"/>
        <v>7</v>
      </c>
      <c r="F96" s="1517">
        <f t="shared" si="31"/>
        <v>0</v>
      </c>
      <c r="G96" s="1251">
        <f t="shared" si="32"/>
        <v>0</v>
      </c>
      <c r="H96" s="1240">
        <f t="shared" si="38"/>
        <v>0</v>
      </c>
      <c r="I96" s="1148"/>
      <c r="J96" s="383">
        <f t="shared" si="33"/>
        <v>0</v>
      </c>
      <c r="K96" s="712"/>
      <c r="L96" s="487">
        <f t="shared" si="34"/>
        <v>0</v>
      </c>
      <c r="M96" s="927"/>
      <c r="N96" s="672">
        <v>0</v>
      </c>
      <c r="O96" s="660"/>
      <c r="P96" s="1092">
        <f t="shared" si="35"/>
        <v>0</v>
      </c>
      <c r="Q96" s="1093">
        <v>0</v>
      </c>
      <c r="R96" s="381">
        <f t="shared" si="39"/>
        <v>0</v>
      </c>
      <c r="S96" s="382"/>
      <c r="T96" s="381"/>
      <c r="U96" s="624"/>
      <c r="V96" s="569">
        <f t="shared" si="36"/>
        <v>0</v>
      </c>
      <c r="W96" s="607"/>
      <c r="X96" s="383"/>
      <c r="Y96" s="607"/>
      <c r="Z96" s="383"/>
      <c r="AA96" s="607"/>
      <c r="AB96" s="718"/>
      <c r="AC96" s="335"/>
      <c r="AD96" s="383">
        <f>SUMIF('Asesorías AG anterior'!$B$7:$B$239,B96,'Asesorías AG anterior'!$I$7:$I$239)</f>
        <v>1E-3</v>
      </c>
      <c r="AE96" s="383">
        <f>SUMIF('Asesorías AG anterior'!$B$7:$B$239,B96,'Asesorías AG anterior'!$J$7:$J$239)</f>
        <v>0</v>
      </c>
      <c r="AF96" s="383">
        <f>SUMIF('Asesorías AG anterior'!$B$7:$B$239,B96,'Asesorías AG anterior'!$K$7:$K$239)</f>
        <v>1E-3</v>
      </c>
      <c r="AG96" s="383">
        <f>SUMIF('Asesorías AG anterior'!$B$7:$B$239,B96,'Asesorías AG anterior'!$L$7:$L$239)</f>
        <v>0</v>
      </c>
      <c r="AH96" s="383">
        <f>SUMIF('Asesorías AG anterior'!$B$7:$B$239,B96,'Asesorías AG anterior'!$M$7:$M$239)</f>
        <v>0</v>
      </c>
      <c r="AI96" s="383">
        <f>SUMIF('Asesorías AG anterior'!$B$7:$B$239,B96,'Asesorías AG anterior'!$N$7:$N$239)</f>
        <v>0</v>
      </c>
      <c r="AJ96" s="383">
        <f>SUMIF('Asesorías AG anterior'!$B$7:$B$239,B96,'Asesorías AG anterior'!$O$7:$O$239)</f>
        <v>1E-3</v>
      </c>
      <c r="AK96" s="383">
        <f>SUMIF('Asesorías AG anterior'!$B$7:$B$239,B96,'Asesorías AG anterior'!$P$7:$P$239)</f>
        <v>0</v>
      </c>
      <c r="AL96" s="383">
        <f>SUMIF('Asesorías AG anterior'!$B$7:$B$239,B96,'Asesorías AG anterior'!$Q$7:$Q$239)</f>
        <v>0</v>
      </c>
      <c r="AM96" s="383">
        <f>SUMIF('Asesorías AG anterior'!$B$7:$B$239,B96,'Asesorías AG anterior'!$R$7:$R$239)</f>
        <v>0</v>
      </c>
      <c r="AN96" s="383"/>
      <c r="AO96" s="383">
        <f>SUMIF('Asesorías AG anterior'!$B$7:$B$239,B96,'Asesorías AG anterior'!$T$7:$T$239)</f>
        <v>0</v>
      </c>
      <c r="AP96" s="383">
        <f>SUMIF('Asesorías AG anterior'!$B$7:$B$239,B96,'Asesorías AG anterior'!$U$7:$U$239)</f>
        <v>0</v>
      </c>
      <c r="AQ96" s="383">
        <f>SUMIF('Asesorías AG anterior'!$B$7:$B$239,B96,'Asesorías AG anterior'!$V$7:$V$239)</f>
        <v>0</v>
      </c>
      <c r="AR96" s="383">
        <f>SUMIF('Asesorías AG anterior'!$B$7:$B$239,B96,'Asesorías AG anterior'!$W$7:$W$239)</f>
        <v>0</v>
      </c>
      <c r="AS96" s="383">
        <f>SUMIF('Asesorías AG anterior'!$B$7:$B$239,B96,'Asesorías AG anterior'!$X$7:$X$239)</f>
        <v>0</v>
      </c>
      <c r="AT96" s="383">
        <f>SUMIF('Asesorías AG anterior'!$B$7:$B$239,B96,'Asesorías AG anterior'!$Y$7:$Y$239)</f>
        <v>0</v>
      </c>
      <c r="AU96" s="383">
        <f>SUMIF('Asesorías AG anterior'!$B$7:$B$239,B96,'Asesorías AG anterior'!$Z$7:$Z$239)</f>
        <v>0</v>
      </c>
      <c r="AV96" s="383">
        <f>SUMIF('Asesorías AG anterior'!$B$7:$B$239,B96,'Asesorías AG anterior'!$AA$7:$AA$239)</f>
        <v>0</v>
      </c>
      <c r="AW96" s="383">
        <f>SUMIF('Asesorías AG anterior'!$B$7:$B$239,B96,'Asesorías AG anterior'!$AB$7:$AB$239)</f>
        <v>0</v>
      </c>
      <c r="AX96" s="335"/>
      <c r="AZ96" s="1097" t="s">
        <v>295</v>
      </c>
    </row>
    <row r="97" spans="1:52" x14ac:dyDescent="0.2">
      <c r="A97" s="1184">
        <f t="shared" si="37"/>
        <v>91</v>
      </c>
      <c r="B97" s="1097" t="s">
        <v>74</v>
      </c>
      <c r="C97" s="1185">
        <f>_xlfn.XLOOKUP(B97,Códigos!$B$8:$B$406,Códigos!$A$8:$A$406,"Verificar",0)</f>
        <v>242</v>
      </c>
      <c r="D97" s="1114">
        <f>_xlfn.XLOOKUP(B97,'Consolidado Cobros'!$B$10:$B$312,'Consolidado Cobros'!$C$10:$C$312,"Verificar",0)</f>
        <v>71776283</v>
      </c>
      <c r="E97" s="1520">
        <f t="shared" si="30"/>
        <v>6</v>
      </c>
      <c r="F97" s="1517">
        <f t="shared" si="31"/>
        <v>0</v>
      </c>
      <c r="G97" s="1251">
        <f t="shared" si="32"/>
        <v>0</v>
      </c>
      <c r="H97" s="1240">
        <f t="shared" si="38"/>
        <v>0</v>
      </c>
      <c r="I97" s="1148"/>
      <c r="J97" s="383">
        <f t="shared" si="33"/>
        <v>0</v>
      </c>
      <c r="K97" s="712"/>
      <c r="L97" s="487">
        <f t="shared" si="34"/>
        <v>0</v>
      </c>
      <c r="M97" s="927"/>
      <c r="N97" s="672">
        <v>0</v>
      </c>
      <c r="O97" s="660"/>
      <c r="P97" s="1092">
        <f t="shared" si="35"/>
        <v>0</v>
      </c>
      <c r="Q97" s="1093">
        <v>0</v>
      </c>
      <c r="R97" s="381">
        <f t="shared" si="39"/>
        <v>0</v>
      </c>
      <c r="S97" s="382"/>
      <c r="T97" s="381"/>
      <c r="U97" s="624"/>
      <c r="V97" s="569">
        <f t="shared" si="36"/>
        <v>0</v>
      </c>
      <c r="W97" s="607"/>
      <c r="X97" s="383"/>
      <c r="Y97" s="607"/>
      <c r="Z97" s="383"/>
      <c r="AA97" s="607"/>
      <c r="AB97" s="718"/>
      <c r="AC97" s="335"/>
      <c r="AD97" s="383">
        <f>SUMIF('Asesorías AG anterior'!$B$7:$B$239,B97,'Asesorías AG anterior'!$I$7:$I$239)</f>
        <v>1E-3</v>
      </c>
      <c r="AE97" s="383">
        <f>SUMIF('Asesorías AG anterior'!$B$7:$B$239,B97,'Asesorías AG anterior'!$J$7:$J$239)</f>
        <v>0</v>
      </c>
      <c r="AF97" s="383">
        <f>SUMIF('Asesorías AG anterior'!$B$7:$B$239,B97,'Asesorías AG anterior'!$K$7:$K$239)</f>
        <v>1E-3</v>
      </c>
      <c r="AG97" s="383">
        <f>SUMIF('Asesorías AG anterior'!$B$7:$B$239,B97,'Asesorías AG anterior'!$L$7:$L$239)</f>
        <v>0</v>
      </c>
      <c r="AH97" s="383">
        <f>SUMIF('Asesorías AG anterior'!$B$7:$B$239,B97,'Asesorías AG anterior'!$M$7:$M$239)</f>
        <v>0</v>
      </c>
      <c r="AI97" s="383">
        <f>SUMIF('Asesorías AG anterior'!$B$7:$B$239,B97,'Asesorías AG anterior'!$N$7:$N$239)</f>
        <v>0</v>
      </c>
      <c r="AJ97" s="383">
        <f>SUMIF('Asesorías AG anterior'!$B$7:$B$239,B97,'Asesorías AG anterior'!$O$7:$O$239)</f>
        <v>1E-3</v>
      </c>
      <c r="AK97" s="383">
        <f>SUMIF('Asesorías AG anterior'!$B$7:$B$239,B97,'Asesorías AG anterior'!$P$7:$P$239)</f>
        <v>0</v>
      </c>
      <c r="AL97" s="383">
        <f>SUMIF('Asesorías AG anterior'!$B$7:$B$239,B97,'Asesorías AG anterior'!$Q$7:$Q$239)</f>
        <v>0</v>
      </c>
      <c r="AM97" s="383">
        <f>SUMIF('Asesorías AG anterior'!$B$7:$B$239,B97,'Asesorías AG anterior'!$R$7:$R$239)</f>
        <v>0</v>
      </c>
      <c r="AN97" s="383"/>
      <c r="AO97" s="383">
        <f>SUMIF('Asesorías AG anterior'!$B$7:$B$239,B97,'Asesorías AG anterior'!$T$7:$T$239)</f>
        <v>0</v>
      </c>
      <c r="AP97" s="383">
        <f>SUMIF('Asesorías AG anterior'!$B$7:$B$239,B97,'Asesorías AG anterior'!$U$7:$U$239)</f>
        <v>0</v>
      </c>
      <c r="AQ97" s="383">
        <f>SUMIF('Asesorías AG anterior'!$B$7:$B$239,B97,'Asesorías AG anterior'!$V$7:$V$239)</f>
        <v>0</v>
      </c>
      <c r="AR97" s="383">
        <f>SUMIF('Asesorías AG anterior'!$B$7:$B$239,B97,'Asesorías AG anterior'!$W$7:$W$239)</f>
        <v>0</v>
      </c>
      <c r="AS97" s="383">
        <f>SUMIF('Asesorías AG anterior'!$B$7:$B$239,B97,'Asesorías AG anterior'!$X$7:$X$239)</f>
        <v>0</v>
      </c>
      <c r="AT97" s="383">
        <f>SUMIF('Asesorías AG anterior'!$B$7:$B$239,B97,'Asesorías AG anterior'!$Y$7:$Y$239)</f>
        <v>0</v>
      </c>
      <c r="AU97" s="383">
        <f>SUMIF('Asesorías AG anterior'!$B$7:$B$239,B97,'Asesorías AG anterior'!$Z$7:$Z$239)</f>
        <v>0</v>
      </c>
      <c r="AV97" s="383">
        <f>SUMIF('Asesorías AG anterior'!$B$7:$B$239,B97,'Asesorías AG anterior'!$AA$7:$AA$239)</f>
        <v>0</v>
      </c>
      <c r="AW97" s="383">
        <f>SUMIF('Asesorías AG anterior'!$B$7:$B$239,B97,'Asesorías AG anterior'!$AB$7:$AB$239)</f>
        <v>0</v>
      </c>
      <c r="AX97" s="335"/>
      <c r="AZ97" s="1097" t="s">
        <v>74</v>
      </c>
    </row>
    <row r="98" spans="1:52" x14ac:dyDescent="0.2">
      <c r="A98" s="1184">
        <f t="shared" si="37"/>
        <v>92</v>
      </c>
      <c r="B98" s="1201" t="s">
        <v>75</v>
      </c>
      <c r="C98" s="1185">
        <f>_xlfn.XLOOKUP(B98,Códigos!$B$8:$B$406,Códigos!$A$8:$A$406,"Verificar",0)</f>
        <v>248</v>
      </c>
      <c r="D98" s="1114">
        <f>_xlfn.XLOOKUP(B98,'Consolidado Cobros'!$B$10:$B$312,'Consolidado Cobros'!$C$10:$C$312,"Verificar",0)</f>
        <v>32408192</v>
      </c>
      <c r="E98" s="1520">
        <f t="shared" si="30"/>
        <v>5</v>
      </c>
      <c r="F98" s="1517">
        <f t="shared" si="31"/>
        <v>256388.66474694616</v>
      </c>
      <c r="G98" s="1251">
        <f t="shared" si="32"/>
        <v>0</v>
      </c>
      <c r="H98" s="1240">
        <f t="shared" si="38"/>
        <v>256388.66474694616</v>
      </c>
      <c r="I98" s="1148">
        <v>3</v>
      </c>
      <c r="J98" s="383">
        <f t="shared" si="33"/>
        <v>256388.66474694616</v>
      </c>
      <c r="K98" s="712"/>
      <c r="L98" s="487">
        <f t="shared" si="34"/>
        <v>0</v>
      </c>
      <c r="M98" s="927"/>
      <c r="N98" s="672">
        <v>0</v>
      </c>
      <c r="O98" s="660"/>
      <c r="P98" s="1092">
        <f t="shared" si="35"/>
        <v>0</v>
      </c>
      <c r="Q98" s="1093">
        <v>0</v>
      </c>
      <c r="R98" s="381">
        <f t="shared" si="39"/>
        <v>0</v>
      </c>
      <c r="S98" s="382"/>
      <c r="T98" s="381"/>
      <c r="U98" s="624"/>
      <c r="V98" s="569">
        <f t="shared" si="36"/>
        <v>0</v>
      </c>
      <c r="W98" s="607"/>
      <c r="X98" s="383"/>
      <c r="Y98" s="607"/>
      <c r="Z98" s="383"/>
      <c r="AA98" s="607"/>
      <c r="AB98" s="718"/>
      <c r="AC98" s="335"/>
      <c r="AD98" s="383">
        <f>SUMIF('Asesorías AG anterior'!$B$7:$B$239,B98,'Asesorías AG anterior'!$I$7:$I$239)</f>
        <v>3</v>
      </c>
      <c r="AE98" s="383">
        <f>SUMIF('Asesorías AG anterior'!$B$7:$B$239,B98,'Asesorías AG anterior'!$J$7:$J$239)</f>
        <v>243947.3499019469</v>
      </c>
      <c r="AF98" s="383">
        <f>SUMIF('Asesorías AG anterior'!$B$7:$B$239,B98,'Asesorías AG anterior'!$K$7:$K$239)</f>
        <v>1E-3</v>
      </c>
      <c r="AG98" s="383">
        <f>SUMIF('Asesorías AG anterior'!$B$7:$B$239,B98,'Asesorías AG anterior'!$L$7:$L$239)</f>
        <v>0</v>
      </c>
      <c r="AH98" s="383">
        <f>SUMIF('Asesorías AG anterior'!$B$7:$B$239,B98,'Asesorías AG anterior'!$M$7:$M$239)</f>
        <v>0</v>
      </c>
      <c r="AI98" s="383">
        <f>SUMIF('Asesorías AG anterior'!$B$7:$B$239,B98,'Asesorías AG anterior'!$N$7:$N$239)</f>
        <v>0</v>
      </c>
      <c r="AJ98" s="383">
        <f>SUMIF('Asesorías AG anterior'!$B$7:$B$239,B98,'Asesorías AG anterior'!$O$7:$O$239)</f>
        <v>0</v>
      </c>
      <c r="AK98" s="383">
        <f>SUMIF('Asesorías AG anterior'!$B$7:$B$239,B98,'Asesorías AG anterior'!$P$7:$P$239)</f>
        <v>70000</v>
      </c>
      <c r="AL98" s="383">
        <f>SUMIF('Asesorías AG anterior'!$B$7:$B$239,B98,'Asesorías AG anterior'!$Q$7:$Q$239)</f>
        <v>0</v>
      </c>
      <c r="AM98" s="383">
        <f>SUMIF('Asesorías AG anterior'!$B$7:$B$239,B98,'Asesorías AG anterior'!$R$7:$R$239)</f>
        <v>0</v>
      </c>
      <c r="AN98" s="383"/>
      <c r="AO98" s="383">
        <f>SUMIF('Asesorías AG anterior'!$B$7:$B$239,B98,'Asesorías AG anterior'!$T$7:$T$239)</f>
        <v>0</v>
      </c>
      <c r="AP98" s="383">
        <f>SUMIF('Asesorías AG anterior'!$B$7:$B$239,B98,'Asesorías AG anterior'!$U$7:$U$239)</f>
        <v>0</v>
      </c>
      <c r="AQ98" s="383">
        <f>SUMIF('Asesorías AG anterior'!$B$7:$B$239,B98,'Asesorías AG anterior'!$V$7:$V$239)</f>
        <v>0</v>
      </c>
      <c r="AR98" s="383">
        <f>SUMIF('Asesorías AG anterior'!$B$7:$B$239,B98,'Asesorías AG anterior'!$W$7:$W$239)</f>
        <v>0</v>
      </c>
      <c r="AS98" s="383">
        <f>SUMIF('Asesorías AG anterior'!$B$7:$B$239,B98,'Asesorías AG anterior'!$X$7:$X$239)</f>
        <v>0</v>
      </c>
      <c r="AT98" s="383">
        <f>SUMIF('Asesorías AG anterior'!$B$7:$B$239,B98,'Asesorías AG anterior'!$Y$7:$Y$239)</f>
        <v>0</v>
      </c>
      <c r="AU98" s="383">
        <f>SUMIF('Asesorías AG anterior'!$B$7:$B$239,B98,'Asesorías AG anterior'!$Z$7:$Z$239)</f>
        <v>0</v>
      </c>
      <c r="AV98" s="383">
        <f>SUMIF('Asesorías AG anterior'!$B$7:$B$239,B98,'Asesorías AG anterior'!$AA$7:$AA$239)</f>
        <v>0</v>
      </c>
      <c r="AW98" s="383">
        <f>SUMIF('Asesorías AG anterior'!$B$7:$B$239,B98,'Asesorías AG anterior'!$AB$7:$AB$239)</f>
        <v>0</v>
      </c>
      <c r="AX98" s="335"/>
      <c r="AZ98" s="1201" t="s">
        <v>75</v>
      </c>
    </row>
    <row r="99" spans="1:52" x14ac:dyDescent="0.2">
      <c r="A99" s="1184">
        <f t="shared" si="37"/>
        <v>93</v>
      </c>
      <c r="B99" s="1097" t="s">
        <v>76</v>
      </c>
      <c r="C99" s="1185">
        <f>_xlfn.XLOOKUP(B99,Códigos!$B$8:$B$406,Códigos!$A$8:$A$406,"Verificar",0)</f>
        <v>118</v>
      </c>
      <c r="D99" s="1114">
        <f>_xlfn.XLOOKUP(B99,'Consolidado Cobros'!$B$10:$B$312,'Consolidado Cobros'!$C$10:$C$312,"Verificar",0)</f>
        <v>1040182444</v>
      </c>
      <c r="E99" s="1520">
        <f t="shared" si="30"/>
        <v>3</v>
      </c>
      <c r="F99" s="1517">
        <f t="shared" si="31"/>
        <v>0</v>
      </c>
      <c r="G99" s="1251">
        <f t="shared" si="32"/>
        <v>0</v>
      </c>
      <c r="H99" s="1240">
        <f t="shared" si="38"/>
        <v>0</v>
      </c>
      <c r="I99" s="1148"/>
      <c r="J99" s="383">
        <f t="shared" si="33"/>
        <v>0</v>
      </c>
      <c r="K99" s="712"/>
      <c r="L99" s="487">
        <f t="shared" si="34"/>
        <v>0</v>
      </c>
      <c r="M99" s="927"/>
      <c r="N99" s="672">
        <v>0</v>
      </c>
      <c r="O99" s="660"/>
      <c r="P99" s="1092">
        <f t="shared" si="35"/>
        <v>0</v>
      </c>
      <c r="Q99" s="1093">
        <v>0</v>
      </c>
      <c r="R99" s="381">
        <f t="shared" si="39"/>
        <v>0</v>
      </c>
      <c r="S99" s="382"/>
      <c r="T99" s="381"/>
      <c r="U99" s="624"/>
      <c r="V99" s="569">
        <f t="shared" si="36"/>
        <v>0</v>
      </c>
      <c r="W99" s="607"/>
      <c r="X99" s="383"/>
      <c r="Y99" s="607"/>
      <c r="Z99" s="383"/>
      <c r="AA99" s="607"/>
      <c r="AB99" s="718"/>
      <c r="AC99" s="335"/>
      <c r="AD99" s="383">
        <f>SUMIF('Asesorías AG anterior'!$B$7:$B$239,B99,'Asesorías AG anterior'!$I$7:$I$239)</f>
        <v>1E-3</v>
      </c>
      <c r="AE99" s="383">
        <f>SUMIF('Asesorías AG anterior'!$B$7:$B$239,B99,'Asesorías AG anterior'!$J$7:$J$239)</f>
        <v>0</v>
      </c>
      <c r="AF99" s="383">
        <f>SUMIF('Asesorías AG anterior'!$B$7:$B$239,B99,'Asesorías AG anterior'!$K$7:$K$239)</f>
        <v>1E-3</v>
      </c>
      <c r="AG99" s="383">
        <f>SUMIF('Asesorías AG anterior'!$B$7:$B$239,B99,'Asesorías AG anterior'!$L$7:$L$239)</f>
        <v>0</v>
      </c>
      <c r="AH99" s="383">
        <f>SUMIF('Asesorías AG anterior'!$B$7:$B$239,B99,'Asesorías AG anterior'!$M$7:$M$239)</f>
        <v>0</v>
      </c>
      <c r="AI99" s="383">
        <f>SUMIF('Asesorías AG anterior'!$B$7:$B$239,B99,'Asesorías AG anterior'!$N$7:$N$239)</f>
        <v>0</v>
      </c>
      <c r="AJ99" s="383">
        <f>SUMIF('Asesorías AG anterior'!$B$7:$B$239,B99,'Asesorías AG anterior'!$O$7:$O$239)</f>
        <v>1E-3</v>
      </c>
      <c r="AK99" s="383">
        <f>SUMIF('Asesorías AG anterior'!$B$7:$B$239,B99,'Asesorías AG anterior'!$P$7:$P$239)</f>
        <v>0</v>
      </c>
      <c r="AL99" s="383">
        <f>SUMIF('Asesorías AG anterior'!$B$7:$B$239,B99,'Asesorías AG anterior'!$Q$7:$Q$239)</f>
        <v>0</v>
      </c>
      <c r="AM99" s="383">
        <f>SUMIF('Asesorías AG anterior'!$B$7:$B$239,B99,'Asesorías AG anterior'!$R$7:$R$239)</f>
        <v>0</v>
      </c>
      <c r="AN99" s="383"/>
      <c r="AO99" s="383">
        <f>SUMIF('Asesorías AG anterior'!$B$7:$B$239,B99,'Asesorías AG anterior'!$T$7:$T$239)</f>
        <v>0</v>
      </c>
      <c r="AP99" s="383">
        <f>SUMIF('Asesorías AG anterior'!$B$7:$B$239,B99,'Asesorías AG anterior'!$U$7:$U$239)</f>
        <v>0</v>
      </c>
      <c r="AQ99" s="383">
        <f>SUMIF('Asesorías AG anterior'!$B$7:$B$239,B99,'Asesorías AG anterior'!$V$7:$V$239)</f>
        <v>0</v>
      </c>
      <c r="AR99" s="383">
        <f>SUMIF('Asesorías AG anterior'!$B$7:$B$239,B99,'Asesorías AG anterior'!$W$7:$W$239)</f>
        <v>0</v>
      </c>
      <c r="AS99" s="383">
        <f>SUMIF('Asesorías AG anterior'!$B$7:$B$239,B99,'Asesorías AG anterior'!$X$7:$X$239)</f>
        <v>0</v>
      </c>
      <c r="AT99" s="383">
        <f>SUMIF('Asesorías AG anterior'!$B$7:$B$239,B99,'Asesorías AG anterior'!$Y$7:$Y$239)</f>
        <v>0</v>
      </c>
      <c r="AU99" s="383">
        <f>SUMIF('Asesorías AG anterior'!$B$7:$B$239,B99,'Asesorías AG anterior'!$Z$7:$Z$239)</f>
        <v>0</v>
      </c>
      <c r="AV99" s="383">
        <f>SUMIF('Asesorías AG anterior'!$B$7:$B$239,B99,'Asesorías AG anterior'!$AA$7:$AA$239)</f>
        <v>0</v>
      </c>
      <c r="AW99" s="383">
        <f>SUMIF('Asesorías AG anterior'!$B$7:$B$239,B99,'Asesorías AG anterior'!$AB$7:$AB$239)</f>
        <v>0</v>
      </c>
      <c r="AX99" s="335"/>
      <c r="AZ99" s="1097" t="s">
        <v>76</v>
      </c>
    </row>
    <row r="100" spans="1:52" x14ac:dyDescent="0.2">
      <c r="A100" s="1184">
        <f t="shared" si="37"/>
        <v>94</v>
      </c>
      <c r="B100" s="1097" t="s">
        <v>77</v>
      </c>
      <c r="C100" s="1185">
        <f>_xlfn.XLOOKUP(B100,Códigos!$B$8:$B$406,Códigos!$A$8:$A$406,"Verificar",0)</f>
        <v>275</v>
      </c>
      <c r="D100" s="1114">
        <f>_xlfn.XLOOKUP(B100,'Consolidado Cobros'!$B$10:$B$312,'Consolidado Cobros'!$C$10:$C$312,"Verificar",0)</f>
        <v>71557380</v>
      </c>
      <c r="E100" s="1520">
        <f t="shared" si="30"/>
        <v>3</v>
      </c>
      <c r="F100" s="1517">
        <f t="shared" si="31"/>
        <v>0</v>
      </c>
      <c r="G100" s="1251">
        <f t="shared" si="32"/>
        <v>0</v>
      </c>
      <c r="H100" s="1240">
        <f t="shared" si="38"/>
        <v>0</v>
      </c>
      <c r="I100" s="1148"/>
      <c r="J100" s="383">
        <f t="shared" si="33"/>
        <v>0</v>
      </c>
      <c r="K100" s="712"/>
      <c r="L100" s="487">
        <f t="shared" si="34"/>
        <v>0</v>
      </c>
      <c r="M100" s="927"/>
      <c r="N100" s="672">
        <v>0</v>
      </c>
      <c r="O100" s="660"/>
      <c r="P100" s="1092">
        <f t="shared" si="35"/>
        <v>0</v>
      </c>
      <c r="Q100" s="1093">
        <v>0</v>
      </c>
      <c r="R100" s="381">
        <f t="shared" si="39"/>
        <v>0</v>
      </c>
      <c r="S100" s="382"/>
      <c r="T100" s="381"/>
      <c r="U100" s="624"/>
      <c r="V100" s="569">
        <f t="shared" si="36"/>
        <v>0</v>
      </c>
      <c r="W100" s="607"/>
      <c r="X100" s="383"/>
      <c r="Y100" s="607"/>
      <c r="Z100" s="383"/>
      <c r="AA100" s="607"/>
      <c r="AB100" s="718"/>
      <c r="AC100" s="335"/>
      <c r="AD100" s="383">
        <f>SUMIF('Asesorías AG anterior'!$B$7:$B$239,B100,'Asesorías AG anterior'!$I$7:$I$239)</f>
        <v>1E-3</v>
      </c>
      <c r="AE100" s="383">
        <f>SUMIF('Asesorías AG anterior'!$B$7:$B$239,B100,'Asesorías AG anterior'!$J$7:$J$239)</f>
        <v>0</v>
      </c>
      <c r="AF100" s="383">
        <f>SUMIF('Asesorías AG anterior'!$B$7:$B$239,B100,'Asesorías AG anterior'!$K$7:$K$239)</f>
        <v>1E-3</v>
      </c>
      <c r="AG100" s="383">
        <f>SUMIF('Asesorías AG anterior'!$B$7:$B$239,B100,'Asesorías AG anterior'!$L$7:$L$239)</f>
        <v>0</v>
      </c>
      <c r="AH100" s="383">
        <f>SUMIF('Asesorías AG anterior'!$B$7:$B$239,B100,'Asesorías AG anterior'!$M$7:$M$239)</f>
        <v>0</v>
      </c>
      <c r="AI100" s="383">
        <f>SUMIF('Asesorías AG anterior'!$B$7:$B$239,B100,'Asesorías AG anterior'!$N$7:$N$239)</f>
        <v>0</v>
      </c>
      <c r="AJ100" s="383">
        <f>SUMIF('Asesorías AG anterior'!$B$7:$B$239,B100,'Asesorías AG anterior'!$O$7:$O$239)</f>
        <v>1E-3</v>
      </c>
      <c r="AK100" s="383">
        <f>SUMIF('Asesorías AG anterior'!$B$7:$B$239,B100,'Asesorías AG anterior'!$P$7:$P$239)</f>
        <v>0</v>
      </c>
      <c r="AL100" s="383">
        <f>SUMIF('Asesorías AG anterior'!$B$7:$B$239,B100,'Asesorías AG anterior'!$Q$7:$Q$239)</f>
        <v>0</v>
      </c>
      <c r="AM100" s="383">
        <f>SUMIF('Asesorías AG anterior'!$B$7:$B$239,B100,'Asesorías AG anterior'!$R$7:$R$239)</f>
        <v>0</v>
      </c>
      <c r="AN100" s="383"/>
      <c r="AO100" s="383">
        <f>SUMIF('Asesorías AG anterior'!$B$7:$B$239,B100,'Asesorías AG anterior'!$T$7:$T$239)</f>
        <v>0</v>
      </c>
      <c r="AP100" s="383">
        <f>SUMIF('Asesorías AG anterior'!$B$7:$B$239,B100,'Asesorías AG anterior'!$U$7:$U$239)</f>
        <v>0</v>
      </c>
      <c r="AQ100" s="383">
        <f>SUMIF('Asesorías AG anterior'!$B$7:$B$239,B100,'Asesorías AG anterior'!$V$7:$V$239)</f>
        <v>0</v>
      </c>
      <c r="AR100" s="383">
        <f>SUMIF('Asesorías AG anterior'!$B$7:$B$239,B100,'Asesorías AG anterior'!$W$7:$W$239)</f>
        <v>0</v>
      </c>
      <c r="AS100" s="383">
        <f>SUMIF('Asesorías AG anterior'!$B$7:$B$239,B100,'Asesorías AG anterior'!$X$7:$X$239)</f>
        <v>0</v>
      </c>
      <c r="AT100" s="383">
        <f>SUMIF('Asesorías AG anterior'!$B$7:$B$239,B100,'Asesorías AG anterior'!$Y$7:$Y$239)</f>
        <v>0</v>
      </c>
      <c r="AU100" s="383">
        <f>SUMIF('Asesorías AG anterior'!$B$7:$B$239,B100,'Asesorías AG anterior'!$Z$7:$Z$239)</f>
        <v>0</v>
      </c>
      <c r="AV100" s="383">
        <f>SUMIF('Asesorías AG anterior'!$B$7:$B$239,B100,'Asesorías AG anterior'!$AA$7:$AA$239)</f>
        <v>0</v>
      </c>
      <c r="AW100" s="383">
        <f>SUMIF('Asesorías AG anterior'!$B$7:$B$239,B100,'Asesorías AG anterior'!$AB$7:$AB$239)</f>
        <v>0</v>
      </c>
      <c r="AX100" s="335"/>
      <c r="AZ100" s="1097" t="s">
        <v>77</v>
      </c>
    </row>
    <row r="101" spans="1:52" x14ac:dyDescent="0.2">
      <c r="A101" s="1184">
        <f t="shared" si="37"/>
        <v>95</v>
      </c>
      <c r="B101" s="1097" t="s">
        <v>79</v>
      </c>
      <c r="C101" s="1185">
        <f>_xlfn.XLOOKUP(B101,Códigos!$B$8:$B$406,Códigos!$A$8:$A$406,"Verificar",0)</f>
        <v>119</v>
      </c>
      <c r="D101" s="1114">
        <f>_xlfn.XLOOKUP(B101,'Consolidado Cobros'!$B$10:$B$312,'Consolidado Cobros'!$C$10:$C$312,"Verificar",0)</f>
        <v>43166841</v>
      </c>
      <c r="E101" s="1520">
        <f t="shared" si="30"/>
        <v>7</v>
      </c>
      <c r="F101" s="1517">
        <f t="shared" si="31"/>
        <v>0</v>
      </c>
      <c r="G101" s="1251">
        <f t="shared" si="32"/>
        <v>0</v>
      </c>
      <c r="H101" s="1240">
        <f t="shared" si="38"/>
        <v>0</v>
      </c>
      <c r="I101" s="1148"/>
      <c r="J101" s="383">
        <f t="shared" si="33"/>
        <v>0</v>
      </c>
      <c r="K101" s="712"/>
      <c r="L101" s="487">
        <f t="shared" si="34"/>
        <v>0</v>
      </c>
      <c r="M101" s="927"/>
      <c r="N101" s="672">
        <v>0</v>
      </c>
      <c r="O101" s="660"/>
      <c r="P101" s="1092">
        <f t="shared" si="35"/>
        <v>0</v>
      </c>
      <c r="Q101" s="1093">
        <v>0</v>
      </c>
      <c r="R101" s="381">
        <f t="shared" si="39"/>
        <v>0</v>
      </c>
      <c r="S101" s="382"/>
      <c r="T101" s="381"/>
      <c r="U101" s="624"/>
      <c r="V101" s="569">
        <f t="shared" si="36"/>
        <v>0</v>
      </c>
      <c r="W101" s="607"/>
      <c r="X101" s="383"/>
      <c r="Y101" s="607"/>
      <c r="Z101" s="383"/>
      <c r="AA101" s="607"/>
      <c r="AB101" s="718"/>
      <c r="AC101" s="335"/>
      <c r="AD101" s="383">
        <f>SUMIF('Asesorías AG anterior'!$B$7:$B$239,B101,'Asesorías AG anterior'!$I$7:$I$239)</f>
        <v>1E-3</v>
      </c>
      <c r="AE101" s="383">
        <f>SUMIF('Asesorías AG anterior'!$B$7:$B$239,B101,'Asesorías AG anterior'!$J$7:$J$239)</f>
        <v>0</v>
      </c>
      <c r="AF101" s="383">
        <f>SUMIF('Asesorías AG anterior'!$B$7:$B$239,B101,'Asesorías AG anterior'!$K$7:$K$239)</f>
        <v>1E-3</v>
      </c>
      <c r="AG101" s="383">
        <f>SUMIF('Asesorías AG anterior'!$B$7:$B$239,B101,'Asesorías AG anterior'!$L$7:$L$239)</f>
        <v>0</v>
      </c>
      <c r="AH101" s="383">
        <f>SUMIF('Asesorías AG anterior'!$B$7:$B$239,B101,'Asesorías AG anterior'!$M$7:$M$239)</f>
        <v>0</v>
      </c>
      <c r="AI101" s="383">
        <f>SUMIF('Asesorías AG anterior'!$B$7:$B$239,B101,'Asesorías AG anterior'!$N$7:$N$239)</f>
        <v>0</v>
      </c>
      <c r="AJ101" s="383">
        <f>SUMIF('Asesorías AG anterior'!$B$7:$B$239,B101,'Asesorías AG anterior'!$O$7:$O$239)</f>
        <v>1E-3</v>
      </c>
      <c r="AK101" s="383">
        <f>SUMIF('Asesorías AG anterior'!$B$7:$B$239,B101,'Asesorías AG anterior'!$P$7:$P$239)</f>
        <v>0</v>
      </c>
      <c r="AL101" s="383">
        <f>SUMIF('Asesorías AG anterior'!$B$7:$B$239,B101,'Asesorías AG anterior'!$Q$7:$Q$239)</f>
        <v>0</v>
      </c>
      <c r="AM101" s="383">
        <f>SUMIF('Asesorías AG anterior'!$B$7:$B$239,B101,'Asesorías AG anterior'!$R$7:$R$239)</f>
        <v>0</v>
      </c>
      <c r="AN101" s="383"/>
      <c r="AO101" s="383">
        <f>SUMIF('Asesorías AG anterior'!$B$7:$B$239,B101,'Asesorías AG anterior'!$T$7:$T$239)</f>
        <v>0</v>
      </c>
      <c r="AP101" s="383">
        <f>SUMIF('Asesorías AG anterior'!$B$7:$B$239,B101,'Asesorías AG anterior'!$U$7:$U$239)</f>
        <v>0</v>
      </c>
      <c r="AQ101" s="383">
        <f>SUMIF('Asesorías AG anterior'!$B$7:$B$239,B101,'Asesorías AG anterior'!$V$7:$V$239)</f>
        <v>0</v>
      </c>
      <c r="AR101" s="383">
        <f>SUMIF('Asesorías AG anterior'!$B$7:$B$239,B101,'Asesorías AG anterior'!$W$7:$W$239)</f>
        <v>0</v>
      </c>
      <c r="AS101" s="383">
        <f>SUMIF('Asesorías AG anterior'!$B$7:$B$239,B101,'Asesorías AG anterior'!$X$7:$X$239)</f>
        <v>0</v>
      </c>
      <c r="AT101" s="383">
        <f>SUMIF('Asesorías AG anterior'!$B$7:$B$239,B101,'Asesorías AG anterior'!$Y$7:$Y$239)</f>
        <v>0</v>
      </c>
      <c r="AU101" s="383">
        <f>SUMIF('Asesorías AG anterior'!$B$7:$B$239,B101,'Asesorías AG anterior'!$Z$7:$Z$239)</f>
        <v>0</v>
      </c>
      <c r="AV101" s="383">
        <f>SUMIF('Asesorías AG anterior'!$B$7:$B$239,B101,'Asesorías AG anterior'!$AA$7:$AA$239)</f>
        <v>0</v>
      </c>
      <c r="AW101" s="383">
        <f>SUMIF('Asesorías AG anterior'!$B$7:$B$239,B101,'Asesorías AG anterior'!$AB$7:$AB$239)</f>
        <v>0</v>
      </c>
      <c r="AX101" s="335"/>
      <c r="AZ101" s="1097" t="s">
        <v>79</v>
      </c>
    </row>
    <row r="102" spans="1:52" ht="25.5" x14ac:dyDescent="0.2">
      <c r="A102" s="1184">
        <f t="shared" si="37"/>
        <v>96</v>
      </c>
      <c r="B102" s="1137" t="s">
        <v>177</v>
      </c>
      <c r="C102" s="1185">
        <f>_xlfn.XLOOKUP(B102,Códigos!$B$8:$B$406,Códigos!$A$8:$A$406,"Verificar",0)</f>
        <v>15</v>
      </c>
      <c r="D102" s="1114">
        <f>_xlfn.XLOOKUP(B102,'Consolidado Cobros'!$B$10:$B$312,'Consolidado Cobros'!$C$10:$C$312,"Verificar",0)</f>
        <v>890921312</v>
      </c>
      <c r="E102" s="1520">
        <f t="shared" si="30"/>
        <v>4</v>
      </c>
      <c r="F102" s="1517">
        <f t="shared" si="31"/>
        <v>0</v>
      </c>
      <c r="G102" s="1251">
        <f t="shared" si="32"/>
        <v>0</v>
      </c>
      <c r="H102" s="1240">
        <f t="shared" si="38"/>
        <v>0</v>
      </c>
      <c r="I102" s="1148"/>
      <c r="J102" s="383">
        <f t="shared" si="33"/>
        <v>0</v>
      </c>
      <c r="K102" s="712"/>
      <c r="L102" s="487">
        <f t="shared" si="34"/>
        <v>0</v>
      </c>
      <c r="M102" s="927"/>
      <c r="N102" s="672">
        <v>0</v>
      </c>
      <c r="O102" s="660"/>
      <c r="P102" s="1092">
        <f t="shared" si="35"/>
        <v>0</v>
      </c>
      <c r="Q102" s="1093">
        <v>0</v>
      </c>
      <c r="R102" s="381">
        <f t="shared" si="39"/>
        <v>0</v>
      </c>
      <c r="S102" s="382"/>
      <c r="T102" s="381"/>
      <c r="U102" s="624"/>
      <c r="V102" s="569">
        <f t="shared" si="36"/>
        <v>0</v>
      </c>
      <c r="W102" s="607"/>
      <c r="X102" s="383"/>
      <c r="Y102" s="607"/>
      <c r="Z102" s="383"/>
      <c r="AA102" s="607"/>
      <c r="AB102" s="718"/>
      <c r="AC102" s="335"/>
      <c r="AD102" s="383">
        <f>SUMIF('Asesorías AG anterior'!$B$7:$B$239,B102,'Asesorías AG anterior'!$I$7:$I$239)</f>
        <v>1E-3</v>
      </c>
      <c r="AE102" s="383">
        <f>SUMIF('Asesorías AG anterior'!$B$7:$B$239,B102,'Asesorías AG anterior'!$J$7:$J$239)</f>
        <v>0</v>
      </c>
      <c r="AF102" s="383">
        <f>SUMIF('Asesorías AG anterior'!$B$7:$B$239,B102,'Asesorías AG anterior'!$K$7:$K$239)</f>
        <v>1E-3</v>
      </c>
      <c r="AG102" s="383">
        <f>SUMIF('Asesorías AG anterior'!$B$7:$B$239,B102,'Asesorías AG anterior'!$L$7:$L$239)</f>
        <v>0</v>
      </c>
      <c r="AH102" s="383">
        <f>SUMIF('Asesorías AG anterior'!$B$7:$B$239,B102,'Asesorías AG anterior'!$M$7:$M$239)</f>
        <v>0</v>
      </c>
      <c r="AI102" s="383">
        <f>SUMIF('Asesorías AG anterior'!$B$7:$B$239,B102,'Asesorías AG anterior'!$N$7:$N$239)</f>
        <v>0</v>
      </c>
      <c r="AJ102" s="383">
        <f>SUMIF('Asesorías AG anterior'!$B$7:$B$239,B102,'Asesorías AG anterior'!$O$7:$O$239)</f>
        <v>1E-3</v>
      </c>
      <c r="AK102" s="383">
        <f>SUMIF('Asesorías AG anterior'!$B$7:$B$239,B102,'Asesorías AG anterior'!$P$7:$P$239)</f>
        <v>0</v>
      </c>
      <c r="AL102" s="383">
        <f>SUMIF('Asesorías AG anterior'!$B$7:$B$239,B102,'Asesorías AG anterior'!$Q$7:$Q$239)</f>
        <v>0</v>
      </c>
      <c r="AM102" s="383">
        <f>SUMIF('Asesorías AG anterior'!$B$7:$B$239,B102,'Asesorías AG anterior'!$R$7:$R$239)</f>
        <v>0</v>
      </c>
      <c r="AN102" s="383"/>
      <c r="AO102" s="383">
        <f>SUMIF('Asesorías AG anterior'!$B$7:$B$239,B102,'Asesorías AG anterior'!$T$7:$T$239)</f>
        <v>0</v>
      </c>
      <c r="AP102" s="383">
        <f>SUMIF('Asesorías AG anterior'!$B$7:$B$239,B102,'Asesorías AG anterior'!$U$7:$U$239)</f>
        <v>0</v>
      </c>
      <c r="AQ102" s="383">
        <f>SUMIF('Asesorías AG anterior'!$B$7:$B$239,B102,'Asesorías AG anterior'!$V$7:$V$239)</f>
        <v>0</v>
      </c>
      <c r="AR102" s="383">
        <f>SUMIF('Asesorías AG anterior'!$B$7:$B$239,B102,'Asesorías AG anterior'!$W$7:$W$239)</f>
        <v>0</v>
      </c>
      <c r="AS102" s="383">
        <f>SUMIF('Asesorías AG anterior'!$B$7:$B$239,B102,'Asesorías AG anterior'!$X$7:$X$239)</f>
        <v>0</v>
      </c>
      <c r="AT102" s="383">
        <f>SUMIF('Asesorías AG anterior'!$B$7:$B$239,B102,'Asesorías AG anterior'!$Y$7:$Y$239)</f>
        <v>0</v>
      </c>
      <c r="AU102" s="383">
        <f>SUMIF('Asesorías AG anterior'!$B$7:$B$239,B102,'Asesorías AG anterior'!$Z$7:$Z$239)</f>
        <v>0</v>
      </c>
      <c r="AV102" s="383">
        <f>SUMIF('Asesorías AG anterior'!$B$7:$B$239,B102,'Asesorías AG anterior'!$AA$7:$AA$239)</f>
        <v>0</v>
      </c>
      <c r="AW102" s="383">
        <f>SUMIF('Asesorías AG anterior'!$B$7:$B$239,B102,'Asesorías AG anterior'!$AB$7:$AB$239)</f>
        <v>0</v>
      </c>
      <c r="AX102" s="335"/>
      <c r="AZ102" s="1137" t="s">
        <v>177</v>
      </c>
    </row>
    <row r="103" spans="1:52" x14ac:dyDescent="0.2">
      <c r="A103" s="1184">
        <f t="shared" si="37"/>
        <v>97</v>
      </c>
      <c r="B103" s="1137" t="s">
        <v>363</v>
      </c>
      <c r="C103" s="1185">
        <f>_xlfn.XLOOKUP(B103,Códigos!$B$8:$B$406,Códigos!$A$8:$A$406,"Verificar",0)</f>
        <v>245</v>
      </c>
      <c r="D103" s="1114">
        <f>_xlfn.XLOOKUP(B103,'Consolidado Cobros'!$B$10:$B$312,'Consolidado Cobros'!$C$10:$C$312,"Verificar",0)</f>
        <v>900666782</v>
      </c>
      <c r="E103" s="1520">
        <f t="shared" si="30"/>
        <v>4</v>
      </c>
      <c r="F103" s="1517">
        <f t="shared" si="31"/>
        <v>0</v>
      </c>
      <c r="G103" s="1251">
        <f t="shared" si="32"/>
        <v>0</v>
      </c>
      <c r="H103" s="1240">
        <f t="shared" si="38"/>
        <v>0</v>
      </c>
      <c r="I103" s="1148"/>
      <c r="J103" s="383">
        <f t="shared" si="33"/>
        <v>0</v>
      </c>
      <c r="K103" s="712"/>
      <c r="L103" s="487">
        <f t="shared" si="34"/>
        <v>0</v>
      </c>
      <c r="M103" s="927"/>
      <c r="N103" s="672">
        <v>0</v>
      </c>
      <c r="O103" s="660"/>
      <c r="P103" s="1092">
        <f t="shared" si="35"/>
        <v>0</v>
      </c>
      <c r="Q103" s="1093">
        <v>0</v>
      </c>
      <c r="R103" s="381">
        <f t="shared" si="39"/>
        <v>0</v>
      </c>
      <c r="S103" s="382"/>
      <c r="T103" s="381"/>
      <c r="U103" s="624"/>
      <c r="V103" s="569">
        <f t="shared" si="36"/>
        <v>0</v>
      </c>
      <c r="W103" s="607"/>
      <c r="X103" s="383"/>
      <c r="Y103" s="607"/>
      <c r="Z103" s="383"/>
      <c r="AA103" s="607"/>
      <c r="AB103" s="718"/>
      <c r="AC103" s="335"/>
      <c r="AD103" s="383">
        <f>SUMIF('Asesorías AG anterior'!$B$7:$B$239,B103,'Asesorías AG anterior'!$I$7:$I$239)</f>
        <v>1E-3</v>
      </c>
      <c r="AE103" s="383">
        <f>SUMIF('Asesorías AG anterior'!$B$7:$B$239,B103,'Asesorías AG anterior'!$J$7:$J$239)</f>
        <v>0</v>
      </c>
      <c r="AF103" s="383">
        <f>SUMIF('Asesorías AG anterior'!$B$7:$B$239,B103,'Asesorías AG anterior'!$K$7:$K$239)</f>
        <v>1E-3</v>
      </c>
      <c r="AG103" s="383">
        <f>SUMIF('Asesorías AG anterior'!$B$7:$B$239,B103,'Asesorías AG anterior'!$L$7:$L$239)</f>
        <v>0</v>
      </c>
      <c r="AH103" s="383">
        <f>SUMIF('Asesorías AG anterior'!$B$7:$B$239,B103,'Asesorías AG anterior'!$M$7:$M$239)</f>
        <v>0</v>
      </c>
      <c r="AI103" s="383">
        <f>SUMIF('Asesorías AG anterior'!$B$7:$B$239,B103,'Asesorías AG anterior'!$N$7:$N$239)</f>
        <v>0</v>
      </c>
      <c r="AJ103" s="383">
        <f>SUMIF('Asesorías AG anterior'!$B$7:$B$239,B103,'Asesorías AG anterior'!$O$7:$O$239)</f>
        <v>1E-3</v>
      </c>
      <c r="AK103" s="383">
        <f>SUMIF('Asesorías AG anterior'!$B$7:$B$239,B103,'Asesorías AG anterior'!$P$7:$P$239)</f>
        <v>0</v>
      </c>
      <c r="AL103" s="383">
        <f>SUMIF('Asesorías AG anterior'!$B$7:$B$239,B103,'Asesorías AG anterior'!$Q$7:$Q$239)</f>
        <v>0</v>
      </c>
      <c r="AM103" s="383">
        <f>SUMIF('Asesorías AG anterior'!$B$7:$B$239,B103,'Asesorías AG anterior'!$R$7:$R$239)</f>
        <v>0</v>
      </c>
      <c r="AN103" s="383"/>
      <c r="AO103" s="383">
        <f>SUMIF('Asesorías AG anterior'!$B$7:$B$239,B103,'Asesorías AG anterior'!$T$7:$T$239)</f>
        <v>0</v>
      </c>
      <c r="AP103" s="383">
        <f>SUMIF('Asesorías AG anterior'!$B$7:$B$239,B103,'Asesorías AG anterior'!$U$7:$U$239)</f>
        <v>0</v>
      </c>
      <c r="AQ103" s="383">
        <f>SUMIF('Asesorías AG anterior'!$B$7:$B$239,B103,'Asesorías AG anterior'!$V$7:$V$239)</f>
        <v>0</v>
      </c>
      <c r="AR103" s="383">
        <f>SUMIF('Asesorías AG anterior'!$B$7:$B$239,B103,'Asesorías AG anterior'!$W$7:$W$239)</f>
        <v>0</v>
      </c>
      <c r="AS103" s="383">
        <f>SUMIF('Asesorías AG anterior'!$B$7:$B$239,B103,'Asesorías AG anterior'!$X$7:$X$239)</f>
        <v>0</v>
      </c>
      <c r="AT103" s="383">
        <f>SUMIF('Asesorías AG anterior'!$B$7:$B$239,B103,'Asesorías AG anterior'!$Y$7:$Y$239)</f>
        <v>0</v>
      </c>
      <c r="AU103" s="383">
        <f>SUMIF('Asesorías AG anterior'!$B$7:$B$239,B103,'Asesorías AG anterior'!$Z$7:$Z$239)</f>
        <v>0</v>
      </c>
      <c r="AV103" s="383">
        <f>SUMIF('Asesorías AG anterior'!$B$7:$B$239,B103,'Asesorías AG anterior'!$AA$7:$AA$239)</f>
        <v>0</v>
      </c>
      <c r="AW103" s="383">
        <f>SUMIF('Asesorías AG anterior'!$B$7:$B$239,B103,'Asesorías AG anterior'!$AB$7:$AB$239)</f>
        <v>0</v>
      </c>
      <c r="AX103" s="335"/>
      <c r="AZ103" s="1137" t="s">
        <v>363</v>
      </c>
    </row>
    <row r="104" spans="1:52" x14ac:dyDescent="0.2">
      <c r="A104" s="1184">
        <f t="shared" si="37"/>
        <v>98</v>
      </c>
      <c r="B104" s="1137" t="s">
        <v>738</v>
      </c>
      <c r="C104" s="1185">
        <f>_xlfn.XLOOKUP(B104,Códigos!$B$8:$B$406,Códigos!$A$8:$A$406,"Verificar",0)</f>
        <v>19</v>
      </c>
      <c r="D104" s="1114">
        <f>_xlfn.XLOOKUP(B104,'Consolidado Cobros'!$B$10:$B$312,'Consolidado Cobros'!$C$10:$C$312,"Verificar",0)</f>
        <v>900478289</v>
      </c>
      <c r="E104" s="1520">
        <f t="shared" si="30"/>
        <v>8</v>
      </c>
      <c r="F104" s="1517">
        <f t="shared" si="31"/>
        <v>0</v>
      </c>
      <c r="G104" s="1251">
        <f t="shared" si="32"/>
        <v>0</v>
      </c>
      <c r="H104" s="1240">
        <f t="shared" si="38"/>
        <v>0</v>
      </c>
      <c r="I104" s="1148">
        <v>3</v>
      </c>
      <c r="J104" s="383">
        <f t="shared" si="33"/>
        <v>0</v>
      </c>
      <c r="K104" s="712">
        <v>12</v>
      </c>
      <c r="L104" s="487">
        <f t="shared" si="34"/>
        <v>0</v>
      </c>
      <c r="M104" s="927"/>
      <c r="N104" s="672">
        <v>0</v>
      </c>
      <c r="O104" s="660"/>
      <c r="P104" s="1092">
        <f t="shared" si="35"/>
        <v>0</v>
      </c>
      <c r="Q104" s="1093">
        <v>0</v>
      </c>
      <c r="R104" s="381">
        <f t="shared" si="39"/>
        <v>0</v>
      </c>
      <c r="S104" s="382"/>
      <c r="T104" s="381"/>
      <c r="U104" s="624"/>
      <c r="V104" s="569">
        <f t="shared" si="36"/>
        <v>0</v>
      </c>
      <c r="W104" s="607"/>
      <c r="X104" s="383"/>
      <c r="Y104" s="607"/>
      <c r="Z104" s="383"/>
      <c r="AA104" s="607"/>
      <c r="AB104" s="718"/>
      <c r="AC104" s="335"/>
      <c r="AD104" s="383">
        <f>SUMIF('Asesorías AG anterior'!$B$7:$B$239,B104,'Asesorías AG anterior'!$I$7:$I$239)</f>
        <v>1E-3</v>
      </c>
      <c r="AE104" s="383">
        <f>SUMIF('Asesorías AG anterior'!$B$7:$B$239,B104,'Asesorías AG anterior'!$J$7:$J$239)</f>
        <v>0</v>
      </c>
      <c r="AF104" s="383">
        <f>SUMIF('Asesorías AG anterior'!$B$7:$B$239,B104,'Asesorías AG anterior'!$K$7:$K$239)</f>
        <v>1E-3</v>
      </c>
      <c r="AG104" s="383">
        <f>SUMIF('Asesorías AG anterior'!$B$7:$B$239,B104,'Asesorías AG anterior'!$L$7:$L$239)</f>
        <v>0</v>
      </c>
      <c r="AH104" s="383">
        <f>SUMIF('Asesorías AG anterior'!$B$7:$B$239,B104,'Asesorías AG anterior'!$M$7:$M$239)</f>
        <v>0</v>
      </c>
      <c r="AI104" s="383">
        <f>SUMIF('Asesorías AG anterior'!$B$7:$B$239,B104,'Asesorías AG anterior'!$N$7:$N$239)</f>
        <v>0</v>
      </c>
      <c r="AJ104" s="383">
        <f>SUMIF('Asesorías AG anterior'!$B$7:$B$239,B104,'Asesorías AG anterior'!$O$7:$O$239)</f>
        <v>1E-3</v>
      </c>
      <c r="AK104" s="383">
        <f>SUMIF('Asesorías AG anterior'!$B$7:$B$239,B104,'Asesorías AG anterior'!$P$7:$P$239)</f>
        <v>0</v>
      </c>
      <c r="AL104" s="383">
        <f>SUMIF('Asesorías AG anterior'!$B$7:$B$239,B104,'Asesorías AG anterior'!$Q$7:$Q$239)</f>
        <v>0</v>
      </c>
      <c r="AM104" s="383">
        <f>SUMIF('Asesorías AG anterior'!$B$7:$B$239,B104,'Asesorías AG anterior'!$R$7:$R$239)</f>
        <v>0</v>
      </c>
      <c r="AN104" s="383"/>
      <c r="AO104" s="383">
        <f>SUMIF('Asesorías AG anterior'!$B$7:$B$239,B104,'Asesorías AG anterior'!$T$7:$T$239)</f>
        <v>0</v>
      </c>
      <c r="AP104" s="383">
        <f>SUMIF('Asesorías AG anterior'!$B$7:$B$239,B104,'Asesorías AG anterior'!$U$7:$U$239)</f>
        <v>0</v>
      </c>
      <c r="AQ104" s="383">
        <f>SUMIF('Asesorías AG anterior'!$B$7:$B$239,B104,'Asesorías AG anterior'!$V$7:$V$239)</f>
        <v>0</v>
      </c>
      <c r="AR104" s="383">
        <f>SUMIF('Asesorías AG anterior'!$B$7:$B$239,B104,'Asesorías AG anterior'!$W$7:$W$239)</f>
        <v>0</v>
      </c>
      <c r="AS104" s="383">
        <f>SUMIF('Asesorías AG anterior'!$B$7:$B$239,B104,'Asesorías AG anterior'!$X$7:$X$239)</f>
        <v>0</v>
      </c>
      <c r="AT104" s="383">
        <f>SUMIF('Asesorías AG anterior'!$B$7:$B$239,B104,'Asesorías AG anterior'!$Y$7:$Y$239)</f>
        <v>0</v>
      </c>
      <c r="AU104" s="383">
        <f>SUMIF('Asesorías AG anterior'!$B$7:$B$239,B104,'Asesorías AG anterior'!$Z$7:$Z$239)</f>
        <v>0</v>
      </c>
      <c r="AV104" s="383">
        <f>SUMIF('Asesorías AG anterior'!$B$7:$B$239,B104,'Asesorías AG anterior'!$AA$7:$AA$239)</f>
        <v>0</v>
      </c>
      <c r="AW104" s="383">
        <f>SUMIF('Asesorías AG anterior'!$B$7:$B$239,B104,'Asesorías AG anterior'!$AB$7:$AB$239)</f>
        <v>0</v>
      </c>
      <c r="AX104" s="335"/>
      <c r="AZ104" s="1137" t="s">
        <v>738</v>
      </c>
    </row>
    <row r="105" spans="1:52" x14ac:dyDescent="0.2">
      <c r="A105" s="1184">
        <f t="shared" si="37"/>
        <v>99</v>
      </c>
      <c r="B105" s="1154" t="s">
        <v>672</v>
      </c>
      <c r="C105" s="1185">
        <f>_xlfn.XLOOKUP(B105,Códigos!$B$8:$B$406,Códigos!$A$8:$A$406,"Verificar",0)</f>
        <v>196</v>
      </c>
      <c r="D105" s="1114">
        <f>_xlfn.XLOOKUP(B105,'Consolidado Cobros'!$B$10:$B$312,'Consolidado Cobros'!$C$10:$C$312,"Verificar",0)</f>
        <v>901445237</v>
      </c>
      <c r="E105" s="1520">
        <f t="shared" si="30"/>
        <v>7</v>
      </c>
      <c r="F105" s="1517">
        <f t="shared" si="31"/>
        <v>70000</v>
      </c>
      <c r="G105" s="1251">
        <f t="shared" si="32"/>
        <v>0</v>
      </c>
      <c r="H105" s="1240">
        <f t="shared" si="38"/>
        <v>70000</v>
      </c>
      <c r="I105" s="1148"/>
      <c r="J105" s="383">
        <f t="shared" si="33"/>
        <v>0</v>
      </c>
      <c r="K105" s="712"/>
      <c r="L105" s="487">
        <f t="shared" si="34"/>
        <v>0</v>
      </c>
      <c r="M105" s="927"/>
      <c r="N105" s="672">
        <v>0</v>
      </c>
      <c r="O105" s="660" t="s">
        <v>318</v>
      </c>
      <c r="P105" s="1092">
        <f t="shared" si="35"/>
        <v>70000</v>
      </c>
      <c r="Q105" s="1093">
        <v>0</v>
      </c>
      <c r="R105" s="381">
        <f>+P105</f>
        <v>70000</v>
      </c>
      <c r="S105" s="382"/>
      <c r="T105" s="381"/>
      <c r="U105" s="624"/>
      <c r="V105" s="569">
        <f t="shared" si="36"/>
        <v>0</v>
      </c>
      <c r="W105" s="607"/>
      <c r="X105" s="383"/>
      <c r="Y105" s="607"/>
      <c r="Z105" s="383"/>
      <c r="AA105" s="607"/>
      <c r="AB105" s="718"/>
      <c r="AC105" s="335"/>
      <c r="AD105" s="383">
        <f>SUMIF('Asesorías AG anterior'!$B$7:$B$239,B105,'Asesorías AG anterior'!$I$7:$I$239)</f>
        <v>1E-3</v>
      </c>
      <c r="AE105" s="383">
        <f>SUMIF('Asesorías AG anterior'!$B$7:$B$239,B105,'Asesorías AG anterior'!$J$7:$J$239)</f>
        <v>0</v>
      </c>
      <c r="AF105" s="383">
        <f>SUMIF('Asesorías AG anterior'!$B$7:$B$239,B105,'Asesorías AG anterior'!$K$7:$K$239)</f>
        <v>1E-3</v>
      </c>
      <c r="AG105" s="383">
        <f>SUMIF('Asesorías AG anterior'!$B$7:$B$239,B105,'Asesorías AG anterior'!$L$7:$L$239)</f>
        <v>0</v>
      </c>
      <c r="AH105" s="383">
        <f>SUMIF('Asesorías AG anterior'!$B$7:$B$239,B105,'Asesorías AG anterior'!$M$7:$M$239)</f>
        <v>0</v>
      </c>
      <c r="AI105" s="383">
        <f>SUMIF('Asesorías AG anterior'!$B$7:$B$239,B105,'Asesorías AG anterior'!$N$7:$N$239)</f>
        <v>0</v>
      </c>
      <c r="AJ105" s="383">
        <f>SUMIF('Asesorías AG anterior'!$B$7:$B$239,B105,'Asesorías AG anterior'!$O$7:$O$239)</f>
        <v>0</v>
      </c>
      <c r="AK105" s="383">
        <f>SUMIF('Asesorías AG anterior'!$B$7:$B$239,B105,'Asesorías AG anterior'!$P$7:$P$239)</f>
        <v>70000</v>
      </c>
      <c r="AL105" s="383">
        <f>SUMIF('Asesorías AG anterior'!$B$7:$B$239,B105,'Asesorías AG anterior'!$Q$7:$Q$239)</f>
        <v>0</v>
      </c>
      <c r="AM105" s="383">
        <f>SUMIF('Asesorías AG anterior'!$B$7:$B$239,B105,'Asesorías AG anterior'!$R$7:$R$239)</f>
        <v>0</v>
      </c>
      <c r="AN105" s="383"/>
      <c r="AO105" s="383">
        <f>SUMIF('Asesorías AG anterior'!$B$7:$B$239,B105,'Asesorías AG anterior'!$T$7:$T$239)</f>
        <v>0</v>
      </c>
      <c r="AP105" s="383">
        <f>SUMIF('Asesorías AG anterior'!$B$7:$B$239,B105,'Asesorías AG anterior'!$U$7:$U$239)</f>
        <v>0</v>
      </c>
      <c r="AQ105" s="383">
        <f>SUMIF('Asesorías AG anterior'!$B$7:$B$239,B105,'Asesorías AG anterior'!$V$7:$V$239)</f>
        <v>0</v>
      </c>
      <c r="AR105" s="383">
        <f>SUMIF('Asesorías AG anterior'!$B$7:$B$239,B105,'Asesorías AG anterior'!$W$7:$W$239)</f>
        <v>0</v>
      </c>
      <c r="AS105" s="383">
        <f>SUMIF('Asesorías AG anterior'!$B$7:$B$239,B105,'Asesorías AG anterior'!$X$7:$X$239)</f>
        <v>0</v>
      </c>
      <c r="AT105" s="383">
        <f>SUMIF('Asesorías AG anterior'!$B$7:$B$239,B105,'Asesorías AG anterior'!$Y$7:$Y$239)</f>
        <v>0</v>
      </c>
      <c r="AU105" s="383">
        <f>SUMIF('Asesorías AG anterior'!$B$7:$B$239,B105,'Asesorías AG anterior'!$Z$7:$Z$239)</f>
        <v>0</v>
      </c>
      <c r="AV105" s="383">
        <f>SUMIF('Asesorías AG anterior'!$B$7:$B$239,B105,'Asesorías AG anterior'!$AA$7:$AA$239)</f>
        <v>0</v>
      </c>
      <c r="AW105" s="383">
        <f>SUMIF('Asesorías AG anterior'!$B$7:$B$239,B105,'Asesorías AG anterior'!$AB$7:$AB$239)</f>
        <v>0</v>
      </c>
      <c r="AX105" s="335"/>
      <c r="AZ105" s="1154" t="s">
        <v>672</v>
      </c>
    </row>
    <row r="106" spans="1:52" ht="25.5" x14ac:dyDescent="0.2">
      <c r="A106" s="1184">
        <f t="shared" si="37"/>
        <v>100</v>
      </c>
      <c r="B106" s="1137" t="s">
        <v>181</v>
      </c>
      <c r="C106" s="1185">
        <f>_xlfn.XLOOKUP(B106,Códigos!$B$8:$B$406,Códigos!$A$8:$A$406,"Verificar",0)</f>
        <v>21</v>
      </c>
      <c r="D106" s="1114">
        <f>_xlfn.XLOOKUP(B106,'Consolidado Cobros'!$B$10:$B$312,'Consolidado Cobros'!$C$10:$C$312,"Verificar",0)</f>
        <v>890910754</v>
      </c>
      <c r="E106" s="1520">
        <f t="shared" si="30"/>
        <v>9</v>
      </c>
      <c r="F106" s="1517">
        <f t="shared" si="31"/>
        <v>0</v>
      </c>
      <c r="G106" s="1251">
        <f t="shared" si="32"/>
        <v>0</v>
      </c>
      <c r="H106" s="1240">
        <f t="shared" si="38"/>
        <v>0</v>
      </c>
      <c r="I106" s="1148"/>
      <c r="J106" s="383">
        <f t="shared" si="33"/>
        <v>0</v>
      </c>
      <c r="K106" s="712"/>
      <c r="L106" s="487">
        <f t="shared" si="34"/>
        <v>0</v>
      </c>
      <c r="M106" s="927"/>
      <c r="N106" s="672">
        <v>0</v>
      </c>
      <c r="O106" s="660"/>
      <c r="P106" s="1092">
        <f t="shared" si="35"/>
        <v>0</v>
      </c>
      <c r="Q106" s="1093">
        <v>0</v>
      </c>
      <c r="R106" s="381">
        <f t="shared" si="39"/>
        <v>0</v>
      </c>
      <c r="S106" s="382"/>
      <c r="T106" s="381"/>
      <c r="U106" s="624"/>
      <c r="V106" s="569">
        <f t="shared" si="36"/>
        <v>0</v>
      </c>
      <c r="W106" s="607"/>
      <c r="X106" s="383"/>
      <c r="Y106" s="607"/>
      <c r="Z106" s="383"/>
      <c r="AA106" s="607"/>
      <c r="AB106" s="718"/>
      <c r="AC106" s="335"/>
      <c r="AD106" s="383">
        <f>SUMIF('Asesorías AG anterior'!$B$7:$B$239,B106,'Asesorías AG anterior'!$I$7:$I$239)</f>
        <v>1E-3</v>
      </c>
      <c r="AE106" s="383">
        <f>SUMIF('Asesorías AG anterior'!$B$7:$B$239,B106,'Asesorías AG anterior'!$J$7:$J$239)</f>
        <v>0</v>
      </c>
      <c r="AF106" s="383">
        <f>SUMIF('Asesorías AG anterior'!$B$7:$B$239,B106,'Asesorías AG anterior'!$K$7:$K$239)</f>
        <v>1E-3</v>
      </c>
      <c r="AG106" s="383">
        <f>SUMIF('Asesorías AG anterior'!$B$7:$B$239,B106,'Asesorías AG anterior'!$L$7:$L$239)</f>
        <v>0</v>
      </c>
      <c r="AH106" s="383">
        <f>SUMIF('Asesorías AG anterior'!$B$7:$B$239,B106,'Asesorías AG anterior'!$M$7:$M$239)</f>
        <v>0</v>
      </c>
      <c r="AI106" s="383">
        <f>SUMIF('Asesorías AG anterior'!$B$7:$B$239,B106,'Asesorías AG anterior'!$N$7:$N$239)</f>
        <v>0</v>
      </c>
      <c r="AJ106" s="383">
        <f>SUMIF('Asesorías AG anterior'!$B$7:$B$239,B106,'Asesorías AG anterior'!$O$7:$O$239)</f>
        <v>1E-3</v>
      </c>
      <c r="AK106" s="383">
        <f>SUMIF('Asesorías AG anterior'!$B$7:$B$239,B106,'Asesorías AG anterior'!$P$7:$P$239)</f>
        <v>0</v>
      </c>
      <c r="AL106" s="383">
        <f>SUMIF('Asesorías AG anterior'!$B$7:$B$239,B106,'Asesorías AG anterior'!$Q$7:$Q$239)</f>
        <v>0</v>
      </c>
      <c r="AM106" s="383">
        <f>SUMIF('Asesorías AG anterior'!$B$7:$B$239,B106,'Asesorías AG anterior'!$R$7:$R$239)</f>
        <v>0</v>
      </c>
      <c r="AN106" s="383"/>
      <c r="AO106" s="383">
        <f>SUMIF('Asesorías AG anterior'!$B$7:$B$239,B106,'Asesorías AG anterior'!$T$7:$T$239)</f>
        <v>0</v>
      </c>
      <c r="AP106" s="383">
        <f>SUMIF('Asesorías AG anterior'!$B$7:$B$239,B106,'Asesorías AG anterior'!$U$7:$U$239)</f>
        <v>0</v>
      </c>
      <c r="AQ106" s="383">
        <f>SUMIF('Asesorías AG anterior'!$B$7:$B$239,B106,'Asesorías AG anterior'!$V$7:$V$239)</f>
        <v>0</v>
      </c>
      <c r="AR106" s="383">
        <f>SUMIF('Asesorías AG anterior'!$B$7:$B$239,B106,'Asesorías AG anterior'!$W$7:$W$239)</f>
        <v>0</v>
      </c>
      <c r="AS106" s="383">
        <f>SUMIF('Asesorías AG anterior'!$B$7:$B$239,B106,'Asesorías AG anterior'!$X$7:$X$239)</f>
        <v>0</v>
      </c>
      <c r="AT106" s="383">
        <f>SUMIF('Asesorías AG anterior'!$B$7:$B$239,B106,'Asesorías AG anterior'!$Y$7:$Y$239)</f>
        <v>0</v>
      </c>
      <c r="AU106" s="383">
        <f>SUMIF('Asesorías AG anterior'!$B$7:$B$239,B106,'Asesorías AG anterior'!$Z$7:$Z$239)</f>
        <v>0</v>
      </c>
      <c r="AV106" s="383">
        <f>SUMIF('Asesorías AG anterior'!$B$7:$B$239,B106,'Asesorías AG anterior'!$AA$7:$AA$239)</f>
        <v>0</v>
      </c>
      <c r="AW106" s="383">
        <f>SUMIF('Asesorías AG anterior'!$B$7:$B$239,B106,'Asesorías AG anterior'!$AB$7:$AB$239)</f>
        <v>0</v>
      </c>
      <c r="AX106" s="335"/>
      <c r="AZ106" s="1137" t="s">
        <v>181</v>
      </c>
    </row>
    <row r="107" spans="1:52" x14ac:dyDescent="0.2">
      <c r="A107" s="1184">
        <f t="shared" si="37"/>
        <v>101</v>
      </c>
      <c r="B107" s="1137" t="s">
        <v>366</v>
      </c>
      <c r="C107" s="1185">
        <f>_xlfn.XLOOKUP(B107,Códigos!$B$8:$B$406,Códigos!$A$8:$A$406,"Verificar",0)</f>
        <v>290</v>
      </c>
      <c r="D107" s="1114">
        <f>_xlfn.XLOOKUP(B107,'Consolidado Cobros'!$B$10:$B$312,'Consolidado Cobros'!$C$10:$C$312,"Verificar",0)</f>
        <v>900792746</v>
      </c>
      <c r="E107" s="1520">
        <f t="shared" si="30"/>
        <v>8</v>
      </c>
      <c r="F107" s="1517">
        <f t="shared" si="31"/>
        <v>1239211.87961024</v>
      </c>
      <c r="G107" s="1251">
        <f t="shared" si="32"/>
        <v>0</v>
      </c>
      <c r="H107" s="1240">
        <f t="shared" si="38"/>
        <v>1239211.87961024</v>
      </c>
      <c r="I107" s="1148">
        <v>3</v>
      </c>
      <c r="J107" s="383">
        <f t="shared" si="33"/>
        <v>384582.99712041917</v>
      </c>
      <c r="K107" s="712">
        <v>12</v>
      </c>
      <c r="L107" s="487">
        <f t="shared" si="34"/>
        <v>854628.88248982071</v>
      </c>
      <c r="M107" s="927"/>
      <c r="N107" s="672">
        <v>0</v>
      </c>
      <c r="O107" s="660"/>
      <c r="P107" s="1092">
        <f t="shared" si="35"/>
        <v>0</v>
      </c>
      <c r="Q107" s="1093">
        <v>0</v>
      </c>
      <c r="R107" s="381">
        <f t="shared" si="39"/>
        <v>0</v>
      </c>
      <c r="S107" s="382"/>
      <c r="T107" s="381"/>
      <c r="U107" s="624"/>
      <c r="V107" s="569">
        <f t="shared" si="36"/>
        <v>0</v>
      </c>
      <c r="W107" s="607"/>
      <c r="X107" s="383"/>
      <c r="Y107" s="607"/>
      <c r="Z107" s="383"/>
      <c r="AA107" s="607"/>
      <c r="AB107" s="718"/>
      <c r="AC107" s="335"/>
      <c r="AD107" s="383">
        <f>SUMIF('Asesorías AG anterior'!$B$7:$B$239,B107,'Asesorías AG anterior'!$I$7:$I$239)</f>
        <v>3</v>
      </c>
      <c r="AE107" s="383">
        <f>SUMIF('Asesorías AG anterior'!$B$7:$B$239,B107,'Asesorías AG anterior'!$J$7:$J$239)</f>
        <v>365921.02485292027</v>
      </c>
      <c r="AF107" s="383">
        <f>SUMIF('Asesorías AG anterior'!$B$7:$B$239,B107,'Asesorías AG anterior'!$K$7:$K$239)</f>
        <v>12</v>
      </c>
      <c r="AG107" s="383">
        <f>SUMIF('Asesorías AG anterior'!$B$7:$B$239,B107,'Asesorías AG anterior'!$L$7:$L$239)</f>
        <v>813157.83300648979</v>
      </c>
      <c r="AH107" s="383">
        <f>SUMIF('Asesorías AG anterior'!$B$7:$B$239,B107,'Asesorías AG anterior'!$M$7:$M$239)</f>
        <v>0</v>
      </c>
      <c r="AI107" s="383">
        <f>SUMIF('Asesorías AG anterior'!$B$7:$B$239,B107,'Asesorías AG anterior'!$N$7:$N$239)</f>
        <v>0</v>
      </c>
      <c r="AJ107" s="383">
        <f>SUMIF('Asesorías AG anterior'!$B$7:$B$239,B107,'Asesorías AG anterior'!$O$7:$O$239)</f>
        <v>1E-3</v>
      </c>
      <c r="AK107" s="383">
        <f>SUMIF('Asesorías AG anterior'!$B$7:$B$239,B107,'Asesorías AG anterior'!$P$7:$P$239)</f>
        <v>0</v>
      </c>
      <c r="AL107" s="383">
        <f>SUMIF('Asesorías AG anterior'!$B$7:$B$239,B107,'Asesorías AG anterior'!$Q$7:$Q$239)</f>
        <v>0</v>
      </c>
      <c r="AM107" s="383">
        <f>SUMIF('Asesorías AG anterior'!$B$7:$B$239,B107,'Asesorías AG anterior'!$R$7:$R$239)</f>
        <v>0</v>
      </c>
      <c r="AN107" s="383"/>
      <c r="AO107" s="383">
        <f>SUMIF('Asesorías AG anterior'!$B$7:$B$239,B107,'Asesorías AG anterior'!$T$7:$T$239)</f>
        <v>0</v>
      </c>
      <c r="AP107" s="383">
        <f>SUMIF('Asesorías AG anterior'!$B$7:$B$239,B107,'Asesorías AG anterior'!$U$7:$U$239)</f>
        <v>0</v>
      </c>
      <c r="AQ107" s="383">
        <f>SUMIF('Asesorías AG anterior'!$B$7:$B$239,B107,'Asesorías AG anterior'!$V$7:$V$239)</f>
        <v>0</v>
      </c>
      <c r="AR107" s="383">
        <f>SUMIF('Asesorías AG anterior'!$B$7:$B$239,B107,'Asesorías AG anterior'!$W$7:$W$239)</f>
        <v>0</v>
      </c>
      <c r="AS107" s="383">
        <f>SUMIF('Asesorías AG anterior'!$B$7:$B$239,B107,'Asesorías AG anterior'!$X$7:$X$239)</f>
        <v>0</v>
      </c>
      <c r="AT107" s="383">
        <f>SUMIF('Asesorías AG anterior'!$B$7:$B$239,B107,'Asesorías AG anterior'!$Y$7:$Y$239)</f>
        <v>0</v>
      </c>
      <c r="AU107" s="383">
        <f>SUMIF('Asesorías AG anterior'!$B$7:$B$239,B107,'Asesorías AG anterior'!$Z$7:$Z$239)</f>
        <v>0</v>
      </c>
      <c r="AV107" s="383">
        <f>SUMIF('Asesorías AG anterior'!$B$7:$B$239,B107,'Asesorías AG anterior'!$AA$7:$AA$239)</f>
        <v>0</v>
      </c>
      <c r="AW107" s="383">
        <f>SUMIF('Asesorías AG anterior'!$B$7:$B$239,B107,'Asesorías AG anterior'!$AB$7:$AB$239)</f>
        <v>0</v>
      </c>
      <c r="AX107" s="335"/>
      <c r="AZ107" s="1201" t="s">
        <v>366</v>
      </c>
    </row>
    <row r="108" spans="1:52" x14ac:dyDescent="0.2">
      <c r="A108" s="1184">
        <f t="shared" si="37"/>
        <v>102</v>
      </c>
      <c r="B108" s="1137" t="s">
        <v>349</v>
      </c>
      <c r="C108" s="1185">
        <f>_xlfn.XLOOKUP(B108,Códigos!$B$8:$B$406,Códigos!$A$8:$A$406,"Verificar",0)</f>
        <v>33</v>
      </c>
      <c r="D108" s="1114">
        <f>_xlfn.XLOOKUP(B108,'Consolidado Cobros'!$B$10:$B$312,'Consolidado Cobros'!$C$10:$C$312,"Verificar",0)</f>
        <v>901241763</v>
      </c>
      <c r="E108" s="1520">
        <f t="shared" si="30"/>
        <v>3</v>
      </c>
      <c r="F108" s="1517">
        <f t="shared" si="31"/>
        <v>0</v>
      </c>
      <c r="G108" s="1251">
        <f t="shared" si="32"/>
        <v>0</v>
      </c>
      <c r="H108" s="1240">
        <f t="shared" si="38"/>
        <v>0</v>
      </c>
      <c r="I108" s="1148"/>
      <c r="J108" s="383">
        <f t="shared" si="33"/>
        <v>0</v>
      </c>
      <c r="K108" s="712"/>
      <c r="L108" s="487">
        <f t="shared" si="34"/>
        <v>0</v>
      </c>
      <c r="M108" s="927"/>
      <c r="N108" s="672">
        <v>0</v>
      </c>
      <c r="O108" s="660"/>
      <c r="P108" s="1092">
        <f t="shared" si="35"/>
        <v>0</v>
      </c>
      <c r="Q108" s="1093">
        <v>0</v>
      </c>
      <c r="R108" s="381">
        <f t="shared" si="39"/>
        <v>0</v>
      </c>
      <c r="S108" s="382"/>
      <c r="T108" s="381"/>
      <c r="U108" s="624"/>
      <c r="V108" s="569">
        <f t="shared" si="36"/>
        <v>0</v>
      </c>
      <c r="W108" s="607"/>
      <c r="X108" s="383"/>
      <c r="Y108" s="607"/>
      <c r="Z108" s="383"/>
      <c r="AA108" s="607"/>
      <c r="AB108" s="718"/>
      <c r="AC108" s="335"/>
      <c r="AD108" s="383">
        <f>SUMIF('Asesorías AG anterior'!$B$7:$B$239,B108,'Asesorías AG anterior'!$I$7:$I$239)</f>
        <v>1E-3</v>
      </c>
      <c r="AE108" s="383">
        <f>SUMIF('Asesorías AG anterior'!$B$7:$B$239,B108,'Asesorías AG anterior'!$J$7:$J$239)</f>
        <v>0</v>
      </c>
      <c r="AF108" s="383">
        <f>SUMIF('Asesorías AG anterior'!$B$7:$B$239,B108,'Asesorías AG anterior'!$K$7:$K$239)</f>
        <v>1E-3</v>
      </c>
      <c r="AG108" s="383">
        <f>SUMIF('Asesorías AG anterior'!$B$7:$B$239,B108,'Asesorías AG anterior'!$L$7:$L$239)</f>
        <v>0</v>
      </c>
      <c r="AH108" s="383">
        <f>SUMIF('Asesorías AG anterior'!$B$7:$B$239,B108,'Asesorías AG anterior'!$M$7:$M$239)</f>
        <v>0</v>
      </c>
      <c r="AI108" s="383">
        <f>SUMIF('Asesorías AG anterior'!$B$7:$B$239,B108,'Asesorías AG anterior'!$N$7:$N$239)</f>
        <v>0</v>
      </c>
      <c r="AJ108" s="383">
        <f>SUMIF('Asesorías AG anterior'!$B$7:$B$239,B108,'Asesorías AG anterior'!$O$7:$O$239)</f>
        <v>1E-3</v>
      </c>
      <c r="AK108" s="383">
        <f>SUMIF('Asesorías AG anterior'!$B$7:$B$239,B108,'Asesorías AG anterior'!$P$7:$P$239)</f>
        <v>0</v>
      </c>
      <c r="AL108" s="383">
        <f>SUMIF('Asesorías AG anterior'!$B$7:$B$239,B108,'Asesorías AG anterior'!$Q$7:$Q$239)</f>
        <v>0</v>
      </c>
      <c r="AM108" s="383">
        <f>SUMIF('Asesorías AG anterior'!$B$7:$B$239,B108,'Asesorías AG anterior'!$R$7:$R$239)</f>
        <v>0</v>
      </c>
      <c r="AN108" s="383"/>
      <c r="AO108" s="383">
        <f>SUMIF('Asesorías AG anterior'!$B$7:$B$239,B108,'Asesorías AG anterior'!$T$7:$T$239)</f>
        <v>0</v>
      </c>
      <c r="AP108" s="383">
        <f>SUMIF('Asesorías AG anterior'!$B$7:$B$239,B108,'Asesorías AG anterior'!$U$7:$U$239)</f>
        <v>0</v>
      </c>
      <c r="AQ108" s="383">
        <f>SUMIF('Asesorías AG anterior'!$B$7:$B$239,B108,'Asesorías AG anterior'!$V$7:$V$239)</f>
        <v>0</v>
      </c>
      <c r="AR108" s="383">
        <f>SUMIF('Asesorías AG anterior'!$B$7:$B$239,B108,'Asesorías AG anterior'!$W$7:$W$239)</f>
        <v>0</v>
      </c>
      <c r="AS108" s="383">
        <f>SUMIF('Asesorías AG anterior'!$B$7:$B$239,B108,'Asesorías AG anterior'!$X$7:$X$239)</f>
        <v>0</v>
      </c>
      <c r="AT108" s="383">
        <f>SUMIF('Asesorías AG anterior'!$B$7:$B$239,B108,'Asesorías AG anterior'!$Y$7:$Y$239)</f>
        <v>0</v>
      </c>
      <c r="AU108" s="383">
        <f>SUMIF('Asesorías AG anterior'!$B$7:$B$239,B108,'Asesorías AG anterior'!$Z$7:$Z$239)</f>
        <v>0</v>
      </c>
      <c r="AV108" s="383">
        <f>SUMIF('Asesorías AG anterior'!$B$7:$B$239,B108,'Asesorías AG anterior'!$AA$7:$AA$239)</f>
        <v>0</v>
      </c>
      <c r="AW108" s="383">
        <f>SUMIF('Asesorías AG anterior'!$B$7:$B$239,B108,'Asesorías AG anterior'!$AB$7:$AB$239)</f>
        <v>0</v>
      </c>
      <c r="AX108" s="335"/>
      <c r="AZ108" s="1137" t="s">
        <v>349</v>
      </c>
    </row>
    <row r="109" spans="1:52" x14ac:dyDescent="0.2">
      <c r="A109" s="1184">
        <f t="shared" si="37"/>
        <v>103</v>
      </c>
      <c r="B109" s="1137" t="s">
        <v>731</v>
      </c>
      <c r="C109" s="1185">
        <f>_xlfn.XLOOKUP(B109,Códigos!$B$8:$B$406,Códigos!$A$8:$A$406,"Verificar",0)</f>
        <v>291</v>
      </c>
      <c r="D109" s="1114">
        <f>_xlfn.XLOOKUP(B109,'Consolidado Cobros'!$B$10:$B$312,'Consolidado Cobros'!$C$10:$C$312,"Verificar",0)</f>
        <v>900797164</v>
      </c>
      <c r="E109" s="1520">
        <f t="shared" si="30"/>
        <v>4</v>
      </c>
      <c r="F109" s="1517">
        <f t="shared" si="31"/>
        <v>0</v>
      </c>
      <c r="G109" s="1251">
        <f t="shared" si="32"/>
        <v>0</v>
      </c>
      <c r="H109" s="1240">
        <f t="shared" si="38"/>
        <v>0</v>
      </c>
      <c r="I109" s="1148"/>
      <c r="J109" s="383">
        <f t="shared" si="33"/>
        <v>0</v>
      </c>
      <c r="K109" s="712"/>
      <c r="L109" s="487">
        <f t="shared" si="34"/>
        <v>0</v>
      </c>
      <c r="M109" s="927"/>
      <c r="N109" s="672">
        <v>0</v>
      </c>
      <c r="O109" s="660"/>
      <c r="P109" s="1092">
        <f t="shared" si="35"/>
        <v>0</v>
      </c>
      <c r="Q109" s="1093">
        <v>0</v>
      </c>
      <c r="R109" s="381">
        <f t="shared" si="39"/>
        <v>0</v>
      </c>
      <c r="S109" s="382"/>
      <c r="T109" s="381"/>
      <c r="U109" s="624"/>
      <c r="V109" s="569">
        <f t="shared" si="36"/>
        <v>0</v>
      </c>
      <c r="W109" s="607"/>
      <c r="X109" s="383"/>
      <c r="Y109" s="607"/>
      <c r="Z109" s="383"/>
      <c r="AA109" s="607"/>
      <c r="AB109" s="718"/>
      <c r="AC109" s="335"/>
      <c r="AD109" s="383">
        <f>SUMIF('Asesorías AG anterior'!$B$7:$B$239,B109,'Asesorías AG anterior'!$I$7:$I$239)</f>
        <v>1E-3</v>
      </c>
      <c r="AE109" s="383">
        <f>SUMIF('Asesorías AG anterior'!$B$7:$B$239,B109,'Asesorías AG anterior'!$J$7:$J$239)</f>
        <v>0</v>
      </c>
      <c r="AF109" s="383">
        <f>SUMIF('Asesorías AG anterior'!$B$7:$B$239,B109,'Asesorías AG anterior'!$K$7:$K$239)</f>
        <v>1E-3</v>
      </c>
      <c r="AG109" s="383">
        <f>SUMIF('Asesorías AG anterior'!$B$7:$B$239,B109,'Asesorías AG anterior'!$L$7:$L$239)</f>
        <v>0</v>
      </c>
      <c r="AH109" s="383">
        <f>SUMIF('Asesorías AG anterior'!$B$7:$B$239,B109,'Asesorías AG anterior'!$M$7:$M$239)</f>
        <v>0</v>
      </c>
      <c r="AI109" s="383">
        <f>SUMIF('Asesorías AG anterior'!$B$7:$B$239,B109,'Asesorías AG anterior'!$N$7:$N$239)</f>
        <v>0</v>
      </c>
      <c r="AJ109" s="383">
        <f>SUMIF('Asesorías AG anterior'!$B$7:$B$239,B109,'Asesorías AG anterior'!$O$7:$O$239)</f>
        <v>1E-3</v>
      </c>
      <c r="AK109" s="383">
        <f>SUMIF('Asesorías AG anterior'!$B$7:$B$239,B109,'Asesorías AG anterior'!$P$7:$P$239)</f>
        <v>0</v>
      </c>
      <c r="AL109" s="383">
        <f>SUMIF('Asesorías AG anterior'!$B$7:$B$239,B109,'Asesorías AG anterior'!$Q$7:$Q$239)</f>
        <v>0</v>
      </c>
      <c r="AM109" s="383">
        <f>SUMIF('Asesorías AG anterior'!$B$7:$B$239,B109,'Asesorías AG anterior'!$R$7:$R$239)</f>
        <v>0</v>
      </c>
      <c r="AN109" s="383"/>
      <c r="AO109" s="383">
        <f>SUMIF('Asesorías AG anterior'!$B$7:$B$239,B109,'Asesorías AG anterior'!$T$7:$T$239)</f>
        <v>0</v>
      </c>
      <c r="AP109" s="383">
        <f>SUMIF('Asesorías AG anterior'!$B$7:$B$239,B109,'Asesorías AG anterior'!$U$7:$U$239)</f>
        <v>0</v>
      </c>
      <c r="AQ109" s="383">
        <f>SUMIF('Asesorías AG anterior'!$B$7:$B$239,B109,'Asesorías AG anterior'!$V$7:$V$239)</f>
        <v>0</v>
      </c>
      <c r="AR109" s="383">
        <f>SUMIF('Asesorías AG anterior'!$B$7:$B$239,B109,'Asesorías AG anterior'!$W$7:$W$239)</f>
        <v>0</v>
      </c>
      <c r="AS109" s="383">
        <f>SUMIF('Asesorías AG anterior'!$B$7:$B$239,B109,'Asesorías AG anterior'!$X$7:$X$239)</f>
        <v>0</v>
      </c>
      <c r="AT109" s="383">
        <f>SUMIF('Asesorías AG anterior'!$B$7:$B$239,B109,'Asesorías AG anterior'!$Y$7:$Y$239)</f>
        <v>0</v>
      </c>
      <c r="AU109" s="383">
        <f>SUMIF('Asesorías AG anterior'!$B$7:$B$239,B109,'Asesorías AG anterior'!$Z$7:$Z$239)</f>
        <v>0</v>
      </c>
      <c r="AV109" s="383">
        <f>SUMIF('Asesorías AG anterior'!$B$7:$B$239,B109,'Asesorías AG anterior'!$AA$7:$AA$239)</f>
        <v>0</v>
      </c>
      <c r="AW109" s="383">
        <f>SUMIF('Asesorías AG anterior'!$B$7:$B$239,B109,'Asesorías AG anterior'!$AB$7:$AB$239)</f>
        <v>0</v>
      </c>
      <c r="AX109" s="335"/>
      <c r="AZ109" s="1137" t="s">
        <v>731</v>
      </c>
    </row>
    <row r="110" spans="1:52" x14ac:dyDescent="0.2">
      <c r="A110" s="1184">
        <f t="shared" si="37"/>
        <v>104</v>
      </c>
      <c r="B110" s="1137" t="s">
        <v>184</v>
      </c>
      <c r="C110" s="1185">
        <f>_xlfn.XLOOKUP(B110,Códigos!$B$8:$B$406,Códigos!$A$8:$A$406,"Verificar",0)</f>
        <v>292</v>
      </c>
      <c r="D110" s="1114">
        <f>_xlfn.XLOOKUP(B110,'Consolidado Cobros'!$B$10:$B$312,'Consolidado Cobros'!$C$10:$C$312,"Verificar",0)</f>
        <v>900474585</v>
      </c>
      <c r="E110" s="1520">
        <f t="shared" si="30"/>
        <v>5</v>
      </c>
      <c r="F110" s="1517">
        <f t="shared" si="31"/>
        <v>370000</v>
      </c>
      <c r="G110" s="1251">
        <f t="shared" si="32"/>
        <v>0</v>
      </c>
      <c r="H110" s="1240">
        <f t="shared" si="38"/>
        <v>370000</v>
      </c>
      <c r="I110" s="1148"/>
      <c r="J110" s="383">
        <f t="shared" si="33"/>
        <v>0</v>
      </c>
      <c r="K110" s="712"/>
      <c r="L110" s="487">
        <f t="shared" si="34"/>
        <v>0</v>
      </c>
      <c r="M110" s="927"/>
      <c r="N110" s="672">
        <v>0</v>
      </c>
      <c r="O110" s="660" t="s">
        <v>318</v>
      </c>
      <c r="P110" s="1092">
        <f t="shared" si="35"/>
        <v>70000</v>
      </c>
      <c r="Q110" s="1093">
        <v>0</v>
      </c>
      <c r="R110" s="381">
        <f t="shared" si="39"/>
        <v>70000</v>
      </c>
      <c r="S110" s="381"/>
      <c r="T110" s="1585"/>
      <c r="U110" s="1817">
        <f>25000*12</f>
        <v>300000</v>
      </c>
      <c r="V110" s="569">
        <f t="shared" si="36"/>
        <v>0</v>
      </c>
      <c r="W110" s="607"/>
      <c r="X110" s="383"/>
      <c r="Y110" s="607"/>
      <c r="Z110" s="383"/>
      <c r="AA110" s="607"/>
      <c r="AB110" s="718"/>
      <c r="AC110" s="335"/>
      <c r="AD110" s="383">
        <f>SUMIF('Asesorías AG anterior'!$B$7:$B$239,B110,'Asesorías AG anterior'!$I$7:$I$239)</f>
        <v>1E-3</v>
      </c>
      <c r="AE110" s="383">
        <f>SUMIF('Asesorías AG anterior'!$B$7:$B$239,B110,'Asesorías AG anterior'!$J$7:$J$239)</f>
        <v>0</v>
      </c>
      <c r="AF110" s="383">
        <f>SUMIF('Asesorías AG anterior'!$B$7:$B$239,B110,'Asesorías AG anterior'!$K$7:$K$239)</f>
        <v>1E-3</v>
      </c>
      <c r="AG110" s="383">
        <f>SUMIF('Asesorías AG anterior'!$B$7:$B$239,B110,'Asesorías AG anterior'!$L$7:$L$239)</f>
        <v>0</v>
      </c>
      <c r="AH110" s="383">
        <f>SUMIF('Asesorías AG anterior'!$B$7:$B$239,B110,'Asesorías AG anterior'!$M$7:$M$239)</f>
        <v>0</v>
      </c>
      <c r="AI110" s="383">
        <f>SUMIF('Asesorías AG anterior'!$B$7:$B$239,B110,'Asesorías AG anterior'!$N$7:$N$239)</f>
        <v>0</v>
      </c>
      <c r="AJ110" s="383">
        <f>SUMIF('Asesorías AG anterior'!$B$7:$B$239,B110,'Asesorías AG anterior'!$O$7:$O$239)</f>
        <v>0</v>
      </c>
      <c r="AK110" s="383">
        <f>SUMIF('Asesorías AG anterior'!$B$7:$B$239,B110,'Asesorías AG anterior'!$P$7:$P$239)</f>
        <v>70000</v>
      </c>
      <c r="AL110" s="383">
        <f>SUMIF('Asesorías AG anterior'!$B$7:$B$239,B110,'Asesorías AG anterior'!$Q$7:$Q$239)</f>
        <v>0</v>
      </c>
      <c r="AM110" s="383">
        <f>SUMIF('Asesorías AG anterior'!$B$7:$B$239,B110,'Asesorías AG anterior'!$R$7:$R$239)</f>
        <v>240000</v>
      </c>
      <c r="AN110" s="383"/>
      <c r="AO110" s="383">
        <f>SUMIF('Asesorías AG anterior'!$B$7:$B$239,B110,'Asesorías AG anterior'!$T$7:$T$239)</f>
        <v>0</v>
      </c>
      <c r="AP110" s="383">
        <f>SUMIF('Asesorías AG anterior'!$B$7:$B$239,B110,'Asesorías AG anterior'!$U$7:$U$239)</f>
        <v>0</v>
      </c>
      <c r="AQ110" s="383">
        <f>SUMIF('Asesorías AG anterior'!$B$7:$B$239,B110,'Asesorías AG anterior'!$V$7:$V$239)</f>
        <v>0</v>
      </c>
      <c r="AR110" s="383">
        <f>SUMIF('Asesorías AG anterior'!$B$7:$B$239,B110,'Asesorías AG anterior'!$W$7:$W$239)</f>
        <v>0</v>
      </c>
      <c r="AS110" s="383">
        <f>SUMIF('Asesorías AG anterior'!$B$7:$B$239,B110,'Asesorías AG anterior'!$X$7:$X$239)</f>
        <v>0</v>
      </c>
      <c r="AT110" s="383">
        <f>SUMIF('Asesorías AG anterior'!$B$7:$B$239,B110,'Asesorías AG anterior'!$Y$7:$Y$239)</f>
        <v>0</v>
      </c>
      <c r="AU110" s="383">
        <f>SUMIF('Asesorías AG anterior'!$B$7:$B$239,B110,'Asesorías AG anterior'!$Z$7:$Z$239)</f>
        <v>0</v>
      </c>
      <c r="AV110" s="383">
        <f>SUMIF('Asesorías AG anterior'!$B$7:$B$239,B110,'Asesorías AG anterior'!$AA$7:$AA$239)</f>
        <v>0</v>
      </c>
      <c r="AW110" s="383">
        <f>SUMIF('Asesorías AG anterior'!$B$7:$B$239,B110,'Asesorías AG anterior'!$AB$7:$AB$239)</f>
        <v>0</v>
      </c>
      <c r="AX110" s="335"/>
      <c r="AZ110" s="1137" t="s">
        <v>184</v>
      </c>
    </row>
    <row r="111" spans="1:52" x14ac:dyDescent="0.2">
      <c r="A111" s="1184">
        <f t="shared" si="37"/>
        <v>105</v>
      </c>
      <c r="B111" s="1137" t="s">
        <v>185</v>
      </c>
      <c r="C111" s="1185">
        <f>_xlfn.XLOOKUP(B111,Códigos!$B$8:$B$406,Códigos!$A$8:$A$406,"Verificar",0)</f>
        <v>293</v>
      </c>
      <c r="D111" s="1114">
        <f>_xlfn.XLOOKUP(B111,'Consolidado Cobros'!$B$10:$B$312,'Consolidado Cobros'!$C$10:$C$312,"Verificar",0)</f>
        <v>900620247</v>
      </c>
      <c r="E111" s="1520">
        <f t="shared" si="30"/>
        <v>7</v>
      </c>
      <c r="F111" s="1517">
        <f t="shared" si="31"/>
        <v>370000</v>
      </c>
      <c r="G111" s="1251">
        <f t="shared" si="32"/>
        <v>0</v>
      </c>
      <c r="H111" s="1240">
        <f t="shared" si="38"/>
        <v>370000</v>
      </c>
      <c r="I111" s="1148"/>
      <c r="J111" s="383">
        <f t="shared" si="33"/>
        <v>0</v>
      </c>
      <c r="K111" s="712"/>
      <c r="L111" s="487">
        <f t="shared" si="34"/>
        <v>0</v>
      </c>
      <c r="M111" s="927"/>
      <c r="N111" s="672">
        <v>0</v>
      </c>
      <c r="O111" s="660" t="s">
        <v>318</v>
      </c>
      <c r="P111" s="1092">
        <f t="shared" si="35"/>
        <v>70000</v>
      </c>
      <c r="Q111" s="1093">
        <v>0</v>
      </c>
      <c r="R111" s="381">
        <f t="shared" si="39"/>
        <v>70000</v>
      </c>
      <c r="S111" s="381"/>
      <c r="T111" s="1585"/>
      <c r="U111" s="1817">
        <f>25000*12</f>
        <v>300000</v>
      </c>
      <c r="V111" s="569">
        <f t="shared" si="36"/>
        <v>0</v>
      </c>
      <c r="W111" s="607"/>
      <c r="X111" s="383"/>
      <c r="Y111" s="607"/>
      <c r="Z111" s="383"/>
      <c r="AA111" s="607"/>
      <c r="AB111" s="718"/>
      <c r="AC111" s="335"/>
      <c r="AD111" s="383">
        <f>SUMIF('Asesorías AG anterior'!$B$7:$B$239,B111,'Asesorías AG anterior'!$I$7:$I$239)</f>
        <v>1E-3</v>
      </c>
      <c r="AE111" s="383">
        <f>SUMIF('Asesorías AG anterior'!$B$7:$B$239,B111,'Asesorías AG anterior'!$J$7:$J$239)</f>
        <v>0</v>
      </c>
      <c r="AF111" s="383">
        <f>SUMIF('Asesorías AG anterior'!$B$7:$B$239,B111,'Asesorías AG anterior'!$K$7:$K$239)</f>
        <v>1E-3</v>
      </c>
      <c r="AG111" s="383">
        <f>SUMIF('Asesorías AG anterior'!$B$7:$B$239,B111,'Asesorías AG anterior'!$L$7:$L$239)</f>
        <v>0</v>
      </c>
      <c r="AH111" s="383">
        <f>SUMIF('Asesorías AG anterior'!$B$7:$B$239,B111,'Asesorías AG anterior'!$M$7:$M$239)</f>
        <v>0</v>
      </c>
      <c r="AI111" s="383">
        <f>SUMIF('Asesorías AG anterior'!$B$7:$B$239,B111,'Asesorías AG anterior'!$N$7:$N$239)</f>
        <v>0</v>
      </c>
      <c r="AJ111" s="383">
        <f>SUMIF('Asesorías AG anterior'!$B$7:$B$239,B111,'Asesorías AG anterior'!$O$7:$O$239)</f>
        <v>0</v>
      </c>
      <c r="AK111" s="383">
        <f>SUMIF('Asesorías AG anterior'!$B$7:$B$239,B111,'Asesorías AG anterior'!$P$7:$P$239)</f>
        <v>70000</v>
      </c>
      <c r="AL111" s="383">
        <f>SUMIF('Asesorías AG anterior'!$B$7:$B$239,B111,'Asesorías AG anterior'!$Q$7:$Q$239)</f>
        <v>0</v>
      </c>
      <c r="AM111" s="383">
        <f>SUMIF('Asesorías AG anterior'!$B$7:$B$239,B111,'Asesorías AG anterior'!$R$7:$R$239)</f>
        <v>240000</v>
      </c>
      <c r="AN111" s="383"/>
      <c r="AO111" s="383">
        <f>SUMIF('Asesorías AG anterior'!$B$7:$B$239,B111,'Asesorías AG anterior'!$T$7:$T$239)</f>
        <v>0</v>
      </c>
      <c r="AP111" s="383">
        <f>SUMIF('Asesorías AG anterior'!$B$7:$B$239,B111,'Asesorías AG anterior'!$U$7:$U$239)</f>
        <v>0</v>
      </c>
      <c r="AQ111" s="383">
        <f>SUMIF('Asesorías AG anterior'!$B$7:$B$239,B111,'Asesorías AG anterior'!$V$7:$V$239)</f>
        <v>0</v>
      </c>
      <c r="AR111" s="383">
        <f>SUMIF('Asesorías AG anterior'!$B$7:$B$239,B111,'Asesorías AG anterior'!$W$7:$W$239)</f>
        <v>0</v>
      </c>
      <c r="AS111" s="383">
        <f>SUMIF('Asesorías AG anterior'!$B$7:$B$239,B111,'Asesorías AG anterior'!$X$7:$X$239)</f>
        <v>0</v>
      </c>
      <c r="AT111" s="383">
        <f>SUMIF('Asesorías AG anterior'!$B$7:$B$239,B111,'Asesorías AG anterior'!$Y$7:$Y$239)</f>
        <v>0</v>
      </c>
      <c r="AU111" s="383">
        <f>SUMIF('Asesorías AG anterior'!$B$7:$B$239,B111,'Asesorías AG anterior'!$Z$7:$Z$239)</f>
        <v>0</v>
      </c>
      <c r="AV111" s="383">
        <f>SUMIF('Asesorías AG anterior'!$B$7:$B$239,B111,'Asesorías AG anterior'!$AA$7:$AA$239)</f>
        <v>0</v>
      </c>
      <c r="AW111" s="383">
        <f>SUMIF('Asesorías AG anterior'!$B$7:$B$239,B111,'Asesorías AG anterior'!$AB$7:$AB$239)</f>
        <v>0</v>
      </c>
      <c r="AX111" s="335"/>
      <c r="AZ111" s="1137" t="s">
        <v>185</v>
      </c>
    </row>
    <row r="112" spans="1:52" ht="25.5" x14ac:dyDescent="0.2">
      <c r="A112" s="1184">
        <f t="shared" si="37"/>
        <v>106</v>
      </c>
      <c r="B112" s="1137" t="s">
        <v>187</v>
      </c>
      <c r="C112" s="1185">
        <f>_xlfn.XLOOKUP(B112,Códigos!$B$8:$B$406,Códigos!$A$8:$A$406,"Verificar",0)</f>
        <v>25</v>
      </c>
      <c r="D112" s="1114">
        <f>_xlfn.XLOOKUP(B112,'Consolidado Cobros'!$B$10:$B$312,'Consolidado Cobros'!$C$10:$C$312,"Verificar",0)</f>
        <v>900103304</v>
      </c>
      <c r="E112" s="1520">
        <f t="shared" ref="E112:E173" si="40">IF(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=0,0,IF(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=1,1,11-(MOD((VALUE(MID(TEXT(D112,"000000000000000"),15,1))*3+VALUE(MID(TEXT(D112,"000000000000000"),14,1))*7+VALUE(MID(TEXT(D112,"000000000000000"),13,1))*13+VALUE(MID(TEXT(D112,"000000000000000"),12,1))*17+VALUE(MID(TEXT(D112,"000000000000000"),11,1))*19+VALUE(MID(TEXT(D112,"000000000000000"),10,1))*23+VALUE(MID(TEXT(D112,"000000000000000"),9,1))*29+VALUE(MID(TEXT(D112,"000000000000000"),8,1))*37+VALUE(MID(TEXT(D112,"000000000000000"),7,1))*41+VALUE(MID(TEXT(D112,"000000000000000"),6,1))*43+VALUE(MID(TEXT(D112,"000000000000000"),5,1))*47+VALUE(MID(TEXT(D112,"000000000000000"),4,1))*53+VALUE(MID(TEXT(D112,"000000000000000"),3,1))*59+VALUE(MID(TEXT(D112,"000000000000000"),2,1))*67+VALUE(MID(TEXT(D112,"000000000000000"),1,1))*71),11))))</f>
        <v>1</v>
      </c>
      <c r="F112" s="1517">
        <f t="shared" ref="F112:F173" si="41">+IF(H112&gt;0,H112,0)</f>
        <v>1239211.87961024</v>
      </c>
      <c r="G112" s="1251">
        <f t="shared" ref="G112:G173" si="42">+IF(V112&gt;0,V112,0)</f>
        <v>0</v>
      </c>
      <c r="H112" s="1240">
        <f t="shared" si="38"/>
        <v>1239211.87961024</v>
      </c>
      <c r="I112" s="1148">
        <v>3</v>
      </c>
      <c r="J112" s="383">
        <f t="shared" ref="J112:J173" si="43">+(AE112/AD112*(100%+$J$4))*I112</f>
        <v>384582.99712041917</v>
      </c>
      <c r="K112" s="712">
        <v>12</v>
      </c>
      <c r="L112" s="487">
        <f t="shared" ref="L112:L173" si="44">+(AG112/AF112*(100%+$J$4))*K112</f>
        <v>854628.88248982071</v>
      </c>
      <c r="M112" s="927"/>
      <c r="N112" s="672">
        <v>0</v>
      </c>
      <c r="O112" s="660"/>
      <c r="P112" s="1092">
        <f t="shared" ref="P112:P173" si="45">ROUND(IF(O112="SI",AK112*(100%+$P$4),0),-4)</f>
        <v>0</v>
      </c>
      <c r="Q112" s="1093">
        <v>0</v>
      </c>
      <c r="R112" s="381">
        <f t="shared" si="39"/>
        <v>0</v>
      </c>
      <c r="S112" s="382"/>
      <c r="T112" s="381"/>
      <c r="U112" s="624"/>
      <c r="V112" s="569">
        <f t="shared" ref="V112:V173" si="46">+X112+Z112+AB112</f>
        <v>0</v>
      </c>
      <c r="W112" s="607"/>
      <c r="X112" s="383"/>
      <c r="Y112" s="607"/>
      <c r="Z112" s="383"/>
      <c r="AA112" s="607"/>
      <c r="AB112" s="718"/>
      <c r="AC112" s="335"/>
      <c r="AD112" s="383">
        <f>SUMIF('Asesorías AG anterior'!$B$7:$B$239,B112,'Asesorías AG anterior'!$I$7:$I$239)</f>
        <v>3</v>
      </c>
      <c r="AE112" s="383">
        <f>SUMIF('Asesorías AG anterior'!$B$7:$B$239,B112,'Asesorías AG anterior'!$J$7:$J$239)</f>
        <v>365921.02485292027</v>
      </c>
      <c r="AF112" s="383">
        <f>SUMIF('Asesorías AG anterior'!$B$7:$B$239,B112,'Asesorías AG anterior'!$K$7:$K$239)</f>
        <v>12</v>
      </c>
      <c r="AG112" s="383">
        <f>SUMIF('Asesorías AG anterior'!$B$7:$B$239,B112,'Asesorías AG anterior'!$L$7:$L$239)</f>
        <v>813157.83300648979</v>
      </c>
      <c r="AH112" s="383">
        <f>SUMIF('Asesorías AG anterior'!$B$7:$B$239,B112,'Asesorías AG anterior'!$M$7:$M$239)</f>
        <v>0</v>
      </c>
      <c r="AI112" s="383">
        <f>SUMIF('Asesorías AG anterior'!$B$7:$B$239,B112,'Asesorías AG anterior'!$N$7:$N$239)</f>
        <v>0</v>
      </c>
      <c r="AJ112" s="383">
        <f>SUMIF('Asesorías AG anterior'!$B$7:$B$239,B112,'Asesorías AG anterior'!$O$7:$O$239)</f>
        <v>1E-3</v>
      </c>
      <c r="AK112" s="383">
        <f>SUMIF('Asesorías AG anterior'!$B$7:$B$239,B112,'Asesorías AG anterior'!$P$7:$P$239)</f>
        <v>0</v>
      </c>
      <c r="AL112" s="383">
        <f>SUMIF('Asesorías AG anterior'!$B$7:$B$239,B112,'Asesorías AG anterior'!$Q$7:$Q$239)</f>
        <v>0</v>
      </c>
      <c r="AM112" s="383">
        <f>SUMIF('Asesorías AG anterior'!$B$7:$B$239,B112,'Asesorías AG anterior'!$R$7:$R$239)</f>
        <v>0</v>
      </c>
      <c r="AN112" s="383"/>
      <c r="AO112" s="383">
        <f>SUMIF('Asesorías AG anterior'!$B$7:$B$239,B112,'Asesorías AG anterior'!$T$7:$T$239)</f>
        <v>0</v>
      </c>
      <c r="AP112" s="383">
        <f>SUMIF('Asesorías AG anterior'!$B$7:$B$239,B112,'Asesorías AG anterior'!$U$7:$U$239)</f>
        <v>0</v>
      </c>
      <c r="AQ112" s="383">
        <f>SUMIF('Asesorías AG anterior'!$B$7:$B$239,B112,'Asesorías AG anterior'!$V$7:$V$239)</f>
        <v>0</v>
      </c>
      <c r="AR112" s="383">
        <f>SUMIF('Asesorías AG anterior'!$B$7:$B$239,B112,'Asesorías AG anterior'!$W$7:$W$239)</f>
        <v>0</v>
      </c>
      <c r="AS112" s="383">
        <f>SUMIF('Asesorías AG anterior'!$B$7:$B$239,B112,'Asesorías AG anterior'!$X$7:$X$239)</f>
        <v>0</v>
      </c>
      <c r="AT112" s="383">
        <f>SUMIF('Asesorías AG anterior'!$B$7:$B$239,B112,'Asesorías AG anterior'!$Y$7:$Y$239)</f>
        <v>0</v>
      </c>
      <c r="AU112" s="383">
        <f>SUMIF('Asesorías AG anterior'!$B$7:$B$239,B112,'Asesorías AG anterior'!$Z$7:$Z$239)</f>
        <v>0</v>
      </c>
      <c r="AV112" s="383">
        <f>SUMIF('Asesorías AG anterior'!$B$7:$B$239,B112,'Asesorías AG anterior'!$AA$7:$AA$239)</f>
        <v>0</v>
      </c>
      <c r="AW112" s="383">
        <f>SUMIF('Asesorías AG anterior'!$B$7:$B$239,B112,'Asesorías AG anterior'!$AB$7:$AB$239)</f>
        <v>0</v>
      </c>
      <c r="AX112" s="335"/>
      <c r="AZ112" s="1137" t="s">
        <v>187</v>
      </c>
    </row>
    <row r="113" spans="1:55" x14ac:dyDescent="0.2">
      <c r="A113" s="1184">
        <f t="shared" si="37"/>
        <v>107</v>
      </c>
      <c r="B113" s="1137" t="s">
        <v>188</v>
      </c>
      <c r="C113" s="1185">
        <f>_xlfn.XLOOKUP(B113,Códigos!$B$8:$B$406,Códigos!$A$8:$A$406,"Verificar",0)</f>
        <v>28</v>
      </c>
      <c r="D113" s="1114">
        <f>_xlfn.XLOOKUP(B113,'Consolidado Cobros'!$B$10:$B$312,'Consolidado Cobros'!$C$10:$C$312,"Verificar",0)</f>
        <v>890910546</v>
      </c>
      <c r="E113" s="1520">
        <f t="shared" si="40"/>
        <v>3</v>
      </c>
      <c r="F113" s="1517">
        <f t="shared" si="41"/>
        <v>0</v>
      </c>
      <c r="G113" s="1251">
        <f t="shared" si="42"/>
        <v>0</v>
      </c>
      <c r="H113" s="1240">
        <f t="shared" si="38"/>
        <v>0</v>
      </c>
      <c r="I113" s="1148">
        <v>3</v>
      </c>
      <c r="J113" s="383">
        <f t="shared" si="43"/>
        <v>0</v>
      </c>
      <c r="K113" s="712">
        <v>1</v>
      </c>
      <c r="L113" s="487">
        <f t="shared" si="44"/>
        <v>0</v>
      </c>
      <c r="M113" s="927"/>
      <c r="N113" s="672">
        <v>0</v>
      </c>
      <c r="O113" s="660"/>
      <c r="P113" s="1092">
        <f t="shared" si="45"/>
        <v>0</v>
      </c>
      <c r="Q113" s="1093">
        <v>0</v>
      </c>
      <c r="R113" s="381">
        <f t="shared" si="39"/>
        <v>0</v>
      </c>
      <c r="S113" s="382"/>
      <c r="T113" s="381"/>
      <c r="U113" s="624"/>
      <c r="V113" s="569">
        <f t="shared" si="46"/>
        <v>0</v>
      </c>
      <c r="W113" s="607"/>
      <c r="X113" s="383"/>
      <c r="Y113" s="607"/>
      <c r="Z113" s="383"/>
      <c r="AA113" s="607"/>
      <c r="AB113" s="718"/>
      <c r="AC113" s="335"/>
      <c r="AD113" s="383">
        <f>SUMIF('Asesorías AG anterior'!$B$7:$B$239,B113,'Asesorías AG anterior'!$I$7:$I$239)</f>
        <v>1E-3</v>
      </c>
      <c r="AE113" s="383">
        <f>SUMIF('Asesorías AG anterior'!$B$7:$B$239,B113,'Asesorías AG anterior'!$J$7:$J$239)</f>
        <v>0</v>
      </c>
      <c r="AF113" s="383">
        <f>SUMIF('Asesorías AG anterior'!$B$7:$B$239,B113,'Asesorías AG anterior'!$K$7:$K$239)</f>
        <v>1E-3</v>
      </c>
      <c r="AG113" s="383">
        <f>SUMIF('Asesorías AG anterior'!$B$7:$B$239,B113,'Asesorías AG anterior'!$L$7:$L$239)</f>
        <v>0</v>
      </c>
      <c r="AH113" s="383">
        <f>SUMIF('Asesorías AG anterior'!$B$7:$B$239,B113,'Asesorías AG anterior'!$M$7:$M$239)</f>
        <v>0</v>
      </c>
      <c r="AI113" s="383">
        <f>SUMIF('Asesorías AG anterior'!$B$7:$B$239,B113,'Asesorías AG anterior'!$N$7:$N$239)</f>
        <v>0</v>
      </c>
      <c r="AJ113" s="383">
        <f>SUMIF('Asesorías AG anterior'!$B$7:$B$239,B113,'Asesorías AG anterior'!$O$7:$O$239)</f>
        <v>1E-3</v>
      </c>
      <c r="AK113" s="383">
        <f>SUMIF('Asesorías AG anterior'!$B$7:$B$239,B113,'Asesorías AG anterior'!$P$7:$P$239)</f>
        <v>0</v>
      </c>
      <c r="AL113" s="383">
        <f>SUMIF('Asesorías AG anterior'!$B$7:$B$239,B113,'Asesorías AG anterior'!$Q$7:$Q$239)</f>
        <v>0</v>
      </c>
      <c r="AM113" s="383">
        <f>SUMIF('Asesorías AG anterior'!$B$7:$B$239,B113,'Asesorías AG anterior'!$R$7:$R$239)</f>
        <v>0</v>
      </c>
      <c r="AN113" s="383"/>
      <c r="AO113" s="383">
        <f>SUMIF('Asesorías AG anterior'!$B$7:$B$239,B113,'Asesorías AG anterior'!$T$7:$T$239)</f>
        <v>0</v>
      </c>
      <c r="AP113" s="383">
        <f>SUMIF('Asesorías AG anterior'!$B$7:$B$239,B113,'Asesorías AG anterior'!$U$7:$U$239)</f>
        <v>0</v>
      </c>
      <c r="AQ113" s="383">
        <f>SUMIF('Asesorías AG anterior'!$B$7:$B$239,B113,'Asesorías AG anterior'!$V$7:$V$239)</f>
        <v>0</v>
      </c>
      <c r="AR113" s="383">
        <f>SUMIF('Asesorías AG anterior'!$B$7:$B$239,B113,'Asesorías AG anterior'!$W$7:$W$239)</f>
        <v>0</v>
      </c>
      <c r="AS113" s="383">
        <f>SUMIF('Asesorías AG anterior'!$B$7:$B$239,B113,'Asesorías AG anterior'!$X$7:$X$239)</f>
        <v>0</v>
      </c>
      <c r="AT113" s="383">
        <f>SUMIF('Asesorías AG anterior'!$B$7:$B$239,B113,'Asesorías AG anterior'!$Y$7:$Y$239)</f>
        <v>0</v>
      </c>
      <c r="AU113" s="383">
        <f>SUMIF('Asesorías AG anterior'!$B$7:$B$239,B113,'Asesorías AG anterior'!$Z$7:$Z$239)</f>
        <v>0</v>
      </c>
      <c r="AV113" s="383">
        <f>SUMIF('Asesorías AG anterior'!$B$7:$B$239,B113,'Asesorías AG anterior'!$AA$7:$AA$239)</f>
        <v>0</v>
      </c>
      <c r="AW113" s="383">
        <f>SUMIF('Asesorías AG anterior'!$B$7:$B$239,B113,'Asesorías AG anterior'!$AB$7:$AB$239)</f>
        <v>0</v>
      </c>
      <c r="AX113" s="335"/>
      <c r="AZ113" s="1137" t="s">
        <v>188</v>
      </c>
    </row>
    <row r="114" spans="1:55" x14ac:dyDescent="0.2">
      <c r="A114" s="1184">
        <f t="shared" si="37"/>
        <v>108</v>
      </c>
      <c r="B114" s="1491" t="s">
        <v>242</v>
      </c>
      <c r="C114" s="1185">
        <f>_xlfn.XLOOKUP(B114,Códigos!$B$8:$B$406,Códigos!$A$8:$A$406,"Verificar",0)</f>
        <v>315</v>
      </c>
      <c r="D114" s="1114">
        <f>_xlfn.XLOOKUP(B114,'Consolidado Cobros'!$B$10:$B$312,'Consolidado Cobros'!$C$10:$C$312,"Verificar",0)</f>
        <v>20270143</v>
      </c>
      <c r="E114" s="1520">
        <f t="shared" si="40"/>
        <v>5</v>
      </c>
      <c r="F114" s="1517">
        <f t="shared" si="41"/>
        <v>0</v>
      </c>
      <c r="G114" s="1251">
        <f t="shared" si="42"/>
        <v>0</v>
      </c>
      <c r="H114" s="1240">
        <f t="shared" si="38"/>
        <v>0</v>
      </c>
      <c r="I114" s="1148"/>
      <c r="J114" s="383">
        <f t="shared" si="43"/>
        <v>0</v>
      </c>
      <c r="K114" s="712"/>
      <c r="L114" s="487">
        <f t="shared" si="44"/>
        <v>0</v>
      </c>
      <c r="M114" s="927"/>
      <c r="N114" s="672">
        <v>0</v>
      </c>
      <c r="O114" s="660"/>
      <c r="P114" s="1092">
        <f t="shared" si="45"/>
        <v>0</v>
      </c>
      <c r="Q114" s="1093">
        <v>0</v>
      </c>
      <c r="R114" s="381">
        <f t="shared" si="39"/>
        <v>0</v>
      </c>
      <c r="S114" s="382"/>
      <c r="T114" s="381"/>
      <c r="U114" s="624"/>
      <c r="V114" s="569">
        <f t="shared" si="46"/>
        <v>0</v>
      </c>
      <c r="W114" s="607"/>
      <c r="X114" s="383"/>
      <c r="Y114" s="607"/>
      <c r="Z114" s="383"/>
      <c r="AA114" s="607"/>
      <c r="AB114" s="718"/>
      <c r="AC114" s="335"/>
      <c r="AD114" s="383">
        <f>SUMIF('Asesorías AG anterior'!$B$7:$B$239,B114,'Asesorías AG anterior'!$I$7:$I$239)</f>
        <v>1E-3</v>
      </c>
      <c r="AE114" s="383">
        <f>SUMIF('Asesorías AG anterior'!$B$7:$B$239,B114,'Asesorías AG anterior'!$J$7:$J$239)</f>
        <v>0</v>
      </c>
      <c r="AF114" s="383">
        <f>SUMIF('Asesorías AG anterior'!$B$7:$B$239,B114,'Asesorías AG anterior'!$K$7:$K$239)</f>
        <v>1E-3</v>
      </c>
      <c r="AG114" s="383">
        <f>SUMIF('Asesorías AG anterior'!$B$7:$B$239,B114,'Asesorías AG anterior'!$L$7:$L$239)</f>
        <v>0</v>
      </c>
      <c r="AH114" s="383">
        <f>SUMIF('Asesorías AG anterior'!$B$7:$B$239,B114,'Asesorías AG anterior'!$M$7:$M$239)</f>
        <v>0</v>
      </c>
      <c r="AI114" s="383">
        <f>SUMIF('Asesorías AG anterior'!$B$7:$B$239,B114,'Asesorías AG anterior'!$N$7:$N$239)</f>
        <v>0</v>
      </c>
      <c r="AJ114" s="383">
        <f>SUMIF('Asesorías AG anterior'!$B$7:$B$239,B114,'Asesorías AG anterior'!$O$7:$O$239)</f>
        <v>1E-3</v>
      </c>
      <c r="AK114" s="383">
        <f>SUMIF('Asesorías AG anterior'!$B$7:$B$239,B114,'Asesorías AG anterior'!$P$7:$P$239)</f>
        <v>0</v>
      </c>
      <c r="AL114" s="383">
        <f>SUMIF('Asesorías AG anterior'!$B$7:$B$239,B114,'Asesorías AG anterior'!$Q$7:$Q$239)</f>
        <v>0</v>
      </c>
      <c r="AM114" s="383">
        <f>SUMIF('Asesorías AG anterior'!$B$7:$B$239,B114,'Asesorías AG anterior'!$R$7:$R$239)</f>
        <v>0</v>
      </c>
      <c r="AN114" s="383"/>
      <c r="AO114" s="383">
        <f>SUMIF('Asesorías AG anterior'!$B$7:$B$239,B114,'Asesorías AG anterior'!$T$7:$T$239)</f>
        <v>0</v>
      </c>
      <c r="AP114" s="383">
        <f>SUMIF('Asesorías AG anterior'!$B$7:$B$239,B114,'Asesorías AG anterior'!$U$7:$U$239)</f>
        <v>0</v>
      </c>
      <c r="AQ114" s="383">
        <f>SUMIF('Asesorías AG anterior'!$B$7:$B$239,B114,'Asesorías AG anterior'!$V$7:$V$239)</f>
        <v>0</v>
      </c>
      <c r="AR114" s="383">
        <f>SUMIF('Asesorías AG anterior'!$B$7:$B$239,B114,'Asesorías AG anterior'!$W$7:$W$239)</f>
        <v>0</v>
      </c>
      <c r="AS114" s="383">
        <f>SUMIF('Asesorías AG anterior'!$B$7:$B$239,B114,'Asesorías AG anterior'!$X$7:$X$239)</f>
        <v>0</v>
      </c>
      <c r="AT114" s="383">
        <f>SUMIF('Asesorías AG anterior'!$B$7:$B$239,B114,'Asesorías AG anterior'!$Y$7:$Y$239)</f>
        <v>0</v>
      </c>
      <c r="AU114" s="383">
        <f>SUMIF('Asesorías AG anterior'!$B$7:$B$239,B114,'Asesorías AG anterior'!$Z$7:$Z$239)</f>
        <v>0</v>
      </c>
      <c r="AV114" s="383">
        <f>SUMIF('Asesorías AG anterior'!$B$7:$B$239,B114,'Asesorías AG anterior'!$AA$7:$AA$239)</f>
        <v>0</v>
      </c>
      <c r="AW114" s="383">
        <f>SUMIF('Asesorías AG anterior'!$B$7:$B$239,B114,'Asesorías AG anterior'!$AB$7:$AB$239)</f>
        <v>0</v>
      </c>
      <c r="AX114" s="335"/>
      <c r="AZ114" s="1491" t="s">
        <v>242</v>
      </c>
    </row>
    <row r="115" spans="1:55" x14ac:dyDescent="0.2">
      <c r="A115" s="1184">
        <f t="shared" si="37"/>
        <v>109</v>
      </c>
      <c r="B115" s="1137" t="s">
        <v>649</v>
      </c>
      <c r="C115" s="1185">
        <f>_xlfn.XLOOKUP(B115,Códigos!$B$8:$B$406,Códigos!$A$8:$A$406,"Verificar",0)</f>
        <v>230</v>
      </c>
      <c r="D115" s="1114">
        <f>_xlfn.XLOOKUP(B115,'Consolidado Cobros'!$B$10:$B$312,'Consolidado Cobros'!$C$10:$C$312,"Verificar",0)</f>
        <v>1036958916</v>
      </c>
      <c r="E115" s="1520">
        <f t="shared" ref="E115" si="47">IF((MOD((VALUE(MID(TEXT(D115,"000000000000000"),15,1))*3+VALUE(MID(TEXT(D115,"000000000000000"),14,1))*7+VALUE(MID(TEXT(D115,"000000000000000"),13,1))*13+VALUE(MID(TEXT(D115,"000000000000000"),12,1))*17+VALUE(MID(TEXT(D115,"000000000000000"),11,1))*19+VALUE(MID(TEXT(D115,"000000000000000"),10,1))*23+VALUE(MID(TEXT(D115,"000000000000000"),9,1))*29+VALUE(MID(TEXT(D115,"000000000000000"),8,1))*37+VALUE(MID(TEXT(D115,"000000000000000"),7,1))*41+VALUE(MID(TEXT(D115,"000000000000000"),6,1))*43+VALUE(MID(TEXT(D115,"000000000000000"),5,1))*47+VALUE(MID(TEXT(D115,"000000000000000"),4,1))*53+VALUE(MID(TEXT(D115,"000000000000000"),3,1))*59+VALUE(MID(TEXT(D115,"000000000000000"),2,1))*67+VALUE(MID(TEXT(D115,"000000000000000"),1,1))*71),11))=0,0,IF((MOD((VALUE(MID(TEXT(D115,"000000000000000"),15,1))*3+VALUE(MID(TEXT(D115,"000000000000000"),14,1))*7+VALUE(MID(TEXT(D115,"000000000000000"),13,1))*13+VALUE(MID(TEXT(D115,"000000000000000"),12,1))*17+VALUE(MID(TEXT(D115,"000000000000000"),11,1))*19+VALUE(MID(TEXT(D115,"000000000000000"),10,1))*23+VALUE(MID(TEXT(D115,"000000000000000"),9,1))*29+VALUE(MID(TEXT(D115,"000000000000000"),8,1))*37+VALUE(MID(TEXT(D115,"000000000000000"),7,1))*41+VALUE(MID(TEXT(D115,"000000000000000"),6,1))*43+VALUE(MID(TEXT(D115,"000000000000000"),5,1))*47+VALUE(MID(TEXT(D115,"000000000000000"),4,1))*53+VALUE(MID(TEXT(D115,"000000000000000"),3,1))*59+VALUE(MID(TEXT(D115,"000000000000000"),2,1))*67+VALUE(MID(TEXT(D115,"000000000000000"),1,1))*71),11))=1,1,11-(MOD((VALUE(MID(TEXT(D115,"000000000000000"),15,1))*3+VALUE(MID(TEXT(D115,"000000000000000"),14,1))*7+VALUE(MID(TEXT(D115,"000000000000000"),13,1))*13+VALUE(MID(TEXT(D115,"000000000000000"),12,1))*17+VALUE(MID(TEXT(D115,"000000000000000"),11,1))*19+VALUE(MID(TEXT(D115,"000000000000000"),10,1))*23+VALUE(MID(TEXT(D115,"000000000000000"),9,1))*29+VALUE(MID(TEXT(D115,"000000000000000"),8,1))*37+VALUE(MID(TEXT(D115,"000000000000000"),7,1))*41+VALUE(MID(TEXT(D115,"000000000000000"),6,1))*43+VALUE(MID(TEXT(D115,"000000000000000"),5,1))*47+VALUE(MID(TEXT(D115,"000000000000000"),4,1))*53+VALUE(MID(TEXT(D115,"000000000000000"),3,1))*59+VALUE(MID(TEXT(D115,"000000000000000"),2,1))*67+VALUE(MID(TEXT(D115,"000000000000000"),1,1))*71),11))))</f>
        <v>5</v>
      </c>
      <c r="F115" s="1517">
        <f t="shared" si="41"/>
        <v>0</v>
      </c>
      <c r="G115" s="1251">
        <f t="shared" si="42"/>
        <v>0</v>
      </c>
      <c r="H115" s="1240">
        <f t="shared" si="38"/>
        <v>0</v>
      </c>
      <c r="I115" s="1148"/>
      <c r="J115" s="383">
        <f t="shared" si="43"/>
        <v>0</v>
      </c>
      <c r="K115" s="712"/>
      <c r="L115" s="487">
        <f t="shared" si="44"/>
        <v>0</v>
      </c>
      <c r="M115" s="927"/>
      <c r="N115" s="672">
        <v>0</v>
      </c>
      <c r="O115" s="660"/>
      <c r="P115" s="1092">
        <f t="shared" si="45"/>
        <v>0</v>
      </c>
      <c r="Q115" s="1093">
        <v>0</v>
      </c>
      <c r="R115" s="381">
        <f t="shared" si="39"/>
        <v>0</v>
      </c>
      <c r="S115" s="382"/>
      <c r="T115" s="381"/>
      <c r="U115" s="624"/>
      <c r="V115" s="569">
        <f t="shared" si="46"/>
        <v>0</v>
      </c>
      <c r="W115" s="607"/>
      <c r="X115" s="383"/>
      <c r="Y115" s="607"/>
      <c r="Z115" s="383"/>
      <c r="AA115" s="607"/>
      <c r="AB115" s="718"/>
      <c r="AC115" s="335"/>
      <c r="AD115" s="383">
        <f>SUMIF('Asesorías AG anterior'!$B$7:$B$239,B115,'Asesorías AG anterior'!$I$7:$I$239)</f>
        <v>1E-3</v>
      </c>
      <c r="AE115" s="383">
        <f>SUMIF('Asesorías AG anterior'!$B$7:$B$239,B115,'Asesorías AG anterior'!$J$7:$J$239)</f>
        <v>0</v>
      </c>
      <c r="AF115" s="383">
        <f>SUMIF('Asesorías AG anterior'!$B$7:$B$239,B115,'Asesorías AG anterior'!$K$7:$K$239)</f>
        <v>1E-3</v>
      </c>
      <c r="AG115" s="383">
        <f>SUMIF('Asesorías AG anterior'!$B$7:$B$239,B115,'Asesorías AG anterior'!$L$7:$L$239)</f>
        <v>0</v>
      </c>
      <c r="AH115" s="383">
        <f>SUMIF('Asesorías AG anterior'!$B$7:$B$239,B115,'Asesorías AG anterior'!$M$7:$M$239)</f>
        <v>0</v>
      </c>
      <c r="AI115" s="383">
        <f>SUMIF('Asesorías AG anterior'!$B$7:$B$239,B115,'Asesorías AG anterior'!$N$7:$N$239)</f>
        <v>0</v>
      </c>
      <c r="AJ115" s="383">
        <f>SUMIF('Asesorías AG anterior'!$B$7:$B$239,B115,'Asesorías AG anterior'!$O$7:$O$239)</f>
        <v>1E-3</v>
      </c>
      <c r="AK115" s="383">
        <f>SUMIF('Asesorías AG anterior'!$B$7:$B$239,B115,'Asesorías AG anterior'!$P$7:$P$239)</f>
        <v>0</v>
      </c>
      <c r="AL115" s="383">
        <f>SUMIF('Asesorías AG anterior'!$B$7:$B$239,B115,'Asesorías AG anterior'!$Q$7:$Q$239)</f>
        <v>0</v>
      </c>
      <c r="AM115" s="383">
        <f>SUMIF('Asesorías AG anterior'!$B$7:$B$239,B115,'Asesorías AG anterior'!$R$7:$R$239)</f>
        <v>0</v>
      </c>
      <c r="AN115" s="383"/>
      <c r="AO115" s="383">
        <f>SUMIF('Asesorías AG anterior'!$B$7:$B$239,B115,'Asesorías AG anterior'!$T$7:$T$239)</f>
        <v>0</v>
      </c>
      <c r="AP115" s="383">
        <f>SUMIF('Asesorías AG anterior'!$B$7:$B$239,B115,'Asesorías AG anterior'!$U$7:$U$239)</f>
        <v>0</v>
      </c>
      <c r="AQ115" s="383">
        <f>SUMIF('Asesorías AG anterior'!$B$7:$B$239,B115,'Asesorías AG anterior'!$V$7:$V$239)</f>
        <v>0</v>
      </c>
      <c r="AR115" s="383">
        <f>SUMIF('Asesorías AG anterior'!$B$7:$B$239,B115,'Asesorías AG anterior'!$W$7:$W$239)</f>
        <v>0</v>
      </c>
      <c r="AS115" s="383">
        <f>SUMIF('Asesorías AG anterior'!$B$7:$B$239,B115,'Asesorías AG anterior'!$X$7:$X$239)</f>
        <v>0</v>
      </c>
      <c r="AT115" s="383">
        <f>SUMIF('Asesorías AG anterior'!$B$7:$B$239,B115,'Asesorías AG anterior'!$Y$7:$Y$239)</f>
        <v>0</v>
      </c>
      <c r="AU115" s="383">
        <f>SUMIF('Asesorías AG anterior'!$B$7:$B$239,B115,'Asesorías AG anterior'!$Z$7:$Z$239)</f>
        <v>0</v>
      </c>
      <c r="AV115" s="383">
        <f>SUMIF('Asesorías AG anterior'!$B$7:$B$239,B115,'Asesorías AG anterior'!$AA$7:$AA$239)</f>
        <v>0</v>
      </c>
      <c r="AW115" s="383">
        <f>SUMIF('Asesorías AG anterior'!$B$7:$B$239,B115,'Asesorías AG anterior'!$AB$7:$AB$239)</f>
        <v>0</v>
      </c>
      <c r="AX115" s="335"/>
      <c r="AZ115" s="1137" t="s">
        <v>649</v>
      </c>
    </row>
    <row r="116" spans="1:55" x14ac:dyDescent="0.2">
      <c r="A116" s="1184">
        <f t="shared" si="37"/>
        <v>110</v>
      </c>
      <c r="B116" s="1097" t="s">
        <v>243</v>
      </c>
      <c r="C116" s="1185">
        <f>_xlfn.XLOOKUP(B116,Códigos!$B$8:$B$406,Códigos!$A$8:$A$406,"Verificar",0)</f>
        <v>259</v>
      </c>
      <c r="D116" s="1114">
        <f>_xlfn.XLOOKUP(B116,'Consolidado Cobros'!$B$10:$B$312,'Consolidado Cobros'!$C$10:$C$312,"Verificar",0)</f>
        <v>42872098</v>
      </c>
      <c r="E116" s="1520">
        <f t="shared" si="40"/>
        <v>5</v>
      </c>
      <c r="F116" s="1517">
        <f t="shared" si="41"/>
        <v>0</v>
      </c>
      <c r="G116" s="1251">
        <f t="shared" si="42"/>
        <v>0</v>
      </c>
      <c r="H116" s="1240">
        <f t="shared" si="38"/>
        <v>0</v>
      </c>
      <c r="I116" s="1148"/>
      <c r="J116" s="383">
        <f t="shared" si="43"/>
        <v>0</v>
      </c>
      <c r="K116" s="712"/>
      <c r="L116" s="487">
        <f t="shared" si="44"/>
        <v>0</v>
      </c>
      <c r="M116" s="927"/>
      <c r="N116" s="672">
        <v>0</v>
      </c>
      <c r="O116" s="660"/>
      <c r="P116" s="1092">
        <f t="shared" si="45"/>
        <v>0</v>
      </c>
      <c r="Q116" s="1093">
        <v>0</v>
      </c>
      <c r="R116" s="381">
        <f t="shared" si="39"/>
        <v>0</v>
      </c>
      <c r="S116" s="382"/>
      <c r="T116" s="381"/>
      <c r="U116" s="624"/>
      <c r="V116" s="569">
        <f t="shared" si="46"/>
        <v>0</v>
      </c>
      <c r="W116" s="607"/>
      <c r="X116" s="383"/>
      <c r="Y116" s="607"/>
      <c r="Z116" s="383"/>
      <c r="AA116" s="607"/>
      <c r="AB116" s="718"/>
      <c r="AC116" s="335"/>
      <c r="AD116" s="383">
        <f>SUMIF('Asesorías AG anterior'!$B$7:$B$239,B116,'Asesorías AG anterior'!$I$7:$I$239)</f>
        <v>1E-3</v>
      </c>
      <c r="AE116" s="383">
        <f>SUMIF('Asesorías AG anterior'!$B$7:$B$239,B116,'Asesorías AG anterior'!$J$7:$J$239)</f>
        <v>0</v>
      </c>
      <c r="AF116" s="383">
        <f>SUMIF('Asesorías AG anterior'!$B$7:$B$239,B116,'Asesorías AG anterior'!$K$7:$K$239)</f>
        <v>1E-3</v>
      </c>
      <c r="AG116" s="383">
        <f>SUMIF('Asesorías AG anterior'!$B$7:$B$239,B116,'Asesorías AG anterior'!$L$7:$L$239)</f>
        <v>0</v>
      </c>
      <c r="AH116" s="383">
        <f>SUMIF('Asesorías AG anterior'!$B$7:$B$239,B116,'Asesorías AG anterior'!$M$7:$M$239)</f>
        <v>0</v>
      </c>
      <c r="AI116" s="383">
        <f>SUMIF('Asesorías AG anterior'!$B$7:$B$239,B116,'Asesorías AG anterior'!$N$7:$N$239)</f>
        <v>0</v>
      </c>
      <c r="AJ116" s="383">
        <f>SUMIF('Asesorías AG anterior'!$B$7:$B$239,B116,'Asesorías AG anterior'!$O$7:$O$239)</f>
        <v>1E-3</v>
      </c>
      <c r="AK116" s="383">
        <f>SUMIF('Asesorías AG anterior'!$B$7:$B$239,B116,'Asesorías AG anterior'!$P$7:$P$239)</f>
        <v>0</v>
      </c>
      <c r="AL116" s="383">
        <f>SUMIF('Asesorías AG anterior'!$B$7:$B$239,B116,'Asesorías AG anterior'!$Q$7:$Q$239)</f>
        <v>0</v>
      </c>
      <c r="AM116" s="383">
        <f>SUMIF('Asesorías AG anterior'!$B$7:$B$239,B116,'Asesorías AG anterior'!$R$7:$R$239)</f>
        <v>0</v>
      </c>
      <c r="AN116" s="383"/>
      <c r="AO116" s="383">
        <f>SUMIF('Asesorías AG anterior'!$B$7:$B$239,B116,'Asesorías AG anterior'!$T$7:$T$239)</f>
        <v>0</v>
      </c>
      <c r="AP116" s="383">
        <f>SUMIF('Asesorías AG anterior'!$B$7:$B$239,B116,'Asesorías AG anterior'!$U$7:$U$239)</f>
        <v>0</v>
      </c>
      <c r="AQ116" s="383">
        <f>SUMIF('Asesorías AG anterior'!$B$7:$B$239,B116,'Asesorías AG anterior'!$V$7:$V$239)</f>
        <v>0</v>
      </c>
      <c r="AR116" s="383">
        <f>SUMIF('Asesorías AG anterior'!$B$7:$B$239,B116,'Asesorías AG anterior'!$W$7:$W$239)</f>
        <v>0</v>
      </c>
      <c r="AS116" s="383">
        <f>SUMIF('Asesorías AG anterior'!$B$7:$B$239,B116,'Asesorías AG anterior'!$X$7:$X$239)</f>
        <v>0</v>
      </c>
      <c r="AT116" s="383">
        <f>SUMIF('Asesorías AG anterior'!$B$7:$B$239,B116,'Asesorías AG anterior'!$Y$7:$Y$239)</f>
        <v>0</v>
      </c>
      <c r="AU116" s="383">
        <f>SUMIF('Asesorías AG anterior'!$B$7:$B$239,B116,'Asesorías AG anterior'!$Z$7:$Z$239)</f>
        <v>0</v>
      </c>
      <c r="AV116" s="383">
        <f>SUMIF('Asesorías AG anterior'!$B$7:$B$239,B116,'Asesorías AG anterior'!$AA$7:$AA$239)</f>
        <v>0</v>
      </c>
      <c r="AW116" s="383">
        <f>SUMIF('Asesorías AG anterior'!$B$7:$B$239,B116,'Asesorías AG anterior'!$AB$7:$AB$239)</f>
        <v>0</v>
      </c>
      <c r="AX116" s="335"/>
      <c r="AZ116" s="1097" t="s">
        <v>243</v>
      </c>
    </row>
    <row r="117" spans="1:55" x14ac:dyDescent="0.2">
      <c r="A117" s="1184"/>
      <c r="B117" s="1097"/>
      <c r="C117" s="1185"/>
      <c r="D117" s="1114"/>
      <c r="E117" s="1520"/>
      <c r="F117" s="1517"/>
      <c r="G117" s="1251"/>
      <c r="H117" s="1240">
        <f t="shared" si="38"/>
        <v>0</v>
      </c>
      <c r="I117" s="1148"/>
      <c r="J117" s="1147"/>
      <c r="K117" s="1146"/>
      <c r="L117" s="1187"/>
      <c r="M117" s="1188"/>
      <c r="N117" s="1189"/>
      <c r="O117" s="1162"/>
      <c r="P117" s="1190"/>
      <c r="Q117" s="1191"/>
      <c r="R117" s="381">
        <f t="shared" si="39"/>
        <v>0</v>
      </c>
      <c r="S117" s="1192"/>
      <c r="T117" s="1138"/>
      <c r="U117" s="1193"/>
      <c r="V117" s="1101"/>
      <c r="W117" s="1194"/>
      <c r="X117" s="1147"/>
      <c r="Y117" s="1194"/>
      <c r="Z117" s="1147"/>
      <c r="AA117" s="1194"/>
      <c r="AB117" s="1195"/>
      <c r="AC117" s="335"/>
      <c r="AD117" s="383">
        <f>SUMIF('Asesorías AG anterior'!$B$7:$B$239,B117,'Asesorías AG anterior'!$I$7:$I$239)</f>
        <v>0</v>
      </c>
      <c r="AE117" s="383">
        <f>SUMIF('Asesorías AG anterior'!$B$7:$B$239,B117,'Asesorías AG anterior'!$J$7:$J$239)</f>
        <v>0</v>
      </c>
      <c r="AF117" s="383">
        <f>SUMIF('Asesorías AG anterior'!$B$7:$B$239,B117,'Asesorías AG anterior'!$K$7:$K$239)</f>
        <v>0</v>
      </c>
      <c r="AG117" s="383">
        <f>SUMIF('Asesorías AG anterior'!$B$7:$B$239,B117,'Asesorías AG anterior'!$L$7:$L$239)</f>
        <v>0</v>
      </c>
      <c r="AH117" s="383">
        <f>SUMIF('Asesorías AG anterior'!$B$7:$B$239,B117,'Asesorías AG anterior'!$M$7:$M$239)</f>
        <v>0</v>
      </c>
      <c r="AI117" s="383">
        <f>SUMIF('Asesorías AG anterior'!$B$7:$B$239,B117,'Asesorías AG anterior'!$N$7:$N$239)</f>
        <v>0</v>
      </c>
      <c r="AJ117" s="383">
        <f>SUMIF('Asesorías AG anterior'!$B$7:$B$239,B117,'Asesorías AG anterior'!$O$7:$O$239)</f>
        <v>0</v>
      </c>
      <c r="AK117" s="383">
        <f>SUMIF('Asesorías AG anterior'!$B$7:$B$239,B117,'Asesorías AG anterior'!$P$7:$P$239)</f>
        <v>0</v>
      </c>
      <c r="AL117" s="383">
        <f>SUMIF('Asesorías AG anterior'!$B$7:$B$239,B117,'Asesorías AG anterior'!$Q$7:$Q$239)</f>
        <v>0</v>
      </c>
      <c r="AM117" s="383">
        <f>SUMIF('Asesorías AG anterior'!$B$7:$B$239,B117,'Asesorías AG anterior'!$R$7:$R$239)</f>
        <v>0</v>
      </c>
      <c r="AN117" s="383"/>
      <c r="AO117" s="383">
        <f>SUMIF('Asesorías AG anterior'!$B$7:$B$239,B117,'Asesorías AG anterior'!$T$7:$T$239)</f>
        <v>0</v>
      </c>
      <c r="AP117" s="383">
        <f>SUMIF('Asesorías AG anterior'!$B$7:$B$239,B117,'Asesorías AG anterior'!$U$7:$U$239)</f>
        <v>0</v>
      </c>
      <c r="AQ117" s="383">
        <f>SUMIF('Asesorías AG anterior'!$B$7:$B$239,B117,'Asesorías AG anterior'!$V$7:$V$239)</f>
        <v>0</v>
      </c>
      <c r="AR117" s="383">
        <f>SUMIF('Asesorías AG anterior'!$B$7:$B$239,B117,'Asesorías AG anterior'!$W$7:$W$239)</f>
        <v>0</v>
      </c>
      <c r="AS117" s="383">
        <f>SUMIF('Asesorías AG anterior'!$B$7:$B$239,B117,'Asesorías AG anterior'!$X$7:$X$239)</f>
        <v>0</v>
      </c>
      <c r="AT117" s="383">
        <f>SUMIF('Asesorías AG anterior'!$B$7:$B$239,B117,'Asesorías AG anterior'!$Y$7:$Y$239)</f>
        <v>0</v>
      </c>
      <c r="AU117" s="383">
        <f>SUMIF('Asesorías AG anterior'!$B$7:$B$239,B117,'Asesorías AG anterior'!$Z$7:$Z$239)</f>
        <v>0</v>
      </c>
      <c r="AV117" s="383">
        <f>SUMIF('Asesorías AG anterior'!$B$7:$B$239,B117,'Asesorías AG anterior'!$AA$7:$AA$239)</f>
        <v>0</v>
      </c>
      <c r="AW117" s="383">
        <f>SUMIF('Asesorías AG anterior'!$B$7:$B$239,B117,'Asesorías AG anterior'!$AB$7:$AB$239)</f>
        <v>0</v>
      </c>
      <c r="AX117" s="335"/>
      <c r="AZ117" s="1097"/>
    </row>
    <row r="118" spans="1:55" ht="25.5" x14ac:dyDescent="0.2">
      <c r="A118" s="1184"/>
      <c r="B118" s="1097"/>
      <c r="C118" s="1185"/>
      <c r="D118" s="1114"/>
      <c r="E118" s="1520"/>
      <c r="F118" s="1517"/>
      <c r="G118" s="1251"/>
      <c r="H118" s="1240" t="e">
        <f t="shared" si="38"/>
        <v>#VALUE!</v>
      </c>
      <c r="I118" s="1148"/>
      <c r="J118" s="1606" t="s">
        <v>853</v>
      </c>
      <c r="K118" s="1606" t="s">
        <v>854</v>
      </c>
      <c r="L118" s="1606" t="s">
        <v>855</v>
      </c>
      <c r="M118" s="1606" t="s">
        <v>856</v>
      </c>
      <c r="N118" s="1606" t="s">
        <v>857</v>
      </c>
      <c r="O118" s="1606" t="s">
        <v>858</v>
      </c>
      <c r="P118" s="1190"/>
      <c r="Q118" s="1191"/>
      <c r="R118" s="381">
        <f t="shared" si="39"/>
        <v>0</v>
      </c>
      <c r="S118" s="1192"/>
      <c r="T118" s="1138"/>
      <c r="U118" s="1193"/>
      <c r="V118" s="1101"/>
      <c r="W118" s="1194"/>
      <c r="X118" s="1147"/>
      <c r="Y118" s="1194"/>
      <c r="Z118" s="1147"/>
      <c r="AA118" s="1194"/>
      <c r="AB118" s="1195"/>
      <c r="AC118" s="335"/>
      <c r="AD118" s="383">
        <f>SUMIF('Asesorías AG anterior'!$B$7:$B$239,B118,'Asesorías AG anterior'!$I$7:$I$239)</f>
        <v>0</v>
      </c>
      <c r="AE118" s="383">
        <f>SUMIF('Asesorías AG anterior'!$B$7:$B$239,B118,'Asesorías AG anterior'!$J$7:$J$239)</f>
        <v>0</v>
      </c>
      <c r="AF118" s="383">
        <f>SUMIF('Asesorías AG anterior'!$B$7:$B$239,B118,'Asesorías AG anterior'!$K$7:$K$239)</f>
        <v>0</v>
      </c>
      <c r="AG118" s="383">
        <f>SUMIF('Asesorías AG anterior'!$B$7:$B$239,B118,'Asesorías AG anterior'!$L$7:$L$239)</f>
        <v>0</v>
      </c>
      <c r="AH118" s="383">
        <f>SUMIF('Asesorías AG anterior'!$B$7:$B$239,B118,'Asesorías AG anterior'!$M$7:$M$239)</f>
        <v>0</v>
      </c>
      <c r="AI118" s="383">
        <f>SUMIF('Asesorías AG anterior'!$B$7:$B$239,B118,'Asesorías AG anterior'!$N$7:$N$239)</f>
        <v>0</v>
      </c>
      <c r="AJ118" s="383">
        <f>SUMIF('Asesorías AG anterior'!$B$7:$B$239,B118,'Asesorías AG anterior'!$O$7:$O$239)</f>
        <v>0</v>
      </c>
      <c r="AK118" s="383">
        <f>SUMIF('Asesorías AG anterior'!$B$7:$B$239,B118,'Asesorías AG anterior'!$P$7:$P$239)</f>
        <v>0</v>
      </c>
      <c r="AL118" s="383">
        <f>SUMIF('Asesorías AG anterior'!$B$7:$B$239,B118,'Asesorías AG anterior'!$Q$7:$Q$239)</f>
        <v>0</v>
      </c>
      <c r="AM118" s="383">
        <f>SUMIF('Asesorías AG anterior'!$B$7:$B$239,B118,'Asesorías AG anterior'!$R$7:$R$239)</f>
        <v>0</v>
      </c>
      <c r="AN118" s="383"/>
      <c r="AO118" s="383">
        <f>SUMIF('Asesorías AG anterior'!$B$7:$B$239,B118,'Asesorías AG anterior'!$T$7:$T$239)</f>
        <v>0</v>
      </c>
      <c r="AP118" s="383">
        <f>SUMIF('Asesorías AG anterior'!$B$7:$B$239,B118,'Asesorías AG anterior'!$U$7:$U$239)</f>
        <v>0</v>
      </c>
      <c r="AQ118" s="383">
        <f>SUMIF('Asesorías AG anterior'!$B$7:$B$239,B118,'Asesorías AG anterior'!$V$7:$V$239)</f>
        <v>0</v>
      </c>
      <c r="AR118" s="383">
        <f>SUMIF('Asesorías AG anterior'!$B$7:$B$239,B118,'Asesorías AG anterior'!$W$7:$W$239)</f>
        <v>0</v>
      </c>
      <c r="AS118" s="383">
        <f>SUMIF('Asesorías AG anterior'!$B$7:$B$239,B118,'Asesorías AG anterior'!$X$7:$X$239)</f>
        <v>0</v>
      </c>
      <c r="AT118" s="383">
        <f>SUMIF('Asesorías AG anterior'!$B$7:$B$239,B118,'Asesorías AG anterior'!$Y$7:$Y$239)</f>
        <v>0</v>
      </c>
      <c r="AU118" s="383">
        <f>SUMIF('Asesorías AG anterior'!$B$7:$B$239,B118,'Asesorías AG anterior'!$Z$7:$Z$239)</f>
        <v>0</v>
      </c>
      <c r="AV118" s="383">
        <f>SUMIF('Asesorías AG anterior'!$B$7:$B$239,B118,'Asesorías AG anterior'!$AA$7:$AA$239)</f>
        <v>0</v>
      </c>
      <c r="AW118" s="383">
        <f>SUMIF('Asesorías AG anterior'!$B$7:$B$239,B118,'Asesorías AG anterior'!$AB$7:$AB$239)</f>
        <v>0</v>
      </c>
      <c r="AX118" s="335"/>
      <c r="AZ118" s="1097"/>
    </row>
    <row r="119" spans="1:55" ht="35.25" customHeight="1" x14ac:dyDescent="0.2">
      <c r="A119" s="1184">
        <f>+A116+1</f>
        <v>111</v>
      </c>
      <c r="B119" s="1137" t="s">
        <v>735</v>
      </c>
      <c r="C119" s="1185">
        <f>_xlfn.XLOOKUP(B119,Códigos!$B$8:$B$406,Códigos!$A$8:$A$406,"Verificar",0)</f>
        <v>29</v>
      </c>
      <c r="D119" s="1114">
        <f>_xlfn.XLOOKUP(B119,'Consolidado Cobros'!$B$10:$B$312,'Consolidado Cobros'!$C$10:$C$312,"Verificar",0)</f>
        <v>890924327</v>
      </c>
      <c r="E119" s="1520">
        <f t="shared" si="40"/>
        <v>8</v>
      </c>
      <c r="F119" s="1517">
        <f t="shared" ref="F119" si="48">+IF(H119&gt;0,H119,0)</f>
        <v>0</v>
      </c>
      <c r="G119" s="1251">
        <f t="shared" ref="G119" si="49">+IF(V119&gt;0,V119,0)</f>
        <v>0</v>
      </c>
      <c r="H119" s="1240">
        <f t="shared" si="38"/>
        <v>0</v>
      </c>
      <c r="I119" s="1148"/>
      <c r="J119" s="383">
        <f t="shared" ref="J119" si="50">+(AE119/AD119*(100%+$J$4))*I119</f>
        <v>0</v>
      </c>
      <c r="K119" s="712"/>
      <c r="L119" s="487">
        <f t="shared" ref="L119" si="51">+(AG119/AF119*(100%+$J$4))*K119</f>
        <v>0</v>
      </c>
      <c r="M119" s="927"/>
      <c r="N119" s="672">
        <v>0</v>
      </c>
      <c r="O119" s="660"/>
      <c r="P119" s="1092">
        <f t="shared" ref="P119" si="52">ROUND(IF(O119="SI",AK119*(100%+$P$4),0),-4)</f>
        <v>0</v>
      </c>
      <c r="Q119" s="1093">
        <v>0</v>
      </c>
      <c r="R119" s="381">
        <f t="shared" si="39"/>
        <v>0</v>
      </c>
      <c r="S119" s="382"/>
      <c r="T119" s="381"/>
      <c r="U119" s="624"/>
      <c r="V119" s="569">
        <f t="shared" ref="V119" si="53">+X119+Z119+AB119</f>
        <v>0</v>
      </c>
      <c r="W119" s="607"/>
      <c r="X119" s="383"/>
      <c r="Y119" s="607"/>
      <c r="Z119" s="383"/>
      <c r="AA119" s="607"/>
      <c r="AB119" s="718"/>
      <c r="AC119" s="335"/>
      <c r="AD119" s="383">
        <f>SUMIF('Asesorías AG anterior'!$B$7:$B$239,B119,'Asesorías AG anterior'!$I$7:$I$239)</f>
        <v>1E-3</v>
      </c>
      <c r="AE119" s="383">
        <f>SUMIF('Asesorías AG anterior'!$B$7:$B$239,B119,'Asesorías AG anterior'!$J$7:$J$239)</f>
        <v>12000000</v>
      </c>
      <c r="AF119" s="383">
        <f>SUMIF('Asesorías AG anterior'!$B$7:$B$239,B119,'Asesorías AG anterior'!$K$7:$K$239)</f>
        <v>12600000</v>
      </c>
      <c r="AG119" s="383">
        <f>SUMIF('Asesorías AG anterior'!$B$7:$B$239,B119,'Asesorías AG anterior'!$L$7:$L$239)</f>
        <v>13230000</v>
      </c>
      <c r="AH119" s="383">
        <f>SUMIF('Asesorías AG anterior'!$B$7:$B$239,B119,'Asesorías AG anterior'!$M$7:$M$239)</f>
        <v>13891500</v>
      </c>
      <c r="AI119" s="383">
        <f>SUMIF('Asesorías AG anterior'!$B$7:$B$239,B119,'Asesorías AG anterior'!$N$7:$N$239)</f>
        <v>14586075</v>
      </c>
      <c r="AJ119" s="383">
        <f>SUMIF('Asesorías AG anterior'!$B$7:$B$239,B119,'Asesorías AG anterior'!$O$7:$O$239)</f>
        <v>15315378.75</v>
      </c>
      <c r="AK119" s="383">
        <f>SUMIF('Asesorías AG anterior'!$B$7:$B$239,B119,'Asesorías AG anterior'!$P$7:$P$239)</f>
        <v>0</v>
      </c>
      <c r="AL119" s="383">
        <f>SUMIF('Asesorías AG anterior'!$B$7:$B$239,B119,'Asesorías AG anterior'!$Q$7:$Q$239)</f>
        <v>15600000</v>
      </c>
      <c r="AM119" s="383">
        <f>SUMIF('Asesorías AG anterior'!$B$7:$B$239,B119,'Asesorías AG anterior'!$R$7:$R$239)</f>
        <v>25000000</v>
      </c>
      <c r="AN119" s="383"/>
      <c r="AO119" s="383">
        <f>SUMIF('Asesorías AG anterior'!$B$7:$B$239,B119,'Asesorías AG anterior'!$T$7:$T$239)</f>
        <v>0</v>
      </c>
      <c r="AP119" s="383">
        <f>SUMIF('Asesorías AG anterior'!$B$7:$B$239,B119,'Asesorías AG anterior'!$U$7:$U$239)</f>
        <v>0</v>
      </c>
      <c r="AQ119" s="383">
        <f>SUMIF('Asesorías AG anterior'!$B$7:$B$239,B119,'Asesorías AG anterior'!$V$7:$V$239)</f>
        <v>0</v>
      </c>
      <c r="AR119" s="383">
        <f>SUMIF('Asesorías AG anterior'!$B$7:$B$239,B119,'Asesorías AG anterior'!$W$7:$W$239)</f>
        <v>0</v>
      </c>
      <c r="AS119" s="383">
        <f>SUMIF('Asesorías AG anterior'!$B$7:$B$239,B119,'Asesorías AG anterior'!$X$7:$X$239)</f>
        <v>0</v>
      </c>
      <c r="AT119" s="383">
        <f>SUMIF('Asesorías AG anterior'!$B$7:$B$239,B119,'Asesorías AG anterior'!$Y$7:$Y$239)</f>
        <v>0</v>
      </c>
      <c r="AU119" s="383">
        <f>SUMIF('Asesorías AG anterior'!$B$7:$B$239,B119,'Asesorías AG anterior'!$Z$7:$Z$239)</f>
        <v>0</v>
      </c>
      <c r="AV119" s="383">
        <f>SUMIF('Asesorías AG anterior'!$B$7:$B$239,B119,'Asesorías AG anterior'!$AA$7:$AA$239)</f>
        <v>0</v>
      </c>
      <c r="AW119" s="383">
        <f>SUMIF('Asesorías AG anterior'!$B$7:$B$239,B119,'Asesorías AG anterior'!$AB$7:$AB$239)</f>
        <v>0</v>
      </c>
      <c r="AX119" s="335"/>
      <c r="AZ119" s="1137" t="s">
        <v>735</v>
      </c>
      <c r="BA119" s="291">
        <f>SUM(J119:O119)</f>
        <v>0</v>
      </c>
      <c r="BB119" s="291">
        <f>+BA119/6</f>
        <v>0</v>
      </c>
      <c r="BC119" s="291">
        <f>+BB119/12</f>
        <v>0</v>
      </c>
    </row>
    <row r="120" spans="1:55" ht="25.5" x14ac:dyDescent="0.2">
      <c r="A120" s="1184">
        <f t="shared" si="37"/>
        <v>112</v>
      </c>
      <c r="B120" s="1137" t="s">
        <v>189</v>
      </c>
      <c r="C120" s="1185">
        <f>_xlfn.XLOOKUP(B120,Códigos!$B$8:$B$406,Códigos!$A$8:$A$406,"Verificar",0)</f>
        <v>31</v>
      </c>
      <c r="D120" s="1114">
        <f>_xlfn.XLOOKUP(B120,'Consolidado Cobros'!$B$10:$B$312,'Consolidado Cobros'!$C$10:$C$312,"Verificar",0)</f>
        <v>890927723</v>
      </c>
      <c r="E120" s="1520">
        <f t="shared" si="40"/>
        <v>5</v>
      </c>
      <c r="F120" s="1517">
        <f t="shared" si="41"/>
        <v>0</v>
      </c>
      <c r="G120" s="1251">
        <f t="shared" si="42"/>
        <v>0</v>
      </c>
      <c r="H120" s="1240">
        <f t="shared" si="38"/>
        <v>0</v>
      </c>
      <c r="I120" s="1148"/>
      <c r="J120" s="383">
        <f t="shared" si="43"/>
        <v>0</v>
      </c>
      <c r="K120" s="712"/>
      <c r="L120" s="487">
        <f t="shared" si="44"/>
        <v>0</v>
      </c>
      <c r="M120" s="927"/>
      <c r="N120" s="672">
        <v>0</v>
      </c>
      <c r="O120" s="660"/>
      <c r="P120" s="1092">
        <f t="shared" si="45"/>
        <v>0</v>
      </c>
      <c r="Q120" s="1093">
        <v>0</v>
      </c>
      <c r="R120" s="381">
        <f t="shared" si="39"/>
        <v>0</v>
      </c>
      <c r="S120" s="382"/>
      <c r="T120" s="381"/>
      <c r="U120" s="624"/>
      <c r="V120" s="569">
        <f t="shared" si="46"/>
        <v>0</v>
      </c>
      <c r="W120" s="607"/>
      <c r="X120" s="383"/>
      <c r="Y120" s="607"/>
      <c r="Z120" s="383"/>
      <c r="AA120" s="607"/>
      <c r="AB120" s="718"/>
      <c r="AC120" s="335"/>
      <c r="AD120" s="383">
        <f>SUMIF('Asesorías AG anterior'!$B$7:$B$239,B120,'Asesorías AG anterior'!$I$7:$I$239)</f>
        <v>1E-3</v>
      </c>
      <c r="AE120" s="383">
        <f>SUMIF('Asesorías AG anterior'!$B$7:$B$239,B120,'Asesorías AG anterior'!$J$7:$J$239)</f>
        <v>0</v>
      </c>
      <c r="AF120" s="383">
        <f>SUMIF('Asesorías AG anterior'!$B$7:$B$239,B120,'Asesorías AG anterior'!$K$7:$K$239)</f>
        <v>1E-3</v>
      </c>
      <c r="AG120" s="383">
        <f>SUMIF('Asesorías AG anterior'!$B$7:$B$239,B120,'Asesorías AG anterior'!$L$7:$L$239)</f>
        <v>0</v>
      </c>
      <c r="AH120" s="383">
        <f>SUMIF('Asesorías AG anterior'!$B$7:$B$239,B120,'Asesorías AG anterior'!$M$7:$M$239)</f>
        <v>0</v>
      </c>
      <c r="AI120" s="383">
        <f>SUMIF('Asesorías AG anterior'!$B$7:$B$239,B120,'Asesorías AG anterior'!$N$7:$N$239)</f>
        <v>0</v>
      </c>
      <c r="AJ120" s="383">
        <f>SUMIF('Asesorías AG anterior'!$B$7:$B$239,B120,'Asesorías AG anterior'!$O$7:$O$239)</f>
        <v>1E-3</v>
      </c>
      <c r="AK120" s="383">
        <f>SUMIF('Asesorías AG anterior'!$B$7:$B$239,B120,'Asesorías AG anterior'!$P$7:$P$239)</f>
        <v>0</v>
      </c>
      <c r="AL120" s="383">
        <f>SUMIF('Asesorías AG anterior'!$B$7:$B$239,B120,'Asesorías AG anterior'!$Q$7:$Q$239)</f>
        <v>0</v>
      </c>
      <c r="AM120" s="383">
        <f>SUMIF('Asesorías AG anterior'!$B$7:$B$239,B120,'Asesorías AG anterior'!$R$7:$R$239)</f>
        <v>0</v>
      </c>
      <c r="AN120" s="383"/>
      <c r="AO120" s="383">
        <f>SUMIF('Asesorías AG anterior'!$B$7:$B$239,B120,'Asesorías AG anterior'!$T$7:$T$239)</f>
        <v>0</v>
      </c>
      <c r="AP120" s="383">
        <f>SUMIF('Asesorías AG anterior'!$B$7:$B$239,B120,'Asesorías AG anterior'!$U$7:$U$239)</f>
        <v>0</v>
      </c>
      <c r="AQ120" s="383">
        <f>SUMIF('Asesorías AG anterior'!$B$7:$B$239,B120,'Asesorías AG anterior'!$V$7:$V$239)</f>
        <v>0</v>
      </c>
      <c r="AR120" s="383">
        <f>SUMIF('Asesorías AG anterior'!$B$7:$B$239,B120,'Asesorías AG anterior'!$W$7:$W$239)</f>
        <v>0</v>
      </c>
      <c r="AS120" s="383">
        <f>SUMIF('Asesorías AG anterior'!$B$7:$B$239,B120,'Asesorías AG anterior'!$X$7:$X$239)</f>
        <v>0</v>
      </c>
      <c r="AT120" s="383">
        <f>SUMIF('Asesorías AG anterior'!$B$7:$B$239,B120,'Asesorías AG anterior'!$Y$7:$Y$239)</f>
        <v>0</v>
      </c>
      <c r="AU120" s="383">
        <f>SUMIF('Asesorías AG anterior'!$B$7:$B$239,B120,'Asesorías AG anterior'!$Z$7:$Z$239)</f>
        <v>0</v>
      </c>
      <c r="AV120" s="383">
        <f>SUMIF('Asesorías AG anterior'!$B$7:$B$239,B120,'Asesorías AG anterior'!$AA$7:$AA$239)</f>
        <v>0</v>
      </c>
      <c r="AW120" s="383">
        <f>SUMIF('Asesorías AG anterior'!$B$7:$B$239,B120,'Asesorías AG anterior'!$AB$7:$AB$239)</f>
        <v>0</v>
      </c>
      <c r="AX120" s="335"/>
      <c r="AZ120" s="1137" t="s">
        <v>189</v>
      </c>
    </row>
    <row r="121" spans="1:55" x14ac:dyDescent="0.2">
      <c r="A121" s="1184">
        <f t="shared" si="37"/>
        <v>113</v>
      </c>
      <c r="B121" s="1097" t="s">
        <v>83</v>
      </c>
      <c r="C121" s="1185">
        <f>_xlfn.XLOOKUP(B121,Códigos!$B$8:$B$406,Códigos!$A$8:$A$406,"Verificar",0)</f>
        <v>122</v>
      </c>
      <c r="D121" s="1114">
        <f>_xlfn.XLOOKUP(B121,'Consolidado Cobros'!$B$10:$B$312,'Consolidado Cobros'!$C$10:$C$312,"Verificar",0)</f>
        <v>21331840</v>
      </c>
      <c r="E121" s="1520">
        <f t="shared" si="40"/>
        <v>7</v>
      </c>
      <c r="F121" s="1517">
        <f t="shared" si="41"/>
        <v>0</v>
      </c>
      <c r="G121" s="1251">
        <f t="shared" si="42"/>
        <v>0</v>
      </c>
      <c r="H121" s="1240">
        <f t="shared" si="38"/>
        <v>0</v>
      </c>
      <c r="I121" s="1148"/>
      <c r="J121" s="383">
        <f t="shared" si="43"/>
        <v>0</v>
      </c>
      <c r="K121" s="712"/>
      <c r="L121" s="487">
        <f t="shared" si="44"/>
        <v>0</v>
      </c>
      <c r="M121" s="927"/>
      <c r="N121" s="672">
        <v>0</v>
      </c>
      <c r="O121" s="660"/>
      <c r="P121" s="1092">
        <f t="shared" si="45"/>
        <v>0</v>
      </c>
      <c r="Q121" s="1093">
        <v>0</v>
      </c>
      <c r="R121" s="381">
        <f t="shared" si="39"/>
        <v>0</v>
      </c>
      <c r="S121" s="382"/>
      <c r="T121" s="381"/>
      <c r="U121" s="624"/>
      <c r="V121" s="569">
        <f t="shared" si="46"/>
        <v>0</v>
      </c>
      <c r="W121" s="607"/>
      <c r="X121" s="383"/>
      <c r="Y121" s="607"/>
      <c r="Z121" s="383"/>
      <c r="AA121" s="607"/>
      <c r="AB121" s="718"/>
      <c r="AC121" s="335"/>
      <c r="AD121" s="383">
        <f>SUMIF('Asesorías AG anterior'!$B$7:$B$239,B121,'Asesorías AG anterior'!$I$7:$I$239)</f>
        <v>1E-3</v>
      </c>
      <c r="AE121" s="383">
        <f>SUMIF('Asesorías AG anterior'!$B$7:$B$239,B121,'Asesorías AG anterior'!$J$7:$J$239)</f>
        <v>0</v>
      </c>
      <c r="AF121" s="383">
        <f>SUMIF('Asesorías AG anterior'!$B$7:$B$239,B121,'Asesorías AG anterior'!$K$7:$K$239)</f>
        <v>1E-3</v>
      </c>
      <c r="AG121" s="383">
        <f>SUMIF('Asesorías AG anterior'!$B$7:$B$239,B121,'Asesorías AG anterior'!$L$7:$L$239)</f>
        <v>0</v>
      </c>
      <c r="AH121" s="383">
        <f>SUMIF('Asesorías AG anterior'!$B$7:$B$239,B121,'Asesorías AG anterior'!$M$7:$M$239)</f>
        <v>0</v>
      </c>
      <c r="AI121" s="383">
        <f>SUMIF('Asesorías AG anterior'!$B$7:$B$239,B121,'Asesorías AG anterior'!$N$7:$N$239)</f>
        <v>0</v>
      </c>
      <c r="AJ121" s="383">
        <f>SUMIF('Asesorías AG anterior'!$B$7:$B$239,B121,'Asesorías AG anterior'!$O$7:$O$239)</f>
        <v>1E-3</v>
      </c>
      <c r="AK121" s="383">
        <f>SUMIF('Asesorías AG anterior'!$B$7:$B$239,B121,'Asesorías AG anterior'!$P$7:$P$239)</f>
        <v>0</v>
      </c>
      <c r="AL121" s="383">
        <f>SUMIF('Asesorías AG anterior'!$B$7:$B$239,B121,'Asesorías AG anterior'!$Q$7:$Q$239)</f>
        <v>0</v>
      </c>
      <c r="AM121" s="383">
        <f>SUMIF('Asesorías AG anterior'!$B$7:$B$239,B121,'Asesorías AG anterior'!$R$7:$R$239)</f>
        <v>0</v>
      </c>
      <c r="AN121" s="383"/>
      <c r="AO121" s="383">
        <f>SUMIF('Asesorías AG anterior'!$B$7:$B$239,B121,'Asesorías AG anterior'!$T$7:$T$239)</f>
        <v>0</v>
      </c>
      <c r="AP121" s="383">
        <f>SUMIF('Asesorías AG anterior'!$B$7:$B$239,B121,'Asesorías AG anterior'!$U$7:$U$239)</f>
        <v>0</v>
      </c>
      <c r="AQ121" s="383">
        <f>SUMIF('Asesorías AG anterior'!$B$7:$B$239,B121,'Asesorías AG anterior'!$V$7:$V$239)</f>
        <v>0</v>
      </c>
      <c r="AR121" s="383">
        <f>SUMIF('Asesorías AG anterior'!$B$7:$B$239,B121,'Asesorías AG anterior'!$W$7:$W$239)</f>
        <v>0</v>
      </c>
      <c r="AS121" s="383">
        <f>SUMIF('Asesorías AG anterior'!$B$7:$B$239,B121,'Asesorías AG anterior'!$X$7:$X$239)</f>
        <v>0</v>
      </c>
      <c r="AT121" s="383">
        <f>SUMIF('Asesorías AG anterior'!$B$7:$B$239,B121,'Asesorías AG anterior'!$Y$7:$Y$239)</f>
        <v>0</v>
      </c>
      <c r="AU121" s="383">
        <f>SUMIF('Asesorías AG anterior'!$B$7:$B$239,B121,'Asesorías AG anterior'!$Z$7:$Z$239)</f>
        <v>0</v>
      </c>
      <c r="AV121" s="383">
        <f>SUMIF('Asesorías AG anterior'!$B$7:$B$239,B121,'Asesorías AG anterior'!$AA$7:$AA$239)</f>
        <v>0</v>
      </c>
      <c r="AW121" s="383">
        <f>SUMIF('Asesorías AG anterior'!$B$7:$B$239,B121,'Asesorías AG anterior'!$AB$7:$AB$239)</f>
        <v>0</v>
      </c>
      <c r="AX121" s="335"/>
      <c r="AZ121" s="1097" t="s">
        <v>83</v>
      </c>
    </row>
    <row r="122" spans="1:55" x14ac:dyDescent="0.2">
      <c r="A122" s="1184">
        <f t="shared" si="37"/>
        <v>114</v>
      </c>
      <c r="B122" s="1097" t="s">
        <v>400</v>
      </c>
      <c r="C122" s="1185">
        <f>_xlfn.XLOOKUP(B122,Códigos!$B$8:$B$406,Códigos!$A$8:$A$406,"Verificar",0)</f>
        <v>58</v>
      </c>
      <c r="D122" s="1114">
        <f>_xlfn.XLOOKUP(B122,'Consolidado Cobros'!$B$10:$B$312,'Consolidado Cobros'!$C$10:$C$312,"Verificar",0)</f>
        <v>1036609920</v>
      </c>
      <c r="E122" s="1520">
        <f t="shared" si="40"/>
        <v>9</v>
      </c>
      <c r="F122" s="1517">
        <f t="shared" si="41"/>
        <v>0</v>
      </c>
      <c r="G122" s="1251">
        <f t="shared" si="42"/>
        <v>0</v>
      </c>
      <c r="H122" s="1240">
        <f t="shared" si="38"/>
        <v>0</v>
      </c>
      <c r="I122" s="1148"/>
      <c r="J122" s="383">
        <f t="shared" si="43"/>
        <v>0</v>
      </c>
      <c r="K122" s="712"/>
      <c r="L122" s="487">
        <f t="shared" si="44"/>
        <v>0</v>
      </c>
      <c r="M122" s="927"/>
      <c r="N122" s="672">
        <v>0</v>
      </c>
      <c r="O122" s="660"/>
      <c r="P122" s="1092">
        <f t="shared" si="45"/>
        <v>0</v>
      </c>
      <c r="Q122" s="1093">
        <v>0</v>
      </c>
      <c r="R122" s="381">
        <f t="shared" si="39"/>
        <v>0</v>
      </c>
      <c r="S122" s="382"/>
      <c r="T122" s="381"/>
      <c r="U122" s="624"/>
      <c r="V122" s="569">
        <f t="shared" si="46"/>
        <v>0</v>
      </c>
      <c r="W122" s="607"/>
      <c r="X122" s="383"/>
      <c r="Y122" s="607"/>
      <c r="Z122" s="383"/>
      <c r="AA122" s="607"/>
      <c r="AB122" s="718"/>
      <c r="AC122" s="335"/>
      <c r="AD122" s="383">
        <f>SUMIF('Asesorías AG anterior'!$B$7:$B$239,B122,'Asesorías AG anterior'!$I$7:$I$239)</f>
        <v>1E-3</v>
      </c>
      <c r="AE122" s="383">
        <f>SUMIF('Asesorías AG anterior'!$B$7:$B$239,B122,'Asesorías AG anterior'!$J$7:$J$239)</f>
        <v>0</v>
      </c>
      <c r="AF122" s="383">
        <f>SUMIF('Asesorías AG anterior'!$B$7:$B$239,B122,'Asesorías AG anterior'!$K$7:$K$239)</f>
        <v>1E-3</v>
      </c>
      <c r="AG122" s="383">
        <f>SUMIF('Asesorías AG anterior'!$B$7:$B$239,B122,'Asesorías AG anterior'!$L$7:$L$239)</f>
        <v>0</v>
      </c>
      <c r="AH122" s="383">
        <f>SUMIF('Asesorías AG anterior'!$B$7:$B$239,B122,'Asesorías AG anterior'!$M$7:$M$239)</f>
        <v>0</v>
      </c>
      <c r="AI122" s="383">
        <f>SUMIF('Asesorías AG anterior'!$B$7:$B$239,B122,'Asesorías AG anterior'!$N$7:$N$239)</f>
        <v>0</v>
      </c>
      <c r="AJ122" s="383">
        <f>SUMIF('Asesorías AG anterior'!$B$7:$B$239,B122,'Asesorías AG anterior'!$O$7:$O$239)</f>
        <v>1E-3</v>
      </c>
      <c r="AK122" s="383">
        <f>SUMIF('Asesorías AG anterior'!$B$7:$B$239,B122,'Asesorías AG anterior'!$P$7:$P$239)</f>
        <v>0</v>
      </c>
      <c r="AL122" s="383">
        <f>SUMIF('Asesorías AG anterior'!$B$7:$B$239,B122,'Asesorías AG anterior'!$Q$7:$Q$239)</f>
        <v>0</v>
      </c>
      <c r="AM122" s="383">
        <f>SUMIF('Asesorías AG anterior'!$B$7:$B$239,B122,'Asesorías AG anterior'!$R$7:$R$239)</f>
        <v>0</v>
      </c>
      <c r="AN122" s="383"/>
      <c r="AO122" s="383">
        <f>SUMIF('Asesorías AG anterior'!$B$7:$B$239,B122,'Asesorías AG anterior'!$T$7:$T$239)</f>
        <v>0</v>
      </c>
      <c r="AP122" s="383">
        <f>SUMIF('Asesorías AG anterior'!$B$7:$B$239,B122,'Asesorías AG anterior'!$U$7:$U$239)</f>
        <v>0</v>
      </c>
      <c r="AQ122" s="383">
        <f>SUMIF('Asesorías AG anterior'!$B$7:$B$239,B122,'Asesorías AG anterior'!$V$7:$V$239)</f>
        <v>0</v>
      </c>
      <c r="AR122" s="383">
        <f>SUMIF('Asesorías AG anterior'!$B$7:$B$239,B122,'Asesorías AG anterior'!$W$7:$W$239)</f>
        <v>0</v>
      </c>
      <c r="AS122" s="383">
        <f>SUMIF('Asesorías AG anterior'!$B$7:$B$239,B122,'Asesorías AG anterior'!$X$7:$X$239)</f>
        <v>0</v>
      </c>
      <c r="AT122" s="383">
        <f>SUMIF('Asesorías AG anterior'!$B$7:$B$239,B122,'Asesorías AG anterior'!$Y$7:$Y$239)</f>
        <v>0</v>
      </c>
      <c r="AU122" s="383">
        <f>SUMIF('Asesorías AG anterior'!$B$7:$B$239,B122,'Asesorías AG anterior'!$Z$7:$Z$239)</f>
        <v>0</v>
      </c>
      <c r="AV122" s="383">
        <f>SUMIF('Asesorías AG anterior'!$B$7:$B$239,B122,'Asesorías AG anterior'!$AA$7:$AA$239)</f>
        <v>0</v>
      </c>
      <c r="AW122" s="383">
        <f>SUMIF('Asesorías AG anterior'!$B$7:$B$239,B122,'Asesorías AG anterior'!$AB$7:$AB$239)</f>
        <v>0</v>
      </c>
      <c r="AX122" s="335"/>
      <c r="AZ122" s="1097" t="s">
        <v>400</v>
      </c>
    </row>
    <row r="123" spans="1:55" x14ac:dyDescent="0.2">
      <c r="A123" s="1184">
        <f t="shared" si="37"/>
        <v>115</v>
      </c>
      <c r="B123" s="1433" t="s">
        <v>486</v>
      </c>
      <c r="C123" s="1185">
        <f>_xlfn.XLOOKUP(B123,Códigos!$B$8:$B$406,Códigos!$A$8:$A$406,"Verificar",0)</f>
        <v>162</v>
      </c>
      <c r="D123" s="1114">
        <f>_xlfn.XLOOKUP(B123,'Consolidado Cobros'!$B$10:$B$312,'Consolidado Cobros'!$C$10:$C$312,"Verificar",0)</f>
        <v>1040746114</v>
      </c>
      <c r="E123" s="1520">
        <f t="shared" si="40"/>
        <v>1</v>
      </c>
      <c r="F123" s="1517">
        <f t="shared" si="41"/>
        <v>0</v>
      </c>
      <c r="G123" s="1251">
        <f t="shared" si="42"/>
        <v>0</v>
      </c>
      <c r="H123" s="1240">
        <f t="shared" si="38"/>
        <v>0</v>
      </c>
      <c r="I123" s="1148"/>
      <c r="J123" s="383">
        <f t="shared" si="43"/>
        <v>0</v>
      </c>
      <c r="K123" s="712"/>
      <c r="L123" s="487">
        <f t="shared" si="44"/>
        <v>0</v>
      </c>
      <c r="M123" s="927"/>
      <c r="N123" s="672">
        <v>0</v>
      </c>
      <c r="O123" s="660"/>
      <c r="P123" s="1092">
        <f t="shared" si="45"/>
        <v>0</v>
      </c>
      <c r="Q123" s="1093">
        <v>0</v>
      </c>
      <c r="R123" s="381">
        <f t="shared" si="39"/>
        <v>0</v>
      </c>
      <c r="S123" s="382"/>
      <c r="T123" s="381"/>
      <c r="U123" s="624"/>
      <c r="V123" s="569">
        <f t="shared" si="46"/>
        <v>0</v>
      </c>
      <c r="W123" s="607"/>
      <c r="X123" s="383"/>
      <c r="Y123" s="607"/>
      <c r="Z123" s="383"/>
      <c r="AA123" s="607"/>
      <c r="AB123" s="718"/>
      <c r="AC123" s="335"/>
      <c r="AD123" s="383">
        <f>SUMIF('Asesorías AG anterior'!$B$7:$B$239,B123,'Asesorías AG anterior'!$I$7:$I$239)</f>
        <v>1E-3</v>
      </c>
      <c r="AE123" s="383">
        <f>SUMIF('Asesorías AG anterior'!$B$7:$B$239,B123,'Asesorías AG anterior'!$J$7:$J$239)</f>
        <v>0</v>
      </c>
      <c r="AF123" s="383">
        <f>SUMIF('Asesorías AG anterior'!$B$7:$B$239,B123,'Asesorías AG anterior'!$K$7:$K$239)</f>
        <v>1E-3</v>
      </c>
      <c r="AG123" s="383">
        <f>SUMIF('Asesorías AG anterior'!$B$7:$B$239,B123,'Asesorías AG anterior'!$L$7:$L$239)</f>
        <v>0</v>
      </c>
      <c r="AH123" s="383">
        <f>SUMIF('Asesorías AG anterior'!$B$7:$B$239,B123,'Asesorías AG anterior'!$M$7:$M$239)</f>
        <v>0</v>
      </c>
      <c r="AI123" s="383">
        <f>SUMIF('Asesorías AG anterior'!$B$7:$B$239,B123,'Asesorías AG anterior'!$N$7:$N$239)</f>
        <v>0</v>
      </c>
      <c r="AJ123" s="383">
        <f>SUMIF('Asesorías AG anterior'!$B$7:$B$239,B123,'Asesorías AG anterior'!$O$7:$O$239)</f>
        <v>1E-3</v>
      </c>
      <c r="AK123" s="383">
        <f>SUMIF('Asesorías AG anterior'!$B$7:$B$239,B123,'Asesorías AG anterior'!$P$7:$P$239)</f>
        <v>0</v>
      </c>
      <c r="AL123" s="383">
        <f>SUMIF('Asesorías AG anterior'!$B$7:$B$239,B123,'Asesorías AG anterior'!$Q$7:$Q$239)</f>
        <v>0</v>
      </c>
      <c r="AM123" s="383">
        <f>SUMIF('Asesorías AG anterior'!$B$7:$B$239,B123,'Asesorías AG anterior'!$R$7:$R$239)</f>
        <v>0</v>
      </c>
      <c r="AN123" s="383"/>
      <c r="AO123" s="383">
        <f>SUMIF('Asesorías AG anterior'!$B$7:$B$239,B123,'Asesorías AG anterior'!$T$7:$T$239)</f>
        <v>0</v>
      </c>
      <c r="AP123" s="383">
        <f>SUMIF('Asesorías AG anterior'!$B$7:$B$239,B123,'Asesorías AG anterior'!$U$7:$U$239)</f>
        <v>0</v>
      </c>
      <c r="AQ123" s="383">
        <f>SUMIF('Asesorías AG anterior'!$B$7:$B$239,B123,'Asesorías AG anterior'!$V$7:$V$239)</f>
        <v>0</v>
      </c>
      <c r="AR123" s="383">
        <f>SUMIF('Asesorías AG anterior'!$B$7:$B$239,B123,'Asesorías AG anterior'!$W$7:$W$239)</f>
        <v>0</v>
      </c>
      <c r="AS123" s="383">
        <f>SUMIF('Asesorías AG anterior'!$B$7:$B$239,B123,'Asesorías AG anterior'!$X$7:$X$239)</f>
        <v>0</v>
      </c>
      <c r="AT123" s="383">
        <f>SUMIF('Asesorías AG anterior'!$B$7:$B$239,B123,'Asesorías AG anterior'!$Y$7:$Y$239)</f>
        <v>0</v>
      </c>
      <c r="AU123" s="383">
        <f>SUMIF('Asesorías AG anterior'!$B$7:$B$239,B123,'Asesorías AG anterior'!$Z$7:$Z$239)</f>
        <v>0</v>
      </c>
      <c r="AV123" s="383">
        <f>SUMIF('Asesorías AG anterior'!$B$7:$B$239,B123,'Asesorías AG anterior'!$AA$7:$AA$239)</f>
        <v>0</v>
      </c>
      <c r="AW123" s="383">
        <f>SUMIF('Asesorías AG anterior'!$B$7:$B$239,B123,'Asesorías AG anterior'!$AB$7:$AB$239)</f>
        <v>0</v>
      </c>
      <c r="AX123" s="335"/>
      <c r="AZ123" s="1433" t="s">
        <v>486</v>
      </c>
    </row>
    <row r="124" spans="1:55" x14ac:dyDescent="0.2">
      <c r="A124" s="1184">
        <f t="shared" si="37"/>
        <v>116</v>
      </c>
      <c r="B124" s="1491" t="s">
        <v>354</v>
      </c>
      <c r="C124" s="1185">
        <f>_xlfn.XLOOKUP(B124,Códigos!$B$8:$B$406,Códigos!$A$8:$A$406,"Verificar",0)</f>
        <v>123</v>
      </c>
      <c r="D124" s="1114">
        <f>_xlfn.XLOOKUP(B124,'Consolidado Cobros'!$B$10:$B$312,'Consolidado Cobros'!$C$10:$C$312,"Verificar",0)</f>
        <v>71587495</v>
      </c>
      <c r="E124" s="1520">
        <f t="shared" si="40"/>
        <v>1</v>
      </c>
      <c r="F124" s="1517">
        <f t="shared" si="41"/>
        <v>0</v>
      </c>
      <c r="G124" s="1251">
        <f t="shared" si="42"/>
        <v>0</v>
      </c>
      <c r="H124" s="1240">
        <f t="shared" si="38"/>
        <v>0</v>
      </c>
      <c r="I124" s="1148"/>
      <c r="J124" s="383">
        <f t="shared" si="43"/>
        <v>0</v>
      </c>
      <c r="K124" s="712"/>
      <c r="L124" s="487">
        <f t="shared" si="44"/>
        <v>0</v>
      </c>
      <c r="M124" s="927"/>
      <c r="N124" s="672">
        <v>0</v>
      </c>
      <c r="O124" s="660"/>
      <c r="P124" s="1092">
        <f t="shared" si="45"/>
        <v>0</v>
      </c>
      <c r="Q124" s="1093">
        <v>0</v>
      </c>
      <c r="R124" s="381">
        <f t="shared" si="39"/>
        <v>0</v>
      </c>
      <c r="S124" s="382"/>
      <c r="T124" s="381"/>
      <c r="U124" s="624"/>
      <c r="V124" s="569">
        <f t="shared" si="46"/>
        <v>0</v>
      </c>
      <c r="W124" s="607"/>
      <c r="X124" s="383"/>
      <c r="Y124" s="607"/>
      <c r="Z124" s="383"/>
      <c r="AA124" s="607"/>
      <c r="AB124" s="718"/>
      <c r="AC124" s="335"/>
      <c r="AD124" s="383">
        <f>SUMIF('Asesorías AG anterior'!$B$7:$B$239,B124,'Asesorías AG anterior'!$I$7:$I$239)</f>
        <v>1E-3</v>
      </c>
      <c r="AE124" s="383">
        <f>SUMIF('Asesorías AG anterior'!$B$7:$B$239,B124,'Asesorías AG anterior'!$J$7:$J$239)</f>
        <v>0</v>
      </c>
      <c r="AF124" s="383">
        <f>SUMIF('Asesorías AG anterior'!$B$7:$B$239,B124,'Asesorías AG anterior'!$K$7:$K$239)</f>
        <v>1E-3</v>
      </c>
      <c r="AG124" s="383">
        <f>SUMIF('Asesorías AG anterior'!$B$7:$B$239,B124,'Asesorías AG anterior'!$L$7:$L$239)</f>
        <v>0</v>
      </c>
      <c r="AH124" s="383">
        <f>SUMIF('Asesorías AG anterior'!$B$7:$B$239,B124,'Asesorías AG anterior'!$M$7:$M$239)</f>
        <v>0</v>
      </c>
      <c r="AI124" s="383">
        <f>SUMIF('Asesorías AG anterior'!$B$7:$B$239,B124,'Asesorías AG anterior'!$N$7:$N$239)</f>
        <v>0</v>
      </c>
      <c r="AJ124" s="383">
        <f>SUMIF('Asesorías AG anterior'!$B$7:$B$239,B124,'Asesorías AG anterior'!$O$7:$O$239)</f>
        <v>1E-3</v>
      </c>
      <c r="AK124" s="383">
        <f>SUMIF('Asesorías AG anterior'!$B$7:$B$239,B124,'Asesorías AG anterior'!$P$7:$P$239)</f>
        <v>0</v>
      </c>
      <c r="AL124" s="383">
        <f>SUMIF('Asesorías AG anterior'!$B$7:$B$239,B124,'Asesorías AG anterior'!$Q$7:$Q$239)</f>
        <v>0</v>
      </c>
      <c r="AM124" s="383">
        <f>SUMIF('Asesorías AG anterior'!$B$7:$B$239,B124,'Asesorías AG anterior'!$R$7:$R$239)</f>
        <v>0</v>
      </c>
      <c r="AN124" s="383"/>
      <c r="AO124" s="383">
        <f>SUMIF('Asesorías AG anterior'!$B$7:$B$239,B124,'Asesorías AG anterior'!$T$7:$T$239)</f>
        <v>0</v>
      </c>
      <c r="AP124" s="383">
        <f>SUMIF('Asesorías AG anterior'!$B$7:$B$239,B124,'Asesorías AG anterior'!$U$7:$U$239)</f>
        <v>0</v>
      </c>
      <c r="AQ124" s="383">
        <f>SUMIF('Asesorías AG anterior'!$B$7:$B$239,B124,'Asesorías AG anterior'!$V$7:$V$239)</f>
        <v>0</v>
      </c>
      <c r="AR124" s="383">
        <f>SUMIF('Asesorías AG anterior'!$B$7:$B$239,B124,'Asesorías AG anterior'!$W$7:$W$239)</f>
        <v>0</v>
      </c>
      <c r="AS124" s="383">
        <f>SUMIF('Asesorías AG anterior'!$B$7:$B$239,B124,'Asesorías AG anterior'!$X$7:$X$239)</f>
        <v>0</v>
      </c>
      <c r="AT124" s="383">
        <f>SUMIF('Asesorías AG anterior'!$B$7:$B$239,B124,'Asesorías AG anterior'!$Y$7:$Y$239)</f>
        <v>0</v>
      </c>
      <c r="AU124" s="383">
        <f>SUMIF('Asesorías AG anterior'!$B$7:$B$239,B124,'Asesorías AG anterior'!$Z$7:$Z$239)</f>
        <v>0</v>
      </c>
      <c r="AV124" s="383">
        <f>SUMIF('Asesorías AG anterior'!$B$7:$B$239,B124,'Asesorías AG anterior'!$AA$7:$AA$239)</f>
        <v>0</v>
      </c>
      <c r="AW124" s="383">
        <f>SUMIF('Asesorías AG anterior'!$B$7:$B$239,B124,'Asesorías AG anterior'!$AB$7:$AB$239)</f>
        <v>0</v>
      </c>
      <c r="AX124" s="335"/>
      <c r="AZ124" s="1491" t="s">
        <v>354</v>
      </c>
    </row>
    <row r="125" spans="1:55" x14ac:dyDescent="0.2">
      <c r="A125" s="1184">
        <f t="shared" si="37"/>
        <v>117</v>
      </c>
      <c r="B125" s="1097" t="s">
        <v>323</v>
      </c>
      <c r="C125" s="1185">
        <f>_xlfn.XLOOKUP(B125,Códigos!$B$8:$B$406,Códigos!$A$8:$A$406,"Verificar",0)</f>
        <v>345</v>
      </c>
      <c r="D125" s="1114">
        <f>_xlfn.XLOOKUP(B125,'Consolidado Cobros'!$B$10:$B$312,'Consolidado Cobros'!$C$10:$C$312,"Verificar",0)</f>
        <v>32409980</v>
      </c>
      <c r="E125" s="1520">
        <f t="shared" si="40"/>
        <v>7</v>
      </c>
      <c r="F125" s="1517">
        <f t="shared" si="41"/>
        <v>0</v>
      </c>
      <c r="G125" s="1251">
        <f t="shared" si="42"/>
        <v>0</v>
      </c>
      <c r="H125" s="1240">
        <f t="shared" si="38"/>
        <v>0</v>
      </c>
      <c r="I125" s="1148"/>
      <c r="J125" s="383">
        <f t="shared" si="43"/>
        <v>0</v>
      </c>
      <c r="K125" s="712"/>
      <c r="L125" s="487">
        <f t="shared" si="44"/>
        <v>0</v>
      </c>
      <c r="M125" s="927"/>
      <c r="N125" s="672">
        <v>0</v>
      </c>
      <c r="O125" s="660"/>
      <c r="P125" s="1092">
        <f t="shared" si="45"/>
        <v>0</v>
      </c>
      <c r="Q125" s="1093">
        <v>0</v>
      </c>
      <c r="R125" s="381">
        <f t="shared" si="39"/>
        <v>0</v>
      </c>
      <c r="S125" s="382"/>
      <c r="T125" s="381"/>
      <c r="U125" s="624"/>
      <c r="V125" s="569">
        <f t="shared" si="46"/>
        <v>0</v>
      </c>
      <c r="W125" s="607"/>
      <c r="X125" s="383"/>
      <c r="Y125" s="607"/>
      <c r="Z125" s="383"/>
      <c r="AA125" s="607"/>
      <c r="AB125" s="718"/>
      <c r="AC125" s="335"/>
      <c r="AD125" s="383">
        <f>SUMIF('Asesorías AG anterior'!$B$7:$B$239,B125,'Asesorías AG anterior'!$I$7:$I$239)</f>
        <v>1E-3</v>
      </c>
      <c r="AE125" s="383">
        <f>SUMIF('Asesorías AG anterior'!$B$7:$B$239,B125,'Asesorías AG anterior'!$J$7:$J$239)</f>
        <v>0</v>
      </c>
      <c r="AF125" s="383">
        <f>SUMIF('Asesorías AG anterior'!$B$7:$B$239,B125,'Asesorías AG anterior'!$K$7:$K$239)</f>
        <v>1E-3</v>
      </c>
      <c r="AG125" s="383">
        <f>SUMIF('Asesorías AG anterior'!$B$7:$B$239,B125,'Asesorías AG anterior'!$L$7:$L$239)</f>
        <v>0</v>
      </c>
      <c r="AH125" s="383">
        <f>SUMIF('Asesorías AG anterior'!$B$7:$B$239,B125,'Asesorías AG anterior'!$M$7:$M$239)</f>
        <v>0</v>
      </c>
      <c r="AI125" s="383">
        <f>SUMIF('Asesorías AG anterior'!$B$7:$B$239,B125,'Asesorías AG anterior'!$N$7:$N$239)</f>
        <v>0</v>
      </c>
      <c r="AJ125" s="383">
        <f>SUMIF('Asesorías AG anterior'!$B$7:$B$239,B125,'Asesorías AG anterior'!$O$7:$O$239)</f>
        <v>1E-3</v>
      </c>
      <c r="AK125" s="383">
        <f>SUMIF('Asesorías AG anterior'!$B$7:$B$239,B125,'Asesorías AG anterior'!$P$7:$P$239)</f>
        <v>0</v>
      </c>
      <c r="AL125" s="383">
        <f>SUMIF('Asesorías AG anterior'!$B$7:$B$239,B125,'Asesorías AG anterior'!$Q$7:$Q$239)</f>
        <v>0</v>
      </c>
      <c r="AM125" s="383">
        <f>SUMIF('Asesorías AG anterior'!$B$7:$B$239,B125,'Asesorías AG anterior'!$R$7:$R$239)</f>
        <v>0</v>
      </c>
      <c r="AN125" s="383"/>
      <c r="AO125" s="383">
        <f>SUMIF('Asesorías AG anterior'!$B$7:$B$239,B125,'Asesorías AG anterior'!$T$7:$T$239)</f>
        <v>0</v>
      </c>
      <c r="AP125" s="383">
        <f>SUMIF('Asesorías AG anterior'!$B$7:$B$239,B125,'Asesorías AG anterior'!$U$7:$U$239)</f>
        <v>0</v>
      </c>
      <c r="AQ125" s="383">
        <f>SUMIF('Asesorías AG anterior'!$B$7:$B$239,B125,'Asesorías AG anterior'!$V$7:$V$239)</f>
        <v>0</v>
      </c>
      <c r="AR125" s="383">
        <f>SUMIF('Asesorías AG anterior'!$B$7:$B$239,B125,'Asesorías AG anterior'!$W$7:$W$239)</f>
        <v>0</v>
      </c>
      <c r="AS125" s="383">
        <f>SUMIF('Asesorías AG anterior'!$B$7:$B$239,B125,'Asesorías AG anterior'!$X$7:$X$239)</f>
        <v>0</v>
      </c>
      <c r="AT125" s="383">
        <f>SUMIF('Asesorías AG anterior'!$B$7:$B$239,B125,'Asesorías AG anterior'!$Y$7:$Y$239)</f>
        <v>0</v>
      </c>
      <c r="AU125" s="383">
        <f>SUMIF('Asesorías AG anterior'!$B$7:$B$239,B125,'Asesorías AG anterior'!$Z$7:$Z$239)</f>
        <v>0</v>
      </c>
      <c r="AV125" s="383">
        <f>SUMIF('Asesorías AG anterior'!$B$7:$B$239,B125,'Asesorías AG anterior'!$AA$7:$AA$239)</f>
        <v>0</v>
      </c>
      <c r="AW125" s="383">
        <f>SUMIF('Asesorías AG anterior'!$B$7:$B$239,B125,'Asesorías AG anterior'!$AB$7:$AB$239)</f>
        <v>0</v>
      </c>
      <c r="AX125" s="335"/>
      <c r="AZ125" s="1097" t="s">
        <v>323</v>
      </c>
    </row>
    <row r="126" spans="1:55" x14ac:dyDescent="0.2">
      <c r="A126" s="1184">
        <f t="shared" si="37"/>
        <v>118</v>
      </c>
      <c r="B126" s="1097" t="s">
        <v>327</v>
      </c>
      <c r="C126" s="1185">
        <f>_xlfn.XLOOKUP(B126,Códigos!$B$8:$B$406,Códigos!$A$8:$A$406,"Verificar",0)</f>
        <v>350</v>
      </c>
      <c r="D126" s="1114">
        <f>_xlfn.XLOOKUP(B126,'Consolidado Cobros'!$B$10:$B$312,'Consolidado Cobros'!$C$10:$C$312,"Verificar",0)</f>
        <v>8162809</v>
      </c>
      <c r="E126" s="1520">
        <f t="shared" si="40"/>
        <v>5</v>
      </c>
      <c r="F126" s="1517">
        <f t="shared" si="41"/>
        <v>70000</v>
      </c>
      <c r="G126" s="1251">
        <f t="shared" si="42"/>
        <v>0</v>
      </c>
      <c r="H126" s="1240">
        <f t="shared" si="38"/>
        <v>70000</v>
      </c>
      <c r="I126" s="1148"/>
      <c r="J126" s="383">
        <f t="shared" si="43"/>
        <v>0</v>
      </c>
      <c r="K126" s="712"/>
      <c r="L126" s="487">
        <f t="shared" si="44"/>
        <v>0</v>
      </c>
      <c r="M126" s="927"/>
      <c r="N126" s="672">
        <v>0</v>
      </c>
      <c r="O126" s="660" t="s">
        <v>318</v>
      </c>
      <c r="P126" s="1092">
        <f t="shared" si="45"/>
        <v>70000</v>
      </c>
      <c r="Q126" s="1093">
        <v>0</v>
      </c>
      <c r="R126" s="381">
        <f t="shared" si="39"/>
        <v>70000</v>
      </c>
      <c r="S126" s="382"/>
      <c r="T126" s="381"/>
      <c r="U126" s="624"/>
      <c r="V126" s="569">
        <f t="shared" si="46"/>
        <v>0</v>
      </c>
      <c r="W126" s="607"/>
      <c r="X126" s="383"/>
      <c r="Y126" s="607"/>
      <c r="Z126" s="383"/>
      <c r="AA126" s="607"/>
      <c r="AB126" s="718"/>
      <c r="AC126" s="335"/>
      <c r="AD126" s="383">
        <f>SUMIF('Asesorías AG anterior'!$B$7:$B$239,B126,'Asesorías AG anterior'!$I$7:$I$239)</f>
        <v>1E-3</v>
      </c>
      <c r="AE126" s="383">
        <f>SUMIF('Asesorías AG anterior'!$B$7:$B$239,B126,'Asesorías AG anterior'!$J$7:$J$239)</f>
        <v>0</v>
      </c>
      <c r="AF126" s="383">
        <f>SUMIF('Asesorías AG anterior'!$B$7:$B$239,B126,'Asesorías AG anterior'!$K$7:$K$239)</f>
        <v>1E-3</v>
      </c>
      <c r="AG126" s="383">
        <f>SUMIF('Asesorías AG anterior'!$B$7:$B$239,B126,'Asesorías AG anterior'!$L$7:$L$239)</f>
        <v>0</v>
      </c>
      <c r="AH126" s="383">
        <f>SUMIF('Asesorías AG anterior'!$B$7:$B$239,B126,'Asesorías AG anterior'!$M$7:$M$239)</f>
        <v>0</v>
      </c>
      <c r="AI126" s="383">
        <f>SUMIF('Asesorías AG anterior'!$B$7:$B$239,B126,'Asesorías AG anterior'!$N$7:$N$239)</f>
        <v>0</v>
      </c>
      <c r="AJ126" s="383">
        <f>SUMIF('Asesorías AG anterior'!$B$7:$B$239,B126,'Asesorías AG anterior'!$O$7:$O$239)</f>
        <v>0</v>
      </c>
      <c r="AK126" s="383">
        <f>SUMIF('Asesorías AG anterior'!$B$7:$B$239,B126,'Asesorías AG anterior'!$P$7:$P$239)</f>
        <v>70000</v>
      </c>
      <c r="AL126" s="383">
        <f>SUMIF('Asesorías AG anterior'!$B$7:$B$239,B126,'Asesorías AG anterior'!$Q$7:$Q$239)</f>
        <v>0</v>
      </c>
      <c r="AM126" s="383">
        <f>SUMIF('Asesorías AG anterior'!$B$7:$B$239,B126,'Asesorías AG anterior'!$R$7:$R$239)</f>
        <v>0</v>
      </c>
      <c r="AN126" s="383"/>
      <c r="AO126" s="383">
        <f>SUMIF('Asesorías AG anterior'!$B$7:$B$239,B126,'Asesorías AG anterior'!$T$7:$T$239)</f>
        <v>0</v>
      </c>
      <c r="AP126" s="383">
        <f>SUMIF('Asesorías AG anterior'!$B$7:$B$239,B126,'Asesorías AG anterior'!$U$7:$U$239)</f>
        <v>0</v>
      </c>
      <c r="AQ126" s="383">
        <f>SUMIF('Asesorías AG anterior'!$B$7:$B$239,B126,'Asesorías AG anterior'!$V$7:$V$239)</f>
        <v>0</v>
      </c>
      <c r="AR126" s="383">
        <f>SUMIF('Asesorías AG anterior'!$B$7:$B$239,B126,'Asesorías AG anterior'!$W$7:$W$239)</f>
        <v>0</v>
      </c>
      <c r="AS126" s="383">
        <f>SUMIF('Asesorías AG anterior'!$B$7:$B$239,B126,'Asesorías AG anterior'!$X$7:$X$239)</f>
        <v>0</v>
      </c>
      <c r="AT126" s="383">
        <f>SUMIF('Asesorías AG anterior'!$B$7:$B$239,B126,'Asesorías AG anterior'!$Y$7:$Y$239)</f>
        <v>0</v>
      </c>
      <c r="AU126" s="383">
        <f>SUMIF('Asesorías AG anterior'!$B$7:$B$239,B126,'Asesorías AG anterior'!$Z$7:$Z$239)</f>
        <v>0</v>
      </c>
      <c r="AV126" s="383">
        <f>SUMIF('Asesorías AG anterior'!$B$7:$B$239,B126,'Asesorías AG anterior'!$AA$7:$AA$239)</f>
        <v>0</v>
      </c>
      <c r="AW126" s="383">
        <f>SUMIF('Asesorías AG anterior'!$B$7:$B$239,B126,'Asesorías AG anterior'!$AB$7:$AB$239)</f>
        <v>0</v>
      </c>
      <c r="AX126" s="335"/>
      <c r="AZ126" s="1097" t="s">
        <v>327</v>
      </c>
    </row>
    <row r="127" spans="1:55" x14ac:dyDescent="0.2">
      <c r="A127" s="1184">
        <f t="shared" si="37"/>
        <v>119</v>
      </c>
      <c r="B127" s="1097" t="s">
        <v>325</v>
      </c>
      <c r="C127" s="1185">
        <f>_xlfn.XLOOKUP(B127,Códigos!$B$8:$B$406,Códigos!$A$8:$A$406,"Verificar",0)</f>
        <v>351</v>
      </c>
      <c r="D127" s="1114">
        <f>_xlfn.XLOOKUP(B127,'Consolidado Cobros'!$B$10:$B$312,'Consolidado Cobros'!$C$10:$C$312,"Verificar",0)</f>
        <v>43220534</v>
      </c>
      <c r="E127" s="1520">
        <f t="shared" si="40"/>
        <v>1</v>
      </c>
      <c r="F127" s="1517">
        <f t="shared" si="41"/>
        <v>0</v>
      </c>
      <c r="G127" s="1251">
        <f t="shared" si="42"/>
        <v>0</v>
      </c>
      <c r="H127" s="1240">
        <f t="shared" si="38"/>
        <v>0</v>
      </c>
      <c r="I127" s="1148"/>
      <c r="J127" s="383">
        <f t="shared" si="43"/>
        <v>0</v>
      </c>
      <c r="K127" s="712"/>
      <c r="L127" s="487">
        <f t="shared" si="44"/>
        <v>0</v>
      </c>
      <c r="M127" s="927"/>
      <c r="N127" s="672">
        <v>0</v>
      </c>
      <c r="O127" s="660"/>
      <c r="P127" s="1092">
        <f t="shared" si="45"/>
        <v>0</v>
      </c>
      <c r="Q127" s="1093">
        <v>0</v>
      </c>
      <c r="R127" s="381">
        <f t="shared" si="39"/>
        <v>0</v>
      </c>
      <c r="S127" s="382"/>
      <c r="T127" s="381"/>
      <c r="U127" s="624"/>
      <c r="V127" s="569">
        <f t="shared" si="46"/>
        <v>0</v>
      </c>
      <c r="W127" s="607"/>
      <c r="X127" s="383"/>
      <c r="Y127" s="607"/>
      <c r="Z127" s="383"/>
      <c r="AA127" s="607"/>
      <c r="AB127" s="718"/>
      <c r="AC127" s="335"/>
      <c r="AD127" s="383">
        <f>SUMIF('Asesorías AG anterior'!$B$7:$B$239,B127,'Asesorías AG anterior'!$I$7:$I$239)</f>
        <v>1E-3</v>
      </c>
      <c r="AE127" s="383">
        <f>SUMIF('Asesorías AG anterior'!$B$7:$B$239,B127,'Asesorías AG anterior'!$J$7:$J$239)</f>
        <v>0</v>
      </c>
      <c r="AF127" s="383">
        <f>SUMIF('Asesorías AG anterior'!$B$7:$B$239,B127,'Asesorías AG anterior'!$K$7:$K$239)</f>
        <v>1E-3</v>
      </c>
      <c r="AG127" s="383">
        <f>SUMIF('Asesorías AG anterior'!$B$7:$B$239,B127,'Asesorías AG anterior'!$L$7:$L$239)</f>
        <v>0</v>
      </c>
      <c r="AH127" s="383">
        <f>SUMIF('Asesorías AG anterior'!$B$7:$B$239,B127,'Asesorías AG anterior'!$M$7:$M$239)</f>
        <v>0</v>
      </c>
      <c r="AI127" s="383">
        <f>SUMIF('Asesorías AG anterior'!$B$7:$B$239,B127,'Asesorías AG anterior'!$N$7:$N$239)</f>
        <v>0</v>
      </c>
      <c r="AJ127" s="383">
        <f>SUMIF('Asesorías AG anterior'!$B$7:$B$239,B127,'Asesorías AG anterior'!$O$7:$O$239)</f>
        <v>1E-3</v>
      </c>
      <c r="AK127" s="383">
        <f>SUMIF('Asesorías AG anterior'!$B$7:$B$239,B127,'Asesorías AG anterior'!$P$7:$P$239)</f>
        <v>0</v>
      </c>
      <c r="AL127" s="383">
        <f>SUMIF('Asesorías AG anterior'!$B$7:$B$239,B127,'Asesorías AG anterior'!$Q$7:$Q$239)</f>
        <v>0</v>
      </c>
      <c r="AM127" s="383">
        <f>SUMIF('Asesorías AG anterior'!$B$7:$B$239,B127,'Asesorías AG anterior'!$R$7:$R$239)</f>
        <v>0</v>
      </c>
      <c r="AN127" s="383"/>
      <c r="AO127" s="383">
        <f>SUMIF('Asesorías AG anterior'!$B$7:$B$239,B127,'Asesorías AG anterior'!$T$7:$T$239)</f>
        <v>0</v>
      </c>
      <c r="AP127" s="383">
        <f>SUMIF('Asesorías AG anterior'!$B$7:$B$239,B127,'Asesorías AG anterior'!$U$7:$U$239)</f>
        <v>0</v>
      </c>
      <c r="AQ127" s="383">
        <f>SUMIF('Asesorías AG anterior'!$B$7:$B$239,B127,'Asesorías AG anterior'!$V$7:$V$239)</f>
        <v>0</v>
      </c>
      <c r="AR127" s="383">
        <f>SUMIF('Asesorías AG anterior'!$B$7:$B$239,B127,'Asesorías AG anterior'!$W$7:$W$239)</f>
        <v>0</v>
      </c>
      <c r="AS127" s="383">
        <f>SUMIF('Asesorías AG anterior'!$B$7:$B$239,B127,'Asesorías AG anterior'!$X$7:$X$239)</f>
        <v>0</v>
      </c>
      <c r="AT127" s="383">
        <f>SUMIF('Asesorías AG anterior'!$B$7:$B$239,B127,'Asesorías AG anterior'!$Y$7:$Y$239)</f>
        <v>0</v>
      </c>
      <c r="AU127" s="383">
        <f>SUMIF('Asesorías AG anterior'!$B$7:$B$239,B127,'Asesorías AG anterior'!$Z$7:$Z$239)</f>
        <v>0</v>
      </c>
      <c r="AV127" s="383">
        <f>SUMIF('Asesorías AG anterior'!$B$7:$B$239,B127,'Asesorías AG anterior'!$AA$7:$AA$239)</f>
        <v>0</v>
      </c>
      <c r="AW127" s="383">
        <f>SUMIF('Asesorías AG anterior'!$B$7:$B$239,B127,'Asesorías AG anterior'!$AB$7:$AB$239)</f>
        <v>0</v>
      </c>
      <c r="AX127" s="335"/>
      <c r="AZ127" s="1097" t="s">
        <v>325</v>
      </c>
    </row>
    <row r="128" spans="1:55" x14ac:dyDescent="0.2">
      <c r="A128" s="1184">
        <f t="shared" si="37"/>
        <v>120</v>
      </c>
      <c r="B128" s="1097" t="s">
        <v>664</v>
      </c>
      <c r="C128" s="1185">
        <f>_xlfn.XLOOKUP(B128,Códigos!$B$8:$B$406,Códigos!$A$8:$A$406,"Verificar",0)</f>
        <v>247</v>
      </c>
      <c r="D128" s="1114">
        <f>_xlfn.XLOOKUP(B128,'Consolidado Cobros'!$B$10:$B$312,'Consolidado Cobros'!$C$10:$C$312,"Verificar",0)</f>
        <v>1023302299</v>
      </c>
      <c r="E128" s="1520">
        <f t="shared" si="40"/>
        <v>6</v>
      </c>
      <c r="F128" s="1517">
        <f t="shared" si="41"/>
        <v>0</v>
      </c>
      <c r="G128" s="1251">
        <f t="shared" si="42"/>
        <v>0</v>
      </c>
      <c r="H128" s="1240">
        <f t="shared" si="38"/>
        <v>0</v>
      </c>
      <c r="I128" s="1148"/>
      <c r="J128" s="383">
        <f t="shared" si="43"/>
        <v>0</v>
      </c>
      <c r="K128" s="712"/>
      <c r="L128" s="487">
        <f t="shared" si="44"/>
        <v>0</v>
      </c>
      <c r="M128" s="927"/>
      <c r="N128" s="672">
        <v>0</v>
      </c>
      <c r="O128" s="660"/>
      <c r="P128" s="1092">
        <f t="shared" si="45"/>
        <v>0</v>
      </c>
      <c r="Q128" s="1093">
        <v>0</v>
      </c>
      <c r="R128" s="381">
        <f t="shared" si="39"/>
        <v>0</v>
      </c>
      <c r="S128" s="382"/>
      <c r="T128" s="381"/>
      <c r="U128" s="624"/>
      <c r="V128" s="569">
        <f t="shared" si="46"/>
        <v>0</v>
      </c>
      <c r="W128" s="607"/>
      <c r="X128" s="383"/>
      <c r="Y128" s="607"/>
      <c r="Z128" s="383"/>
      <c r="AA128" s="607"/>
      <c r="AB128" s="718"/>
      <c r="AC128" s="335"/>
      <c r="AD128" s="383">
        <f>SUMIF('Asesorías AG anterior'!$B$7:$B$239,B128,'Asesorías AG anterior'!$I$7:$I$239)</f>
        <v>1E-3</v>
      </c>
      <c r="AE128" s="383">
        <f>SUMIF('Asesorías AG anterior'!$B$7:$B$239,B128,'Asesorías AG anterior'!$J$7:$J$239)</f>
        <v>0</v>
      </c>
      <c r="AF128" s="383">
        <f>SUMIF('Asesorías AG anterior'!$B$7:$B$239,B128,'Asesorías AG anterior'!$K$7:$K$239)</f>
        <v>1E-3</v>
      </c>
      <c r="AG128" s="383">
        <f>SUMIF('Asesorías AG anterior'!$B$7:$B$239,B128,'Asesorías AG anterior'!$L$7:$L$239)</f>
        <v>0</v>
      </c>
      <c r="AH128" s="383">
        <f>SUMIF('Asesorías AG anterior'!$B$7:$B$239,B128,'Asesorías AG anterior'!$M$7:$M$239)</f>
        <v>0</v>
      </c>
      <c r="AI128" s="383">
        <f>SUMIF('Asesorías AG anterior'!$B$7:$B$239,B128,'Asesorías AG anterior'!$N$7:$N$239)</f>
        <v>0</v>
      </c>
      <c r="AJ128" s="383">
        <f>SUMIF('Asesorías AG anterior'!$B$7:$B$239,B128,'Asesorías AG anterior'!$O$7:$O$239)</f>
        <v>1E-3</v>
      </c>
      <c r="AK128" s="383">
        <f>SUMIF('Asesorías AG anterior'!$B$7:$B$239,B128,'Asesorías AG anterior'!$P$7:$P$239)</f>
        <v>0</v>
      </c>
      <c r="AL128" s="383">
        <f>SUMIF('Asesorías AG anterior'!$B$7:$B$239,B128,'Asesorías AG anterior'!$Q$7:$Q$239)</f>
        <v>0</v>
      </c>
      <c r="AM128" s="383">
        <f>SUMIF('Asesorías AG anterior'!$B$7:$B$239,B128,'Asesorías AG anterior'!$R$7:$R$239)</f>
        <v>0</v>
      </c>
      <c r="AN128" s="383"/>
      <c r="AO128" s="383">
        <f>SUMIF('Asesorías AG anterior'!$B$7:$B$239,B128,'Asesorías AG anterior'!$T$7:$T$239)</f>
        <v>0</v>
      </c>
      <c r="AP128" s="383">
        <f>SUMIF('Asesorías AG anterior'!$B$7:$B$239,B128,'Asesorías AG anterior'!$U$7:$U$239)</f>
        <v>0</v>
      </c>
      <c r="AQ128" s="383">
        <f>SUMIF('Asesorías AG anterior'!$B$7:$B$239,B128,'Asesorías AG anterior'!$V$7:$V$239)</f>
        <v>0</v>
      </c>
      <c r="AR128" s="383">
        <f>SUMIF('Asesorías AG anterior'!$B$7:$B$239,B128,'Asesorías AG anterior'!$W$7:$W$239)</f>
        <v>0</v>
      </c>
      <c r="AS128" s="383">
        <f>SUMIF('Asesorías AG anterior'!$B$7:$B$239,B128,'Asesorías AG anterior'!$X$7:$X$239)</f>
        <v>0</v>
      </c>
      <c r="AT128" s="383">
        <f>SUMIF('Asesorías AG anterior'!$B$7:$B$239,B128,'Asesorías AG anterior'!$Y$7:$Y$239)</f>
        <v>0</v>
      </c>
      <c r="AU128" s="383">
        <f>SUMIF('Asesorías AG anterior'!$B$7:$B$239,B128,'Asesorías AG anterior'!$Z$7:$Z$239)</f>
        <v>0</v>
      </c>
      <c r="AV128" s="383">
        <f>SUMIF('Asesorías AG anterior'!$B$7:$B$239,B128,'Asesorías AG anterior'!$AA$7:$AA$239)</f>
        <v>0</v>
      </c>
      <c r="AW128" s="383">
        <f>SUMIF('Asesorías AG anterior'!$B$7:$B$239,B128,'Asesorías AG anterior'!$AB$7:$AB$239)</f>
        <v>0</v>
      </c>
      <c r="AX128" s="335"/>
      <c r="AZ128" s="1137" t="s">
        <v>664</v>
      </c>
    </row>
    <row r="129" spans="1:52" x14ac:dyDescent="0.2">
      <c r="A129" s="1184">
        <f t="shared" si="37"/>
        <v>121</v>
      </c>
      <c r="B129" s="1097" t="s">
        <v>326</v>
      </c>
      <c r="C129" s="1185">
        <f>_xlfn.XLOOKUP(B129,Códigos!$B$8:$B$406,Códigos!$A$8:$A$406,"Verificar",0)</f>
        <v>26</v>
      </c>
      <c r="D129" s="1114">
        <f>_xlfn.XLOOKUP(B129,'Consolidado Cobros'!$B$10:$B$312,'Consolidado Cobros'!$C$10:$C$312,"Verificar",0)</f>
        <v>1000717826</v>
      </c>
      <c r="E129" s="1520">
        <f t="shared" si="40"/>
        <v>6</v>
      </c>
      <c r="F129" s="1517">
        <f t="shared" si="41"/>
        <v>0</v>
      </c>
      <c r="G129" s="1251">
        <f t="shared" si="42"/>
        <v>0</v>
      </c>
      <c r="H129" s="1240">
        <f t="shared" si="38"/>
        <v>0</v>
      </c>
      <c r="I129" s="1148"/>
      <c r="J129" s="383">
        <f t="shared" si="43"/>
        <v>0</v>
      </c>
      <c r="K129" s="712"/>
      <c r="L129" s="487">
        <f t="shared" si="44"/>
        <v>0</v>
      </c>
      <c r="M129" s="927"/>
      <c r="N129" s="672">
        <v>0</v>
      </c>
      <c r="O129" s="660"/>
      <c r="P129" s="1092">
        <f t="shared" si="45"/>
        <v>0</v>
      </c>
      <c r="Q129" s="1093">
        <v>0</v>
      </c>
      <c r="R129" s="381">
        <f t="shared" si="39"/>
        <v>0</v>
      </c>
      <c r="S129" s="382"/>
      <c r="T129" s="381"/>
      <c r="U129" s="624"/>
      <c r="V129" s="569">
        <f t="shared" si="46"/>
        <v>0</v>
      </c>
      <c r="W129" s="607"/>
      <c r="X129" s="383"/>
      <c r="Y129" s="607"/>
      <c r="Z129" s="383"/>
      <c r="AA129" s="607"/>
      <c r="AB129" s="718"/>
      <c r="AC129" s="335"/>
      <c r="AD129" s="383">
        <f>SUMIF('Asesorías AG anterior'!$B$7:$B$239,B129,'Asesorías AG anterior'!$I$7:$I$239)</f>
        <v>1E-3</v>
      </c>
      <c r="AE129" s="383">
        <f>SUMIF('Asesorías AG anterior'!$B$7:$B$239,B129,'Asesorías AG anterior'!$J$7:$J$239)</f>
        <v>0</v>
      </c>
      <c r="AF129" s="383">
        <f>SUMIF('Asesorías AG anterior'!$B$7:$B$239,B129,'Asesorías AG anterior'!$K$7:$K$239)</f>
        <v>1E-3</v>
      </c>
      <c r="AG129" s="383">
        <f>SUMIF('Asesorías AG anterior'!$B$7:$B$239,B129,'Asesorías AG anterior'!$L$7:$L$239)</f>
        <v>0</v>
      </c>
      <c r="AH129" s="383">
        <f>SUMIF('Asesorías AG anterior'!$B$7:$B$239,B129,'Asesorías AG anterior'!$M$7:$M$239)</f>
        <v>0</v>
      </c>
      <c r="AI129" s="383">
        <f>SUMIF('Asesorías AG anterior'!$B$7:$B$239,B129,'Asesorías AG anterior'!$N$7:$N$239)</f>
        <v>0</v>
      </c>
      <c r="AJ129" s="383">
        <f>SUMIF('Asesorías AG anterior'!$B$7:$B$239,B129,'Asesorías AG anterior'!$O$7:$O$239)</f>
        <v>1E-3</v>
      </c>
      <c r="AK129" s="383">
        <f>SUMIF('Asesorías AG anterior'!$B$7:$B$239,B129,'Asesorías AG anterior'!$P$7:$P$239)</f>
        <v>0</v>
      </c>
      <c r="AL129" s="383">
        <f>SUMIF('Asesorías AG anterior'!$B$7:$B$239,B129,'Asesorías AG anterior'!$Q$7:$Q$239)</f>
        <v>0</v>
      </c>
      <c r="AM129" s="383">
        <f>SUMIF('Asesorías AG anterior'!$B$7:$B$239,B129,'Asesorías AG anterior'!$R$7:$R$239)</f>
        <v>0</v>
      </c>
      <c r="AN129" s="383"/>
      <c r="AO129" s="383">
        <f>SUMIF('Asesorías AG anterior'!$B$7:$B$239,B129,'Asesorías AG anterior'!$T$7:$T$239)</f>
        <v>0</v>
      </c>
      <c r="AP129" s="383">
        <f>SUMIF('Asesorías AG anterior'!$B$7:$B$239,B129,'Asesorías AG anterior'!$U$7:$U$239)</f>
        <v>0</v>
      </c>
      <c r="AQ129" s="383">
        <f>SUMIF('Asesorías AG anterior'!$B$7:$B$239,B129,'Asesorías AG anterior'!$V$7:$V$239)</f>
        <v>0</v>
      </c>
      <c r="AR129" s="383">
        <f>SUMIF('Asesorías AG anterior'!$B$7:$B$239,B129,'Asesorías AG anterior'!$W$7:$W$239)</f>
        <v>0</v>
      </c>
      <c r="AS129" s="383">
        <f>SUMIF('Asesorías AG anterior'!$B$7:$B$239,B129,'Asesorías AG anterior'!$X$7:$X$239)</f>
        <v>0</v>
      </c>
      <c r="AT129" s="383">
        <f>SUMIF('Asesorías AG anterior'!$B$7:$B$239,B129,'Asesorías AG anterior'!$Y$7:$Y$239)</f>
        <v>0</v>
      </c>
      <c r="AU129" s="383">
        <f>SUMIF('Asesorías AG anterior'!$B$7:$B$239,B129,'Asesorías AG anterior'!$Z$7:$Z$239)</f>
        <v>0</v>
      </c>
      <c r="AV129" s="383">
        <f>SUMIF('Asesorías AG anterior'!$B$7:$B$239,B129,'Asesorías AG anterior'!$AA$7:$AA$239)</f>
        <v>0</v>
      </c>
      <c r="AW129" s="383">
        <f>SUMIF('Asesorías AG anterior'!$B$7:$B$239,B129,'Asesorías AG anterior'!$AB$7:$AB$239)</f>
        <v>0</v>
      </c>
      <c r="AX129" s="335"/>
      <c r="AZ129" s="1097" t="s">
        <v>326</v>
      </c>
    </row>
    <row r="130" spans="1:52" x14ac:dyDescent="0.2">
      <c r="A130" s="1184">
        <f t="shared" si="37"/>
        <v>122</v>
      </c>
      <c r="B130" s="1097" t="s">
        <v>405</v>
      </c>
      <c r="C130" s="1185">
        <f>_xlfn.XLOOKUP(B130,Códigos!$B$8:$B$406,Códigos!$A$8:$A$406,"Verificar",0)</f>
        <v>64</v>
      </c>
      <c r="D130" s="1114">
        <f>_xlfn.XLOOKUP(B130,'Consolidado Cobros'!$B$10:$B$312,'Consolidado Cobros'!$C$10:$C$312,"Verificar",0)</f>
        <v>98549908</v>
      </c>
      <c r="E130" s="1520">
        <f t="shared" si="40"/>
        <v>6</v>
      </c>
      <c r="F130" s="1517">
        <f t="shared" si="41"/>
        <v>0</v>
      </c>
      <c r="G130" s="1251">
        <f t="shared" si="42"/>
        <v>0</v>
      </c>
      <c r="H130" s="1240">
        <f t="shared" si="38"/>
        <v>0</v>
      </c>
      <c r="I130" s="1148"/>
      <c r="J130" s="383">
        <f t="shared" si="43"/>
        <v>0</v>
      </c>
      <c r="K130" s="712"/>
      <c r="L130" s="487">
        <f t="shared" si="44"/>
        <v>0</v>
      </c>
      <c r="M130" s="927"/>
      <c r="N130" s="672">
        <v>0</v>
      </c>
      <c r="O130" s="660"/>
      <c r="P130" s="1092">
        <f t="shared" si="45"/>
        <v>0</v>
      </c>
      <c r="Q130" s="1093">
        <v>0</v>
      </c>
      <c r="R130" s="381">
        <f t="shared" si="39"/>
        <v>0</v>
      </c>
      <c r="S130" s="382"/>
      <c r="T130" s="381"/>
      <c r="U130" s="624"/>
      <c r="V130" s="569">
        <f t="shared" si="46"/>
        <v>0</v>
      </c>
      <c r="W130" s="607"/>
      <c r="X130" s="383"/>
      <c r="Y130" s="607"/>
      <c r="Z130" s="383"/>
      <c r="AA130" s="607"/>
      <c r="AB130" s="718"/>
      <c r="AC130" s="335"/>
      <c r="AD130" s="383">
        <f>SUMIF('Asesorías AG anterior'!$B$7:$B$239,B130,'Asesorías AG anterior'!$I$7:$I$239)</f>
        <v>1E-3</v>
      </c>
      <c r="AE130" s="383">
        <f>SUMIF('Asesorías AG anterior'!$B$7:$B$239,B130,'Asesorías AG anterior'!$J$7:$J$239)</f>
        <v>0</v>
      </c>
      <c r="AF130" s="383">
        <f>SUMIF('Asesorías AG anterior'!$B$7:$B$239,B130,'Asesorías AG anterior'!$K$7:$K$239)</f>
        <v>1E-3</v>
      </c>
      <c r="AG130" s="383">
        <f>SUMIF('Asesorías AG anterior'!$B$7:$B$239,B130,'Asesorías AG anterior'!$L$7:$L$239)</f>
        <v>0</v>
      </c>
      <c r="AH130" s="383">
        <f>SUMIF('Asesorías AG anterior'!$B$7:$B$239,B130,'Asesorías AG anterior'!$M$7:$M$239)</f>
        <v>0</v>
      </c>
      <c r="AI130" s="383">
        <f>SUMIF('Asesorías AG anterior'!$B$7:$B$239,B130,'Asesorías AG anterior'!$N$7:$N$239)</f>
        <v>0</v>
      </c>
      <c r="AJ130" s="383">
        <f>SUMIF('Asesorías AG anterior'!$B$7:$B$239,B130,'Asesorías AG anterior'!$O$7:$O$239)</f>
        <v>1E-3</v>
      </c>
      <c r="AK130" s="383">
        <f>SUMIF('Asesorías AG anterior'!$B$7:$B$239,B130,'Asesorías AG anterior'!$P$7:$P$239)</f>
        <v>0</v>
      </c>
      <c r="AL130" s="383">
        <f>SUMIF('Asesorías AG anterior'!$B$7:$B$239,B130,'Asesorías AG anterior'!$Q$7:$Q$239)</f>
        <v>0</v>
      </c>
      <c r="AM130" s="383">
        <f>SUMIF('Asesorías AG anterior'!$B$7:$B$239,B130,'Asesorías AG anterior'!$R$7:$R$239)</f>
        <v>0</v>
      </c>
      <c r="AN130" s="383"/>
      <c r="AO130" s="383">
        <f>SUMIF('Asesorías AG anterior'!$B$7:$B$239,B130,'Asesorías AG anterior'!$T$7:$T$239)</f>
        <v>0</v>
      </c>
      <c r="AP130" s="383">
        <f>SUMIF('Asesorías AG anterior'!$B$7:$B$239,B130,'Asesorías AG anterior'!$U$7:$U$239)</f>
        <v>0</v>
      </c>
      <c r="AQ130" s="383">
        <f>SUMIF('Asesorías AG anterior'!$B$7:$B$239,B130,'Asesorías AG anterior'!$V$7:$V$239)</f>
        <v>0</v>
      </c>
      <c r="AR130" s="383">
        <f>SUMIF('Asesorías AG anterior'!$B$7:$B$239,B130,'Asesorías AG anterior'!$W$7:$W$239)</f>
        <v>0</v>
      </c>
      <c r="AS130" s="383">
        <f>SUMIF('Asesorías AG anterior'!$B$7:$B$239,B130,'Asesorías AG anterior'!$X$7:$X$239)</f>
        <v>0</v>
      </c>
      <c r="AT130" s="383">
        <f>SUMIF('Asesorías AG anterior'!$B$7:$B$239,B130,'Asesorías AG anterior'!$Y$7:$Y$239)</f>
        <v>0</v>
      </c>
      <c r="AU130" s="383">
        <f>SUMIF('Asesorías AG anterior'!$B$7:$B$239,B130,'Asesorías AG anterior'!$Z$7:$Z$239)</f>
        <v>0</v>
      </c>
      <c r="AV130" s="383">
        <f>SUMIF('Asesorías AG anterior'!$B$7:$B$239,B130,'Asesorías AG anterior'!$AA$7:$AA$239)</f>
        <v>0</v>
      </c>
      <c r="AW130" s="383">
        <f>SUMIF('Asesorías AG anterior'!$B$7:$B$239,B130,'Asesorías AG anterior'!$AB$7:$AB$239)</f>
        <v>0</v>
      </c>
      <c r="AX130" s="335"/>
      <c r="AZ130" s="1097" t="s">
        <v>405</v>
      </c>
    </row>
    <row r="131" spans="1:52" x14ac:dyDescent="0.2">
      <c r="A131" s="1184">
        <f t="shared" si="37"/>
        <v>123</v>
      </c>
      <c r="B131" s="1097" t="s">
        <v>247</v>
      </c>
      <c r="C131" s="1185">
        <f>_xlfn.XLOOKUP(B131,Códigos!$B$8:$B$406,Códigos!$A$8:$A$406,"Verificar",0)</f>
        <v>333</v>
      </c>
      <c r="D131" s="1114">
        <f>_xlfn.XLOOKUP(B131,'Consolidado Cobros'!$B$10:$B$312,'Consolidado Cobros'!$C$10:$C$312,"Verificar",0)</f>
        <v>39183561</v>
      </c>
      <c r="E131" s="1520">
        <f t="shared" si="40"/>
        <v>7</v>
      </c>
      <c r="F131" s="1517">
        <f t="shared" si="41"/>
        <v>0</v>
      </c>
      <c r="G131" s="1251">
        <f t="shared" si="42"/>
        <v>0</v>
      </c>
      <c r="H131" s="1240">
        <f t="shared" si="38"/>
        <v>0</v>
      </c>
      <c r="I131" s="1148"/>
      <c r="J131" s="383">
        <f t="shared" si="43"/>
        <v>0</v>
      </c>
      <c r="K131" s="712"/>
      <c r="L131" s="487">
        <f t="shared" si="44"/>
        <v>0</v>
      </c>
      <c r="M131" s="927"/>
      <c r="N131" s="672">
        <v>0</v>
      </c>
      <c r="O131" s="660"/>
      <c r="P131" s="1092">
        <f t="shared" si="45"/>
        <v>0</v>
      </c>
      <c r="Q131" s="1093">
        <v>0</v>
      </c>
      <c r="R131" s="381">
        <f t="shared" si="39"/>
        <v>0</v>
      </c>
      <c r="S131" s="382"/>
      <c r="T131" s="381"/>
      <c r="U131" s="624"/>
      <c r="V131" s="569">
        <f t="shared" si="46"/>
        <v>0</v>
      </c>
      <c r="W131" s="607"/>
      <c r="X131" s="383"/>
      <c r="Y131" s="607"/>
      <c r="Z131" s="383"/>
      <c r="AA131" s="607"/>
      <c r="AB131" s="718"/>
      <c r="AC131" s="335"/>
      <c r="AD131" s="383">
        <f>SUMIF('Asesorías AG anterior'!$B$7:$B$239,B131,'Asesorías AG anterior'!$I$7:$I$239)</f>
        <v>1E-3</v>
      </c>
      <c r="AE131" s="383">
        <f>SUMIF('Asesorías AG anterior'!$B$7:$B$239,B131,'Asesorías AG anterior'!$J$7:$J$239)</f>
        <v>0</v>
      </c>
      <c r="AF131" s="383">
        <f>SUMIF('Asesorías AG anterior'!$B$7:$B$239,B131,'Asesorías AG anterior'!$K$7:$K$239)</f>
        <v>1E-3</v>
      </c>
      <c r="AG131" s="383">
        <f>SUMIF('Asesorías AG anterior'!$B$7:$B$239,B131,'Asesorías AG anterior'!$L$7:$L$239)</f>
        <v>0</v>
      </c>
      <c r="AH131" s="383">
        <f>SUMIF('Asesorías AG anterior'!$B$7:$B$239,B131,'Asesorías AG anterior'!$M$7:$M$239)</f>
        <v>0</v>
      </c>
      <c r="AI131" s="383">
        <f>SUMIF('Asesorías AG anterior'!$B$7:$B$239,B131,'Asesorías AG anterior'!$N$7:$N$239)</f>
        <v>0</v>
      </c>
      <c r="AJ131" s="383">
        <f>SUMIF('Asesorías AG anterior'!$B$7:$B$239,B131,'Asesorías AG anterior'!$O$7:$O$239)</f>
        <v>1E-3</v>
      </c>
      <c r="AK131" s="383">
        <f>SUMIF('Asesorías AG anterior'!$B$7:$B$239,B131,'Asesorías AG anterior'!$P$7:$P$239)</f>
        <v>0</v>
      </c>
      <c r="AL131" s="383">
        <f>SUMIF('Asesorías AG anterior'!$B$7:$B$239,B131,'Asesorías AG anterior'!$Q$7:$Q$239)</f>
        <v>0</v>
      </c>
      <c r="AM131" s="383">
        <f>SUMIF('Asesorías AG anterior'!$B$7:$B$239,B131,'Asesorías AG anterior'!$R$7:$R$239)</f>
        <v>0</v>
      </c>
      <c r="AN131" s="383"/>
      <c r="AO131" s="383">
        <f>SUMIF('Asesorías AG anterior'!$B$7:$B$239,B131,'Asesorías AG anterior'!$T$7:$T$239)</f>
        <v>0</v>
      </c>
      <c r="AP131" s="383">
        <f>SUMIF('Asesorías AG anterior'!$B$7:$B$239,B131,'Asesorías AG anterior'!$U$7:$U$239)</f>
        <v>0</v>
      </c>
      <c r="AQ131" s="383">
        <f>SUMIF('Asesorías AG anterior'!$B$7:$B$239,B131,'Asesorías AG anterior'!$V$7:$V$239)</f>
        <v>0</v>
      </c>
      <c r="AR131" s="383">
        <f>SUMIF('Asesorías AG anterior'!$B$7:$B$239,B131,'Asesorías AG anterior'!$W$7:$W$239)</f>
        <v>0</v>
      </c>
      <c r="AS131" s="383">
        <f>SUMIF('Asesorías AG anterior'!$B$7:$B$239,B131,'Asesorías AG anterior'!$X$7:$X$239)</f>
        <v>0</v>
      </c>
      <c r="AT131" s="383">
        <f>SUMIF('Asesorías AG anterior'!$B$7:$B$239,B131,'Asesorías AG anterior'!$Y$7:$Y$239)</f>
        <v>0</v>
      </c>
      <c r="AU131" s="383">
        <f>SUMIF('Asesorías AG anterior'!$B$7:$B$239,B131,'Asesorías AG anterior'!$Z$7:$Z$239)</f>
        <v>0</v>
      </c>
      <c r="AV131" s="383">
        <f>SUMIF('Asesorías AG anterior'!$B$7:$B$239,B131,'Asesorías AG anterior'!$AA$7:$AA$239)</f>
        <v>0</v>
      </c>
      <c r="AW131" s="383">
        <f>SUMIF('Asesorías AG anterior'!$B$7:$B$239,B131,'Asesorías AG anterior'!$AB$7:$AB$239)</f>
        <v>0</v>
      </c>
      <c r="AX131" s="335"/>
      <c r="AZ131" s="1097" t="s">
        <v>247</v>
      </c>
    </row>
    <row r="132" spans="1:52" x14ac:dyDescent="0.2">
      <c r="A132" s="1184">
        <f t="shared" si="37"/>
        <v>124</v>
      </c>
      <c r="B132" s="1097" t="s">
        <v>328</v>
      </c>
      <c r="C132" s="1185">
        <f>_xlfn.XLOOKUP(B132,Códigos!$B$8:$B$406,Códigos!$A$8:$A$406,"Verificar",0)</f>
        <v>344</v>
      </c>
      <c r="D132" s="1114">
        <f>_xlfn.XLOOKUP(B132,'Consolidado Cobros'!$B$10:$B$312,'Consolidado Cobros'!$C$10:$C$312,"Verificar",0)</f>
        <v>8269485</v>
      </c>
      <c r="E132" s="1520">
        <f t="shared" si="40"/>
        <v>3</v>
      </c>
      <c r="F132" s="1517">
        <f t="shared" si="41"/>
        <v>0</v>
      </c>
      <c r="G132" s="1251">
        <f t="shared" si="42"/>
        <v>0</v>
      </c>
      <c r="H132" s="1240">
        <f t="shared" si="38"/>
        <v>0</v>
      </c>
      <c r="I132" s="1148"/>
      <c r="J132" s="383">
        <f t="shared" si="43"/>
        <v>0</v>
      </c>
      <c r="K132" s="712"/>
      <c r="L132" s="487">
        <f t="shared" si="44"/>
        <v>0</v>
      </c>
      <c r="M132" s="927"/>
      <c r="N132" s="672">
        <v>0</v>
      </c>
      <c r="O132" s="660"/>
      <c r="P132" s="1092">
        <f t="shared" si="45"/>
        <v>0</v>
      </c>
      <c r="Q132" s="1093">
        <v>0</v>
      </c>
      <c r="R132" s="381">
        <f t="shared" si="39"/>
        <v>0</v>
      </c>
      <c r="S132" s="382"/>
      <c r="T132" s="381"/>
      <c r="U132" s="624"/>
      <c r="V132" s="569">
        <f t="shared" si="46"/>
        <v>0</v>
      </c>
      <c r="W132" s="607"/>
      <c r="X132" s="383"/>
      <c r="Y132" s="607"/>
      <c r="Z132" s="383"/>
      <c r="AA132" s="607"/>
      <c r="AB132" s="718"/>
      <c r="AC132" s="335"/>
      <c r="AD132" s="383">
        <f>SUMIF('Asesorías AG anterior'!$B$7:$B$239,B132,'Asesorías AG anterior'!$I$7:$I$239)</f>
        <v>1E-3</v>
      </c>
      <c r="AE132" s="383">
        <f>SUMIF('Asesorías AG anterior'!$B$7:$B$239,B132,'Asesorías AG anterior'!$J$7:$J$239)</f>
        <v>0</v>
      </c>
      <c r="AF132" s="383">
        <f>SUMIF('Asesorías AG anterior'!$B$7:$B$239,B132,'Asesorías AG anterior'!$K$7:$K$239)</f>
        <v>1E-3</v>
      </c>
      <c r="AG132" s="383">
        <f>SUMIF('Asesorías AG anterior'!$B$7:$B$239,B132,'Asesorías AG anterior'!$L$7:$L$239)</f>
        <v>0</v>
      </c>
      <c r="AH132" s="383">
        <f>SUMIF('Asesorías AG anterior'!$B$7:$B$239,B132,'Asesorías AG anterior'!$M$7:$M$239)</f>
        <v>0</v>
      </c>
      <c r="AI132" s="383">
        <f>SUMIF('Asesorías AG anterior'!$B$7:$B$239,B132,'Asesorías AG anterior'!$N$7:$N$239)</f>
        <v>0</v>
      </c>
      <c r="AJ132" s="383">
        <f>SUMIF('Asesorías AG anterior'!$B$7:$B$239,B132,'Asesorías AG anterior'!$O$7:$O$239)</f>
        <v>1E-3</v>
      </c>
      <c r="AK132" s="383">
        <f>SUMIF('Asesorías AG anterior'!$B$7:$B$239,B132,'Asesorías AG anterior'!$P$7:$P$239)</f>
        <v>0</v>
      </c>
      <c r="AL132" s="383">
        <f>SUMIF('Asesorías AG anterior'!$B$7:$B$239,B132,'Asesorías AG anterior'!$Q$7:$Q$239)</f>
        <v>0</v>
      </c>
      <c r="AM132" s="383">
        <f>SUMIF('Asesorías AG anterior'!$B$7:$B$239,B132,'Asesorías AG anterior'!$R$7:$R$239)</f>
        <v>0</v>
      </c>
      <c r="AN132" s="383"/>
      <c r="AO132" s="383">
        <f>SUMIF('Asesorías AG anterior'!$B$7:$B$239,B132,'Asesorías AG anterior'!$T$7:$T$239)</f>
        <v>0</v>
      </c>
      <c r="AP132" s="383">
        <f>SUMIF('Asesorías AG anterior'!$B$7:$B$239,B132,'Asesorías AG anterior'!$U$7:$U$239)</f>
        <v>0</v>
      </c>
      <c r="AQ132" s="383">
        <f>SUMIF('Asesorías AG anterior'!$B$7:$B$239,B132,'Asesorías AG anterior'!$V$7:$V$239)</f>
        <v>0</v>
      </c>
      <c r="AR132" s="383">
        <f>SUMIF('Asesorías AG anterior'!$B$7:$B$239,B132,'Asesorías AG anterior'!$W$7:$W$239)</f>
        <v>0</v>
      </c>
      <c r="AS132" s="383">
        <f>SUMIF('Asesorías AG anterior'!$B$7:$B$239,B132,'Asesorías AG anterior'!$X$7:$X$239)</f>
        <v>0</v>
      </c>
      <c r="AT132" s="383">
        <f>SUMIF('Asesorías AG anterior'!$B$7:$B$239,B132,'Asesorías AG anterior'!$Y$7:$Y$239)</f>
        <v>0</v>
      </c>
      <c r="AU132" s="383">
        <f>SUMIF('Asesorías AG anterior'!$B$7:$B$239,B132,'Asesorías AG anterior'!$Z$7:$Z$239)</f>
        <v>0</v>
      </c>
      <c r="AV132" s="383">
        <f>SUMIF('Asesorías AG anterior'!$B$7:$B$239,B132,'Asesorías AG anterior'!$AA$7:$AA$239)</f>
        <v>0</v>
      </c>
      <c r="AW132" s="383">
        <f>SUMIF('Asesorías AG anterior'!$B$7:$B$239,B132,'Asesorías AG anterior'!$AB$7:$AB$239)</f>
        <v>0</v>
      </c>
      <c r="AX132" s="335"/>
      <c r="AZ132" s="1097" t="s">
        <v>328</v>
      </c>
    </row>
    <row r="133" spans="1:52" x14ac:dyDescent="0.2">
      <c r="A133" s="1184">
        <f t="shared" si="37"/>
        <v>125</v>
      </c>
      <c r="B133" s="1201" t="s">
        <v>483</v>
      </c>
      <c r="C133" s="1185">
        <f>_xlfn.XLOOKUP(B133,Códigos!$B$8:$B$406,Códigos!$A$8:$A$406,"Verificar",0)</f>
        <v>186</v>
      </c>
      <c r="D133" s="1114">
        <f>_xlfn.XLOOKUP(B133,'Consolidado Cobros'!$B$10:$B$312,'Consolidado Cobros'!$C$10:$C$312,"Verificar",0)</f>
        <v>71680954</v>
      </c>
      <c r="E133" s="1520">
        <f t="shared" si="40"/>
        <v>6</v>
      </c>
      <c r="F133" s="1517">
        <f t="shared" si="41"/>
        <v>0</v>
      </c>
      <c r="G133" s="1251">
        <f t="shared" si="42"/>
        <v>0</v>
      </c>
      <c r="H133" s="1240">
        <f t="shared" si="38"/>
        <v>0</v>
      </c>
      <c r="I133" s="1148"/>
      <c r="J133" s="383">
        <f t="shared" si="43"/>
        <v>0</v>
      </c>
      <c r="K133" s="712"/>
      <c r="L133" s="487">
        <f t="shared" si="44"/>
        <v>0</v>
      </c>
      <c r="M133" s="927"/>
      <c r="N133" s="672">
        <v>0</v>
      </c>
      <c r="O133" s="660"/>
      <c r="P133" s="1092">
        <f t="shared" si="45"/>
        <v>0</v>
      </c>
      <c r="Q133" s="1093">
        <v>0</v>
      </c>
      <c r="R133" s="381">
        <f t="shared" si="39"/>
        <v>0</v>
      </c>
      <c r="S133" s="382"/>
      <c r="T133" s="381"/>
      <c r="U133" s="624"/>
      <c r="V133" s="569">
        <f t="shared" si="46"/>
        <v>0</v>
      </c>
      <c r="W133" s="607"/>
      <c r="X133" s="383"/>
      <c r="Y133" s="607"/>
      <c r="Z133" s="383"/>
      <c r="AA133" s="607"/>
      <c r="AB133" s="718"/>
      <c r="AC133" s="335"/>
      <c r="AD133" s="383">
        <f>SUMIF('Asesorías AG anterior'!$B$7:$B$239,B133,'Asesorías AG anterior'!$I$7:$I$239)</f>
        <v>1E-3</v>
      </c>
      <c r="AE133" s="383">
        <f>SUMIF('Asesorías AG anterior'!$B$7:$B$239,B133,'Asesorías AG anterior'!$J$7:$J$239)</f>
        <v>0</v>
      </c>
      <c r="AF133" s="383">
        <f>SUMIF('Asesorías AG anterior'!$B$7:$B$239,B133,'Asesorías AG anterior'!$K$7:$K$239)</f>
        <v>1E-3</v>
      </c>
      <c r="AG133" s="383">
        <f>SUMIF('Asesorías AG anterior'!$B$7:$B$239,B133,'Asesorías AG anterior'!$L$7:$L$239)</f>
        <v>0</v>
      </c>
      <c r="AH133" s="383">
        <f>SUMIF('Asesorías AG anterior'!$B$7:$B$239,B133,'Asesorías AG anterior'!$M$7:$M$239)</f>
        <v>0</v>
      </c>
      <c r="AI133" s="383">
        <f>SUMIF('Asesorías AG anterior'!$B$7:$B$239,B133,'Asesorías AG anterior'!$N$7:$N$239)</f>
        <v>0</v>
      </c>
      <c r="AJ133" s="383">
        <f>SUMIF('Asesorías AG anterior'!$B$7:$B$239,B133,'Asesorías AG anterior'!$O$7:$O$239)</f>
        <v>1E-3</v>
      </c>
      <c r="AK133" s="383">
        <f>SUMIF('Asesorías AG anterior'!$B$7:$B$239,B133,'Asesorías AG anterior'!$P$7:$P$239)</f>
        <v>0</v>
      </c>
      <c r="AL133" s="383">
        <f>SUMIF('Asesorías AG anterior'!$B$7:$B$239,B133,'Asesorías AG anterior'!$Q$7:$Q$239)</f>
        <v>0</v>
      </c>
      <c r="AM133" s="383">
        <f>SUMIF('Asesorías AG anterior'!$B$7:$B$239,B133,'Asesorías AG anterior'!$R$7:$R$239)</f>
        <v>0</v>
      </c>
      <c r="AN133" s="383"/>
      <c r="AO133" s="383">
        <f>SUMIF('Asesorías AG anterior'!$B$7:$B$239,B133,'Asesorías AG anterior'!$T$7:$T$239)</f>
        <v>0</v>
      </c>
      <c r="AP133" s="383">
        <f>SUMIF('Asesorías AG anterior'!$B$7:$B$239,B133,'Asesorías AG anterior'!$U$7:$U$239)</f>
        <v>0</v>
      </c>
      <c r="AQ133" s="383">
        <f>SUMIF('Asesorías AG anterior'!$B$7:$B$239,B133,'Asesorías AG anterior'!$V$7:$V$239)</f>
        <v>0</v>
      </c>
      <c r="AR133" s="383">
        <f>SUMIF('Asesorías AG anterior'!$B$7:$B$239,B133,'Asesorías AG anterior'!$W$7:$W$239)</f>
        <v>0</v>
      </c>
      <c r="AS133" s="383">
        <f>SUMIF('Asesorías AG anterior'!$B$7:$B$239,B133,'Asesorías AG anterior'!$X$7:$X$239)</f>
        <v>0</v>
      </c>
      <c r="AT133" s="383">
        <f>SUMIF('Asesorías AG anterior'!$B$7:$B$239,B133,'Asesorías AG anterior'!$Y$7:$Y$239)</f>
        <v>0</v>
      </c>
      <c r="AU133" s="383">
        <f>SUMIF('Asesorías AG anterior'!$B$7:$B$239,B133,'Asesorías AG anterior'!$Z$7:$Z$239)</f>
        <v>0</v>
      </c>
      <c r="AV133" s="383">
        <f>SUMIF('Asesorías AG anterior'!$B$7:$B$239,B133,'Asesorías AG anterior'!$AA$7:$AA$239)</f>
        <v>0</v>
      </c>
      <c r="AW133" s="383">
        <f>SUMIF('Asesorías AG anterior'!$B$7:$B$239,B133,'Asesorías AG anterior'!$AB$7:$AB$239)</f>
        <v>0</v>
      </c>
      <c r="AX133" s="335"/>
      <c r="AZ133" s="1201" t="s">
        <v>483</v>
      </c>
    </row>
    <row r="134" spans="1:52" x14ac:dyDescent="0.2">
      <c r="A134" s="1184">
        <f t="shared" si="37"/>
        <v>126</v>
      </c>
      <c r="B134" s="1097" t="s">
        <v>84</v>
      </c>
      <c r="C134" s="1185">
        <f>_xlfn.XLOOKUP(B134,Códigos!$B$8:$B$406,Códigos!$A$8:$A$406,"Verificar",0)</f>
        <v>126</v>
      </c>
      <c r="D134" s="1114">
        <f>_xlfn.XLOOKUP(B134,'Consolidado Cobros'!$B$10:$B$312,'Consolidado Cobros'!$C$10:$C$312,"Verificar",0)</f>
        <v>52009137</v>
      </c>
      <c r="E134" s="1520">
        <f t="shared" si="40"/>
        <v>0</v>
      </c>
      <c r="F134" s="1517">
        <f t="shared" si="41"/>
        <v>0</v>
      </c>
      <c r="G134" s="1251">
        <f t="shared" si="42"/>
        <v>0</v>
      </c>
      <c r="H134" s="1240">
        <f t="shared" si="38"/>
        <v>0</v>
      </c>
      <c r="I134" s="1148"/>
      <c r="J134" s="383">
        <f t="shared" si="43"/>
        <v>0</v>
      </c>
      <c r="K134" s="712"/>
      <c r="L134" s="487">
        <f t="shared" si="44"/>
        <v>0</v>
      </c>
      <c r="M134" s="927"/>
      <c r="N134" s="672">
        <v>0</v>
      </c>
      <c r="O134" s="660"/>
      <c r="P134" s="1092">
        <f t="shared" si="45"/>
        <v>0</v>
      </c>
      <c r="Q134" s="1093">
        <v>0</v>
      </c>
      <c r="R134" s="381">
        <f t="shared" si="39"/>
        <v>0</v>
      </c>
      <c r="S134" s="382"/>
      <c r="T134" s="381"/>
      <c r="U134" s="624"/>
      <c r="V134" s="569">
        <f t="shared" si="46"/>
        <v>0</v>
      </c>
      <c r="W134" s="607"/>
      <c r="X134" s="383"/>
      <c r="Y134" s="607"/>
      <c r="Z134" s="383"/>
      <c r="AA134" s="607"/>
      <c r="AB134" s="718"/>
      <c r="AC134" s="335"/>
      <c r="AD134" s="383">
        <f>SUMIF('Asesorías AG anterior'!$B$7:$B$239,B134,'Asesorías AG anterior'!$I$7:$I$239)</f>
        <v>1E-3</v>
      </c>
      <c r="AE134" s="383">
        <f>SUMIF('Asesorías AG anterior'!$B$7:$B$239,B134,'Asesorías AG anterior'!$J$7:$J$239)</f>
        <v>0</v>
      </c>
      <c r="AF134" s="383">
        <f>SUMIF('Asesorías AG anterior'!$B$7:$B$239,B134,'Asesorías AG anterior'!$K$7:$K$239)</f>
        <v>1E-3</v>
      </c>
      <c r="AG134" s="383">
        <f>SUMIF('Asesorías AG anterior'!$B$7:$B$239,B134,'Asesorías AG anterior'!$L$7:$L$239)</f>
        <v>0</v>
      </c>
      <c r="AH134" s="383">
        <f>SUMIF('Asesorías AG anterior'!$B$7:$B$239,B134,'Asesorías AG anterior'!$M$7:$M$239)</f>
        <v>0</v>
      </c>
      <c r="AI134" s="383">
        <f>SUMIF('Asesorías AG anterior'!$B$7:$B$239,B134,'Asesorías AG anterior'!$N$7:$N$239)</f>
        <v>0</v>
      </c>
      <c r="AJ134" s="383">
        <f>SUMIF('Asesorías AG anterior'!$B$7:$B$239,B134,'Asesorías AG anterior'!$O$7:$O$239)</f>
        <v>1E-3</v>
      </c>
      <c r="AK134" s="383">
        <f>SUMIF('Asesorías AG anterior'!$B$7:$B$239,B134,'Asesorías AG anterior'!$P$7:$P$239)</f>
        <v>0</v>
      </c>
      <c r="AL134" s="383">
        <f>SUMIF('Asesorías AG anterior'!$B$7:$B$239,B134,'Asesorías AG anterior'!$Q$7:$Q$239)</f>
        <v>0</v>
      </c>
      <c r="AM134" s="383">
        <f>SUMIF('Asesorías AG anterior'!$B$7:$B$239,B134,'Asesorías AG anterior'!$R$7:$R$239)</f>
        <v>0</v>
      </c>
      <c r="AN134" s="383"/>
      <c r="AO134" s="383">
        <f>SUMIF('Asesorías AG anterior'!$B$7:$B$239,B134,'Asesorías AG anterior'!$T$7:$T$239)</f>
        <v>0</v>
      </c>
      <c r="AP134" s="383">
        <f>SUMIF('Asesorías AG anterior'!$B$7:$B$239,B134,'Asesorías AG anterior'!$U$7:$U$239)</f>
        <v>0</v>
      </c>
      <c r="AQ134" s="383">
        <f>SUMIF('Asesorías AG anterior'!$B$7:$B$239,B134,'Asesorías AG anterior'!$V$7:$V$239)</f>
        <v>0</v>
      </c>
      <c r="AR134" s="383">
        <f>SUMIF('Asesorías AG anterior'!$B$7:$B$239,B134,'Asesorías AG anterior'!$W$7:$W$239)</f>
        <v>0</v>
      </c>
      <c r="AS134" s="383">
        <f>SUMIF('Asesorías AG anterior'!$B$7:$B$239,B134,'Asesorías AG anterior'!$X$7:$X$239)</f>
        <v>0</v>
      </c>
      <c r="AT134" s="383">
        <f>SUMIF('Asesorías AG anterior'!$B$7:$B$239,B134,'Asesorías AG anterior'!$Y$7:$Y$239)</f>
        <v>0</v>
      </c>
      <c r="AU134" s="383">
        <f>SUMIF('Asesorías AG anterior'!$B$7:$B$239,B134,'Asesorías AG anterior'!$Z$7:$Z$239)</f>
        <v>0</v>
      </c>
      <c r="AV134" s="383">
        <f>SUMIF('Asesorías AG anterior'!$B$7:$B$239,B134,'Asesorías AG anterior'!$AA$7:$AA$239)</f>
        <v>0</v>
      </c>
      <c r="AW134" s="383">
        <f>SUMIF('Asesorías AG anterior'!$B$7:$B$239,B134,'Asesorías AG anterior'!$AB$7:$AB$239)</f>
        <v>0</v>
      </c>
      <c r="AX134" s="335"/>
      <c r="AZ134" s="1097" t="s">
        <v>84</v>
      </c>
    </row>
    <row r="135" spans="1:52" x14ac:dyDescent="0.2">
      <c r="A135" s="1184">
        <f t="shared" si="37"/>
        <v>127</v>
      </c>
      <c r="B135" s="1097" t="s">
        <v>86</v>
      </c>
      <c r="C135" s="1185">
        <f>_xlfn.XLOOKUP(B135,Códigos!$B$8:$B$406,Códigos!$A$8:$A$406,"Verificar",0)</f>
        <v>127</v>
      </c>
      <c r="D135" s="1114">
        <f>_xlfn.XLOOKUP(B135,'Consolidado Cobros'!$B$10:$B$312,'Consolidado Cobros'!$C$10:$C$312,"Verificar",0)</f>
        <v>32416024</v>
      </c>
      <c r="E135" s="1520">
        <f t="shared" si="40"/>
        <v>1</v>
      </c>
      <c r="F135" s="1517">
        <f t="shared" si="41"/>
        <v>0</v>
      </c>
      <c r="G135" s="1251">
        <f t="shared" si="42"/>
        <v>0</v>
      </c>
      <c r="H135" s="1240">
        <f t="shared" si="38"/>
        <v>0</v>
      </c>
      <c r="I135" s="1148"/>
      <c r="J135" s="383">
        <f t="shared" si="43"/>
        <v>0</v>
      </c>
      <c r="K135" s="712"/>
      <c r="L135" s="487">
        <f t="shared" si="44"/>
        <v>0</v>
      </c>
      <c r="M135" s="927"/>
      <c r="N135" s="672">
        <v>0</v>
      </c>
      <c r="O135" s="660"/>
      <c r="P135" s="1092">
        <f t="shared" si="45"/>
        <v>0</v>
      </c>
      <c r="Q135" s="1093">
        <v>0</v>
      </c>
      <c r="R135" s="381">
        <f t="shared" si="39"/>
        <v>0</v>
      </c>
      <c r="S135" s="382"/>
      <c r="T135" s="381"/>
      <c r="U135" s="624"/>
      <c r="V135" s="569">
        <f t="shared" si="46"/>
        <v>0</v>
      </c>
      <c r="W135" s="607"/>
      <c r="X135" s="383"/>
      <c r="Y135" s="607"/>
      <c r="Z135" s="383"/>
      <c r="AA135" s="607"/>
      <c r="AB135" s="718"/>
      <c r="AC135" s="335"/>
      <c r="AD135" s="383">
        <f>SUMIF('Asesorías AG anterior'!$B$7:$B$239,B135,'Asesorías AG anterior'!$I$7:$I$239)</f>
        <v>1E-3</v>
      </c>
      <c r="AE135" s="383">
        <f>SUMIF('Asesorías AG anterior'!$B$7:$B$239,B135,'Asesorías AG anterior'!$J$7:$J$239)</f>
        <v>0</v>
      </c>
      <c r="AF135" s="383">
        <f>SUMIF('Asesorías AG anterior'!$B$7:$B$239,B135,'Asesorías AG anterior'!$K$7:$K$239)</f>
        <v>1E-3</v>
      </c>
      <c r="AG135" s="383">
        <f>SUMIF('Asesorías AG anterior'!$B$7:$B$239,B135,'Asesorías AG anterior'!$L$7:$L$239)</f>
        <v>0</v>
      </c>
      <c r="AH135" s="383">
        <f>SUMIF('Asesorías AG anterior'!$B$7:$B$239,B135,'Asesorías AG anterior'!$M$7:$M$239)</f>
        <v>0</v>
      </c>
      <c r="AI135" s="383">
        <f>SUMIF('Asesorías AG anterior'!$B$7:$B$239,B135,'Asesorías AG anterior'!$N$7:$N$239)</f>
        <v>0</v>
      </c>
      <c r="AJ135" s="383">
        <f>SUMIF('Asesorías AG anterior'!$B$7:$B$239,B135,'Asesorías AG anterior'!$O$7:$O$239)</f>
        <v>1E-3</v>
      </c>
      <c r="AK135" s="383">
        <f>SUMIF('Asesorías AG anterior'!$B$7:$B$239,B135,'Asesorías AG anterior'!$P$7:$P$239)</f>
        <v>0</v>
      </c>
      <c r="AL135" s="383">
        <f>SUMIF('Asesorías AG anterior'!$B$7:$B$239,B135,'Asesorías AG anterior'!$Q$7:$Q$239)</f>
        <v>0</v>
      </c>
      <c r="AM135" s="383">
        <f>SUMIF('Asesorías AG anterior'!$B$7:$B$239,B135,'Asesorías AG anterior'!$R$7:$R$239)</f>
        <v>0</v>
      </c>
      <c r="AN135" s="383"/>
      <c r="AO135" s="383">
        <f>SUMIF('Asesorías AG anterior'!$B$7:$B$239,B135,'Asesorías AG anterior'!$T$7:$T$239)</f>
        <v>0</v>
      </c>
      <c r="AP135" s="383">
        <f>SUMIF('Asesorías AG anterior'!$B$7:$B$239,B135,'Asesorías AG anterior'!$U$7:$U$239)</f>
        <v>0</v>
      </c>
      <c r="AQ135" s="383">
        <f>SUMIF('Asesorías AG anterior'!$B$7:$B$239,B135,'Asesorías AG anterior'!$V$7:$V$239)</f>
        <v>0</v>
      </c>
      <c r="AR135" s="383">
        <f>SUMIF('Asesorías AG anterior'!$B$7:$B$239,B135,'Asesorías AG anterior'!$W$7:$W$239)</f>
        <v>0</v>
      </c>
      <c r="AS135" s="383">
        <f>SUMIF('Asesorías AG anterior'!$B$7:$B$239,B135,'Asesorías AG anterior'!$X$7:$X$239)</f>
        <v>0</v>
      </c>
      <c r="AT135" s="383">
        <f>SUMIF('Asesorías AG anterior'!$B$7:$B$239,B135,'Asesorías AG anterior'!$Y$7:$Y$239)</f>
        <v>0</v>
      </c>
      <c r="AU135" s="383">
        <f>SUMIF('Asesorías AG anterior'!$B$7:$B$239,B135,'Asesorías AG anterior'!$Z$7:$Z$239)</f>
        <v>0</v>
      </c>
      <c r="AV135" s="383">
        <f>SUMIF('Asesorías AG anterior'!$B$7:$B$239,B135,'Asesorías AG anterior'!$AA$7:$AA$239)</f>
        <v>0</v>
      </c>
      <c r="AW135" s="383">
        <f>SUMIF('Asesorías AG anterior'!$B$7:$B$239,B135,'Asesorías AG anterior'!$AB$7:$AB$239)</f>
        <v>0</v>
      </c>
      <c r="AX135" s="335"/>
      <c r="AZ135" s="1097" t="s">
        <v>86</v>
      </c>
    </row>
    <row r="136" spans="1:52" x14ac:dyDescent="0.2">
      <c r="A136" s="1184">
        <f t="shared" si="37"/>
        <v>128</v>
      </c>
      <c r="B136" s="1097" t="s">
        <v>88</v>
      </c>
      <c r="C136" s="1185">
        <f>_xlfn.XLOOKUP(B136,Códigos!$B$8:$B$406,Códigos!$A$8:$A$406,"Verificar",0)</f>
        <v>221</v>
      </c>
      <c r="D136" s="1114">
        <f>_xlfn.XLOOKUP(B136,'Consolidado Cobros'!$B$10:$B$312,'Consolidado Cobros'!$C$10:$C$312,"Verificar",0)</f>
        <v>15502041</v>
      </c>
      <c r="E136" s="1520">
        <f t="shared" si="40"/>
        <v>1</v>
      </c>
      <c r="F136" s="1517">
        <f t="shared" si="41"/>
        <v>0</v>
      </c>
      <c r="G136" s="1251">
        <f t="shared" si="42"/>
        <v>0</v>
      </c>
      <c r="H136" s="1240">
        <f t="shared" si="38"/>
        <v>0</v>
      </c>
      <c r="I136" s="1148"/>
      <c r="J136" s="383">
        <f t="shared" si="43"/>
        <v>0</v>
      </c>
      <c r="K136" s="712"/>
      <c r="L136" s="487">
        <f t="shared" si="44"/>
        <v>0</v>
      </c>
      <c r="M136" s="927"/>
      <c r="N136" s="672">
        <v>0</v>
      </c>
      <c r="O136" s="660"/>
      <c r="P136" s="1092">
        <f t="shared" si="45"/>
        <v>0</v>
      </c>
      <c r="Q136" s="1093">
        <v>0</v>
      </c>
      <c r="R136" s="381">
        <f t="shared" si="39"/>
        <v>0</v>
      </c>
      <c r="S136" s="382"/>
      <c r="T136" s="381"/>
      <c r="U136" s="624"/>
      <c r="V136" s="569">
        <f t="shared" si="46"/>
        <v>0</v>
      </c>
      <c r="W136" s="607"/>
      <c r="X136" s="383"/>
      <c r="Y136" s="607"/>
      <c r="Z136" s="383"/>
      <c r="AA136" s="607"/>
      <c r="AB136" s="718"/>
      <c r="AC136" s="335"/>
      <c r="AD136" s="383">
        <f>SUMIF('Asesorías AG anterior'!$B$7:$B$239,B136,'Asesorías AG anterior'!$I$7:$I$239)</f>
        <v>1E-3</v>
      </c>
      <c r="AE136" s="383">
        <f>SUMIF('Asesorías AG anterior'!$B$7:$B$239,B136,'Asesorías AG anterior'!$J$7:$J$239)</f>
        <v>0</v>
      </c>
      <c r="AF136" s="383">
        <f>SUMIF('Asesorías AG anterior'!$B$7:$B$239,B136,'Asesorías AG anterior'!$K$7:$K$239)</f>
        <v>1E-3</v>
      </c>
      <c r="AG136" s="383">
        <f>SUMIF('Asesorías AG anterior'!$B$7:$B$239,B136,'Asesorías AG anterior'!$L$7:$L$239)</f>
        <v>0</v>
      </c>
      <c r="AH136" s="383">
        <f>SUMIF('Asesorías AG anterior'!$B$7:$B$239,B136,'Asesorías AG anterior'!$M$7:$M$239)</f>
        <v>0</v>
      </c>
      <c r="AI136" s="383">
        <f>SUMIF('Asesorías AG anterior'!$B$7:$B$239,B136,'Asesorías AG anterior'!$N$7:$N$239)</f>
        <v>0</v>
      </c>
      <c r="AJ136" s="383">
        <f>SUMIF('Asesorías AG anterior'!$B$7:$B$239,B136,'Asesorías AG anterior'!$O$7:$O$239)</f>
        <v>1E-3</v>
      </c>
      <c r="AK136" s="383">
        <f>SUMIF('Asesorías AG anterior'!$B$7:$B$239,B136,'Asesorías AG anterior'!$P$7:$P$239)</f>
        <v>0</v>
      </c>
      <c r="AL136" s="383">
        <f>SUMIF('Asesorías AG anterior'!$B$7:$B$239,B136,'Asesorías AG anterior'!$Q$7:$Q$239)</f>
        <v>0</v>
      </c>
      <c r="AM136" s="383">
        <f>SUMIF('Asesorías AG anterior'!$B$7:$B$239,B136,'Asesorías AG anterior'!$R$7:$R$239)</f>
        <v>0</v>
      </c>
      <c r="AN136" s="383"/>
      <c r="AO136" s="383">
        <f>SUMIF('Asesorías AG anterior'!$B$7:$B$239,B136,'Asesorías AG anterior'!$T$7:$T$239)</f>
        <v>0</v>
      </c>
      <c r="AP136" s="383">
        <f>SUMIF('Asesorías AG anterior'!$B$7:$B$239,B136,'Asesorías AG anterior'!$U$7:$U$239)</f>
        <v>0</v>
      </c>
      <c r="AQ136" s="383">
        <f>SUMIF('Asesorías AG anterior'!$B$7:$B$239,B136,'Asesorías AG anterior'!$V$7:$V$239)</f>
        <v>0</v>
      </c>
      <c r="AR136" s="383">
        <f>SUMIF('Asesorías AG anterior'!$B$7:$B$239,B136,'Asesorías AG anterior'!$W$7:$W$239)</f>
        <v>0</v>
      </c>
      <c r="AS136" s="383">
        <f>SUMIF('Asesorías AG anterior'!$B$7:$B$239,B136,'Asesorías AG anterior'!$X$7:$X$239)</f>
        <v>0</v>
      </c>
      <c r="AT136" s="383">
        <f>SUMIF('Asesorías AG anterior'!$B$7:$B$239,B136,'Asesorías AG anterior'!$Y$7:$Y$239)</f>
        <v>0</v>
      </c>
      <c r="AU136" s="383">
        <f>SUMIF('Asesorías AG anterior'!$B$7:$B$239,B136,'Asesorías AG anterior'!$Z$7:$Z$239)</f>
        <v>0</v>
      </c>
      <c r="AV136" s="383">
        <f>SUMIF('Asesorías AG anterior'!$B$7:$B$239,B136,'Asesorías AG anterior'!$AA$7:$AA$239)</f>
        <v>0</v>
      </c>
      <c r="AW136" s="383">
        <f>SUMIF('Asesorías AG anterior'!$B$7:$B$239,B136,'Asesorías AG anterior'!$AB$7:$AB$239)</f>
        <v>0</v>
      </c>
      <c r="AX136" s="335"/>
      <c r="AZ136" s="1097" t="s">
        <v>88</v>
      </c>
    </row>
    <row r="137" spans="1:52" x14ac:dyDescent="0.2">
      <c r="A137" s="1184">
        <f t="shared" si="37"/>
        <v>129</v>
      </c>
      <c r="B137" s="1097" t="s">
        <v>397</v>
      </c>
      <c r="C137" s="1185">
        <f>_xlfn.XLOOKUP(B137,Códigos!$B$8:$B$406,Códigos!$A$8:$A$406,"Verificar",0)</f>
        <v>80</v>
      </c>
      <c r="D137" s="1114">
        <f>_xlfn.XLOOKUP(B137,'Consolidado Cobros'!$B$10:$B$312,'Consolidado Cobros'!$C$10:$C$312,"Verificar",0)</f>
        <v>1037630601</v>
      </c>
      <c r="E137" s="1520">
        <f t="shared" si="40"/>
        <v>5</v>
      </c>
      <c r="F137" s="1517">
        <f t="shared" si="41"/>
        <v>0</v>
      </c>
      <c r="G137" s="1251">
        <f t="shared" si="42"/>
        <v>0</v>
      </c>
      <c r="H137" s="1240">
        <f t="shared" si="38"/>
        <v>0</v>
      </c>
      <c r="I137" s="1148"/>
      <c r="J137" s="383">
        <f t="shared" si="43"/>
        <v>0</v>
      </c>
      <c r="K137" s="712"/>
      <c r="L137" s="487">
        <f t="shared" si="44"/>
        <v>0</v>
      </c>
      <c r="M137" s="927"/>
      <c r="N137" s="672">
        <v>0</v>
      </c>
      <c r="O137" s="660"/>
      <c r="P137" s="1092">
        <f t="shared" si="45"/>
        <v>0</v>
      </c>
      <c r="Q137" s="1093">
        <v>0</v>
      </c>
      <c r="R137" s="381">
        <f t="shared" si="39"/>
        <v>0</v>
      </c>
      <c r="S137" s="382"/>
      <c r="T137" s="381"/>
      <c r="U137" s="624"/>
      <c r="V137" s="569">
        <f t="shared" si="46"/>
        <v>0</v>
      </c>
      <c r="W137" s="607"/>
      <c r="X137" s="383"/>
      <c r="Y137" s="607"/>
      <c r="Z137" s="383"/>
      <c r="AA137" s="607"/>
      <c r="AB137" s="718"/>
      <c r="AC137" s="335"/>
      <c r="AD137" s="383">
        <f>SUMIF('Asesorías AG anterior'!$B$7:$B$239,B137,'Asesorías AG anterior'!$I$7:$I$239)</f>
        <v>1E-3</v>
      </c>
      <c r="AE137" s="383">
        <f>SUMIF('Asesorías AG anterior'!$B$7:$B$239,B137,'Asesorías AG anterior'!$J$7:$J$239)</f>
        <v>0</v>
      </c>
      <c r="AF137" s="383">
        <f>SUMIF('Asesorías AG anterior'!$B$7:$B$239,B137,'Asesorías AG anterior'!$K$7:$K$239)</f>
        <v>1E-3</v>
      </c>
      <c r="AG137" s="383">
        <f>SUMIF('Asesorías AG anterior'!$B$7:$B$239,B137,'Asesorías AG anterior'!$L$7:$L$239)</f>
        <v>0</v>
      </c>
      <c r="AH137" s="383">
        <f>SUMIF('Asesorías AG anterior'!$B$7:$B$239,B137,'Asesorías AG anterior'!$M$7:$M$239)</f>
        <v>0</v>
      </c>
      <c r="AI137" s="383">
        <f>SUMIF('Asesorías AG anterior'!$B$7:$B$239,B137,'Asesorías AG anterior'!$N$7:$N$239)</f>
        <v>0</v>
      </c>
      <c r="AJ137" s="383">
        <f>SUMIF('Asesorías AG anterior'!$B$7:$B$239,B137,'Asesorías AG anterior'!$O$7:$O$239)</f>
        <v>1E-3</v>
      </c>
      <c r="AK137" s="383">
        <f>SUMIF('Asesorías AG anterior'!$B$7:$B$239,B137,'Asesorías AG anterior'!$P$7:$P$239)</f>
        <v>0</v>
      </c>
      <c r="AL137" s="383">
        <f>SUMIF('Asesorías AG anterior'!$B$7:$B$239,B137,'Asesorías AG anterior'!$Q$7:$Q$239)</f>
        <v>0</v>
      </c>
      <c r="AM137" s="383">
        <f>SUMIF('Asesorías AG anterior'!$B$7:$B$239,B137,'Asesorías AG anterior'!$R$7:$R$239)</f>
        <v>0</v>
      </c>
      <c r="AN137" s="383"/>
      <c r="AO137" s="383">
        <f>SUMIF('Asesorías AG anterior'!$B$7:$B$239,B137,'Asesorías AG anterior'!$T$7:$T$239)</f>
        <v>0</v>
      </c>
      <c r="AP137" s="383">
        <f>SUMIF('Asesorías AG anterior'!$B$7:$B$239,B137,'Asesorías AG anterior'!$U$7:$U$239)</f>
        <v>0</v>
      </c>
      <c r="AQ137" s="383">
        <f>SUMIF('Asesorías AG anterior'!$B$7:$B$239,B137,'Asesorías AG anterior'!$V$7:$V$239)</f>
        <v>0</v>
      </c>
      <c r="AR137" s="383">
        <f>SUMIF('Asesorías AG anterior'!$B$7:$B$239,B137,'Asesorías AG anterior'!$W$7:$W$239)</f>
        <v>0</v>
      </c>
      <c r="AS137" s="383">
        <f>SUMIF('Asesorías AG anterior'!$B$7:$B$239,B137,'Asesorías AG anterior'!$X$7:$X$239)</f>
        <v>0</v>
      </c>
      <c r="AT137" s="383">
        <f>SUMIF('Asesorías AG anterior'!$B$7:$B$239,B137,'Asesorías AG anterior'!$Y$7:$Y$239)</f>
        <v>0</v>
      </c>
      <c r="AU137" s="383">
        <f>SUMIF('Asesorías AG anterior'!$B$7:$B$239,B137,'Asesorías AG anterior'!$Z$7:$Z$239)</f>
        <v>0</v>
      </c>
      <c r="AV137" s="383">
        <f>SUMIF('Asesorías AG anterior'!$B$7:$B$239,B137,'Asesorías AG anterior'!$AA$7:$AA$239)</f>
        <v>0</v>
      </c>
      <c r="AW137" s="383">
        <f>SUMIF('Asesorías AG anterior'!$B$7:$B$239,B137,'Asesorías AG anterior'!$AB$7:$AB$239)</f>
        <v>0</v>
      </c>
      <c r="AX137" s="335"/>
      <c r="AZ137" s="1393" t="s">
        <v>397</v>
      </c>
    </row>
    <row r="138" spans="1:52" x14ac:dyDescent="0.2">
      <c r="A138" s="1184">
        <f t="shared" si="37"/>
        <v>130</v>
      </c>
      <c r="B138" s="1097" t="s">
        <v>89</v>
      </c>
      <c r="C138" s="1185">
        <f>_xlfn.XLOOKUP(B138,Códigos!$B$8:$B$406,Códigos!$A$8:$A$406,"Verificar",0)</f>
        <v>216</v>
      </c>
      <c r="D138" s="1114">
        <f>_xlfn.XLOOKUP(B138,'Consolidado Cobros'!$B$10:$B$312,'Consolidado Cobros'!$C$10:$C$312,"Verificar",0)</f>
        <v>32523581</v>
      </c>
      <c r="E138" s="1520">
        <f t="shared" si="40"/>
        <v>9</v>
      </c>
      <c r="F138" s="1517">
        <f t="shared" si="41"/>
        <v>0</v>
      </c>
      <c r="G138" s="1251">
        <f t="shared" si="42"/>
        <v>0</v>
      </c>
      <c r="H138" s="1240">
        <f t="shared" si="38"/>
        <v>0</v>
      </c>
      <c r="I138" s="1148"/>
      <c r="J138" s="383">
        <f t="shared" si="43"/>
        <v>0</v>
      </c>
      <c r="K138" s="712"/>
      <c r="L138" s="487">
        <f t="shared" si="44"/>
        <v>0</v>
      </c>
      <c r="M138" s="927"/>
      <c r="N138" s="672">
        <v>0</v>
      </c>
      <c r="O138" s="660"/>
      <c r="P138" s="1092">
        <f t="shared" si="45"/>
        <v>0</v>
      </c>
      <c r="Q138" s="1093">
        <v>0</v>
      </c>
      <c r="R138" s="381">
        <f t="shared" si="39"/>
        <v>0</v>
      </c>
      <c r="S138" s="382"/>
      <c r="T138" s="381"/>
      <c r="U138" s="624"/>
      <c r="V138" s="569">
        <f t="shared" si="46"/>
        <v>0</v>
      </c>
      <c r="W138" s="607"/>
      <c r="X138" s="383"/>
      <c r="Y138" s="607"/>
      <c r="Z138" s="383"/>
      <c r="AA138" s="607"/>
      <c r="AB138" s="718"/>
      <c r="AC138" s="335"/>
      <c r="AD138" s="383">
        <f>SUMIF('Asesorías AG anterior'!$B$7:$B$239,B138,'Asesorías AG anterior'!$I$7:$I$239)</f>
        <v>1E-3</v>
      </c>
      <c r="AE138" s="383">
        <f>SUMIF('Asesorías AG anterior'!$B$7:$B$239,B138,'Asesorías AG anterior'!$J$7:$J$239)</f>
        <v>0</v>
      </c>
      <c r="AF138" s="383">
        <f>SUMIF('Asesorías AG anterior'!$B$7:$B$239,B138,'Asesorías AG anterior'!$K$7:$K$239)</f>
        <v>1E-3</v>
      </c>
      <c r="AG138" s="383">
        <f>SUMIF('Asesorías AG anterior'!$B$7:$B$239,B138,'Asesorías AG anterior'!$L$7:$L$239)</f>
        <v>0</v>
      </c>
      <c r="AH138" s="383">
        <f>SUMIF('Asesorías AG anterior'!$B$7:$B$239,B138,'Asesorías AG anterior'!$M$7:$M$239)</f>
        <v>0</v>
      </c>
      <c r="AI138" s="383">
        <f>SUMIF('Asesorías AG anterior'!$B$7:$B$239,B138,'Asesorías AG anterior'!$N$7:$N$239)</f>
        <v>0</v>
      </c>
      <c r="AJ138" s="383">
        <f>SUMIF('Asesorías AG anterior'!$B$7:$B$239,B138,'Asesorías AG anterior'!$O$7:$O$239)</f>
        <v>1E-3</v>
      </c>
      <c r="AK138" s="383">
        <f>SUMIF('Asesorías AG anterior'!$B$7:$B$239,B138,'Asesorías AG anterior'!$P$7:$P$239)</f>
        <v>0</v>
      </c>
      <c r="AL138" s="383">
        <f>SUMIF('Asesorías AG anterior'!$B$7:$B$239,B138,'Asesorías AG anterior'!$Q$7:$Q$239)</f>
        <v>0</v>
      </c>
      <c r="AM138" s="383">
        <f>SUMIF('Asesorías AG anterior'!$B$7:$B$239,B138,'Asesorías AG anterior'!$R$7:$R$239)</f>
        <v>0</v>
      </c>
      <c r="AN138" s="383"/>
      <c r="AO138" s="383">
        <f>SUMIF('Asesorías AG anterior'!$B$7:$B$239,B138,'Asesorías AG anterior'!$T$7:$T$239)</f>
        <v>0</v>
      </c>
      <c r="AP138" s="383">
        <f>SUMIF('Asesorías AG anterior'!$B$7:$B$239,B138,'Asesorías AG anterior'!$U$7:$U$239)</f>
        <v>0</v>
      </c>
      <c r="AQ138" s="383">
        <f>SUMIF('Asesorías AG anterior'!$B$7:$B$239,B138,'Asesorías AG anterior'!$V$7:$V$239)</f>
        <v>0</v>
      </c>
      <c r="AR138" s="383">
        <f>SUMIF('Asesorías AG anterior'!$B$7:$B$239,B138,'Asesorías AG anterior'!$W$7:$W$239)</f>
        <v>0</v>
      </c>
      <c r="AS138" s="383">
        <f>SUMIF('Asesorías AG anterior'!$B$7:$B$239,B138,'Asesorías AG anterior'!$X$7:$X$239)</f>
        <v>0</v>
      </c>
      <c r="AT138" s="383">
        <f>SUMIF('Asesorías AG anterior'!$B$7:$B$239,B138,'Asesorías AG anterior'!$Y$7:$Y$239)</f>
        <v>0</v>
      </c>
      <c r="AU138" s="383">
        <f>SUMIF('Asesorías AG anterior'!$B$7:$B$239,B138,'Asesorías AG anterior'!$Z$7:$Z$239)</f>
        <v>0</v>
      </c>
      <c r="AV138" s="383">
        <f>SUMIF('Asesorías AG anterior'!$B$7:$B$239,B138,'Asesorías AG anterior'!$AA$7:$AA$239)</f>
        <v>0</v>
      </c>
      <c r="AW138" s="383">
        <f>SUMIF('Asesorías AG anterior'!$B$7:$B$239,B138,'Asesorías AG anterior'!$AB$7:$AB$239)</f>
        <v>0</v>
      </c>
      <c r="AX138" s="335"/>
      <c r="AZ138" s="1393" t="s">
        <v>89</v>
      </c>
    </row>
    <row r="139" spans="1:52" x14ac:dyDescent="0.2">
      <c r="A139" s="1184">
        <f t="shared" ref="A139:A202" si="54">+A138+1</f>
        <v>131</v>
      </c>
      <c r="B139" s="1097" t="s">
        <v>90</v>
      </c>
      <c r="C139" s="1185">
        <f>_xlfn.XLOOKUP(B139,Códigos!$B$8:$B$406,Códigos!$A$8:$A$406,"Verificar",0)</f>
        <v>129</v>
      </c>
      <c r="D139" s="1114">
        <f>_xlfn.XLOOKUP(B139,'Consolidado Cobros'!$B$10:$B$312,'Consolidado Cobros'!$C$10:$C$312,"Verificar",0)</f>
        <v>43064007</v>
      </c>
      <c r="E139" s="1520">
        <f t="shared" si="40"/>
        <v>2</v>
      </c>
      <c r="F139" s="1517">
        <f t="shared" si="41"/>
        <v>0</v>
      </c>
      <c r="G139" s="1251">
        <f t="shared" si="42"/>
        <v>0</v>
      </c>
      <c r="H139" s="1240">
        <f t="shared" si="38"/>
        <v>0</v>
      </c>
      <c r="I139" s="1148"/>
      <c r="J139" s="383">
        <f t="shared" si="43"/>
        <v>0</v>
      </c>
      <c r="K139" s="712"/>
      <c r="L139" s="487">
        <f t="shared" si="44"/>
        <v>0</v>
      </c>
      <c r="M139" s="927"/>
      <c r="N139" s="672">
        <v>0</v>
      </c>
      <c r="O139" s="660"/>
      <c r="P139" s="1092">
        <f t="shared" si="45"/>
        <v>0</v>
      </c>
      <c r="Q139" s="1093">
        <v>0</v>
      </c>
      <c r="R139" s="381">
        <f t="shared" si="39"/>
        <v>0</v>
      </c>
      <c r="S139" s="382"/>
      <c r="T139" s="381"/>
      <c r="U139" s="624"/>
      <c r="V139" s="569">
        <f t="shared" si="46"/>
        <v>0</v>
      </c>
      <c r="W139" s="607"/>
      <c r="X139" s="383"/>
      <c r="Y139" s="607"/>
      <c r="Z139" s="383"/>
      <c r="AA139" s="607"/>
      <c r="AB139" s="718"/>
      <c r="AC139" s="335"/>
      <c r="AD139" s="383">
        <f>SUMIF('Asesorías AG anterior'!$B$7:$B$239,B139,'Asesorías AG anterior'!$I$7:$I$239)</f>
        <v>1E-3</v>
      </c>
      <c r="AE139" s="383">
        <f>SUMIF('Asesorías AG anterior'!$B$7:$B$239,B139,'Asesorías AG anterior'!$J$7:$J$239)</f>
        <v>0</v>
      </c>
      <c r="AF139" s="383">
        <f>SUMIF('Asesorías AG anterior'!$B$7:$B$239,B139,'Asesorías AG anterior'!$K$7:$K$239)</f>
        <v>1E-3</v>
      </c>
      <c r="AG139" s="383">
        <f>SUMIF('Asesorías AG anterior'!$B$7:$B$239,B139,'Asesorías AG anterior'!$L$7:$L$239)</f>
        <v>0</v>
      </c>
      <c r="AH139" s="383">
        <f>SUMIF('Asesorías AG anterior'!$B$7:$B$239,B139,'Asesorías AG anterior'!$M$7:$M$239)</f>
        <v>0</v>
      </c>
      <c r="AI139" s="383">
        <f>SUMIF('Asesorías AG anterior'!$B$7:$B$239,B139,'Asesorías AG anterior'!$N$7:$N$239)</f>
        <v>0</v>
      </c>
      <c r="AJ139" s="383">
        <f>SUMIF('Asesorías AG anterior'!$B$7:$B$239,B139,'Asesorías AG anterior'!$O$7:$O$239)</f>
        <v>1E-3</v>
      </c>
      <c r="AK139" s="383">
        <f>SUMIF('Asesorías AG anterior'!$B$7:$B$239,B139,'Asesorías AG anterior'!$P$7:$P$239)</f>
        <v>0</v>
      </c>
      <c r="AL139" s="383">
        <f>SUMIF('Asesorías AG anterior'!$B$7:$B$239,B139,'Asesorías AG anterior'!$Q$7:$Q$239)</f>
        <v>0</v>
      </c>
      <c r="AM139" s="383">
        <f>SUMIF('Asesorías AG anterior'!$B$7:$B$239,B139,'Asesorías AG anterior'!$R$7:$R$239)</f>
        <v>0</v>
      </c>
      <c r="AN139" s="383"/>
      <c r="AO139" s="383">
        <f>SUMIF('Asesorías AG anterior'!$B$7:$B$239,B139,'Asesorías AG anterior'!$T$7:$T$239)</f>
        <v>0</v>
      </c>
      <c r="AP139" s="383">
        <f>SUMIF('Asesorías AG anterior'!$B$7:$B$239,B139,'Asesorías AG anterior'!$U$7:$U$239)</f>
        <v>0</v>
      </c>
      <c r="AQ139" s="383">
        <f>SUMIF('Asesorías AG anterior'!$B$7:$B$239,B139,'Asesorías AG anterior'!$V$7:$V$239)</f>
        <v>0</v>
      </c>
      <c r="AR139" s="383">
        <f>SUMIF('Asesorías AG anterior'!$B$7:$B$239,B139,'Asesorías AG anterior'!$W$7:$W$239)</f>
        <v>0</v>
      </c>
      <c r="AS139" s="383">
        <f>SUMIF('Asesorías AG anterior'!$B$7:$B$239,B139,'Asesorías AG anterior'!$X$7:$X$239)</f>
        <v>0</v>
      </c>
      <c r="AT139" s="383">
        <f>SUMIF('Asesorías AG anterior'!$B$7:$B$239,B139,'Asesorías AG anterior'!$Y$7:$Y$239)</f>
        <v>0</v>
      </c>
      <c r="AU139" s="383">
        <f>SUMIF('Asesorías AG anterior'!$B$7:$B$239,B139,'Asesorías AG anterior'!$Z$7:$Z$239)</f>
        <v>0</v>
      </c>
      <c r="AV139" s="383">
        <f>SUMIF('Asesorías AG anterior'!$B$7:$B$239,B139,'Asesorías AG anterior'!$AA$7:$AA$239)</f>
        <v>0</v>
      </c>
      <c r="AW139" s="383">
        <f>SUMIF('Asesorías AG anterior'!$B$7:$B$239,B139,'Asesorías AG anterior'!$AB$7:$AB$239)</f>
        <v>0</v>
      </c>
      <c r="AX139" s="335"/>
      <c r="AZ139" s="1097" t="s">
        <v>90</v>
      </c>
    </row>
    <row r="140" spans="1:52" x14ac:dyDescent="0.2">
      <c r="A140" s="1184">
        <f t="shared" si="54"/>
        <v>132</v>
      </c>
      <c r="B140" s="1097" t="s">
        <v>91</v>
      </c>
      <c r="C140" s="1185">
        <f>_xlfn.XLOOKUP(B140,Códigos!$B$8:$B$406,Códigos!$A$8:$A$406,"Verificar",0)</f>
        <v>132</v>
      </c>
      <c r="D140" s="1114">
        <f>_xlfn.XLOOKUP(B140,'Consolidado Cobros'!$B$10:$B$312,'Consolidado Cobros'!$C$10:$C$312,"Verificar",0)</f>
        <v>8264986</v>
      </c>
      <c r="E140" s="1520">
        <f t="shared" si="40"/>
        <v>9</v>
      </c>
      <c r="F140" s="1517">
        <f t="shared" si="41"/>
        <v>0</v>
      </c>
      <c r="G140" s="1251">
        <f t="shared" si="42"/>
        <v>0</v>
      </c>
      <c r="H140" s="1240">
        <f t="shared" ref="H140:H203" si="55">+J140+L140+N140+P140+U140</f>
        <v>0</v>
      </c>
      <c r="I140" s="1148"/>
      <c r="J140" s="383">
        <f t="shared" si="43"/>
        <v>0</v>
      </c>
      <c r="K140" s="712"/>
      <c r="L140" s="487">
        <f t="shared" si="44"/>
        <v>0</v>
      </c>
      <c r="M140" s="927"/>
      <c r="N140" s="672">
        <v>0</v>
      </c>
      <c r="O140" s="660"/>
      <c r="P140" s="1092">
        <f t="shared" si="45"/>
        <v>0</v>
      </c>
      <c r="Q140" s="1093">
        <v>0</v>
      </c>
      <c r="R140" s="381">
        <f t="shared" si="39"/>
        <v>0</v>
      </c>
      <c r="S140" s="382"/>
      <c r="T140" s="381"/>
      <c r="U140" s="624"/>
      <c r="V140" s="569">
        <f t="shared" si="46"/>
        <v>0</v>
      </c>
      <c r="W140" s="607"/>
      <c r="X140" s="383"/>
      <c r="Y140" s="607"/>
      <c r="Z140" s="383"/>
      <c r="AA140" s="607"/>
      <c r="AB140" s="718"/>
      <c r="AC140" s="335"/>
      <c r="AD140" s="383">
        <f>SUMIF('Asesorías AG anterior'!$B$7:$B$239,B140,'Asesorías AG anterior'!$I$7:$I$239)</f>
        <v>1E-3</v>
      </c>
      <c r="AE140" s="383">
        <f>SUMIF('Asesorías AG anterior'!$B$7:$B$239,B140,'Asesorías AG anterior'!$J$7:$J$239)</f>
        <v>0</v>
      </c>
      <c r="AF140" s="383">
        <f>SUMIF('Asesorías AG anterior'!$B$7:$B$239,B140,'Asesorías AG anterior'!$K$7:$K$239)</f>
        <v>1E-3</v>
      </c>
      <c r="AG140" s="383">
        <f>SUMIF('Asesorías AG anterior'!$B$7:$B$239,B140,'Asesorías AG anterior'!$L$7:$L$239)</f>
        <v>0</v>
      </c>
      <c r="AH140" s="383">
        <f>SUMIF('Asesorías AG anterior'!$B$7:$B$239,B140,'Asesorías AG anterior'!$M$7:$M$239)</f>
        <v>0</v>
      </c>
      <c r="AI140" s="383">
        <f>SUMIF('Asesorías AG anterior'!$B$7:$B$239,B140,'Asesorías AG anterior'!$N$7:$N$239)</f>
        <v>0</v>
      </c>
      <c r="AJ140" s="383">
        <f>SUMIF('Asesorías AG anterior'!$B$7:$B$239,B140,'Asesorías AG anterior'!$O$7:$O$239)</f>
        <v>1E-3</v>
      </c>
      <c r="AK140" s="383">
        <f>SUMIF('Asesorías AG anterior'!$B$7:$B$239,B140,'Asesorías AG anterior'!$P$7:$P$239)</f>
        <v>0</v>
      </c>
      <c r="AL140" s="383">
        <f>SUMIF('Asesorías AG anterior'!$B$7:$B$239,B140,'Asesorías AG anterior'!$Q$7:$Q$239)</f>
        <v>0</v>
      </c>
      <c r="AM140" s="383">
        <f>SUMIF('Asesorías AG anterior'!$B$7:$B$239,B140,'Asesorías AG anterior'!$R$7:$R$239)</f>
        <v>1000000</v>
      </c>
      <c r="AN140" s="383"/>
      <c r="AO140" s="383">
        <f>SUMIF('Asesorías AG anterior'!$B$7:$B$239,B140,'Asesorías AG anterior'!$T$7:$T$239)</f>
        <v>0</v>
      </c>
      <c r="AP140" s="383">
        <f>SUMIF('Asesorías AG anterior'!$B$7:$B$239,B140,'Asesorías AG anterior'!$U$7:$U$239)</f>
        <v>0</v>
      </c>
      <c r="AQ140" s="383">
        <f>SUMIF('Asesorías AG anterior'!$B$7:$B$239,B140,'Asesorías AG anterior'!$V$7:$V$239)</f>
        <v>0</v>
      </c>
      <c r="AR140" s="383">
        <f>SUMIF('Asesorías AG anterior'!$B$7:$B$239,B140,'Asesorías AG anterior'!$W$7:$W$239)</f>
        <v>0</v>
      </c>
      <c r="AS140" s="383">
        <f>SUMIF('Asesorías AG anterior'!$B$7:$B$239,B140,'Asesorías AG anterior'!$X$7:$X$239)</f>
        <v>0</v>
      </c>
      <c r="AT140" s="383">
        <f>SUMIF('Asesorías AG anterior'!$B$7:$B$239,B140,'Asesorías AG anterior'!$Y$7:$Y$239)</f>
        <v>0</v>
      </c>
      <c r="AU140" s="383">
        <f>SUMIF('Asesorías AG anterior'!$B$7:$B$239,B140,'Asesorías AG anterior'!$Z$7:$Z$239)</f>
        <v>0</v>
      </c>
      <c r="AV140" s="383">
        <f>SUMIF('Asesorías AG anterior'!$B$7:$B$239,B140,'Asesorías AG anterior'!$AA$7:$AA$239)</f>
        <v>0</v>
      </c>
      <c r="AW140" s="383">
        <f>SUMIF('Asesorías AG anterior'!$B$7:$B$239,B140,'Asesorías AG anterior'!$AB$7:$AB$239)</f>
        <v>0</v>
      </c>
      <c r="AX140" s="335"/>
      <c r="AZ140" s="1097" t="s">
        <v>91</v>
      </c>
    </row>
    <row r="141" spans="1:52" x14ac:dyDescent="0.2">
      <c r="A141" s="1184">
        <f t="shared" si="54"/>
        <v>133</v>
      </c>
      <c r="B141" s="1097" t="s">
        <v>92</v>
      </c>
      <c r="C141" s="1185">
        <f>_xlfn.XLOOKUP(B141,Códigos!$B$8:$B$406,Códigos!$A$8:$A$406,"Verificar",0)</f>
        <v>133</v>
      </c>
      <c r="D141" s="1114">
        <f>_xlfn.XLOOKUP(B141,'Consolidado Cobros'!$B$10:$B$312,'Consolidado Cobros'!$C$10:$C$312,"Verificar",0)</f>
        <v>95022700775</v>
      </c>
      <c r="E141" s="1520">
        <f t="shared" si="40"/>
        <v>3</v>
      </c>
      <c r="F141" s="1517">
        <f t="shared" si="41"/>
        <v>0</v>
      </c>
      <c r="G141" s="1251">
        <f t="shared" si="42"/>
        <v>0</v>
      </c>
      <c r="H141" s="1240">
        <f t="shared" si="55"/>
        <v>0</v>
      </c>
      <c r="I141" s="1148"/>
      <c r="J141" s="383">
        <f t="shared" si="43"/>
        <v>0</v>
      </c>
      <c r="K141" s="712"/>
      <c r="L141" s="487">
        <f t="shared" si="44"/>
        <v>0</v>
      </c>
      <c r="M141" s="927"/>
      <c r="N141" s="672">
        <v>0</v>
      </c>
      <c r="O141" s="660"/>
      <c r="P141" s="1092">
        <f t="shared" si="45"/>
        <v>0</v>
      </c>
      <c r="Q141" s="1093">
        <v>0</v>
      </c>
      <c r="R141" s="381">
        <f t="shared" si="39"/>
        <v>0</v>
      </c>
      <c r="S141" s="382"/>
      <c r="T141" s="381"/>
      <c r="U141" s="624"/>
      <c r="V141" s="569">
        <f t="shared" si="46"/>
        <v>0</v>
      </c>
      <c r="W141" s="607"/>
      <c r="X141" s="383"/>
      <c r="Y141" s="607"/>
      <c r="Z141" s="383"/>
      <c r="AA141" s="607"/>
      <c r="AB141" s="718"/>
      <c r="AC141" s="335"/>
      <c r="AD141" s="383">
        <f>SUMIF('Asesorías AG anterior'!$B$7:$B$239,B141,'Asesorías AG anterior'!$I$7:$I$239)</f>
        <v>1E-3</v>
      </c>
      <c r="AE141" s="383">
        <f>SUMIF('Asesorías AG anterior'!$B$7:$B$239,B141,'Asesorías AG anterior'!$J$7:$J$239)</f>
        <v>0</v>
      </c>
      <c r="AF141" s="383">
        <f>SUMIF('Asesorías AG anterior'!$B$7:$B$239,B141,'Asesorías AG anterior'!$K$7:$K$239)</f>
        <v>1E-3</v>
      </c>
      <c r="AG141" s="383">
        <f>SUMIF('Asesorías AG anterior'!$B$7:$B$239,B141,'Asesorías AG anterior'!$L$7:$L$239)</f>
        <v>0</v>
      </c>
      <c r="AH141" s="383">
        <f>SUMIF('Asesorías AG anterior'!$B$7:$B$239,B141,'Asesorías AG anterior'!$M$7:$M$239)</f>
        <v>0</v>
      </c>
      <c r="AI141" s="383">
        <f>SUMIF('Asesorías AG anterior'!$B$7:$B$239,B141,'Asesorías AG anterior'!$N$7:$N$239)</f>
        <v>0</v>
      </c>
      <c r="AJ141" s="383">
        <f>SUMIF('Asesorías AG anterior'!$B$7:$B$239,B141,'Asesorías AG anterior'!$O$7:$O$239)</f>
        <v>1E-3</v>
      </c>
      <c r="AK141" s="383">
        <f>SUMIF('Asesorías AG anterior'!$B$7:$B$239,B141,'Asesorías AG anterior'!$P$7:$P$239)</f>
        <v>0</v>
      </c>
      <c r="AL141" s="383">
        <f>SUMIF('Asesorías AG anterior'!$B$7:$B$239,B141,'Asesorías AG anterior'!$Q$7:$Q$239)</f>
        <v>0</v>
      </c>
      <c r="AM141" s="383">
        <f>SUMIF('Asesorías AG anterior'!$B$7:$B$239,B141,'Asesorías AG anterior'!$R$7:$R$239)</f>
        <v>500000</v>
      </c>
      <c r="AN141" s="383"/>
      <c r="AO141" s="383">
        <f>SUMIF('Asesorías AG anterior'!$B$7:$B$239,B141,'Asesorías AG anterior'!$T$7:$T$239)</f>
        <v>0</v>
      </c>
      <c r="AP141" s="383">
        <f>SUMIF('Asesorías AG anterior'!$B$7:$B$239,B141,'Asesorías AG anterior'!$U$7:$U$239)</f>
        <v>0</v>
      </c>
      <c r="AQ141" s="383">
        <f>SUMIF('Asesorías AG anterior'!$B$7:$B$239,B141,'Asesorías AG anterior'!$V$7:$V$239)</f>
        <v>0</v>
      </c>
      <c r="AR141" s="383">
        <f>SUMIF('Asesorías AG anterior'!$B$7:$B$239,B141,'Asesorías AG anterior'!$W$7:$W$239)</f>
        <v>0</v>
      </c>
      <c r="AS141" s="383">
        <f>SUMIF('Asesorías AG anterior'!$B$7:$B$239,B141,'Asesorías AG anterior'!$X$7:$X$239)</f>
        <v>0</v>
      </c>
      <c r="AT141" s="383">
        <f>SUMIF('Asesorías AG anterior'!$B$7:$B$239,B141,'Asesorías AG anterior'!$Y$7:$Y$239)</f>
        <v>0</v>
      </c>
      <c r="AU141" s="383">
        <f>SUMIF('Asesorías AG anterior'!$B$7:$B$239,B141,'Asesorías AG anterior'!$Z$7:$Z$239)</f>
        <v>0</v>
      </c>
      <c r="AV141" s="383">
        <f>SUMIF('Asesorías AG anterior'!$B$7:$B$239,B141,'Asesorías AG anterior'!$AA$7:$AA$239)</f>
        <v>0</v>
      </c>
      <c r="AW141" s="383">
        <f>SUMIF('Asesorías AG anterior'!$B$7:$B$239,B141,'Asesorías AG anterior'!$AB$7:$AB$239)</f>
        <v>0</v>
      </c>
      <c r="AX141" s="335"/>
      <c r="AZ141" s="1097" t="s">
        <v>92</v>
      </c>
    </row>
    <row r="142" spans="1:52" x14ac:dyDescent="0.2">
      <c r="A142" s="1184">
        <f t="shared" si="54"/>
        <v>134</v>
      </c>
      <c r="B142" s="1097" t="s">
        <v>93</v>
      </c>
      <c r="C142" s="1185">
        <f>_xlfn.XLOOKUP(B142,Códigos!$B$8:$B$406,Códigos!$A$8:$A$406,"Verificar",0)</f>
        <v>134</v>
      </c>
      <c r="D142" s="1114">
        <f>_xlfn.XLOOKUP(B142,'Consolidado Cobros'!$B$10:$B$312,'Consolidado Cobros'!$C$10:$C$312,"Verificar",0)</f>
        <v>1152198312</v>
      </c>
      <c r="E142" s="1520">
        <f t="shared" si="40"/>
        <v>6</v>
      </c>
      <c r="F142" s="1517">
        <f t="shared" si="41"/>
        <v>0</v>
      </c>
      <c r="G142" s="1251">
        <f t="shared" si="42"/>
        <v>0</v>
      </c>
      <c r="H142" s="1240">
        <f t="shared" si="55"/>
        <v>0</v>
      </c>
      <c r="I142" s="1148"/>
      <c r="J142" s="383">
        <f t="shared" si="43"/>
        <v>0</v>
      </c>
      <c r="K142" s="712"/>
      <c r="L142" s="487">
        <f t="shared" si="44"/>
        <v>0</v>
      </c>
      <c r="M142" s="927"/>
      <c r="N142" s="672">
        <v>0</v>
      </c>
      <c r="O142" s="660"/>
      <c r="P142" s="1092">
        <f t="shared" si="45"/>
        <v>0</v>
      </c>
      <c r="Q142" s="1093">
        <v>0</v>
      </c>
      <c r="R142" s="381">
        <f t="shared" si="39"/>
        <v>0</v>
      </c>
      <c r="S142" s="382"/>
      <c r="T142" s="381"/>
      <c r="U142" s="624"/>
      <c r="V142" s="569">
        <f t="shared" si="46"/>
        <v>0</v>
      </c>
      <c r="W142" s="607"/>
      <c r="X142" s="383"/>
      <c r="Y142" s="607"/>
      <c r="Z142" s="383"/>
      <c r="AA142" s="607"/>
      <c r="AB142" s="718"/>
      <c r="AC142" s="335"/>
      <c r="AD142" s="383">
        <f>SUMIF('Asesorías AG anterior'!$B$7:$B$239,B142,'Asesorías AG anterior'!$I$7:$I$239)</f>
        <v>1E-3</v>
      </c>
      <c r="AE142" s="383">
        <f>SUMIF('Asesorías AG anterior'!$B$7:$B$239,B142,'Asesorías AG anterior'!$J$7:$J$239)</f>
        <v>0</v>
      </c>
      <c r="AF142" s="383">
        <f>SUMIF('Asesorías AG anterior'!$B$7:$B$239,B142,'Asesorías AG anterior'!$K$7:$K$239)</f>
        <v>1E-3</v>
      </c>
      <c r="AG142" s="383">
        <f>SUMIF('Asesorías AG anterior'!$B$7:$B$239,B142,'Asesorías AG anterior'!$L$7:$L$239)</f>
        <v>0</v>
      </c>
      <c r="AH142" s="383">
        <f>SUMIF('Asesorías AG anterior'!$B$7:$B$239,B142,'Asesorías AG anterior'!$M$7:$M$239)</f>
        <v>0</v>
      </c>
      <c r="AI142" s="383">
        <f>SUMIF('Asesorías AG anterior'!$B$7:$B$239,B142,'Asesorías AG anterior'!$N$7:$N$239)</f>
        <v>0</v>
      </c>
      <c r="AJ142" s="383">
        <f>SUMIF('Asesorías AG anterior'!$B$7:$B$239,B142,'Asesorías AG anterior'!$O$7:$O$239)</f>
        <v>1E-3</v>
      </c>
      <c r="AK142" s="383">
        <f>SUMIF('Asesorías AG anterior'!$B$7:$B$239,B142,'Asesorías AG anterior'!$P$7:$P$239)</f>
        <v>0</v>
      </c>
      <c r="AL142" s="383">
        <f>SUMIF('Asesorías AG anterior'!$B$7:$B$239,B142,'Asesorías AG anterior'!$Q$7:$Q$239)</f>
        <v>0</v>
      </c>
      <c r="AM142" s="383">
        <f>SUMIF('Asesorías AG anterior'!$B$7:$B$239,B142,'Asesorías AG anterior'!$R$7:$R$239)</f>
        <v>500000</v>
      </c>
      <c r="AN142" s="383"/>
      <c r="AO142" s="383">
        <f>SUMIF('Asesorías AG anterior'!$B$7:$B$239,B142,'Asesorías AG anterior'!$T$7:$T$239)</f>
        <v>0</v>
      </c>
      <c r="AP142" s="383">
        <f>SUMIF('Asesorías AG anterior'!$B$7:$B$239,B142,'Asesorías AG anterior'!$U$7:$U$239)</f>
        <v>0</v>
      </c>
      <c r="AQ142" s="383">
        <f>SUMIF('Asesorías AG anterior'!$B$7:$B$239,B142,'Asesorías AG anterior'!$V$7:$V$239)</f>
        <v>0</v>
      </c>
      <c r="AR142" s="383">
        <f>SUMIF('Asesorías AG anterior'!$B$7:$B$239,B142,'Asesorías AG anterior'!$W$7:$W$239)</f>
        <v>0</v>
      </c>
      <c r="AS142" s="383">
        <f>SUMIF('Asesorías AG anterior'!$B$7:$B$239,B142,'Asesorías AG anterior'!$X$7:$X$239)</f>
        <v>0</v>
      </c>
      <c r="AT142" s="383">
        <f>SUMIF('Asesorías AG anterior'!$B$7:$B$239,B142,'Asesorías AG anterior'!$Y$7:$Y$239)</f>
        <v>0</v>
      </c>
      <c r="AU142" s="383">
        <f>SUMIF('Asesorías AG anterior'!$B$7:$B$239,B142,'Asesorías AG anterior'!$Z$7:$Z$239)</f>
        <v>0</v>
      </c>
      <c r="AV142" s="383">
        <f>SUMIF('Asesorías AG anterior'!$B$7:$B$239,B142,'Asesorías AG anterior'!$AA$7:$AA$239)</f>
        <v>0</v>
      </c>
      <c r="AW142" s="383">
        <f>SUMIF('Asesorías AG anterior'!$B$7:$B$239,B142,'Asesorías AG anterior'!$AB$7:$AB$239)</f>
        <v>0</v>
      </c>
      <c r="AX142" s="335"/>
      <c r="AZ142" s="1097" t="s">
        <v>93</v>
      </c>
    </row>
    <row r="143" spans="1:52" x14ac:dyDescent="0.2">
      <c r="A143" s="1184">
        <f t="shared" si="54"/>
        <v>135</v>
      </c>
      <c r="B143" s="1097" t="s">
        <v>94</v>
      </c>
      <c r="C143" s="1185">
        <f>_xlfn.XLOOKUP(B143,Códigos!$B$8:$B$406,Códigos!$A$8:$A$406,"Verificar",0)</f>
        <v>269</v>
      </c>
      <c r="D143" s="1114">
        <f>_xlfn.XLOOKUP(B143,'Consolidado Cobros'!$B$10:$B$312,'Consolidado Cobros'!$C$10:$C$312,"Verificar",0)</f>
        <v>71780372</v>
      </c>
      <c r="E143" s="1520">
        <f t="shared" si="40"/>
        <v>9</v>
      </c>
      <c r="F143" s="1517">
        <f t="shared" si="41"/>
        <v>0</v>
      </c>
      <c r="G143" s="1251">
        <f t="shared" si="42"/>
        <v>0</v>
      </c>
      <c r="H143" s="1240">
        <f t="shared" si="55"/>
        <v>0</v>
      </c>
      <c r="I143" s="1148"/>
      <c r="J143" s="383">
        <f t="shared" si="43"/>
        <v>0</v>
      </c>
      <c r="K143" s="712"/>
      <c r="L143" s="487">
        <f t="shared" si="44"/>
        <v>0</v>
      </c>
      <c r="M143" s="927"/>
      <c r="N143" s="672">
        <v>0</v>
      </c>
      <c r="O143" s="660"/>
      <c r="P143" s="1092">
        <f t="shared" si="45"/>
        <v>0</v>
      </c>
      <c r="Q143" s="1093">
        <v>0</v>
      </c>
      <c r="R143" s="381">
        <f t="shared" si="39"/>
        <v>0</v>
      </c>
      <c r="S143" s="382"/>
      <c r="T143" s="381"/>
      <c r="U143" s="624"/>
      <c r="V143" s="569">
        <f t="shared" si="46"/>
        <v>0</v>
      </c>
      <c r="W143" s="607"/>
      <c r="X143" s="383"/>
      <c r="Y143" s="607"/>
      <c r="Z143" s="383"/>
      <c r="AA143" s="607"/>
      <c r="AB143" s="718"/>
      <c r="AC143" s="335"/>
      <c r="AD143" s="383">
        <f>SUMIF('Asesorías AG anterior'!$B$7:$B$239,B143,'Asesorías AG anterior'!$I$7:$I$239)</f>
        <v>1E-3</v>
      </c>
      <c r="AE143" s="383">
        <f>SUMIF('Asesorías AG anterior'!$B$7:$B$239,B143,'Asesorías AG anterior'!$J$7:$J$239)</f>
        <v>0</v>
      </c>
      <c r="AF143" s="383">
        <f>SUMIF('Asesorías AG anterior'!$B$7:$B$239,B143,'Asesorías AG anterior'!$K$7:$K$239)</f>
        <v>1E-3</v>
      </c>
      <c r="AG143" s="383">
        <f>SUMIF('Asesorías AG anterior'!$B$7:$B$239,B143,'Asesorías AG anterior'!$L$7:$L$239)</f>
        <v>0</v>
      </c>
      <c r="AH143" s="383">
        <f>SUMIF('Asesorías AG anterior'!$B$7:$B$239,B143,'Asesorías AG anterior'!$M$7:$M$239)</f>
        <v>0</v>
      </c>
      <c r="AI143" s="383">
        <f>SUMIF('Asesorías AG anterior'!$B$7:$B$239,B143,'Asesorías AG anterior'!$N$7:$N$239)</f>
        <v>0</v>
      </c>
      <c r="AJ143" s="383">
        <f>SUMIF('Asesorías AG anterior'!$B$7:$B$239,B143,'Asesorías AG anterior'!$O$7:$O$239)</f>
        <v>1E-3</v>
      </c>
      <c r="AK143" s="383">
        <f>SUMIF('Asesorías AG anterior'!$B$7:$B$239,B143,'Asesorías AG anterior'!$P$7:$P$239)</f>
        <v>0</v>
      </c>
      <c r="AL143" s="383">
        <f>SUMIF('Asesorías AG anterior'!$B$7:$B$239,B143,'Asesorías AG anterior'!$Q$7:$Q$239)</f>
        <v>0</v>
      </c>
      <c r="AM143" s="383">
        <f>SUMIF('Asesorías AG anterior'!$B$7:$B$239,B143,'Asesorías AG anterior'!$R$7:$R$239)</f>
        <v>0</v>
      </c>
      <c r="AN143" s="383"/>
      <c r="AO143" s="383">
        <f>SUMIF('Asesorías AG anterior'!$B$7:$B$239,B143,'Asesorías AG anterior'!$T$7:$T$239)</f>
        <v>0</v>
      </c>
      <c r="AP143" s="383">
        <f>SUMIF('Asesorías AG anterior'!$B$7:$B$239,B143,'Asesorías AG anterior'!$U$7:$U$239)</f>
        <v>0</v>
      </c>
      <c r="AQ143" s="383">
        <f>SUMIF('Asesorías AG anterior'!$B$7:$B$239,B143,'Asesorías AG anterior'!$V$7:$V$239)</f>
        <v>0</v>
      </c>
      <c r="AR143" s="383">
        <f>SUMIF('Asesorías AG anterior'!$B$7:$B$239,B143,'Asesorías AG anterior'!$W$7:$W$239)</f>
        <v>0</v>
      </c>
      <c r="AS143" s="383">
        <f>SUMIF('Asesorías AG anterior'!$B$7:$B$239,B143,'Asesorías AG anterior'!$X$7:$X$239)</f>
        <v>0</v>
      </c>
      <c r="AT143" s="383">
        <f>SUMIF('Asesorías AG anterior'!$B$7:$B$239,B143,'Asesorías AG anterior'!$Y$7:$Y$239)</f>
        <v>0</v>
      </c>
      <c r="AU143" s="383">
        <f>SUMIF('Asesorías AG anterior'!$B$7:$B$239,B143,'Asesorías AG anterior'!$Z$7:$Z$239)</f>
        <v>0</v>
      </c>
      <c r="AV143" s="383">
        <f>SUMIF('Asesorías AG anterior'!$B$7:$B$239,B143,'Asesorías AG anterior'!$AA$7:$AA$239)</f>
        <v>0</v>
      </c>
      <c r="AW143" s="383">
        <f>SUMIF('Asesorías AG anterior'!$B$7:$B$239,B143,'Asesorías AG anterior'!$AB$7:$AB$239)</f>
        <v>0</v>
      </c>
      <c r="AX143" s="335"/>
      <c r="AZ143" s="1097" t="s">
        <v>94</v>
      </c>
    </row>
    <row r="144" spans="1:52" x14ac:dyDescent="0.2">
      <c r="A144" s="1184">
        <f t="shared" si="54"/>
        <v>136</v>
      </c>
      <c r="B144" s="1097" t="s">
        <v>309</v>
      </c>
      <c r="C144" s="1185">
        <f>_xlfn.XLOOKUP(B144,Códigos!$B$8:$B$406,Códigos!$A$8:$A$406,"Verificar",0)</f>
        <v>252</v>
      </c>
      <c r="D144" s="1114">
        <f>_xlfn.XLOOKUP(B144,'Consolidado Cobros'!$B$10:$B$312,'Consolidado Cobros'!$C$10:$C$312,"Verificar",0)</f>
        <v>73097181</v>
      </c>
      <c r="E144" s="1520">
        <f t="shared" si="40"/>
        <v>7</v>
      </c>
      <c r="F144" s="1517">
        <f t="shared" si="41"/>
        <v>0</v>
      </c>
      <c r="G144" s="1251">
        <f t="shared" si="42"/>
        <v>0</v>
      </c>
      <c r="H144" s="1240">
        <f t="shared" si="55"/>
        <v>0</v>
      </c>
      <c r="I144" s="1148"/>
      <c r="J144" s="383">
        <f t="shared" si="43"/>
        <v>0</v>
      </c>
      <c r="K144" s="712"/>
      <c r="L144" s="487">
        <f t="shared" si="44"/>
        <v>0</v>
      </c>
      <c r="M144" s="927"/>
      <c r="N144" s="672">
        <v>0</v>
      </c>
      <c r="O144" s="660"/>
      <c r="P144" s="1092">
        <f t="shared" si="45"/>
        <v>0</v>
      </c>
      <c r="Q144" s="1093">
        <v>0</v>
      </c>
      <c r="R144" s="381">
        <f t="shared" si="39"/>
        <v>0</v>
      </c>
      <c r="S144" s="382"/>
      <c r="T144" s="381"/>
      <c r="U144" s="624"/>
      <c r="V144" s="569">
        <f t="shared" si="46"/>
        <v>0</v>
      </c>
      <c r="W144" s="607"/>
      <c r="X144" s="383"/>
      <c r="Y144" s="607"/>
      <c r="Z144" s="383"/>
      <c r="AA144" s="607"/>
      <c r="AB144" s="718"/>
      <c r="AC144" s="335"/>
      <c r="AD144" s="383">
        <f>SUMIF('Asesorías AG anterior'!$B$7:$B$239,B144,'Asesorías AG anterior'!$I$7:$I$239)</f>
        <v>1E-3</v>
      </c>
      <c r="AE144" s="383">
        <f>SUMIF('Asesorías AG anterior'!$B$7:$B$239,B144,'Asesorías AG anterior'!$J$7:$J$239)</f>
        <v>0</v>
      </c>
      <c r="AF144" s="383">
        <f>SUMIF('Asesorías AG anterior'!$B$7:$B$239,B144,'Asesorías AG anterior'!$K$7:$K$239)</f>
        <v>1E-3</v>
      </c>
      <c r="AG144" s="383">
        <f>SUMIF('Asesorías AG anterior'!$B$7:$B$239,B144,'Asesorías AG anterior'!$L$7:$L$239)</f>
        <v>0</v>
      </c>
      <c r="AH144" s="383">
        <f>SUMIF('Asesorías AG anterior'!$B$7:$B$239,B144,'Asesorías AG anterior'!$M$7:$M$239)</f>
        <v>0</v>
      </c>
      <c r="AI144" s="383">
        <f>SUMIF('Asesorías AG anterior'!$B$7:$B$239,B144,'Asesorías AG anterior'!$N$7:$N$239)</f>
        <v>0</v>
      </c>
      <c r="AJ144" s="383">
        <f>SUMIF('Asesorías AG anterior'!$B$7:$B$239,B144,'Asesorías AG anterior'!$O$7:$O$239)</f>
        <v>1E-3</v>
      </c>
      <c r="AK144" s="383">
        <f>SUMIF('Asesorías AG anterior'!$B$7:$B$239,B144,'Asesorías AG anterior'!$P$7:$P$239)</f>
        <v>0</v>
      </c>
      <c r="AL144" s="383">
        <f>SUMIF('Asesorías AG anterior'!$B$7:$B$239,B144,'Asesorías AG anterior'!$Q$7:$Q$239)</f>
        <v>0</v>
      </c>
      <c r="AM144" s="383">
        <f>SUMIF('Asesorías AG anterior'!$B$7:$B$239,B144,'Asesorías AG anterior'!$R$7:$R$239)</f>
        <v>0</v>
      </c>
      <c r="AN144" s="383"/>
      <c r="AO144" s="383">
        <f>SUMIF('Asesorías AG anterior'!$B$7:$B$239,B144,'Asesorías AG anterior'!$T$7:$T$239)</f>
        <v>0</v>
      </c>
      <c r="AP144" s="383">
        <f>SUMIF('Asesorías AG anterior'!$B$7:$B$239,B144,'Asesorías AG anterior'!$U$7:$U$239)</f>
        <v>0</v>
      </c>
      <c r="AQ144" s="383">
        <f>SUMIF('Asesorías AG anterior'!$B$7:$B$239,B144,'Asesorías AG anterior'!$V$7:$V$239)</f>
        <v>0</v>
      </c>
      <c r="AR144" s="383">
        <f>SUMIF('Asesorías AG anterior'!$B$7:$B$239,B144,'Asesorías AG anterior'!$W$7:$W$239)</f>
        <v>0</v>
      </c>
      <c r="AS144" s="383">
        <f>SUMIF('Asesorías AG anterior'!$B$7:$B$239,B144,'Asesorías AG anterior'!$X$7:$X$239)</f>
        <v>0</v>
      </c>
      <c r="AT144" s="383">
        <f>SUMIF('Asesorías AG anterior'!$B$7:$B$239,B144,'Asesorías AG anterior'!$Y$7:$Y$239)</f>
        <v>0</v>
      </c>
      <c r="AU144" s="383">
        <f>SUMIF('Asesorías AG anterior'!$B$7:$B$239,B144,'Asesorías AG anterior'!$Z$7:$Z$239)</f>
        <v>0</v>
      </c>
      <c r="AV144" s="383">
        <f>SUMIF('Asesorías AG anterior'!$B$7:$B$239,B144,'Asesorías AG anterior'!$AA$7:$AA$239)</f>
        <v>0</v>
      </c>
      <c r="AW144" s="383">
        <f>SUMIF('Asesorías AG anterior'!$B$7:$B$239,B144,'Asesorías AG anterior'!$AB$7:$AB$239)</f>
        <v>0</v>
      </c>
      <c r="AX144" s="335"/>
      <c r="AZ144" s="1097" t="s">
        <v>309</v>
      </c>
    </row>
    <row r="145" spans="1:52" x14ac:dyDescent="0.2">
      <c r="A145" s="1184">
        <f t="shared" si="54"/>
        <v>137</v>
      </c>
      <c r="B145" s="1097" t="s">
        <v>98</v>
      </c>
      <c r="C145" s="1185">
        <f>_xlfn.XLOOKUP(B145,Códigos!$B$8:$B$406,Códigos!$A$8:$A$406,"Verificar",0)</f>
        <v>136</v>
      </c>
      <c r="D145" s="1114">
        <f>_xlfn.XLOOKUP(B145,'Consolidado Cobros'!$B$10:$B$312,'Consolidado Cobros'!$C$10:$C$312,"Verificar",0)</f>
        <v>43628064</v>
      </c>
      <c r="E145" s="1520">
        <f t="shared" si="40"/>
        <v>4</v>
      </c>
      <c r="F145" s="1517">
        <f t="shared" si="41"/>
        <v>0</v>
      </c>
      <c r="G145" s="1251">
        <f t="shared" si="42"/>
        <v>0</v>
      </c>
      <c r="H145" s="1240">
        <f t="shared" si="55"/>
        <v>0</v>
      </c>
      <c r="I145" s="1148"/>
      <c r="J145" s="383">
        <f t="shared" si="43"/>
        <v>0</v>
      </c>
      <c r="K145" s="712"/>
      <c r="L145" s="487">
        <f t="shared" si="44"/>
        <v>0</v>
      </c>
      <c r="M145" s="927"/>
      <c r="N145" s="672">
        <v>0</v>
      </c>
      <c r="O145" s="660"/>
      <c r="P145" s="1092">
        <f t="shared" si="45"/>
        <v>0</v>
      </c>
      <c r="Q145" s="1093">
        <v>0</v>
      </c>
      <c r="R145" s="381">
        <f t="shared" si="39"/>
        <v>0</v>
      </c>
      <c r="S145" s="382"/>
      <c r="T145" s="381"/>
      <c r="U145" s="624"/>
      <c r="V145" s="569">
        <f t="shared" si="46"/>
        <v>0</v>
      </c>
      <c r="W145" s="607"/>
      <c r="X145" s="383"/>
      <c r="Y145" s="607"/>
      <c r="Z145" s="383"/>
      <c r="AA145" s="607"/>
      <c r="AB145" s="718"/>
      <c r="AC145" s="335"/>
      <c r="AD145" s="383">
        <f>SUMIF('Asesorías AG anterior'!$B$7:$B$239,B145,'Asesorías AG anterior'!$I$7:$I$239)</f>
        <v>1E-3</v>
      </c>
      <c r="AE145" s="383">
        <f>SUMIF('Asesorías AG anterior'!$B$7:$B$239,B145,'Asesorías AG anterior'!$J$7:$J$239)</f>
        <v>0</v>
      </c>
      <c r="AF145" s="383">
        <f>SUMIF('Asesorías AG anterior'!$B$7:$B$239,B145,'Asesorías AG anterior'!$K$7:$K$239)</f>
        <v>1E-3</v>
      </c>
      <c r="AG145" s="383">
        <f>SUMIF('Asesorías AG anterior'!$B$7:$B$239,B145,'Asesorías AG anterior'!$L$7:$L$239)</f>
        <v>0</v>
      </c>
      <c r="AH145" s="383">
        <f>SUMIF('Asesorías AG anterior'!$B$7:$B$239,B145,'Asesorías AG anterior'!$M$7:$M$239)</f>
        <v>0</v>
      </c>
      <c r="AI145" s="383">
        <f>SUMIF('Asesorías AG anterior'!$B$7:$B$239,B145,'Asesorías AG anterior'!$N$7:$N$239)</f>
        <v>0</v>
      </c>
      <c r="AJ145" s="383">
        <f>SUMIF('Asesorías AG anterior'!$B$7:$B$239,B145,'Asesorías AG anterior'!$O$7:$O$239)</f>
        <v>1E-3</v>
      </c>
      <c r="AK145" s="383">
        <f>SUMIF('Asesorías AG anterior'!$B$7:$B$239,B145,'Asesorías AG anterior'!$P$7:$P$239)</f>
        <v>0</v>
      </c>
      <c r="AL145" s="383">
        <f>SUMIF('Asesorías AG anterior'!$B$7:$B$239,B145,'Asesorías AG anterior'!$Q$7:$Q$239)</f>
        <v>0</v>
      </c>
      <c r="AM145" s="383">
        <f>SUMIF('Asesorías AG anterior'!$B$7:$B$239,B145,'Asesorías AG anterior'!$R$7:$R$239)</f>
        <v>0</v>
      </c>
      <c r="AN145" s="383"/>
      <c r="AO145" s="383">
        <f>SUMIF('Asesorías AG anterior'!$B$7:$B$239,B145,'Asesorías AG anterior'!$T$7:$T$239)</f>
        <v>0</v>
      </c>
      <c r="AP145" s="383">
        <f>SUMIF('Asesorías AG anterior'!$B$7:$B$239,B145,'Asesorías AG anterior'!$U$7:$U$239)</f>
        <v>0</v>
      </c>
      <c r="AQ145" s="383">
        <f>SUMIF('Asesorías AG anterior'!$B$7:$B$239,B145,'Asesorías AG anterior'!$V$7:$V$239)</f>
        <v>0</v>
      </c>
      <c r="AR145" s="383">
        <f>SUMIF('Asesorías AG anterior'!$B$7:$B$239,B145,'Asesorías AG anterior'!$W$7:$W$239)</f>
        <v>0</v>
      </c>
      <c r="AS145" s="383">
        <f>SUMIF('Asesorías AG anterior'!$B$7:$B$239,B145,'Asesorías AG anterior'!$X$7:$X$239)</f>
        <v>0</v>
      </c>
      <c r="AT145" s="383">
        <f>SUMIF('Asesorías AG anterior'!$B$7:$B$239,B145,'Asesorías AG anterior'!$Y$7:$Y$239)</f>
        <v>0</v>
      </c>
      <c r="AU145" s="383">
        <f>SUMIF('Asesorías AG anterior'!$B$7:$B$239,B145,'Asesorías AG anterior'!$Z$7:$Z$239)</f>
        <v>0</v>
      </c>
      <c r="AV145" s="383">
        <f>SUMIF('Asesorías AG anterior'!$B$7:$B$239,B145,'Asesorías AG anterior'!$AA$7:$AA$239)</f>
        <v>0</v>
      </c>
      <c r="AW145" s="383">
        <f>SUMIF('Asesorías AG anterior'!$B$7:$B$239,B145,'Asesorías AG anterior'!$AB$7:$AB$239)</f>
        <v>0</v>
      </c>
      <c r="AX145" s="335"/>
      <c r="AZ145" s="1097" t="s">
        <v>98</v>
      </c>
    </row>
    <row r="146" spans="1:52" x14ac:dyDescent="0.2">
      <c r="A146" s="1184">
        <f t="shared" si="54"/>
        <v>138</v>
      </c>
      <c r="B146" s="1097" t="s">
        <v>99</v>
      </c>
      <c r="C146" s="1185">
        <f>_xlfn.XLOOKUP(B146,Códigos!$B$8:$B$406,Códigos!$A$8:$A$406,"Verificar",0)</f>
        <v>137</v>
      </c>
      <c r="D146" s="1114">
        <f>_xlfn.XLOOKUP(B146,'Consolidado Cobros'!$B$10:$B$312,'Consolidado Cobros'!$C$10:$C$312,"Verificar",0)</f>
        <v>32330774</v>
      </c>
      <c r="E146" s="1520">
        <f t="shared" si="40"/>
        <v>4</v>
      </c>
      <c r="F146" s="1517">
        <f t="shared" si="41"/>
        <v>0</v>
      </c>
      <c r="G146" s="1251">
        <f t="shared" si="42"/>
        <v>0</v>
      </c>
      <c r="H146" s="1240">
        <f t="shared" si="55"/>
        <v>0</v>
      </c>
      <c r="I146" s="1148"/>
      <c r="J146" s="383">
        <f t="shared" si="43"/>
        <v>0</v>
      </c>
      <c r="K146" s="712"/>
      <c r="L146" s="487">
        <f t="shared" si="44"/>
        <v>0</v>
      </c>
      <c r="M146" s="927"/>
      <c r="N146" s="672">
        <v>0</v>
      </c>
      <c r="O146" s="660"/>
      <c r="P146" s="1092">
        <f t="shared" si="45"/>
        <v>0</v>
      </c>
      <c r="Q146" s="1093">
        <v>0</v>
      </c>
      <c r="R146" s="381">
        <f t="shared" si="39"/>
        <v>0</v>
      </c>
      <c r="S146" s="382"/>
      <c r="T146" s="381"/>
      <c r="U146" s="624"/>
      <c r="V146" s="569">
        <f t="shared" si="46"/>
        <v>0</v>
      </c>
      <c r="W146" s="607"/>
      <c r="X146" s="383"/>
      <c r="Y146" s="607"/>
      <c r="Z146" s="383"/>
      <c r="AA146" s="607"/>
      <c r="AB146" s="718"/>
      <c r="AC146" s="335"/>
      <c r="AD146" s="383">
        <f>SUMIF('Asesorías AG anterior'!$B$7:$B$239,B146,'Asesorías AG anterior'!$I$7:$I$239)</f>
        <v>1E-3</v>
      </c>
      <c r="AE146" s="383">
        <f>SUMIF('Asesorías AG anterior'!$B$7:$B$239,B146,'Asesorías AG anterior'!$J$7:$J$239)</f>
        <v>0</v>
      </c>
      <c r="AF146" s="383">
        <f>SUMIF('Asesorías AG anterior'!$B$7:$B$239,B146,'Asesorías AG anterior'!$K$7:$K$239)</f>
        <v>1E-3</v>
      </c>
      <c r="AG146" s="383">
        <f>SUMIF('Asesorías AG anterior'!$B$7:$B$239,B146,'Asesorías AG anterior'!$L$7:$L$239)</f>
        <v>0</v>
      </c>
      <c r="AH146" s="383">
        <f>SUMIF('Asesorías AG anterior'!$B$7:$B$239,B146,'Asesorías AG anterior'!$M$7:$M$239)</f>
        <v>0</v>
      </c>
      <c r="AI146" s="383">
        <f>SUMIF('Asesorías AG anterior'!$B$7:$B$239,B146,'Asesorías AG anterior'!$N$7:$N$239)</f>
        <v>0</v>
      </c>
      <c r="AJ146" s="383">
        <f>SUMIF('Asesorías AG anterior'!$B$7:$B$239,B146,'Asesorías AG anterior'!$O$7:$O$239)</f>
        <v>1E-3</v>
      </c>
      <c r="AK146" s="383">
        <f>SUMIF('Asesorías AG anterior'!$B$7:$B$239,B146,'Asesorías AG anterior'!$P$7:$P$239)</f>
        <v>0</v>
      </c>
      <c r="AL146" s="383">
        <f>SUMIF('Asesorías AG anterior'!$B$7:$B$239,B146,'Asesorías AG anterior'!$Q$7:$Q$239)</f>
        <v>0</v>
      </c>
      <c r="AM146" s="383">
        <f>SUMIF('Asesorías AG anterior'!$B$7:$B$239,B146,'Asesorías AG anterior'!$R$7:$R$239)</f>
        <v>0</v>
      </c>
      <c r="AN146" s="383"/>
      <c r="AO146" s="383">
        <f>SUMIF('Asesorías AG anterior'!$B$7:$B$239,B146,'Asesorías AG anterior'!$T$7:$T$239)</f>
        <v>0</v>
      </c>
      <c r="AP146" s="383">
        <f>SUMIF('Asesorías AG anterior'!$B$7:$B$239,B146,'Asesorías AG anterior'!$U$7:$U$239)</f>
        <v>0</v>
      </c>
      <c r="AQ146" s="383">
        <f>SUMIF('Asesorías AG anterior'!$B$7:$B$239,B146,'Asesorías AG anterior'!$V$7:$V$239)</f>
        <v>0</v>
      </c>
      <c r="AR146" s="383">
        <f>SUMIF('Asesorías AG anterior'!$B$7:$B$239,B146,'Asesorías AG anterior'!$W$7:$W$239)</f>
        <v>0</v>
      </c>
      <c r="AS146" s="383">
        <f>SUMIF('Asesorías AG anterior'!$B$7:$B$239,B146,'Asesorías AG anterior'!$X$7:$X$239)</f>
        <v>0</v>
      </c>
      <c r="AT146" s="383">
        <f>SUMIF('Asesorías AG anterior'!$B$7:$B$239,B146,'Asesorías AG anterior'!$Y$7:$Y$239)</f>
        <v>0</v>
      </c>
      <c r="AU146" s="383">
        <f>SUMIF('Asesorías AG anterior'!$B$7:$B$239,B146,'Asesorías AG anterior'!$Z$7:$Z$239)</f>
        <v>0</v>
      </c>
      <c r="AV146" s="383">
        <f>SUMIF('Asesorías AG anterior'!$B$7:$B$239,B146,'Asesorías AG anterior'!$AA$7:$AA$239)</f>
        <v>0</v>
      </c>
      <c r="AW146" s="383">
        <f>SUMIF('Asesorías AG anterior'!$B$7:$B$239,B146,'Asesorías AG anterior'!$AB$7:$AB$239)</f>
        <v>0</v>
      </c>
      <c r="AX146" s="335"/>
      <c r="AZ146" s="1097" t="s">
        <v>99</v>
      </c>
    </row>
    <row r="147" spans="1:52" x14ac:dyDescent="0.2">
      <c r="A147" s="1184">
        <f t="shared" si="54"/>
        <v>139</v>
      </c>
      <c r="B147" s="1097" t="s">
        <v>100</v>
      </c>
      <c r="C147" s="1185">
        <f>_xlfn.XLOOKUP(B147,Códigos!$B$8:$B$406,Códigos!$A$8:$A$406,"Verificar",0)</f>
        <v>267</v>
      </c>
      <c r="D147" s="1114">
        <f>_xlfn.XLOOKUP(B147,'Consolidado Cobros'!$B$10:$B$312,'Consolidado Cobros'!$C$10:$C$312,"Verificar",0)</f>
        <v>71769178</v>
      </c>
      <c r="E147" s="1520">
        <f t="shared" si="40"/>
        <v>1</v>
      </c>
      <c r="F147" s="1517">
        <f t="shared" si="41"/>
        <v>0</v>
      </c>
      <c r="G147" s="1251">
        <f t="shared" si="42"/>
        <v>0</v>
      </c>
      <c r="H147" s="1240">
        <f t="shared" si="55"/>
        <v>0</v>
      </c>
      <c r="I147" s="1148"/>
      <c r="J147" s="383">
        <f t="shared" si="43"/>
        <v>0</v>
      </c>
      <c r="K147" s="712"/>
      <c r="L147" s="487">
        <f t="shared" si="44"/>
        <v>0</v>
      </c>
      <c r="M147" s="927"/>
      <c r="N147" s="672">
        <v>0</v>
      </c>
      <c r="O147" s="660"/>
      <c r="P147" s="1092">
        <f t="shared" si="45"/>
        <v>0</v>
      </c>
      <c r="Q147" s="1093">
        <v>0</v>
      </c>
      <c r="R147" s="381">
        <f t="shared" si="39"/>
        <v>0</v>
      </c>
      <c r="S147" s="382"/>
      <c r="T147" s="381"/>
      <c r="U147" s="624"/>
      <c r="V147" s="569">
        <f t="shared" si="46"/>
        <v>0</v>
      </c>
      <c r="W147" s="607"/>
      <c r="X147" s="383"/>
      <c r="Y147" s="607"/>
      <c r="Z147" s="383"/>
      <c r="AA147" s="607"/>
      <c r="AB147" s="718"/>
      <c r="AC147" s="335"/>
      <c r="AD147" s="383">
        <f>SUMIF('Asesorías AG anterior'!$B$7:$B$239,B147,'Asesorías AG anterior'!$I$7:$I$239)</f>
        <v>1E-3</v>
      </c>
      <c r="AE147" s="383">
        <f>SUMIF('Asesorías AG anterior'!$B$7:$B$239,B147,'Asesorías AG anterior'!$J$7:$J$239)</f>
        <v>0</v>
      </c>
      <c r="AF147" s="383">
        <f>SUMIF('Asesorías AG anterior'!$B$7:$B$239,B147,'Asesorías AG anterior'!$K$7:$K$239)</f>
        <v>1E-3</v>
      </c>
      <c r="AG147" s="383">
        <f>SUMIF('Asesorías AG anterior'!$B$7:$B$239,B147,'Asesorías AG anterior'!$L$7:$L$239)</f>
        <v>0</v>
      </c>
      <c r="AH147" s="383">
        <f>SUMIF('Asesorías AG anterior'!$B$7:$B$239,B147,'Asesorías AG anterior'!$M$7:$M$239)</f>
        <v>0</v>
      </c>
      <c r="AI147" s="383">
        <f>SUMIF('Asesorías AG anterior'!$B$7:$B$239,B147,'Asesorías AG anterior'!$N$7:$N$239)</f>
        <v>0</v>
      </c>
      <c r="AJ147" s="383">
        <f>SUMIF('Asesorías AG anterior'!$B$7:$B$239,B147,'Asesorías AG anterior'!$O$7:$O$239)</f>
        <v>1E-3</v>
      </c>
      <c r="AK147" s="383">
        <f>SUMIF('Asesorías AG anterior'!$B$7:$B$239,B147,'Asesorías AG anterior'!$P$7:$P$239)</f>
        <v>0</v>
      </c>
      <c r="AL147" s="383">
        <f>SUMIF('Asesorías AG anterior'!$B$7:$B$239,B147,'Asesorías AG anterior'!$Q$7:$Q$239)</f>
        <v>0</v>
      </c>
      <c r="AM147" s="383">
        <f>SUMIF('Asesorías AG anterior'!$B$7:$B$239,B147,'Asesorías AG anterior'!$R$7:$R$239)</f>
        <v>0</v>
      </c>
      <c r="AN147" s="383"/>
      <c r="AO147" s="383">
        <f>SUMIF('Asesorías AG anterior'!$B$7:$B$239,B147,'Asesorías AG anterior'!$T$7:$T$239)</f>
        <v>0</v>
      </c>
      <c r="AP147" s="383">
        <f>SUMIF('Asesorías AG anterior'!$B$7:$B$239,B147,'Asesorías AG anterior'!$U$7:$U$239)</f>
        <v>0</v>
      </c>
      <c r="AQ147" s="383">
        <f>SUMIF('Asesorías AG anterior'!$B$7:$B$239,B147,'Asesorías AG anterior'!$V$7:$V$239)</f>
        <v>0</v>
      </c>
      <c r="AR147" s="383">
        <f>SUMIF('Asesorías AG anterior'!$B$7:$B$239,B147,'Asesorías AG anterior'!$W$7:$W$239)</f>
        <v>0</v>
      </c>
      <c r="AS147" s="383">
        <f>SUMIF('Asesorías AG anterior'!$B$7:$B$239,B147,'Asesorías AG anterior'!$X$7:$X$239)</f>
        <v>0</v>
      </c>
      <c r="AT147" s="383">
        <f>SUMIF('Asesorías AG anterior'!$B$7:$B$239,B147,'Asesorías AG anterior'!$Y$7:$Y$239)</f>
        <v>0</v>
      </c>
      <c r="AU147" s="383">
        <f>SUMIF('Asesorías AG anterior'!$B$7:$B$239,B147,'Asesorías AG anterior'!$Z$7:$Z$239)</f>
        <v>0</v>
      </c>
      <c r="AV147" s="383">
        <f>SUMIF('Asesorías AG anterior'!$B$7:$B$239,B147,'Asesorías AG anterior'!$AA$7:$AA$239)</f>
        <v>0</v>
      </c>
      <c r="AW147" s="383">
        <f>SUMIF('Asesorías AG anterior'!$B$7:$B$239,B147,'Asesorías AG anterior'!$AB$7:$AB$239)</f>
        <v>0</v>
      </c>
      <c r="AX147" s="335"/>
      <c r="AZ147" s="1097" t="s">
        <v>100</v>
      </c>
    </row>
    <row r="148" spans="1:52" x14ac:dyDescent="0.2">
      <c r="A148" s="1184">
        <f t="shared" si="54"/>
        <v>140</v>
      </c>
      <c r="B148" s="1097" t="s">
        <v>101</v>
      </c>
      <c r="C148" s="1185">
        <f>_xlfn.XLOOKUP(B148,Códigos!$B$8:$B$406,Códigos!$A$8:$A$406,"Verificar",0)</f>
        <v>280</v>
      </c>
      <c r="D148" s="1114">
        <f>_xlfn.XLOOKUP(B148,'Consolidado Cobros'!$B$10:$B$312,'Consolidado Cobros'!$C$10:$C$312,"Verificar",0)</f>
        <v>98514541</v>
      </c>
      <c r="E148" s="1520">
        <f t="shared" si="40"/>
        <v>6</v>
      </c>
      <c r="F148" s="1517">
        <f t="shared" si="41"/>
        <v>0</v>
      </c>
      <c r="G148" s="1251">
        <f t="shared" si="42"/>
        <v>0</v>
      </c>
      <c r="H148" s="1240">
        <f t="shared" si="55"/>
        <v>0</v>
      </c>
      <c r="I148" s="1148"/>
      <c r="J148" s="383">
        <f t="shared" si="43"/>
        <v>0</v>
      </c>
      <c r="K148" s="712"/>
      <c r="L148" s="487">
        <f t="shared" si="44"/>
        <v>0</v>
      </c>
      <c r="M148" s="927"/>
      <c r="N148" s="672">
        <v>0</v>
      </c>
      <c r="O148" s="660"/>
      <c r="P148" s="1092">
        <f t="shared" si="45"/>
        <v>0</v>
      </c>
      <c r="Q148" s="1093">
        <v>0</v>
      </c>
      <c r="R148" s="381">
        <f t="shared" si="39"/>
        <v>0</v>
      </c>
      <c r="S148" s="382"/>
      <c r="T148" s="381"/>
      <c r="U148" s="624"/>
      <c r="V148" s="569">
        <f t="shared" si="46"/>
        <v>0</v>
      </c>
      <c r="W148" s="607"/>
      <c r="X148" s="383"/>
      <c r="Y148" s="607"/>
      <c r="Z148" s="383"/>
      <c r="AA148" s="607"/>
      <c r="AB148" s="718"/>
      <c r="AC148" s="335"/>
      <c r="AD148" s="383">
        <f>SUMIF('Asesorías AG anterior'!$B$7:$B$239,B148,'Asesorías AG anterior'!$I$7:$I$239)</f>
        <v>1E-3</v>
      </c>
      <c r="AE148" s="383">
        <f>SUMIF('Asesorías AG anterior'!$B$7:$B$239,B148,'Asesorías AG anterior'!$J$7:$J$239)</f>
        <v>0</v>
      </c>
      <c r="AF148" s="383">
        <f>SUMIF('Asesorías AG anterior'!$B$7:$B$239,B148,'Asesorías AG anterior'!$K$7:$K$239)</f>
        <v>1E-3</v>
      </c>
      <c r="AG148" s="383">
        <f>SUMIF('Asesorías AG anterior'!$B$7:$B$239,B148,'Asesorías AG anterior'!$L$7:$L$239)</f>
        <v>0</v>
      </c>
      <c r="AH148" s="383">
        <f>SUMIF('Asesorías AG anterior'!$B$7:$B$239,B148,'Asesorías AG anterior'!$M$7:$M$239)</f>
        <v>0</v>
      </c>
      <c r="AI148" s="383">
        <f>SUMIF('Asesorías AG anterior'!$B$7:$B$239,B148,'Asesorías AG anterior'!$N$7:$N$239)</f>
        <v>0</v>
      </c>
      <c r="AJ148" s="383">
        <f>SUMIF('Asesorías AG anterior'!$B$7:$B$239,B148,'Asesorías AG anterior'!$O$7:$O$239)</f>
        <v>1E-3</v>
      </c>
      <c r="AK148" s="383">
        <f>SUMIF('Asesorías AG anterior'!$B$7:$B$239,B148,'Asesorías AG anterior'!$P$7:$P$239)</f>
        <v>0</v>
      </c>
      <c r="AL148" s="383">
        <f>SUMIF('Asesorías AG anterior'!$B$7:$B$239,B148,'Asesorías AG anterior'!$Q$7:$Q$239)</f>
        <v>0</v>
      </c>
      <c r="AM148" s="383">
        <f>SUMIF('Asesorías AG anterior'!$B$7:$B$239,B148,'Asesorías AG anterior'!$R$7:$R$239)</f>
        <v>0</v>
      </c>
      <c r="AN148" s="383"/>
      <c r="AO148" s="383">
        <f>SUMIF('Asesorías AG anterior'!$B$7:$B$239,B148,'Asesorías AG anterior'!$T$7:$T$239)</f>
        <v>0</v>
      </c>
      <c r="AP148" s="383">
        <f>SUMIF('Asesorías AG anterior'!$B$7:$B$239,B148,'Asesorías AG anterior'!$U$7:$U$239)</f>
        <v>0</v>
      </c>
      <c r="AQ148" s="383">
        <f>SUMIF('Asesorías AG anterior'!$B$7:$B$239,B148,'Asesorías AG anterior'!$V$7:$V$239)</f>
        <v>0</v>
      </c>
      <c r="AR148" s="383">
        <f>SUMIF('Asesorías AG anterior'!$B$7:$B$239,B148,'Asesorías AG anterior'!$W$7:$W$239)</f>
        <v>0</v>
      </c>
      <c r="AS148" s="383">
        <f>SUMIF('Asesorías AG anterior'!$B$7:$B$239,B148,'Asesorías AG anterior'!$X$7:$X$239)</f>
        <v>0</v>
      </c>
      <c r="AT148" s="383">
        <f>SUMIF('Asesorías AG anterior'!$B$7:$B$239,B148,'Asesorías AG anterior'!$Y$7:$Y$239)</f>
        <v>0</v>
      </c>
      <c r="AU148" s="383">
        <f>SUMIF('Asesorías AG anterior'!$B$7:$B$239,B148,'Asesorías AG anterior'!$Z$7:$Z$239)</f>
        <v>0</v>
      </c>
      <c r="AV148" s="383">
        <f>SUMIF('Asesorías AG anterior'!$B$7:$B$239,B148,'Asesorías AG anterior'!$AA$7:$AA$239)</f>
        <v>0</v>
      </c>
      <c r="AW148" s="383">
        <f>SUMIF('Asesorías AG anterior'!$B$7:$B$239,B148,'Asesorías AG anterior'!$AB$7:$AB$239)</f>
        <v>0</v>
      </c>
      <c r="AX148" s="335"/>
      <c r="AZ148" s="1097" t="s">
        <v>101</v>
      </c>
    </row>
    <row r="149" spans="1:52" x14ac:dyDescent="0.2">
      <c r="A149" s="1184">
        <f t="shared" si="54"/>
        <v>141</v>
      </c>
      <c r="B149" s="1097" t="s">
        <v>408</v>
      </c>
      <c r="C149" s="1185">
        <f>_xlfn.XLOOKUP(B149,Códigos!$B$8:$B$406,Códigos!$A$8:$A$406,"Verificar",0)</f>
        <v>89</v>
      </c>
      <c r="D149" s="1114">
        <f>_xlfn.XLOOKUP(B149,'Consolidado Cobros'!$B$10:$B$312,'Consolidado Cobros'!$C$10:$C$312,"Verificar",0)</f>
        <v>21831445</v>
      </c>
      <c r="E149" s="1520">
        <f t="shared" si="40"/>
        <v>6</v>
      </c>
      <c r="F149" s="1517">
        <f t="shared" si="41"/>
        <v>0</v>
      </c>
      <c r="G149" s="1251">
        <f t="shared" si="42"/>
        <v>0</v>
      </c>
      <c r="H149" s="1240">
        <f t="shared" si="55"/>
        <v>0</v>
      </c>
      <c r="I149" s="1148"/>
      <c r="J149" s="383">
        <f t="shared" si="43"/>
        <v>0</v>
      </c>
      <c r="K149" s="712"/>
      <c r="L149" s="487">
        <f t="shared" si="44"/>
        <v>0</v>
      </c>
      <c r="M149" s="927"/>
      <c r="N149" s="672">
        <v>0</v>
      </c>
      <c r="O149" s="660"/>
      <c r="P149" s="1092">
        <f t="shared" si="45"/>
        <v>0</v>
      </c>
      <c r="Q149" s="1093">
        <v>0</v>
      </c>
      <c r="R149" s="381">
        <f t="shared" si="39"/>
        <v>0</v>
      </c>
      <c r="S149" s="382"/>
      <c r="T149" s="381"/>
      <c r="U149" s="624"/>
      <c r="V149" s="569">
        <f t="shared" si="46"/>
        <v>0</v>
      </c>
      <c r="W149" s="607"/>
      <c r="X149" s="383"/>
      <c r="Y149" s="607"/>
      <c r="Z149" s="383"/>
      <c r="AA149" s="607"/>
      <c r="AB149" s="718"/>
      <c r="AC149" s="335"/>
      <c r="AD149" s="383">
        <f>SUMIF('Asesorías AG anterior'!$B$7:$B$239,B149,'Asesorías AG anterior'!$I$7:$I$239)</f>
        <v>1E-3</v>
      </c>
      <c r="AE149" s="383">
        <f>SUMIF('Asesorías AG anterior'!$B$7:$B$239,B149,'Asesorías AG anterior'!$J$7:$J$239)</f>
        <v>0</v>
      </c>
      <c r="AF149" s="383">
        <f>SUMIF('Asesorías AG anterior'!$B$7:$B$239,B149,'Asesorías AG anterior'!$K$7:$K$239)</f>
        <v>1E-3</v>
      </c>
      <c r="AG149" s="383">
        <f>SUMIF('Asesorías AG anterior'!$B$7:$B$239,B149,'Asesorías AG anterior'!$L$7:$L$239)</f>
        <v>0</v>
      </c>
      <c r="AH149" s="383">
        <f>SUMIF('Asesorías AG anterior'!$B$7:$B$239,B149,'Asesorías AG anterior'!$M$7:$M$239)</f>
        <v>0</v>
      </c>
      <c r="AI149" s="383">
        <f>SUMIF('Asesorías AG anterior'!$B$7:$B$239,B149,'Asesorías AG anterior'!$N$7:$N$239)</f>
        <v>0</v>
      </c>
      <c r="AJ149" s="383">
        <f>SUMIF('Asesorías AG anterior'!$B$7:$B$239,B149,'Asesorías AG anterior'!$O$7:$O$239)</f>
        <v>1E-3</v>
      </c>
      <c r="AK149" s="383">
        <f>SUMIF('Asesorías AG anterior'!$B$7:$B$239,B149,'Asesorías AG anterior'!$P$7:$P$239)</f>
        <v>0</v>
      </c>
      <c r="AL149" s="383">
        <f>SUMIF('Asesorías AG anterior'!$B$7:$B$239,B149,'Asesorías AG anterior'!$Q$7:$Q$239)</f>
        <v>0</v>
      </c>
      <c r="AM149" s="383">
        <f>SUMIF('Asesorías AG anterior'!$B$7:$B$239,B149,'Asesorías AG anterior'!$R$7:$R$239)</f>
        <v>0</v>
      </c>
      <c r="AN149" s="383"/>
      <c r="AO149" s="383">
        <f>SUMIF('Asesorías AG anterior'!$B$7:$B$239,B149,'Asesorías AG anterior'!$T$7:$T$239)</f>
        <v>0</v>
      </c>
      <c r="AP149" s="383">
        <f>SUMIF('Asesorías AG anterior'!$B$7:$B$239,B149,'Asesorías AG anterior'!$U$7:$U$239)</f>
        <v>0</v>
      </c>
      <c r="AQ149" s="383">
        <f>SUMIF('Asesorías AG anterior'!$B$7:$B$239,B149,'Asesorías AG anterior'!$V$7:$V$239)</f>
        <v>0</v>
      </c>
      <c r="AR149" s="383">
        <f>SUMIF('Asesorías AG anterior'!$B$7:$B$239,B149,'Asesorías AG anterior'!$W$7:$W$239)</f>
        <v>0</v>
      </c>
      <c r="AS149" s="383">
        <f>SUMIF('Asesorías AG anterior'!$B$7:$B$239,B149,'Asesorías AG anterior'!$X$7:$X$239)</f>
        <v>0</v>
      </c>
      <c r="AT149" s="383">
        <f>SUMIF('Asesorías AG anterior'!$B$7:$B$239,B149,'Asesorías AG anterior'!$Y$7:$Y$239)</f>
        <v>0</v>
      </c>
      <c r="AU149" s="383">
        <f>SUMIF('Asesorías AG anterior'!$B$7:$B$239,B149,'Asesorías AG anterior'!$Z$7:$Z$239)</f>
        <v>0</v>
      </c>
      <c r="AV149" s="383">
        <f>SUMIF('Asesorías AG anterior'!$B$7:$B$239,B149,'Asesorías AG anterior'!$AA$7:$AA$239)</f>
        <v>0</v>
      </c>
      <c r="AW149" s="383">
        <f>SUMIF('Asesorías AG anterior'!$B$7:$B$239,B149,'Asesorías AG anterior'!$AB$7:$AB$239)</f>
        <v>0</v>
      </c>
      <c r="AX149" s="335"/>
      <c r="AZ149" s="1097" t="s">
        <v>408</v>
      </c>
    </row>
    <row r="150" spans="1:52" x14ac:dyDescent="0.2">
      <c r="A150" s="1184">
        <f t="shared" si="54"/>
        <v>142</v>
      </c>
      <c r="B150" s="1097" t="s">
        <v>783</v>
      </c>
      <c r="C150" s="1185">
        <f>_xlfn.XLOOKUP(B150,Códigos!$B$8:$B$406,Códigos!$A$8:$A$406,"Verificar",0)</f>
        <v>141</v>
      </c>
      <c r="D150" s="1114">
        <f>_xlfn.XLOOKUP(B150,'Consolidado Cobros'!$B$10:$B$312,'Consolidado Cobros'!$C$10:$C$312,"Verificar",0)</f>
        <v>1038869450</v>
      </c>
      <c r="E150" s="1520">
        <f t="shared" ref="E150" si="56">IF((MOD((VALUE(MID(TEXT(D150,"000000000000000"),15,1))*3+VALUE(MID(TEXT(D150,"000000000000000"),14,1))*7+VALUE(MID(TEXT(D150,"000000000000000"),13,1))*13+VALUE(MID(TEXT(D150,"000000000000000"),12,1))*17+VALUE(MID(TEXT(D150,"000000000000000"),11,1))*19+VALUE(MID(TEXT(D150,"000000000000000"),10,1))*23+VALUE(MID(TEXT(D150,"000000000000000"),9,1))*29+VALUE(MID(TEXT(D150,"000000000000000"),8,1))*37+VALUE(MID(TEXT(D150,"000000000000000"),7,1))*41+VALUE(MID(TEXT(D150,"000000000000000"),6,1))*43+VALUE(MID(TEXT(D150,"000000000000000"),5,1))*47+VALUE(MID(TEXT(D150,"000000000000000"),4,1))*53+VALUE(MID(TEXT(D150,"000000000000000"),3,1))*59+VALUE(MID(TEXT(D150,"000000000000000"),2,1))*67+VALUE(MID(TEXT(D150,"000000000000000"),1,1))*71),11))=0,0,IF((MOD((VALUE(MID(TEXT(D150,"000000000000000"),15,1))*3+VALUE(MID(TEXT(D150,"000000000000000"),14,1))*7+VALUE(MID(TEXT(D150,"000000000000000"),13,1))*13+VALUE(MID(TEXT(D150,"000000000000000"),12,1))*17+VALUE(MID(TEXT(D150,"000000000000000"),11,1))*19+VALUE(MID(TEXT(D150,"000000000000000"),10,1))*23+VALUE(MID(TEXT(D150,"000000000000000"),9,1))*29+VALUE(MID(TEXT(D150,"000000000000000"),8,1))*37+VALUE(MID(TEXT(D150,"000000000000000"),7,1))*41+VALUE(MID(TEXT(D150,"000000000000000"),6,1))*43+VALUE(MID(TEXT(D150,"000000000000000"),5,1))*47+VALUE(MID(TEXT(D150,"000000000000000"),4,1))*53+VALUE(MID(TEXT(D150,"000000000000000"),3,1))*59+VALUE(MID(TEXT(D150,"000000000000000"),2,1))*67+VALUE(MID(TEXT(D150,"000000000000000"),1,1))*71),11))=1,1,11-(MOD((VALUE(MID(TEXT(D150,"000000000000000"),15,1))*3+VALUE(MID(TEXT(D150,"000000000000000"),14,1))*7+VALUE(MID(TEXT(D150,"000000000000000"),13,1))*13+VALUE(MID(TEXT(D150,"000000000000000"),12,1))*17+VALUE(MID(TEXT(D150,"000000000000000"),11,1))*19+VALUE(MID(TEXT(D150,"000000000000000"),10,1))*23+VALUE(MID(TEXT(D150,"000000000000000"),9,1))*29+VALUE(MID(TEXT(D150,"000000000000000"),8,1))*37+VALUE(MID(TEXT(D150,"000000000000000"),7,1))*41+VALUE(MID(TEXT(D150,"000000000000000"),6,1))*43+VALUE(MID(TEXT(D150,"000000000000000"),5,1))*47+VALUE(MID(TEXT(D150,"000000000000000"),4,1))*53+VALUE(MID(TEXT(D150,"000000000000000"),3,1))*59+VALUE(MID(TEXT(D150,"000000000000000"),2,1))*67+VALUE(MID(TEXT(D150,"000000000000000"),1,1))*71),11))))</f>
        <v>0</v>
      </c>
      <c r="F150" s="1517">
        <f t="shared" ref="F150" si="57">+IF(H150&gt;0,H150,0)</f>
        <v>0</v>
      </c>
      <c r="G150" s="1251">
        <f t="shared" ref="G150" si="58">+IF(V150&gt;0,V150,0)</f>
        <v>0</v>
      </c>
      <c r="H150" s="1240">
        <f t="shared" si="55"/>
        <v>0</v>
      </c>
      <c r="I150" s="1148"/>
      <c r="J150" s="383">
        <f t="shared" ref="J150" si="59">+(AE150/AD150*(100%+$J$4))*I150</f>
        <v>0</v>
      </c>
      <c r="K150" s="712"/>
      <c r="L150" s="487">
        <f t="shared" ref="L150" si="60">+(AG150/AF150*(100%+$J$4))*K150</f>
        <v>0</v>
      </c>
      <c r="M150" s="927"/>
      <c r="N150" s="672">
        <v>0</v>
      </c>
      <c r="O150" s="660"/>
      <c r="P150" s="1092">
        <f t="shared" ref="P150" si="61">ROUND(IF(O150="SI",AK150*(100%+$P$4),0),-4)</f>
        <v>0</v>
      </c>
      <c r="Q150" s="1093">
        <v>0</v>
      </c>
      <c r="R150" s="381">
        <f t="shared" si="39"/>
        <v>0</v>
      </c>
      <c r="S150" s="382"/>
      <c r="T150" s="381"/>
      <c r="U150" s="624"/>
      <c r="V150" s="569">
        <f t="shared" ref="V150" si="62">+X150+Z150+AB150</f>
        <v>0</v>
      </c>
      <c r="W150" s="607"/>
      <c r="X150" s="383"/>
      <c r="Y150" s="607"/>
      <c r="Z150" s="383"/>
      <c r="AA150" s="607"/>
      <c r="AB150" s="718"/>
      <c r="AC150" s="335"/>
      <c r="AD150" s="383">
        <f>SUMIF('Asesorías AG anterior'!$B$7:$B$239,B150,'Asesorías AG anterior'!$I$7:$I$239)</f>
        <v>1E-3</v>
      </c>
      <c r="AE150" s="383">
        <f>SUMIF('Asesorías AG anterior'!$B$7:$B$239,B150,'Asesorías AG anterior'!$J$7:$J$239)</f>
        <v>0</v>
      </c>
      <c r="AF150" s="383">
        <f>SUMIF('Asesorías AG anterior'!$B$7:$B$239,B150,'Asesorías AG anterior'!$K$7:$K$239)</f>
        <v>1E-3</v>
      </c>
      <c r="AG150" s="383">
        <f>SUMIF('Asesorías AG anterior'!$B$7:$B$239,B150,'Asesorías AG anterior'!$L$7:$L$239)</f>
        <v>0</v>
      </c>
      <c r="AH150" s="383">
        <f>SUMIF('Asesorías AG anterior'!$B$7:$B$239,B150,'Asesorías AG anterior'!$M$7:$M$239)</f>
        <v>0</v>
      </c>
      <c r="AI150" s="383">
        <f>SUMIF('Asesorías AG anterior'!$B$7:$B$239,B150,'Asesorías AG anterior'!$N$7:$N$239)</f>
        <v>0</v>
      </c>
      <c r="AJ150" s="383">
        <f>SUMIF('Asesorías AG anterior'!$B$7:$B$239,B150,'Asesorías AG anterior'!$O$7:$O$239)</f>
        <v>1E-3</v>
      </c>
      <c r="AK150" s="383">
        <f>SUMIF('Asesorías AG anterior'!$B$7:$B$239,B150,'Asesorías AG anterior'!$P$7:$P$239)</f>
        <v>0</v>
      </c>
      <c r="AL150" s="383">
        <f>SUMIF('Asesorías AG anterior'!$B$7:$B$239,B150,'Asesorías AG anterior'!$Q$7:$Q$239)</f>
        <v>0</v>
      </c>
      <c r="AM150" s="383">
        <f>SUMIF('Asesorías AG anterior'!$B$7:$B$239,B150,'Asesorías AG anterior'!$R$7:$R$239)</f>
        <v>0</v>
      </c>
      <c r="AN150" s="383"/>
      <c r="AO150" s="383">
        <f>SUMIF('Asesorías AG anterior'!$B$7:$B$239,B150,'Asesorías AG anterior'!$T$7:$T$239)</f>
        <v>0</v>
      </c>
      <c r="AP150" s="383">
        <f>SUMIF('Asesorías AG anterior'!$B$7:$B$239,B150,'Asesorías AG anterior'!$U$7:$U$239)</f>
        <v>0</v>
      </c>
      <c r="AQ150" s="383">
        <f>SUMIF('Asesorías AG anterior'!$B$7:$B$239,B150,'Asesorías AG anterior'!$V$7:$V$239)</f>
        <v>0</v>
      </c>
      <c r="AR150" s="383">
        <f>SUMIF('Asesorías AG anterior'!$B$7:$B$239,B150,'Asesorías AG anterior'!$W$7:$W$239)</f>
        <v>0</v>
      </c>
      <c r="AS150" s="383">
        <f>SUMIF('Asesorías AG anterior'!$B$7:$B$239,B150,'Asesorías AG anterior'!$X$7:$X$239)</f>
        <v>0</v>
      </c>
      <c r="AT150" s="383">
        <f>SUMIF('Asesorías AG anterior'!$B$7:$B$239,B150,'Asesorías AG anterior'!$Y$7:$Y$239)</f>
        <v>0</v>
      </c>
      <c r="AU150" s="383">
        <f>SUMIF('Asesorías AG anterior'!$B$7:$B$239,B150,'Asesorías AG anterior'!$Z$7:$Z$239)</f>
        <v>0</v>
      </c>
      <c r="AV150" s="383">
        <f>SUMIF('Asesorías AG anterior'!$B$7:$B$239,B150,'Asesorías AG anterior'!$AA$7:$AA$239)</f>
        <v>0</v>
      </c>
      <c r="AW150" s="383">
        <f>SUMIF('Asesorías AG anterior'!$B$7:$B$239,B150,'Asesorías AG anterior'!$AB$7:$AB$239)</f>
        <v>0</v>
      </c>
      <c r="AX150" s="335"/>
      <c r="AZ150" s="1097" t="s">
        <v>783</v>
      </c>
    </row>
    <row r="151" spans="1:52" x14ac:dyDescent="0.2">
      <c r="A151" s="1184">
        <f t="shared" si="54"/>
        <v>143</v>
      </c>
      <c r="B151" s="1097" t="s">
        <v>102</v>
      </c>
      <c r="C151" s="1185">
        <f>_xlfn.XLOOKUP(B151,Códigos!$B$8:$B$406,Códigos!$A$8:$A$406,"Verificar",0)</f>
        <v>138</v>
      </c>
      <c r="D151" s="1114">
        <f>_xlfn.XLOOKUP(B151,'Consolidado Cobros'!$B$10:$B$312,'Consolidado Cobros'!$C$10:$C$312,"Verificar",0)</f>
        <v>3306009</v>
      </c>
      <c r="E151" s="1520">
        <f t="shared" si="40"/>
        <v>1</v>
      </c>
      <c r="F151" s="1517">
        <f t="shared" si="41"/>
        <v>0</v>
      </c>
      <c r="G151" s="1251">
        <f t="shared" si="42"/>
        <v>0</v>
      </c>
      <c r="H151" s="1240">
        <f t="shared" si="55"/>
        <v>0</v>
      </c>
      <c r="I151" s="1148"/>
      <c r="J151" s="383">
        <f t="shared" si="43"/>
        <v>0</v>
      </c>
      <c r="K151" s="712"/>
      <c r="L151" s="487">
        <f t="shared" si="44"/>
        <v>0</v>
      </c>
      <c r="M151" s="927"/>
      <c r="N151" s="672">
        <v>0</v>
      </c>
      <c r="O151" s="660"/>
      <c r="P151" s="1092">
        <f t="shared" si="45"/>
        <v>0</v>
      </c>
      <c r="Q151" s="1093">
        <v>0</v>
      </c>
      <c r="R151" s="381">
        <f t="shared" ref="R151:R214" si="63">+P151</f>
        <v>0</v>
      </c>
      <c r="S151" s="382"/>
      <c r="T151" s="381"/>
      <c r="U151" s="624"/>
      <c r="V151" s="569">
        <f t="shared" si="46"/>
        <v>0</v>
      </c>
      <c r="W151" s="607"/>
      <c r="X151" s="383"/>
      <c r="Y151" s="607"/>
      <c r="Z151" s="383"/>
      <c r="AA151" s="607"/>
      <c r="AB151" s="718"/>
      <c r="AC151" s="335"/>
      <c r="AD151" s="383">
        <f>SUMIF('Asesorías AG anterior'!$B$7:$B$239,B151,'Asesorías AG anterior'!$I$7:$I$239)</f>
        <v>1E-3</v>
      </c>
      <c r="AE151" s="383">
        <f>SUMIF('Asesorías AG anterior'!$B$7:$B$239,B151,'Asesorías AG anterior'!$J$7:$J$239)</f>
        <v>0</v>
      </c>
      <c r="AF151" s="383">
        <f>SUMIF('Asesorías AG anterior'!$B$7:$B$239,B151,'Asesorías AG anterior'!$K$7:$K$239)</f>
        <v>1E-3</v>
      </c>
      <c r="AG151" s="383">
        <f>SUMIF('Asesorías AG anterior'!$B$7:$B$239,B151,'Asesorías AG anterior'!$L$7:$L$239)</f>
        <v>0</v>
      </c>
      <c r="AH151" s="383">
        <f>SUMIF('Asesorías AG anterior'!$B$7:$B$239,B151,'Asesorías AG anterior'!$M$7:$M$239)</f>
        <v>0</v>
      </c>
      <c r="AI151" s="383">
        <f>SUMIF('Asesorías AG anterior'!$B$7:$B$239,B151,'Asesorías AG anterior'!$N$7:$N$239)</f>
        <v>0</v>
      </c>
      <c r="AJ151" s="383">
        <f>SUMIF('Asesorías AG anterior'!$B$7:$B$239,B151,'Asesorías AG anterior'!$O$7:$O$239)</f>
        <v>1E-3</v>
      </c>
      <c r="AK151" s="383">
        <f>SUMIF('Asesorías AG anterior'!$B$7:$B$239,B151,'Asesorías AG anterior'!$P$7:$P$239)</f>
        <v>0</v>
      </c>
      <c r="AL151" s="383">
        <f>SUMIF('Asesorías AG anterior'!$B$7:$B$239,B151,'Asesorías AG anterior'!$Q$7:$Q$239)</f>
        <v>0</v>
      </c>
      <c r="AM151" s="383">
        <f>SUMIF('Asesorías AG anterior'!$B$7:$B$239,B151,'Asesorías AG anterior'!$R$7:$R$239)</f>
        <v>0</v>
      </c>
      <c r="AN151" s="383"/>
      <c r="AO151" s="383">
        <f>SUMIF('Asesorías AG anterior'!$B$7:$B$239,B151,'Asesorías AG anterior'!$T$7:$T$239)</f>
        <v>0</v>
      </c>
      <c r="AP151" s="383">
        <f>SUMIF('Asesorías AG anterior'!$B$7:$B$239,B151,'Asesorías AG anterior'!$U$7:$U$239)</f>
        <v>0</v>
      </c>
      <c r="AQ151" s="383">
        <f>SUMIF('Asesorías AG anterior'!$B$7:$B$239,B151,'Asesorías AG anterior'!$V$7:$V$239)</f>
        <v>0</v>
      </c>
      <c r="AR151" s="383">
        <f>SUMIF('Asesorías AG anterior'!$B$7:$B$239,B151,'Asesorías AG anterior'!$W$7:$W$239)</f>
        <v>0</v>
      </c>
      <c r="AS151" s="383">
        <f>SUMIF('Asesorías AG anterior'!$B$7:$B$239,B151,'Asesorías AG anterior'!$X$7:$X$239)</f>
        <v>0</v>
      </c>
      <c r="AT151" s="383">
        <f>SUMIF('Asesorías AG anterior'!$B$7:$B$239,B151,'Asesorías AG anterior'!$Y$7:$Y$239)</f>
        <v>0</v>
      </c>
      <c r="AU151" s="383">
        <f>SUMIF('Asesorías AG anterior'!$B$7:$B$239,B151,'Asesorías AG anterior'!$Z$7:$Z$239)</f>
        <v>0</v>
      </c>
      <c r="AV151" s="383">
        <f>SUMIF('Asesorías AG anterior'!$B$7:$B$239,B151,'Asesorías AG anterior'!$AA$7:$AA$239)</f>
        <v>0</v>
      </c>
      <c r="AW151" s="383">
        <f>SUMIF('Asesorías AG anterior'!$B$7:$B$239,B151,'Asesorías AG anterior'!$AB$7:$AB$239)</f>
        <v>0</v>
      </c>
      <c r="AX151" s="335"/>
      <c r="AZ151" s="1097" t="s">
        <v>102</v>
      </c>
    </row>
    <row r="152" spans="1:52" x14ac:dyDescent="0.2">
      <c r="A152" s="1184">
        <f t="shared" si="54"/>
        <v>144</v>
      </c>
      <c r="B152" s="1097" t="s">
        <v>103</v>
      </c>
      <c r="C152" s="1185">
        <f>_xlfn.XLOOKUP(B152,Códigos!$B$8:$B$406,Códigos!$A$8:$A$406,"Verificar",0)</f>
        <v>139</v>
      </c>
      <c r="D152" s="1114">
        <f>_xlfn.XLOOKUP(B152,'Consolidado Cobros'!$B$10:$B$312,'Consolidado Cobros'!$C$10:$C$312,"Verificar",0)</f>
        <v>21668232</v>
      </c>
      <c r="E152" s="1520">
        <f t="shared" si="40"/>
        <v>6</v>
      </c>
      <c r="F152" s="1517">
        <f t="shared" si="41"/>
        <v>0</v>
      </c>
      <c r="G152" s="1251">
        <f t="shared" si="42"/>
        <v>0</v>
      </c>
      <c r="H152" s="1240">
        <f t="shared" si="55"/>
        <v>0</v>
      </c>
      <c r="I152" s="1148"/>
      <c r="J152" s="383">
        <f t="shared" si="43"/>
        <v>0</v>
      </c>
      <c r="K152" s="712"/>
      <c r="L152" s="487">
        <f t="shared" si="44"/>
        <v>0</v>
      </c>
      <c r="M152" s="927"/>
      <c r="N152" s="672">
        <v>0</v>
      </c>
      <c r="O152" s="660"/>
      <c r="P152" s="1092">
        <f t="shared" si="45"/>
        <v>0</v>
      </c>
      <c r="Q152" s="1093">
        <v>0</v>
      </c>
      <c r="R152" s="381">
        <f t="shared" si="63"/>
        <v>0</v>
      </c>
      <c r="S152" s="382"/>
      <c r="T152" s="381"/>
      <c r="U152" s="624"/>
      <c r="V152" s="569">
        <f t="shared" si="46"/>
        <v>0</v>
      </c>
      <c r="W152" s="607"/>
      <c r="X152" s="383"/>
      <c r="Y152" s="607"/>
      <c r="Z152" s="383"/>
      <c r="AA152" s="607"/>
      <c r="AB152" s="718"/>
      <c r="AC152" s="335"/>
      <c r="AD152" s="383">
        <f>SUMIF('Asesorías AG anterior'!$B$7:$B$239,B152,'Asesorías AG anterior'!$I$7:$I$239)</f>
        <v>1E-3</v>
      </c>
      <c r="AE152" s="383">
        <f>SUMIF('Asesorías AG anterior'!$B$7:$B$239,B152,'Asesorías AG anterior'!$J$7:$J$239)</f>
        <v>0</v>
      </c>
      <c r="AF152" s="383">
        <f>SUMIF('Asesorías AG anterior'!$B$7:$B$239,B152,'Asesorías AG anterior'!$K$7:$K$239)</f>
        <v>1E-3</v>
      </c>
      <c r="AG152" s="383">
        <f>SUMIF('Asesorías AG anterior'!$B$7:$B$239,B152,'Asesorías AG anterior'!$L$7:$L$239)</f>
        <v>0</v>
      </c>
      <c r="AH152" s="383">
        <f>SUMIF('Asesorías AG anterior'!$B$7:$B$239,B152,'Asesorías AG anterior'!$M$7:$M$239)</f>
        <v>0</v>
      </c>
      <c r="AI152" s="383">
        <f>SUMIF('Asesorías AG anterior'!$B$7:$B$239,B152,'Asesorías AG anterior'!$N$7:$N$239)</f>
        <v>0</v>
      </c>
      <c r="AJ152" s="383">
        <f>SUMIF('Asesorías AG anterior'!$B$7:$B$239,B152,'Asesorías AG anterior'!$O$7:$O$239)</f>
        <v>1E-3</v>
      </c>
      <c r="AK152" s="383">
        <f>SUMIF('Asesorías AG anterior'!$B$7:$B$239,B152,'Asesorías AG anterior'!$P$7:$P$239)</f>
        <v>0</v>
      </c>
      <c r="AL152" s="383">
        <f>SUMIF('Asesorías AG anterior'!$B$7:$B$239,B152,'Asesorías AG anterior'!$Q$7:$Q$239)</f>
        <v>0</v>
      </c>
      <c r="AM152" s="383">
        <f>SUMIF('Asesorías AG anterior'!$B$7:$B$239,B152,'Asesorías AG anterior'!$R$7:$R$239)</f>
        <v>0</v>
      </c>
      <c r="AN152" s="383"/>
      <c r="AO152" s="383">
        <f>SUMIF('Asesorías AG anterior'!$B$7:$B$239,B152,'Asesorías AG anterior'!$T$7:$T$239)</f>
        <v>0</v>
      </c>
      <c r="AP152" s="383">
        <f>SUMIF('Asesorías AG anterior'!$B$7:$B$239,B152,'Asesorías AG anterior'!$U$7:$U$239)</f>
        <v>0</v>
      </c>
      <c r="AQ152" s="383">
        <f>SUMIF('Asesorías AG anterior'!$B$7:$B$239,B152,'Asesorías AG anterior'!$V$7:$V$239)</f>
        <v>0</v>
      </c>
      <c r="AR152" s="383">
        <f>SUMIF('Asesorías AG anterior'!$B$7:$B$239,B152,'Asesorías AG anterior'!$W$7:$W$239)</f>
        <v>0</v>
      </c>
      <c r="AS152" s="383">
        <f>SUMIF('Asesorías AG anterior'!$B$7:$B$239,B152,'Asesorías AG anterior'!$X$7:$X$239)</f>
        <v>0</v>
      </c>
      <c r="AT152" s="383">
        <f>SUMIF('Asesorías AG anterior'!$B$7:$B$239,B152,'Asesorías AG anterior'!$Y$7:$Y$239)</f>
        <v>0</v>
      </c>
      <c r="AU152" s="383">
        <f>SUMIF('Asesorías AG anterior'!$B$7:$B$239,B152,'Asesorías AG anterior'!$Z$7:$Z$239)</f>
        <v>0</v>
      </c>
      <c r="AV152" s="383">
        <f>SUMIF('Asesorías AG anterior'!$B$7:$B$239,B152,'Asesorías AG anterior'!$AA$7:$AA$239)</f>
        <v>0</v>
      </c>
      <c r="AW152" s="383">
        <f>SUMIF('Asesorías AG anterior'!$B$7:$B$239,B152,'Asesorías AG anterior'!$AB$7:$AB$239)</f>
        <v>0</v>
      </c>
      <c r="AX152" s="335"/>
      <c r="AZ152" s="1097" t="s">
        <v>103</v>
      </c>
    </row>
    <row r="153" spans="1:52" x14ac:dyDescent="0.2">
      <c r="A153" s="1184">
        <f t="shared" si="54"/>
        <v>145</v>
      </c>
      <c r="B153" s="1097" t="s">
        <v>104</v>
      </c>
      <c r="C153" s="1185">
        <f>_xlfn.XLOOKUP(B153,Códigos!$B$8:$B$406,Códigos!$A$8:$A$406,"Verificar",0)</f>
        <v>140</v>
      </c>
      <c r="D153" s="1114">
        <f>_xlfn.XLOOKUP(B153,'Consolidado Cobros'!$B$10:$B$312,'Consolidado Cobros'!$C$10:$C$312,"Verificar",0)</f>
        <v>98473805</v>
      </c>
      <c r="E153" s="1520">
        <f t="shared" si="40"/>
        <v>8</v>
      </c>
      <c r="F153" s="1517">
        <f t="shared" si="41"/>
        <v>0</v>
      </c>
      <c r="G153" s="1251">
        <f t="shared" si="42"/>
        <v>0</v>
      </c>
      <c r="H153" s="1240">
        <f t="shared" si="55"/>
        <v>0</v>
      </c>
      <c r="I153" s="1148"/>
      <c r="J153" s="383">
        <f t="shared" si="43"/>
        <v>0</v>
      </c>
      <c r="K153" s="712"/>
      <c r="L153" s="487">
        <f t="shared" si="44"/>
        <v>0</v>
      </c>
      <c r="M153" s="927"/>
      <c r="N153" s="672">
        <v>0</v>
      </c>
      <c r="O153" s="660"/>
      <c r="P153" s="1092">
        <f t="shared" si="45"/>
        <v>0</v>
      </c>
      <c r="Q153" s="1093">
        <v>0</v>
      </c>
      <c r="R153" s="381">
        <f t="shared" si="63"/>
        <v>0</v>
      </c>
      <c r="S153" s="382"/>
      <c r="T153" s="381"/>
      <c r="U153" s="624"/>
      <c r="V153" s="569">
        <f t="shared" si="46"/>
        <v>0</v>
      </c>
      <c r="W153" s="607"/>
      <c r="X153" s="383"/>
      <c r="Y153" s="607"/>
      <c r="Z153" s="383"/>
      <c r="AA153" s="607"/>
      <c r="AB153" s="718"/>
      <c r="AC153" s="335"/>
      <c r="AD153" s="383">
        <f>SUMIF('Asesorías AG anterior'!$B$7:$B$239,B153,'Asesorías AG anterior'!$I$7:$I$239)</f>
        <v>1E-3</v>
      </c>
      <c r="AE153" s="383">
        <f>SUMIF('Asesorías AG anterior'!$B$7:$B$239,B153,'Asesorías AG anterior'!$J$7:$J$239)</f>
        <v>0</v>
      </c>
      <c r="AF153" s="383">
        <f>SUMIF('Asesorías AG anterior'!$B$7:$B$239,B153,'Asesorías AG anterior'!$K$7:$K$239)</f>
        <v>1E-3</v>
      </c>
      <c r="AG153" s="383">
        <f>SUMIF('Asesorías AG anterior'!$B$7:$B$239,B153,'Asesorías AG anterior'!$L$7:$L$239)</f>
        <v>0</v>
      </c>
      <c r="AH153" s="383">
        <f>SUMIF('Asesorías AG anterior'!$B$7:$B$239,B153,'Asesorías AG anterior'!$M$7:$M$239)</f>
        <v>0</v>
      </c>
      <c r="AI153" s="383">
        <f>SUMIF('Asesorías AG anterior'!$B$7:$B$239,B153,'Asesorías AG anterior'!$N$7:$N$239)</f>
        <v>0</v>
      </c>
      <c r="AJ153" s="383">
        <f>SUMIF('Asesorías AG anterior'!$B$7:$B$239,B153,'Asesorías AG anterior'!$O$7:$O$239)</f>
        <v>1E-3</v>
      </c>
      <c r="AK153" s="383">
        <f>SUMIF('Asesorías AG anterior'!$B$7:$B$239,B153,'Asesorías AG anterior'!$P$7:$P$239)</f>
        <v>0</v>
      </c>
      <c r="AL153" s="383">
        <f>SUMIF('Asesorías AG anterior'!$B$7:$B$239,B153,'Asesorías AG anterior'!$Q$7:$Q$239)</f>
        <v>0</v>
      </c>
      <c r="AM153" s="383">
        <f>SUMIF('Asesorías AG anterior'!$B$7:$B$239,B153,'Asesorías AG anterior'!$R$7:$R$239)</f>
        <v>0</v>
      </c>
      <c r="AN153" s="383"/>
      <c r="AO153" s="383">
        <f>SUMIF('Asesorías AG anterior'!$B$7:$B$239,B153,'Asesorías AG anterior'!$T$7:$T$239)</f>
        <v>0</v>
      </c>
      <c r="AP153" s="383">
        <f>SUMIF('Asesorías AG anterior'!$B$7:$B$239,B153,'Asesorías AG anterior'!$U$7:$U$239)</f>
        <v>0</v>
      </c>
      <c r="AQ153" s="383">
        <f>SUMIF('Asesorías AG anterior'!$B$7:$B$239,B153,'Asesorías AG anterior'!$V$7:$V$239)</f>
        <v>0</v>
      </c>
      <c r="AR153" s="383">
        <f>SUMIF('Asesorías AG anterior'!$B$7:$B$239,B153,'Asesorías AG anterior'!$W$7:$W$239)</f>
        <v>0</v>
      </c>
      <c r="AS153" s="383">
        <f>SUMIF('Asesorías AG anterior'!$B$7:$B$239,B153,'Asesorías AG anterior'!$X$7:$X$239)</f>
        <v>0</v>
      </c>
      <c r="AT153" s="383">
        <f>SUMIF('Asesorías AG anterior'!$B$7:$B$239,B153,'Asesorías AG anterior'!$Y$7:$Y$239)</f>
        <v>0</v>
      </c>
      <c r="AU153" s="383">
        <f>SUMIF('Asesorías AG anterior'!$B$7:$B$239,B153,'Asesorías AG anterior'!$Z$7:$Z$239)</f>
        <v>0</v>
      </c>
      <c r="AV153" s="383">
        <f>SUMIF('Asesorías AG anterior'!$B$7:$B$239,B153,'Asesorías AG anterior'!$AA$7:$AA$239)</f>
        <v>0</v>
      </c>
      <c r="AW153" s="383">
        <f>SUMIF('Asesorías AG anterior'!$B$7:$B$239,B153,'Asesorías AG anterior'!$AB$7:$AB$239)</f>
        <v>0</v>
      </c>
      <c r="AX153" s="335"/>
      <c r="AZ153" s="1097" t="s">
        <v>104</v>
      </c>
    </row>
    <row r="154" spans="1:52" x14ac:dyDescent="0.2">
      <c r="A154" s="1184">
        <f t="shared" si="54"/>
        <v>146</v>
      </c>
      <c r="B154" s="1201" t="s">
        <v>482</v>
      </c>
      <c r="C154" s="1185">
        <f>_xlfn.XLOOKUP(B154,Códigos!$B$8:$B$406,Códigos!$A$8:$A$406,"Verificar",0)</f>
        <v>195</v>
      </c>
      <c r="D154" s="1114">
        <f>_xlfn.XLOOKUP(B154,'Consolidado Cobros'!$B$10:$B$312,'Consolidado Cobros'!$C$10:$C$312,"Verificar",0)</f>
        <v>1037606586</v>
      </c>
      <c r="E154" s="1520">
        <f t="shared" si="40"/>
        <v>1</v>
      </c>
      <c r="F154" s="1517">
        <f t="shared" si="41"/>
        <v>0</v>
      </c>
      <c r="G154" s="1251">
        <f t="shared" si="42"/>
        <v>0</v>
      </c>
      <c r="H154" s="1240">
        <f t="shared" si="55"/>
        <v>0</v>
      </c>
      <c r="I154" s="1148"/>
      <c r="J154" s="383">
        <f t="shared" si="43"/>
        <v>0</v>
      </c>
      <c r="K154" s="712"/>
      <c r="L154" s="487">
        <f t="shared" si="44"/>
        <v>0</v>
      </c>
      <c r="M154" s="927"/>
      <c r="N154" s="672">
        <v>0</v>
      </c>
      <c r="O154" s="660"/>
      <c r="P154" s="1092">
        <f t="shared" si="45"/>
        <v>0</v>
      </c>
      <c r="Q154" s="1093">
        <v>0</v>
      </c>
      <c r="R154" s="381">
        <f t="shared" si="63"/>
        <v>0</v>
      </c>
      <c r="S154" s="382"/>
      <c r="T154" s="381"/>
      <c r="U154" s="624"/>
      <c r="V154" s="569">
        <f t="shared" si="46"/>
        <v>0</v>
      </c>
      <c r="W154" s="607"/>
      <c r="X154" s="383"/>
      <c r="Y154" s="607"/>
      <c r="Z154" s="383"/>
      <c r="AA154" s="607"/>
      <c r="AB154" s="718"/>
      <c r="AC154" s="335"/>
      <c r="AD154" s="383">
        <f>SUMIF('Asesorías AG anterior'!$B$7:$B$239,B154,'Asesorías AG anterior'!$I$7:$I$239)</f>
        <v>1E-3</v>
      </c>
      <c r="AE154" s="383">
        <f>SUMIF('Asesorías AG anterior'!$B$7:$B$239,B154,'Asesorías AG anterior'!$J$7:$J$239)</f>
        <v>0</v>
      </c>
      <c r="AF154" s="383">
        <f>SUMIF('Asesorías AG anterior'!$B$7:$B$239,B154,'Asesorías AG anterior'!$K$7:$K$239)</f>
        <v>1E-3</v>
      </c>
      <c r="AG154" s="383">
        <f>SUMIF('Asesorías AG anterior'!$B$7:$B$239,B154,'Asesorías AG anterior'!$L$7:$L$239)</f>
        <v>0</v>
      </c>
      <c r="AH154" s="383">
        <f>SUMIF('Asesorías AG anterior'!$B$7:$B$239,B154,'Asesorías AG anterior'!$M$7:$M$239)</f>
        <v>0</v>
      </c>
      <c r="AI154" s="383">
        <f>SUMIF('Asesorías AG anterior'!$B$7:$B$239,B154,'Asesorías AG anterior'!$N$7:$N$239)</f>
        <v>0</v>
      </c>
      <c r="AJ154" s="383">
        <f>SUMIF('Asesorías AG anterior'!$B$7:$B$239,B154,'Asesorías AG anterior'!$O$7:$O$239)</f>
        <v>1E-3</v>
      </c>
      <c r="AK154" s="383">
        <f>SUMIF('Asesorías AG anterior'!$B$7:$B$239,B154,'Asesorías AG anterior'!$P$7:$P$239)</f>
        <v>0</v>
      </c>
      <c r="AL154" s="383">
        <f>SUMIF('Asesorías AG anterior'!$B$7:$B$239,B154,'Asesorías AG anterior'!$Q$7:$Q$239)</f>
        <v>0</v>
      </c>
      <c r="AM154" s="383">
        <f>SUMIF('Asesorías AG anterior'!$B$7:$B$239,B154,'Asesorías AG anterior'!$R$7:$R$239)</f>
        <v>0</v>
      </c>
      <c r="AN154" s="383"/>
      <c r="AO154" s="383">
        <f>SUMIF('Asesorías AG anterior'!$B$7:$B$239,B154,'Asesorías AG anterior'!$T$7:$T$239)</f>
        <v>0</v>
      </c>
      <c r="AP154" s="383">
        <f>SUMIF('Asesorías AG anterior'!$B$7:$B$239,B154,'Asesorías AG anterior'!$U$7:$U$239)</f>
        <v>0</v>
      </c>
      <c r="AQ154" s="383">
        <f>SUMIF('Asesorías AG anterior'!$B$7:$B$239,B154,'Asesorías AG anterior'!$V$7:$V$239)</f>
        <v>0</v>
      </c>
      <c r="AR154" s="383">
        <f>SUMIF('Asesorías AG anterior'!$B$7:$B$239,B154,'Asesorías AG anterior'!$W$7:$W$239)</f>
        <v>0</v>
      </c>
      <c r="AS154" s="383">
        <f>SUMIF('Asesorías AG anterior'!$B$7:$B$239,B154,'Asesorías AG anterior'!$X$7:$X$239)</f>
        <v>0</v>
      </c>
      <c r="AT154" s="383">
        <f>SUMIF('Asesorías AG anterior'!$B$7:$B$239,B154,'Asesorías AG anterior'!$Y$7:$Y$239)</f>
        <v>0</v>
      </c>
      <c r="AU154" s="383">
        <f>SUMIF('Asesorías AG anterior'!$B$7:$B$239,B154,'Asesorías AG anterior'!$Z$7:$Z$239)</f>
        <v>0</v>
      </c>
      <c r="AV154" s="383">
        <f>SUMIF('Asesorías AG anterior'!$B$7:$B$239,B154,'Asesorías AG anterior'!$AA$7:$AA$239)</f>
        <v>0</v>
      </c>
      <c r="AW154" s="383">
        <f>SUMIF('Asesorías AG anterior'!$B$7:$B$239,B154,'Asesorías AG anterior'!$AB$7:$AB$239)</f>
        <v>0</v>
      </c>
      <c r="AX154" s="335"/>
      <c r="AZ154" s="1201" t="s">
        <v>482</v>
      </c>
    </row>
    <row r="155" spans="1:52" x14ac:dyDescent="0.2">
      <c r="A155" s="1184">
        <f t="shared" si="54"/>
        <v>147</v>
      </c>
      <c r="B155" s="1201" t="s">
        <v>474</v>
      </c>
      <c r="C155" s="1185">
        <f>_xlfn.XLOOKUP(B155,Códigos!$B$8:$B$406,Códigos!$A$8:$A$406,"Verificar",0)</f>
        <v>170</v>
      </c>
      <c r="D155" s="1114">
        <f>_xlfn.XLOOKUP(B155,'Consolidado Cobros'!$B$10:$B$312,'Consolidado Cobros'!$C$10:$C$312,"Verificar",0)</f>
        <v>32459508</v>
      </c>
      <c r="E155" s="1520">
        <f t="shared" si="40"/>
        <v>7</v>
      </c>
      <c r="F155" s="1517">
        <f t="shared" si="41"/>
        <v>0</v>
      </c>
      <c r="G155" s="1251">
        <f t="shared" si="42"/>
        <v>0</v>
      </c>
      <c r="H155" s="1240">
        <f t="shared" si="55"/>
        <v>0</v>
      </c>
      <c r="I155" s="1148"/>
      <c r="J155" s="383">
        <f t="shared" si="43"/>
        <v>0</v>
      </c>
      <c r="K155" s="712"/>
      <c r="L155" s="487">
        <f t="shared" si="44"/>
        <v>0</v>
      </c>
      <c r="M155" s="927"/>
      <c r="N155" s="672">
        <v>0</v>
      </c>
      <c r="O155" s="660"/>
      <c r="P155" s="1092">
        <f t="shared" si="45"/>
        <v>0</v>
      </c>
      <c r="Q155" s="1093">
        <v>0</v>
      </c>
      <c r="R155" s="381">
        <f t="shared" si="63"/>
        <v>0</v>
      </c>
      <c r="S155" s="382"/>
      <c r="T155" s="381"/>
      <c r="U155" s="624"/>
      <c r="V155" s="569">
        <f t="shared" si="46"/>
        <v>0</v>
      </c>
      <c r="W155" s="607"/>
      <c r="X155" s="383"/>
      <c r="Y155" s="607"/>
      <c r="Z155" s="383"/>
      <c r="AA155" s="607"/>
      <c r="AB155" s="718"/>
      <c r="AC155" s="335"/>
      <c r="AD155" s="383">
        <f>SUMIF('Asesorías AG anterior'!$B$7:$B$239,B155,'Asesorías AG anterior'!$I$7:$I$239)</f>
        <v>1E-3</v>
      </c>
      <c r="AE155" s="383">
        <f>SUMIF('Asesorías AG anterior'!$B$7:$B$239,B155,'Asesorías AG anterior'!$J$7:$J$239)</f>
        <v>0</v>
      </c>
      <c r="AF155" s="383">
        <f>SUMIF('Asesorías AG anterior'!$B$7:$B$239,B155,'Asesorías AG anterior'!$K$7:$K$239)</f>
        <v>1E-3</v>
      </c>
      <c r="AG155" s="383">
        <f>SUMIF('Asesorías AG anterior'!$B$7:$B$239,B155,'Asesorías AG anterior'!$L$7:$L$239)</f>
        <v>0</v>
      </c>
      <c r="AH155" s="383">
        <f>SUMIF('Asesorías AG anterior'!$B$7:$B$239,B155,'Asesorías AG anterior'!$M$7:$M$239)</f>
        <v>0</v>
      </c>
      <c r="AI155" s="383">
        <f>SUMIF('Asesorías AG anterior'!$B$7:$B$239,B155,'Asesorías AG anterior'!$N$7:$N$239)</f>
        <v>0</v>
      </c>
      <c r="AJ155" s="383">
        <f>SUMIF('Asesorías AG anterior'!$B$7:$B$239,B155,'Asesorías AG anterior'!$O$7:$O$239)</f>
        <v>1E-3</v>
      </c>
      <c r="AK155" s="383">
        <f>SUMIF('Asesorías AG anterior'!$B$7:$B$239,B155,'Asesorías AG anterior'!$P$7:$P$239)</f>
        <v>0</v>
      </c>
      <c r="AL155" s="383">
        <f>SUMIF('Asesorías AG anterior'!$B$7:$B$239,B155,'Asesorías AG anterior'!$Q$7:$Q$239)</f>
        <v>0</v>
      </c>
      <c r="AM155" s="383">
        <f>SUMIF('Asesorías AG anterior'!$B$7:$B$239,B155,'Asesorías AG anterior'!$R$7:$R$239)</f>
        <v>0</v>
      </c>
      <c r="AN155" s="383"/>
      <c r="AO155" s="383">
        <f>SUMIF('Asesorías AG anterior'!$B$7:$B$239,B155,'Asesorías AG anterior'!$T$7:$T$239)</f>
        <v>0</v>
      </c>
      <c r="AP155" s="383">
        <f>SUMIF('Asesorías AG anterior'!$B$7:$B$239,B155,'Asesorías AG anterior'!$U$7:$U$239)</f>
        <v>0</v>
      </c>
      <c r="AQ155" s="383">
        <f>SUMIF('Asesorías AG anterior'!$B$7:$B$239,B155,'Asesorías AG anterior'!$V$7:$V$239)</f>
        <v>0</v>
      </c>
      <c r="AR155" s="383">
        <f>SUMIF('Asesorías AG anterior'!$B$7:$B$239,B155,'Asesorías AG anterior'!$W$7:$W$239)</f>
        <v>0</v>
      </c>
      <c r="AS155" s="383">
        <f>SUMIF('Asesorías AG anterior'!$B$7:$B$239,B155,'Asesorías AG anterior'!$X$7:$X$239)</f>
        <v>0</v>
      </c>
      <c r="AT155" s="383">
        <f>SUMIF('Asesorías AG anterior'!$B$7:$B$239,B155,'Asesorías AG anterior'!$Y$7:$Y$239)</f>
        <v>0</v>
      </c>
      <c r="AU155" s="383">
        <f>SUMIF('Asesorías AG anterior'!$B$7:$B$239,B155,'Asesorías AG anterior'!$Z$7:$Z$239)</f>
        <v>0</v>
      </c>
      <c r="AV155" s="383">
        <f>SUMIF('Asesorías AG anterior'!$B$7:$B$239,B155,'Asesorías AG anterior'!$AA$7:$AA$239)</f>
        <v>0</v>
      </c>
      <c r="AW155" s="383">
        <f>SUMIF('Asesorías AG anterior'!$B$7:$B$239,B155,'Asesorías AG anterior'!$AB$7:$AB$239)</f>
        <v>0</v>
      </c>
      <c r="AX155" s="335"/>
      <c r="AZ155" s="1201" t="s">
        <v>474</v>
      </c>
    </row>
    <row r="156" spans="1:52" x14ac:dyDescent="0.2">
      <c r="A156" s="1184">
        <f t="shared" si="54"/>
        <v>148</v>
      </c>
      <c r="B156" s="1097" t="s">
        <v>105</v>
      </c>
      <c r="C156" s="1185">
        <f>_xlfn.XLOOKUP(B156,Códigos!$B$8:$B$406,Códigos!$A$8:$A$406,"Verificar",0)</f>
        <v>142</v>
      </c>
      <c r="D156" s="1114">
        <f>_xlfn.XLOOKUP(B156,'Consolidado Cobros'!$B$10:$B$312,'Consolidado Cobros'!$C$10:$C$312,"Verificar",0)</f>
        <v>3305848</v>
      </c>
      <c r="E156" s="1520">
        <f t="shared" si="40"/>
        <v>1</v>
      </c>
      <c r="F156" s="1517">
        <f t="shared" si="41"/>
        <v>0</v>
      </c>
      <c r="G156" s="1251">
        <f t="shared" si="42"/>
        <v>0</v>
      </c>
      <c r="H156" s="1240">
        <f t="shared" si="55"/>
        <v>0</v>
      </c>
      <c r="I156" s="1148"/>
      <c r="J156" s="383">
        <f t="shared" si="43"/>
        <v>0</v>
      </c>
      <c r="K156" s="712"/>
      <c r="L156" s="487">
        <f t="shared" si="44"/>
        <v>0</v>
      </c>
      <c r="M156" s="927"/>
      <c r="N156" s="672">
        <v>0</v>
      </c>
      <c r="O156" s="660"/>
      <c r="P156" s="1092">
        <f t="shared" si="45"/>
        <v>0</v>
      </c>
      <c r="Q156" s="1093">
        <v>0</v>
      </c>
      <c r="R156" s="381">
        <f t="shared" si="63"/>
        <v>0</v>
      </c>
      <c r="S156" s="382"/>
      <c r="T156" s="381"/>
      <c r="U156" s="624"/>
      <c r="V156" s="569">
        <f t="shared" si="46"/>
        <v>0</v>
      </c>
      <c r="W156" s="607"/>
      <c r="X156" s="383"/>
      <c r="Y156" s="607"/>
      <c r="Z156" s="383"/>
      <c r="AA156" s="607"/>
      <c r="AB156" s="718"/>
      <c r="AC156" s="335"/>
      <c r="AD156" s="383">
        <f>SUMIF('Asesorías AG anterior'!$B$7:$B$239,B156,'Asesorías AG anterior'!$I$7:$I$239)</f>
        <v>1E-3</v>
      </c>
      <c r="AE156" s="383">
        <f>SUMIF('Asesorías AG anterior'!$B$7:$B$239,B156,'Asesorías AG anterior'!$J$7:$J$239)</f>
        <v>0</v>
      </c>
      <c r="AF156" s="383">
        <f>SUMIF('Asesorías AG anterior'!$B$7:$B$239,B156,'Asesorías AG anterior'!$K$7:$K$239)</f>
        <v>1E-3</v>
      </c>
      <c r="AG156" s="383">
        <f>SUMIF('Asesorías AG anterior'!$B$7:$B$239,B156,'Asesorías AG anterior'!$L$7:$L$239)</f>
        <v>0</v>
      </c>
      <c r="AH156" s="383">
        <f>SUMIF('Asesorías AG anterior'!$B$7:$B$239,B156,'Asesorías AG anterior'!$M$7:$M$239)</f>
        <v>0</v>
      </c>
      <c r="AI156" s="383">
        <f>SUMIF('Asesorías AG anterior'!$B$7:$B$239,B156,'Asesorías AG anterior'!$N$7:$N$239)</f>
        <v>0</v>
      </c>
      <c r="AJ156" s="383">
        <f>SUMIF('Asesorías AG anterior'!$B$7:$B$239,B156,'Asesorías AG anterior'!$O$7:$O$239)</f>
        <v>1E-3</v>
      </c>
      <c r="AK156" s="383">
        <f>SUMIF('Asesorías AG anterior'!$B$7:$B$239,B156,'Asesorías AG anterior'!$P$7:$P$239)</f>
        <v>0</v>
      </c>
      <c r="AL156" s="383">
        <f>SUMIF('Asesorías AG anterior'!$B$7:$B$239,B156,'Asesorías AG anterior'!$Q$7:$Q$239)</f>
        <v>0</v>
      </c>
      <c r="AM156" s="383">
        <f>SUMIF('Asesorías AG anterior'!$B$7:$B$239,B156,'Asesorías AG anterior'!$R$7:$R$239)</f>
        <v>0</v>
      </c>
      <c r="AN156" s="383"/>
      <c r="AO156" s="383">
        <f>SUMIF('Asesorías AG anterior'!$B$7:$B$239,B156,'Asesorías AG anterior'!$T$7:$T$239)</f>
        <v>0</v>
      </c>
      <c r="AP156" s="383">
        <f>SUMIF('Asesorías AG anterior'!$B$7:$B$239,B156,'Asesorías AG anterior'!$U$7:$U$239)</f>
        <v>0</v>
      </c>
      <c r="AQ156" s="383">
        <f>SUMIF('Asesorías AG anterior'!$B$7:$B$239,B156,'Asesorías AG anterior'!$V$7:$V$239)</f>
        <v>0</v>
      </c>
      <c r="AR156" s="383">
        <f>SUMIF('Asesorías AG anterior'!$B$7:$B$239,B156,'Asesorías AG anterior'!$W$7:$W$239)</f>
        <v>0</v>
      </c>
      <c r="AS156" s="383">
        <f>SUMIF('Asesorías AG anterior'!$B$7:$B$239,B156,'Asesorías AG anterior'!$X$7:$X$239)</f>
        <v>0</v>
      </c>
      <c r="AT156" s="383">
        <f>SUMIF('Asesorías AG anterior'!$B$7:$B$239,B156,'Asesorías AG anterior'!$Y$7:$Y$239)</f>
        <v>0</v>
      </c>
      <c r="AU156" s="383">
        <f>SUMIF('Asesorías AG anterior'!$B$7:$B$239,B156,'Asesorías AG anterior'!$Z$7:$Z$239)</f>
        <v>0</v>
      </c>
      <c r="AV156" s="383">
        <f>SUMIF('Asesorías AG anterior'!$B$7:$B$239,B156,'Asesorías AG anterior'!$AA$7:$AA$239)</f>
        <v>0</v>
      </c>
      <c r="AW156" s="383">
        <f>SUMIF('Asesorías AG anterior'!$B$7:$B$239,B156,'Asesorías AG anterior'!$AB$7:$AB$239)</f>
        <v>0</v>
      </c>
      <c r="AX156" s="335"/>
      <c r="AZ156" s="1097" t="s">
        <v>105</v>
      </c>
    </row>
    <row r="157" spans="1:52" x14ac:dyDescent="0.2">
      <c r="A157" s="1184">
        <f t="shared" si="54"/>
        <v>149</v>
      </c>
      <c r="B157" s="1097" t="s">
        <v>106</v>
      </c>
      <c r="C157" s="1185">
        <f>_xlfn.XLOOKUP(B157,Códigos!$B$8:$B$406,Códigos!$A$8:$A$406,"Verificar",0)</f>
        <v>143</v>
      </c>
      <c r="D157" s="1114">
        <f>_xlfn.XLOOKUP(B157,'Consolidado Cobros'!$B$10:$B$312,'Consolidado Cobros'!$C$10:$C$312,"Verificar",0)</f>
        <v>98581002</v>
      </c>
      <c r="E157" s="1520">
        <f t="shared" si="40"/>
        <v>3</v>
      </c>
      <c r="F157" s="1517">
        <f t="shared" si="41"/>
        <v>0</v>
      </c>
      <c r="G157" s="1251">
        <f t="shared" si="42"/>
        <v>0</v>
      </c>
      <c r="H157" s="1240">
        <f t="shared" si="55"/>
        <v>0</v>
      </c>
      <c r="I157" s="1148"/>
      <c r="J157" s="383">
        <f t="shared" si="43"/>
        <v>0</v>
      </c>
      <c r="K157" s="712"/>
      <c r="L157" s="487">
        <f t="shared" si="44"/>
        <v>0</v>
      </c>
      <c r="M157" s="927"/>
      <c r="N157" s="672">
        <v>0</v>
      </c>
      <c r="O157" s="660"/>
      <c r="P157" s="1092">
        <f t="shared" si="45"/>
        <v>0</v>
      </c>
      <c r="Q157" s="1093">
        <v>0</v>
      </c>
      <c r="R157" s="381">
        <f t="shared" si="63"/>
        <v>0</v>
      </c>
      <c r="S157" s="382"/>
      <c r="T157" s="381"/>
      <c r="U157" s="624"/>
      <c r="V157" s="569">
        <f t="shared" si="46"/>
        <v>0</v>
      </c>
      <c r="W157" s="607"/>
      <c r="X157" s="383"/>
      <c r="Y157" s="607"/>
      <c r="Z157" s="383"/>
      <c r="AA157" s="607"/>
      <c r="AB157" s="718"/>
      <c r="AC157" s="335"/>
      <c r="AD157" s="383">
        <f>SUMIF('Asesorías AG anterior'!$B$7:$B$239,B157,'Asesorías AG anterior'!$I$7:$I$239)</f>
        <v>1E-3</v>
      </c>
      <c r="AE157" s="383">
        <f>SUMIF('Asesorías AG anterior'!$B$7:$B$239,B157,'Asesorías AG anterior'!$J$7:$J$239)</f>
        <v>0</v>
      </c>
      <c r="AF157" s="383">
        <f>SUMIF('Asesorías AG anterior'!$B$7:$B$239,B157,'Asesorías AG anterior'!$K$7:$K$239)</f>
        <v>1E-3</v>
      </c>
      <c r="AG157" s="383">
        <f>SUMIF('Asesorías AG anterior'!$B$7:$B$239,B157,'Asesorías AG anterior'!$L$7:$L$239)</f>
        <v>0</v>
      </c>
      <c r="AH157" s="383">
        <f>SUMIF('Asesorías AG anterior'!$B$7:$B$239,B157,'Asesorías AG anterior'!$M$7:$M$239)</f>
        <v>0</v>
      </c>
      <c r="AI157" s="383">
        <f>SUMIF('Asesorías AG anterior'!$B$7:$B$239,B157,'Asesorías AG anterior'!$N$7:$N$239)</f>
        <v>0</v>
      </c>
      <c r="AJ157" s="383">
        <f>SUMIF('Asesorías AG anterior'!$B$7:$B$239,B157,'Asesorías AG anterior'!$O$7:$O$239)</f>
        <v>1E-3</v>
      </c>
      <c r="AK157" s="383">
        <f>SUMIF('Asesorías AG anterior'!$B$7:$B$239,B157,'Asesorías AG anterior'!$P$7:$P$239)</f>
        <v>0</v>
      </c>
      <c r="AL157" s="383">
        <f>SUMIF('Asesorías AG anterior'!$B$7:$B$239,B157,'Asesorías AG anterior'!$Q$7:$Q$239)</f>
        <v>0</v>
      </c>
      <c r="AM157" s="383">
        <f>SUMIF('Asesorías AG anterior'!$B$7:$B$239,B157,'Asesorías AG anterior'!$R$7:$R$239)</f>
        <v>0</v>
      </c>
      <c r="AN157" s="383"/>
      <c r="AO157" s="383">
        <f>SUMIF('Asesorías AG anterior'!$B$7:$B$239,B157,'Asesorías AG anterior'!$T$7:$T$239)</f>
        <v>0</v>
      </c>
      <c r="AP157" s="383">
        <f>SUMIF('Asesorías AG anterior'!$B$7:$B$239,B157,'Asesorías AG anterior'!$U$7:$U$239)</f>
        <v>0</v>
      </c>
      <c r="AQ157" s="383">
        <f>SUMIF('Asesorías AG anterior'!$B$7:$B$239,B157,'Asesorías AG anterior'!$V$7:$V$239)</f>
        <v>0</v>
      </c>
      <c r="AR157" s="383">
        <f>SUMIF('Asesorías AG anterior'!$B$7:$B$239,B157,'Asesorías AG anterior'!$W$7:$W$239)</f>
        <v>0</v>
      </c>
      <c r="AS157" s="383">
        <f>SUMIF('Asesorías AG anterior'!$B$7:$B$239,B157,'Asesorías AG anterior'!$X$7:$X$239)</f>
        <v>0</v>
      </c>
      <c r="AT157" s="383">
        <f>SUMIF('Asesorías AG anterior'!$B$7:$B$239,B157,'Asesorías AG anterior'!$Y$7:$Y$239)</f>
        <v>0</v>
      </c>
      <c r="AU157" s="383">
        <f>SUMIF('Asesorías AG anterior'!$B$7:$B$239,B157,'Asesorías AG anterior'!$Z$7:$Z$239)</f>
        <v>0</v>
      </c>
      <c r="AV157" s="383">
        <f>SUMIF('Asesorías AG anterior'!$B$7:$B$239,B157,'Asesorías AG anterior'!$AA$7:$AA$239)</f>
        <v>0</v>
      </c>
      <c r="AW157" s="383">
        <f>SUMIF('Asesorías AG anterior'!$B$7:$B$239,B157,'Asesorías AG anterior'!$AB$7:$AB$239)</f>
        <v>0</v>
      </c>
      <c r="AX157" s="335"/>
      <c r="AZ157" s="1097" t="s">
        <v>106</v>
      </c>
    </row>
    <row r="158" spans="1:52" x14ac:dyDescent="0.2">
      <c r="A158" s="1184">
        <f t="shared" si="54"/>
        <v>150</v>
      </c>
      <c r="B158" s="1097" t="s">
        <v>107</v>
      </c>
      <c r="C158" s="1185">
        <f>_xlfn.XLOOKUP(B158,Códigos!$B$8:$B$406,Códigos!$A$8:$A$406,"Verificar",0)</f>
        <v>144</v>
      </c>
      <c r="D158" s="1114">
        <f>_xlfn.XLOOKUP(B158,'Consolidado Cobros'!$B$10:$B$312,'Consolidado Cobros'!$C$10:$C$312,"Verificar",0)</f>
        <v>43075419</v>
      </c>
      <c r="E158" s="1520">
        <f t="shared" si="40"/>
        <v>0</v>
      </c>
      <c r="F158" s="1517">
        <f t="shared" si="41"/>
        <v>0</v>
      </c>
      <c r="G158" s="1251">
        <f t="shared" si="42"/>
        <v>0</v>
      </c>
      <c r="H158" s="1240">
        <f t="shared" si="55"/>
        <v>0</v>
      </c>
      <c r="I158" s="1148"/>
      <c r="J158" s="383">
        <f t="shared" si="43"/>
        <v>0</v>
      </c>
      <c r="K158" s="712"/>
      <c r="L158" s="487">
        <f t="shared" si="44"/>
        <v>0</v>
      </c>
      <c r="M158" s="927"/>
      <c r="N158" s="672">
        <v>0</v>
      </c>
      <c r="O158" s="660"/>
      <c r="P158" s="1092">
        <f t="shared" si="45"/>
        <v>0</v>
      </c>
      <c r="Q158" s="1093">
        <v>0</v>
      </c>
      <c r="R158" s="381">
        <f t="shared" si="63"/>
        <v>0</v>
      </c>
      <c r="S158" s="382"/>
      <c r="T158" s="381"/>
      <c r="U158" s="624"/>
      <c r="V158" s="569">
        <f t="shared" si="46"/>
        <v>0</v>
      </c>
      <c r="W158" s="607"/>
      <c r="X158" s="383"/>
      <c r="Y158" s="607"/>
      <c r="Z158" s="383"/>
      <c r="AA158" s="607"/>
      <c r="AB158" s="718"/>
      <c r="AC158" s="335"/>
      <c r="AD158" s="383">
        <f>SUMIF('Asesorías AG anterior'!$B$7:$B$239,B158,'Asesorías AG anterior'!$I$7:$I$239)</f>
        <v>1E-3</v>
      </c>
      <c r="AE158" s="383">
        <f>SUMIF('Asesorías AG anterior'!$B$7:$B$239,B158,'Asesorías AG anterior'!$J$7:$J$239)</f>
        <v>0</v>
      </c>
      <c r="AF158" s="383">
        <f>SUMIF('Asesorías AG anterior'!$B$7:$B$239,B158,'Asesorías AG anterior'!$K$7:$K$239)</f>
        <v>1E-3</v>
      </c>
      <c r="AG158" s="383">
        <f>SUMIF('Asesorías AG anterior'!$B$7:$B$239,B158,'Asesorías AG anterior'!$L$7:$L$239)</f>
        <v>0</v>
      </c>
      <c r="AH158" s="383">
        <f>SUMIF('Asesorías AG anterior'!$B$7:$B$239,B158,'Asesorías AG anterior'!$M$7:$M$239)</f>
        <v>0</v>
      </c>
      <c r="AI158" s="383">
        <f>SUMIF('Asesorías AG anterior'!$B$7:$B$239,B158,'Asesorías AG anterior'!$N$7:$N$239)</f>
        <v>0</v>
      </c>
      <c r="AJ158" s="383">
        <f>SUMIF('Asesorías AG anterior'!$B$7:$B$239,B158,'Asesorías AG anterior'!$O$7:$O$239)</f>
        <v>1E-3</v>
      </c>
      <c r="AK158" s="383">
        <f>SUMIF('Asesorías AG anterior'!$B$7:$B$239,B158,'Asesorías AG anterior'!$P$7:$P$239)</f>
        <v>0</v>
      </c>
      <c r="AL158" s="383">
        <f>SUMIF('Asesorías AG anterior'!$B$7:$B$239,B158,'Asesorías AG anterior'!$Q$7:$Q$239)</f>
        <v>0</v>
      </c>
      <c r="AM158" s="383">
        <f>SUMIF('Asesorías AG anterior'!$B$7:$B$239,B158,'Asesorías AG anterior'!$R$7:$R$239)</f>
        <v>0</v>
      </c>
      <c r="AN158" s="383"/>
      <c r="AO158" s="383">
        <f>SUMIF('Asesorías AG anterior'!$B$7:$B$239,B158,'Asesorías AG anterior'!$T$7:$T$239)</f>
        <v>0</v>
      </c>
      <c r="AP158" s="383">
        <f>SUMIF('Asesorías AG anterior'!$B$7:$B$239,B158,'Asesorías AG anterior'!$U$7:$U$239)</f>
        <v>0</v>
      </c>
      <c r="AQ158" s="383">
        <f>SUMIF('Asesorías AG anterior'!$B$7:$B$239,B158,'Asesorías AG anterior'!$V$7:$V$239)</f>
        <v>0</v>
      </c>
      <c r="AR158" s="383">
        <f>SUMIF('Asesorías AG anterior'!$B$7:$B$239,B158,'Asesorías AG anterior'!$W$7:$W$239)</f>
        <v>0</v>
      </c>
      <c r="AS158" s="383">
        <f>SUMIF('Asesorías AG anterior'!$B$7:$B$239,B158,'Asesorías AG anterior'!$X$7:$X$239)</f>
        <v>0</v>
      </c>
      <c r="AT158" s="383">
        <f>SUMIF('Asesorías AG anterior'!$B$7:$B$239,B158,'Asesorías AG anterior'!$Y$7:$Y$239)</f>
        <v>0</v>
      </c>
      <c r="AU158" s="383">
        <f>SUMIF('Asesorías AG anterior'!$B$7:$B$239,B158,'Asesorías AG anterior'!$Z$7:$Z$239)</f>
        <v>0</v>
      </c>
      <c r="AV158" s="383">
        <f>SUMIF('Asesorías AG anterior'!$B$7:$B$239,B158,'Asesorías AG anterior'!$AA$7:$AA$239)</f>
        <v>0</v>
      </c>
      <c r="AW158" s="383">
        <f>SUMIF('Asesorías AG anterior'!$B$7:$B$239,B158,'Asesorías AG anterior'!$AB$7:$AB$239)</f>
        <v>0</v>
      </c>
      <c r="AX158" s="335"/>
      <c r="AZ158" s="1097" t="s">
        <v>107</v>
      </c>
    </row>
    <row r="159" spans="1:52" x14ac:dyDescent="0.2">
      <c r="A159" s="1184">
        <f t="shared" si="54"/>
        <v>151</v>
      </c>
      <c r="B159" s="1097" t="s">
        <v>109</v>
      </c>
      <c r="C159" s="1185">
        <f>_xlfn.XLOOKUP(B159,Códigos!$B$8:$B$406,Códigos!$A$8:$A$406,"Verificar",0)</f>
        <v>146</v>
      </c>
      <c r="D159" s="1114">
        <f>_xlfn.XLOOKUP(B159,'Consolidado Cobros'!$B$10:$B$312,'Consolidado Cobros'!$C$10:$C$312,"Verificar",0)</f>
        <v>549095</v>
      </c>
      <c r="E159" s="1520">
        <f t="shared" si="40"/>
        <v>7</v>
      </c>
      <c r="F159" s="1517">
        <f t="shared" si="41"/>
        <v>0</v>
      </c>
      <c r="G159" s="1251">
        <f t="shared" si="42"/>
        <v>0</v>
      </c>
      <c r="H159" s="1240">
        <f t="shared" si="55"/>
        <v>0</v>
      </c>
      <c r="I159" s="1148"/>
      <c r="J159" s="383">
        <f t="shared" si="43"/>
        <v>0</v>
      </c>
      <c r="K159" s="712"/>
      <c r="L159" s="487">
        <f t="shared" si="44"/>
        <v>0</v>
      </c>
      <c r="M159" s="927"/>
      <c r="N159" s="672">
        <v>0</v>
      </c>
      <c r="O159" s="660"/>
      <c r="P159" s="1092">
        <f t="shared" si="45"/>
        <v>0</v>
      </c>
      <c r="Q159" s="1093">
        <v>0</v>
      </c>
      <c r="R159" s="381">
        <f t="shared" si="63"/>
        <v>0</v>
      </c>
      <c r="S159" s="382"/>
      <c r="T159" s="381"/>
      <c r="U159" s="624"/>
      <c r="V159" s="569">
        <f t="shared" si="46"/>
        <v>0</v>
      </c>
      <c r="W159" s="607"/>
      <c r="X159" s="383"/>
      <c r="Y159" s="607"/>
      <c r="Z159" s="383"/>
      <c r="AA159" s="607"/>
      <c r="AB159" s="718"/>
      <c r="AC159" s="335"/>
      <c r="AD159" s="383">
        <f>SUMIF('Asesorías AG anterior'!$B$7:$B$239,B159,'Asesorías AG anterior'!$I$7:$I$239)</f>
        <v>1E-3</v>
      </c>
      <c r="AE159" s="383">
        <f>SUMIF('Asesorías AG anterior'!$B$7:$B$239,B159,'Asesorías AG anterior'!$J$7:$J$239)</f>
        <v>0</v>
      </c>
      <c r="AF159" s="383">
        <f>SUMIF('Asesorías AG anterior'!$B$7:$B$239,B159,'Asesorías AG anterior'!$K$7:$K$239)</f>
        <v>1E-3</v>
      </c>
      <c r="AG159" s="383">
        <f>SUMIF('Asesorías AG anterior'!$B$7:$B$239,B159,'Asesorías AG anterior'!$L$7:$L$239)</f>
        <v>0</v>
      </c>
      <c r="AH159" s="383">
        <f>SUMIF('Asesorías AG anterior'!$B$7:$B$239,B159,'Asesorías AG anterior'!$M$7:$M$239)</f>
        <v>0</v>
      </c>
      <c r="AI159" s="383">
        <f>SUMIF('Asesorías AG anterior'!$B$7:$B$239,B159,'Asesorías AG anterior'!$N$7:$N$239)</f>
        <v>0</v>
      </c>
      <c r="AJ159" s="383">
        <f>SUMIF('Asesorías AG anterior'!$B$7:$B$239,B159,'Asesorías AG anterior'!$O$7:$O$239)</f>
        <v>1E-3</v>
      </c>
      <c r="AK159" s="383">
        <f>SUMIF('Asesorías AG anterior'!$B$7:$B$239,B159,'Asesorías AG anterior'!$P$7:$P$239)</f>
        <v>0</v>
      </c>
      <c r="AL159" s="383">
        <f>SUMIF('Asesorías AG anterior'!$B$7:$B$239,B159,'Asesorías AG anterior'!$Q$7:$Q$239)</f>
        <v>0</v>
      </c>
      <c r="AM159" s="383">
        <f>SUMIF('Asesorías AG anterior'!$B$7:$B$239,B159,'Asesorías AG anterior'!$R$7:$R$239)</f>
        <v>0</v>
      </c>
      <c r="AN159" s="383"/>
      <c r="AO159" s="383">
        <f>SUMIF('Asesorías AG anterior'!$B$7:$B$239,B159,'Asesorías AG anterior'!$T$7:$T$239)</f>
        <v>0</v>
      </c>
      <c r="AP159" s="383">
        <f>SUMIF('Asesorías AG anterior'!$B$7:$B$239,B159,'Asesorías AG anterior'!$U$7:$U$239)</f>
        <v>0</v>
      </c>
      <c r="AQ159" s="383">
        <f>SUMIF('Asesorías AG anterior'!$B$7:$B$239,B159,'Asesorías AG anterior'!$V$7:$V$239)</f>
        <v>0</v>
      </c>
      <c r="AR159" s="383">
        <f>SUMIF('Asesorías AG anterior'!$B$7:$B$239,B159,'Asesorías AG anterior'!$W$7:$W$239)</f>
        <v>0</v>
      </c>
      <c r="AS159" s="383">
        <f>SUMIF('Asesorías AG anterior'!$B$7:$B$239,B159,'Asesorías AG anterior'!$X$7:$X$239)</f>
        <v>0</v>
      </c>
      <c r="AT159" s="383">
        <f>SUMIF('Asesorías AG anterior'!$B$7:$B$239,B159,'Asesorías AG anterior'!$Y$7:$Y$239)</f>
        <v>0</v>
      </c>
      <c r="AU159" s="383">
        <f>SUMIF('Asesorías AG anterior'!$B$7:$B$239,B159,'Asesorías AG anterior'!$Z$7:$Z$239)</f>
        <v>0</v>
      </c>
      <c r="AV159" s="383">
        <f>SUMIF('Asesorías AG anterior'!$B$7:$B$239,B159,'Asesorías AG anterior'!$AA$7:$AA$239)</f>
        <v>0</v>
      </c>
      <c r="AW159" s="383">
        <f>SUMIF('Asesorías AG anterior'!$B$7:$B$239,B159,'Asesorías AG anterior'!$AB$7:$AB$239)</f>
        <v>0</v>
      </c>
      <c r="AX159" s="335"/>
      <c r="AZ159" s="1097" t="s">
        <v>109</v>
      </c>
    </row>
    <row r="160" spans="1:52" x14ac:dyDescent="0.2">
      <c r="A160" s="1184">
        <f t="shared" si="54"/>
        <v>152</v>
      </c>
      <c r="B160" s="1097" t="s">
        <v>110</v>
      </c>
      <c r="C160" s="1185">
        <f>_xlfn.XLOOKUP(B160,Códigos!$B$8:$B$406,Códigos!$A$8:$A$406,"Verificar",0)</f>
        <v>147</v>
      </c>
      <c r="D160" s="1114">
        <f>_xlfn.XLOOKUP(B160,'Consolidado Cobros'!$B$10:$B$312,'Consolidado Cobros'!$C$10:$C$312,"Verificar",0)</f>
        <v>42995829</v>
      </c>
      <c r="E160" s="1520">
        <f t="shared" si="40"/>
        <v>0</v>
      </c>
      <c r="F160" s="1517">
        <f t="shared" si="41"/>
        <v>0</v>
      </c>
      <c r="G160" s="1251">
        <f t="shared" si="42"/>
        <v>0</v>
      </c>
      <c r="H160" s="1240">
        <f t="shared" si="55"/>
        <v>0</v>
      </c>
      <c r="I160" s="1148"/>
      <c r="J160" s="383">
        <f t="shared" si="43"/>
        <v>0</v>
      </c>
      <c r="K160" s="712"/>
      <c r="L160" s="487">
        <f t="shared" si="44"/>
        <v>0</v>
      </c>
      <c r="M160" s="927"/>
      <c r="N160" s="672">
        <v>0</v>
      </c>
      <c r="O160" s="660"/>
      <c r="P160" s="1092">
        <f t="shared" si="45"/>
        <v>0</v>
      </c>
      <c r="Q160" s="1093">
        <v>0</v>
      </c>
      <c r="R160" s="381">
        <f t="shared" si="63"/>
        <v>0</v>
      </c>
      <c r="S160" s="382"/>
      <c r="T160" s="381"/>
      <c r="U160" s="624"/>
      <c r="V160" s="569">
        <f t="shared" si="46"/>
        <v>0</v>
      </c>
      <c r="W160" s="607"/>
      <c r="X160" s="383"/>
      <c r="Y160" s="607"/>
      <c r="Z160" s="383"/>
      <c r="AA160" s="607"/>
      <c r="AB160" s="718"/>
      <c r="AC160" s="335"/>
      <c r="AD160" s="383">
        <f>SUMIF('Asesorías AG anterior'!$B$7:$B$239,B160,'Asesorías AG anterior'!$I$7:$I$239)</f>
        <v>1E-3</v>
      </c>
      <c r="AE160" s="383">
        <f>SUMIF('Asesorías AG anterior'!$B$7:$B$239,B160,'Asesorías AG anterior'!$J$7:$J$239)</f>
        <v>0</v>
      </c>
      <c r="AF160" s="383">
        <f>SUMIF('Asesorías AG anterior'!$B$7:$B$239,B160,'Asesorías AG anterior'!$K$7:$K$239)</f>
        <v>1E-3</v>
      </c>
      <c r="AG160" s="383">
        <f>SUMIF('Asesorías AG anterior'!$B$7:$B$239,B160,'Asesorías AG anterior'!$L$7:$L$239)</f>
        <v>0</v>
      </c>
      <c r="AH160" s="383">
        <f>SUMIF('Asesorías AG anterior'!$B$7:$B$239,B160,'Asesorías AG anterior'!$M$7:$M$239)</f>
        <v>0</v>
      </c>
      <c r="AI160" s="383">
        <f>SUMIF('Asesorías AG anterior'!$B$7:$B$239,B160,'Asesorías AG anterior'!$N$7:$N$239)</f>
        <v>0</v>
      </c>
      <c r="AJ160" s="383">
        <f>SUMIF('Asesorías AG anterior'!$B$7:$B$239,B160,'Asesorías AG anterior'!$O$7:$O$239)</f>
        <v>1E-3</v>
      </c>
      <c r="AK160" s="383">
        <f>SUMIF('Asesorías AG anterior'!$B$7:$B$239,B160,'Asesorías AG anterior'!$P$7:$P$239)</f>
        <v>0</v>
      </c>
      <c r="AL160" s="383">
        <f>SUMIF('Asesorías AG anterior'!$B$7:$B$239,B160,'Asesorías AG anterior'!$Q$7:$Q$239)</f>
        <v>0</v>
      </c>
      <c r="AM160" s="383">
        <f>SUMIF('Asesorías AG anterior'!$B$7:$B$239,B160,'Asesorías AG anterior'!$R$7:$R$239)</f>
        <v>0</v>
      </c>
      <c r="AN160" s="383"/>
      <c r="AO160" s="383">
        <f>SUMIF('Asesorías AG anterior'!$B$7:$B$239,B160,'Asesorías AG anterior'!$T$7:$T$239)</f>
        <v>0</v>
      </c>
      <c r="AP160" s="383">
        <f>SUMIF('Asesorías AG anterior'!$B$7:$B$239,B160,'Asesorías AG anterior'!$U$7:$U$239)</f>
        <v>0</v>
      </c>
      <c r="AQ160" s="383">
        <f>SUMIF('Asesorías AG anterior'!$B$7:$B$239,B160,'Asesorías AG anterior'!$V$7:$V$239)</f>
        <v>0</v>
      </c>
      <c r="AR160" s="383">
        <f>SUMIF('Asesorías AG anterior'!$B$7:$B$239,B160,'Asesorías AG anterior'!$W$7:$W$239)</f>
        <v>0</v>
      </c>
      <c r="AS160" s="383">
        <f>SUMIF('Asesorías AG anterior'!$B$7:$B$239,B160,'Asesorías AG anterior'!$X$7:$X$239)</f>
        <v>0</v>
      </c>
      <c r="AT160" s="383">
        <f>SUMIF('Asesorías AG anterior'!$B$7:$B$239,B160,'Asesorías AG anterior'!$Y$7:$Y$239)</f>
        <v>0</v>
      </c>
      <c r="AU160" s="383">
        <f>SUMIF('Asesorías AG anterior'!$B$7:$B$239,B160,'Asesorías AG anterior'!$Z$7:$Z$239)</f>
        <v>0</v>
      </c>
      <c r="AV160" s="383">
        <f>SUMIF('Asesorías AG anterior'!$B$7:$B$239,B160,'Asesorías AG anterior'!$AA$7:$AA$239)</f>
        <v>0</v>
      </c>
      <c r="AW160" s="383">
        <f>SUMIF('Asesorías AG anterior'!$B$7:$B$239,B160,'Asesorías AG anterior'!$AB$7:$AB$239)</f>
        <v>0</v>
      </c>
      <c r="AX160" s="335"/>
      <c r="AZ160" s="1097" t="s">
        <v>110</v>
      </c>
    </row>
    <row r="161" spans="1:52" x14ac:dyDescent="0.2">
      <c r="A161" s="1184">
        <f t="shared" si="54"/>
        <v>153</v>
      </c>
      <c r="B161" s="1097" t="s">
        <v>244</v>
      </c>
      <c r="C161" s="1185">
        <f>_xlfn.XLOOKUP(B161,Códigos!$B$8:$B$406,Códigos!$A$8:$A$406,"Verificar",0)</f>
        <v>320</v>
      </c>
      <c r="D161" s="1114">
        <f>_xlfn.XLOOKUP(B161,'Consolidado Cobros'!$B$10:$B$312,'Consolidado Cobros'!$C$10:$C$312,"Verificar",0)</f>
        <v>33069779</v>
      </c>
      <c r="E161" s="1520">
        <f t="shared" si="40"/>
        <v>6</v>
      </c>
      <c r="F161" s="1517">
        <f t="shared" si="41"/>
        <v>0</v>
      </c>
      <c r="G161" s="1251">
        <f t="shared" si="42"/>
        <v>0</v>
      </c>
      <c r="H161" s="1240">
        <f t="shared" si="55"/>
        <v>0</v>
      </c>
      <c r="I161" s="1148"/>
      <c r="J161" s="383">
        <f t="shared" si="43"/>
        <v>0</v>
      </c>
      <c r="K161" s="712"/>
      <c r="L161" s="487">
        <f t="shared" si="44"/>
        <v>0</v>
      </c>
      <c r="M161" s="927"/>
      <c r="N161" s="672">
        <v>0</v>
      </c>
      <c r="O161" s="660"/>
      <c r="P161" s="1092">
        <f t="shared" si="45"/>
        <v>0</v>
      </c>
      <c r="Q161" s="1093">
        <v>0</v>
      </c>
      <c r="R161" s="381">
        <f t="shared" si="63"/>
        <v>0</v>
      </c>
      <c r="S161" s="382"/>
      <c r="T161" s="381"/>
      <c r="U161" s="624"/>
      <c r="V161" s="569">
        <f t="shared" si="46"/>
        <v>0</v>
      </c>
      <c r="W161" s="607"/>
      <c r="X161" s="383"/>
      <c r="Y161" s="607"/>
      <c r="Z161" s="383"/>
      <c r="AA161" s="607"/>
      <c r="AB161" s="718"/>
      <c r="AC161" s="335"/>
      <c r="AD161" s="383">
        <f>SUMIF('Asesorías AG anterior'!$B$7:$B$239,B161,'Asesorías AG anterior'!$I$7:$I$239)</f>
        <v>1E-3</v>
      </c>
      <c r="AE161" s="383">
        <f>SUMIF('Asesorías AG anterior'!$B$7:$B$239,B161,'Asesorías AG anterior'!$J$7:$J$239)</f>
        <v>0</v>
      </c>
      <c r="AF161" s="383">
        <f>SUMIF('Asesorías AG anterior'!$B$7:$B$239,B161,'Asesorías AG anterior'!$K$7:$K$239)</f>
        <v>1E-3</v>
      </c>
      <c r="AG161" s="383">
        <f>SUMIF('Asesorías AG anterior'!$B$7:$B$239,B161,'Asesorías AG anterior'!$L$7:$L$239)</f>
        <v>0</v>
      </c>
      <c r="AH161" s="383">
        <f>SUMIF('Asesorías AG anterior'!$B$7:$B$239,B161,'Asesorías AG anterior'!$M$7:$M$239)</f>
        <v>0</v>
      </c>
      <c r="AI161" s="383">
        <f>SUMIF('Asesorías AG anterior'!$B$7:$B$239,B161,'Asesorías AG anterior'!$N$7:$N$239)</f>
        <v>0</v>
      </c>
      <c r="AJ161" s="383">
        <f>SUMIF('Asesorías AG anterior'!$B$7:$B$239,B161,'Asesorías AG anterior'!$O$7:$O$239)</f>
        <v>1E-3</v>
      </c>
      <c r="AK161" s="383">
        <f>SUMIF('Asesorías AG anterior'!$B$7:$B$239,B161,'Asesorías AG anterior'!$P$7:$P$239)</f>
        <v>0</v>
      </c>
      <c r="AL161" s="383">
        <f>SUMIF('Asesorías AG anterior'!$B$7:$B$239,B161,'Asesorías AG anterior'!$Q$7:$Q$239)</f>
        <v>0</v>
      </c>
      <c r="AM161" s="383">
        <f>SUMIF('Asesorías AG anterior'!$B$7:$B$239,B161,'Asesorías AG anterior'!$R$7:$R$239)</f>
        <v>0</v>
      </c>
      <c r="AN161" s="383"/>
      <c r="AO161" s="383">
        <f>SUMIF('Asesorías AG anterior'!$B$7:$B$239,B161,'Asesorías AG anterior'!$T$7:$T$239)</f>
        <v>0</v>
      </c>
      <c r="AP161" s="383">
        <f>SUMIF('Asesorías AG anterior'!$B$7:$B$239,B161,'Asesorías AG anterior'!$U$7:$U$239)</f>
        <v>0</v>
      </c>
      <c r="AQ161" s="383">
        <f>SUMIF('Asesorías AG anterior'!$B$7:$B$239,B161,'Asesorías AG anterior'!$V$7:$V$239)</f>
        <v>0</v>
      </c>
      <c r="AR161" s="383">
        <f>SUMIF('Asesorías AG anterior'!$B$7:$B$239,B161,'Asesorías AG anterior'!$W$7:$W$239)</f>
        <v>0</v>
      </c>
      <c r="AS161" s="383">
        <f>SUMIF('Asesorías AG anterior'!$B$7:$B$239,B161,'Asesorías AG anterior'!$X$7:$X$239)</f>
        <v>0</v>
      </c>
      <c r="AT161" s="383">
        <f>SUMIF('Asesorías AG anterior'!$B$7:$B$239,B161,'Asesorías AG anterior'!$Y$7:$Y$239)</f>
        <v>0</v>
      </c>
      <c r="AU161" s="383">
        <f>SUMIF('Asesorías AG anterior'!$B$7:$B$239,B161,'Asesorías AG anterior'!$Z$7:$Z$239)</f>
        <v>0</v>
      </c>
      <c r="AV161" s="383">
        <f>SUMIF('Asesorías AG anterior'!$B$7:$B$239,B161,'Asesorías AG anterior'!$AA$7:$AA$239)</f>
        <v>0</v>
      </c>
      <c r="AW161" s="383">
        <f>SUMIF('Asesorías AG anterior'!$B$7:$B$239,B161,'Asesorías AG anterior'!$AB$7:$AB$239)</f>
        <v>0</v>
      </c>
      <c r="AX161" s="335"/>
      <c r="AZ161" s="1097" t="s">
        <v>244</v>
      </c>
    </row>
    <row r="162" spans="1:52" x14ac:dyDescent="0.2">
      <c r="A162" s="1184">
        <f t="shared" si="54"/>
        <v>154</v>
      </c>
      <c r="B162" s="1097" t="s">
        <v>312</v>
      </c>
      <c r="C162" s="1185">
        <f>_xlfn.XLOOKUP(B162,Códigos!$B$8:$B$406,Códigos!$A$8:$A$406,"Verificar",0)</f>
        <v>93</v>
      </c>
      <c r="D162" s="1114">
        <f>_xlfn.XLOOKUP(B162,'Consolidado Cobros'!$B$10:$B$312,'Consolidado Cobros'!$C$10:$C$312,"Verificar",0)</f>
        <v>43865562</v>
      </c>
      <c r="E162" s="1520">
        <f t="shared" si="40"/>
        <v>6</v>
      </c>
      <c r="F162" s="1517">
        <f t="shared" si="41"/>
        <v>0</v>
      </c>
      <c r="G162" s="1251">
        <f t="shared" si="42"/>
        <v>0</v>
      </c>
      <c r="H162" s="1240">
        <f t="shared" si="55"/>
        <v>0</v>
      </c>
      <c r="I162" s="1148"/>
      <c r="J162" s="383">
        <f t="shared" si="43"/>
        <v>0</v>
      </c>
      <c r="K162" s="712"/>
      <c r="L162" s="487">
        <f t="shared" si="44"/>
        <v>0</v>
      </c>
      <c r="M162" s="927"/>
      <c r="N162" s="672">
        <v>0</v>
      </c>
      <c r="O162" s="660"/>
      <c r="P162" s="1092">
        <f t="shared" si="45"/>
        <v>0</v>
      </c>
      <c r="Q162" s="1093">
        <v>0</v>
      </c>
      <c r="R162" s="381">
        <f t="shared" si="63"/>
        <v>0</v>
      </c>
      <c r="S162" s="382"/>
      <c r="T162" s="381"/>
      <c r="U162" s="624"/>
      <c r="V162" s="569">
        <f t="shared" si="46"/>
        <v>0</v>
      </c>
      <c r="W162" s="607"/>
      <c r="X162" s="383"/>
      <c r="Y162" s="607"/>
      <c r="Z162" s="383"/>
      <c r="AA162" s="607"/>
      <c r="AB162" s="718"/>
      <c r="AC162" s="335"/>
      <c r="AD162" s="383">
        <f>SUMIF('Asesorías AG anterior'!$B$7:$B$239,B162,'Asesorías AG anterior'!$I$7:$I$239)</f>
        <v>1E-3</v>
      </c>
      <c r="AE162" s="383">
        <f>SUMIF('Asesorías AG anterior'!$B$7:$B$239,B162,'Asesorías AG anterior'!$J$7:$J$239)</f>
        <v>0</v>
      </c>
      <c r="AF162" s="383">
        <f>SUMIF('Asesorías AG anterior'!$B$7:$B$239,B162,'Asesorías AG anterior'!$K$7:$K$239)</f>
        <v>1E-3</v>
      </c>
      <c r="AG162" s="383">
        <f>SUMIF('Asesorías AG anterior'!$B$7:$B$239,B162,'Asesorías AG anterior'!$L$7:$L$239)</f>
        <v>0</v>
      </c>
      <c r="AH162" s="383">
        <f>SUMIF('Asesorías AG anterior'!$B$7:$B$239,B162,'Asesorías AG anterior'!$M$7:$M$239)</f>
        <v>0</v>
      </c>
      <c r="AI162" s="383">
        <f>SUMIF('Asesorías AG anterior'!$B$7:$B$239,B162,'Asesorías AG anterior'!$N$7:$N$239)</f>
        <v>0</v>
      </c>
      <c r="AJ162" s="383">
        <f>SUMIF('Asesorías AG anterior'!$B$7:$B$239,B162,'Asesorías AG anterior'!$O$7:$O$239)</f>
        <v>1E-3</v>
      </c>
      <c r="AK162" s="383">
        <f>SUMIF('Asesorías AG anterior'!$B$7:$B$239,B162,'Asesorías AG anterior'!$P$7:$P$239)</f>
        <v>0</v>
      </c>
      <c r="AL162" s="383">
        <f>SUMIF('Asesorías AG anterior'!$B$7:$B$239,B162,'Asesorías AG anterior'!$Q$7:$Q$239)</f>
        <v>0</v>
      </c>
      <c r="AM162" s="383">
        <f>SUMIF('Asesorías AG anterior'!$B$7:$B$239,B162,'Asesorías AG anterior'!$R$7:$R$239)</f>
        <v>0</v>
      </c>
      <c r="AN162" s="383"/>
      <c r="AO162" s="383">
        <f>SUMIF('Asesorías AG anterior'!$B$7:$B$239,B162,'Asesorías AG anterior'!$T$7:$T$239)</f>
        <v>0</v>
      </c>
      <c r="AP162" s="383">
        <f>SUMIF('Asesorías AG anterior'!$B$7:$B$239,B162,'Asesorías AG anterior'!$U$7:$U$239)</f>
        <v>0</v>
      </c>
      <c r="AQ162" s="383">
        <f>SUMIF('Asesorías AG anterior'!$B$7:$B$239,B162,'Asesorías AG anterior'!$V$7:$V$239)</f>
        <v>0</v>
      </c>
      <c r="AR162" s="383">
        <f>SUMIF('Asesorías AG anterior'!$B$7:$B$239,B162,'Asesorías AG anterior'!$W$7:$W$239)</f>
        <v>0</v>
      </c>
      <c r="AS162" s="383">
        <f>SUMIF('Asesorías AG anterior'!$B$7:$B$239,B162,'Asesorías AG anterior'!$X$7:$X$239)</f>
        <v>0</v>
      </c>
      <c r="AT162" s="383">
        <f>SUMIF('Asesorías AG anterior'!$B$7:$B$239,B162,'Asesorías AG anterior'!$Y$7:$Y$239)</f>
        <v>0</v>
      </c>
      <c r="AU162" s="383">
        <f>SUMIF('Asesorías AG anterior'!$B$7:$B$239,B162,'Asesorías AG anterior'!$Z$7:$Z$239)</f>
        <v>0</v>
      </c>
      <c r="AV162" s="383">
        <f>SUMIF('Asesorías AG anterior'!$B$7:$B$239,B162,'Asesorías AG anterior'!$AA$7:$AA$239)</f>
        <v>0</v>
      </c>
      <c r="AW162" s="383">
        <f>SUMIF('Asesorías AG anterior'!$B$7:$B$239,B162,'Asesorías AG anterior'!$AB$7:$AB$239)</f>
        <v>0</v>
      </c>
      <c r="AX162" s="335"/>
      <c r="AZ162" s="1097" t="s">
        <v>312</v>
      </c>
    </row>
    <row r="163" spans="1:52" x14ac:dyDescent="0.2">
      <c r="A163" s="1184">
        <f t="shared" si="54"/>
        <v>155</v>
      </c>
      <c r="B163" s="1097" t="s">
        <v>111</v>
      </c>
      <c r="C163" s="1185">
        <f>_xlfn.XLOOKUP(B163,Códigos!$B$8:$B$406,Códigos!$A$8:$A$406,"Verificar",0)</f>
        <v>149</v>
      </c>
      <c r="D163" s="1114">
        <f>_xlfn.XLOOKUP(B163,'Consolidado Cobros'!$B$10:$B$312,'Consolidado Cobros'!$C$10:$C$312,"Verificar",0)</f>
        <v>43152033</v>
      </c>
      <c r="E163" s="1520">
        <f t="shared" si="40"/>
        <v>1</v>
      </c>
      <c r="F163" s="1517">
        <f t="shared" si="41"/>
        <v>0</v>
      </c>
      <c r="G163" s="1251">
        <f t="shared" si="42"/>
        <v>0</v>
      </c>
      <c r="H163" s="1240">
        <f t="shared" si="55"/>
        <v>0</v>
      </c>
      <c r="I163" s="1148"/>
      <c r="J163" s="383">
        <f t="shared" si="43"/>
        <v>0</v>
      </c>
      <c r="K163" s="712"/>
      <c r="L163" s="487">
        <f t="shared" si="44"/>
        <v>0</v>
      </c>
      <c r="M163" s="927"/>
      <c r="N163" s="672">
        <v>0</v>
      </c>
      <c r="O163" s="660"/>
      <c r="P163" s="1092">
        <f t="shared" si="45"/>
        <v>0</v>
      </c>
      <c r="Q163" s="1093">
        <v>0</v>
      </c>
      <c r="R163" s="381">
        <f t="shared" si="63"/>
        <v>0</v>
      </c>
      <c r="S163" s="382"/>
      <c r="T163" s="381"/>
      <c r="U163" s="624"/>
      <c r="V163" s="569">
        <f t="shared" si="46"/>
        <v>0</v>
      </c>
      <c r="W163" s="607"/>
      <c r="X163" s="383"/>
      <c r="Y163" s="607"/>
      <c r="Z163" s="383"/>
      <c r="AA163" s="607"/>
      <c r="AB163" s="718"/>
      <c r="AC163" s="335"/>
      <c r="AD163" s="383">
        <f>SUMIF('Asesorías AG anterior'!$B$7:$B$239,B163,'Asesorías AG anterior'!$I$7:$I$239)</f>
        <v>1E-3</v>
      </c>
      <c r="AE163" s="383">
        <f>SUMIF('Asesorías AG anterior'!$B$7:$B$239,B163,'Asesorías AG anterior'!$J$7:$J$239)</f>
        <v>0</v>
      </c>
      <c r="AF163" s="383">
        <f>SUMIF('Asesorías AG anterior'!$B$7:$B$239,B163,'Asesorías AG anterior'!$K$7:$K$239)</f>
        <v>1E-3</v>
      </c>
      <c r="AG163" s="383">
        <f>SUMIF('Asesorías AG anterior'!$B$7:$B$239,B163,'Asesorías AG anterior'!$L$7:$L$239)</f>
        <v>0</v>
      </c>
      <c r="AH163" s="383">
        <f>SUMIF('Asesorías AG anterior'!$B$7:$B$239,B163,'Asesorías AG anterior'!$M$7:$M$239)</f>
        <v>0</v>
      </c>
      <c r="AI163" s="383">
        <f>SUMIF('Asesorías AG anterior'!$B$7:$B$239,B163,'Asesorías AG anterior'!$N$7:$N$239)</f>
        <v>0</v>
      </c>
      <c r="AJ163" s="383">
        <f>SUMIF('Asesorías AG anterior'!$B$7:$B$239,B163,'Asesorías AG anterior'!$O$7:$O$239)</f>
        <v>1E-3</v>
      </c>
      <c r="AK163" s="383">
        <f>SUMIF('Asesorías AG anterior'!$B$7:$B$239,B163,'Asesorías AG anterior'!$P$7:$P$239)</f>
        <v>0</v>
      </c>
      <c r="AL163" s="383">
        <f>SUMIF('Asesorías AG anterior'!$B$7:$B$239,B163,'Asesorías AG anterior'!$Q$7:$Q$239)</f>
        <v>0</v>
      </c>
      <c r="AM163" s="383">
        <f>SUMIF('Asesorías AG anterior'!$B$7:$B$239,B163,'Asesorías AG anterior'!$R$7:$R$239)</f>
        <v>0</v>
      </c>
      <c r="AN163" s="383"/>
      <c r="AO163" s="383">
        <f>SUMIF('Asesorías AG anterior'!$B$7:$B$239,B163,'Asesorías AG anterior'!$T$7:$T$239)</f>
        <v>0</v>
      </c>
      <c r="AP163" s="383">
        <f>SUMIF('Asesorías AG anterior'!$B$7:$B$239,B163,'Asesorías AG anterior'!$U$7:$U$239)</f>
        <v>0</v>
      </c>
      <c r="AQ163" s="383">
        <f>SUMIF('Asesorías AG anterior'!$B$7:$B$239,B163,'Asesorías AG anterior'!$V$7:$V$239)</f>
        <v>0</v>
      </c>
      <c r="AR163" s="383">
        <f>SUMIF('Asesorías AG anterior'!$B$7:$B$239,B163,'Asesorías AG anterior'!$W$7:$W$239)</f>
        <v>0</v>
      </c>
      <c r="AS163" s="383">
        <f>SUMIF('Asesorías AG anterior'!$B$7:$B$239,B163,'Asesorías AG anterior'!$X$7:$X$239)</f>
        <v>0</v>
      </c>
      <c r="AT163" s="383">
        <f>SUMIF('Asesorías AG anterior'!$B$7:$B$239,B163,'Asesorías AG anterior'!$Y$7:$Y$239)</f>
        <v>0</v>
      </c>
      <c r="AU163" s="383">
        <f>SUMIF('Asesorías AG anterior'!$B$7:$B$239,B163,'Asesorías AG anterior'!$Z$7:$Z$239)</f>
        <v>0</v>
      </c>
      <c r="AV163" s="383">
        <f>SUMIF('Asesorías AG anterior'!$B$7:$B$239,B163,'Asesorías AG anterior'!$AA$7:$AA$239)</f>
        <v>0</v>
      </c>
      <c r="AW163" s="383">
        <f>SUMIF('Asesorías AG anterior'!$B$7:$B$239,B163,'Asesorías AG anterior'!$AB$7:$AB$239)</f>
        <v>0</v>
      </c>
      <c r="AX163" s="335"/>
      <c r="AZ163" s="1097" t="s">
        <v>111</v>
      </c>
    </row>
    <row r="164" spans="1:52" x14ac:dyDescent="0.2">
      <c r="A164" s="1184">
        <f t="shared" si="54"/>
        <v>156</v>
      </c>
      <c r="B164" s="1097" t="s">
        <v>112</v>
      </c>
      <c r="C164" s="1185">
        <f>_xlfn.XLOOKUP(B164,Códigos!$B$8:$B$406,Códigos!$A$8:$A$406,"Verificar",0)</f>
        <v>265</v>
      </c>
      <c r="D164" s="1114">
        <f>_xlfn.XLOOKUP(B164,'Consolidado Cobros'!$B$10:$B$312,'Consolidado Cobros'!$C$10:$C$312,"Verificar",0)</f>
        <v>42975259</v>
      </c>
      <c r="E164" s="1520">
        <f t="shared" si="40"/>
        <v>7</v>
      </c>
      <c r="F164" s="1517">
        <f t="shared" si="41"/>
        <v>0</v>
      </c>
      <c r="G164" s="1251">
        <f t="shared" si="42"/>
        <v>0</v>
      </c>
      <c r="H164" s="1240">
        <f t="shared" si="55"/>
        <v>0</v>
      </c>
      <c r="I164" s="1148"/>
      <c r="J164" s="383">
        <f t="shared" si="43"/>
        <v>0</v>
      </c>
      <c r="K164" s="712"/>
      <c r="L164" s="487">
        <f t="shared" si="44"/>
        <v>0</v>
      </c>
      <c r="M164" s="927"/>
      <c r="N164" s="672">
        <v>0</v>
      </c>
      <c r="O164" s="660"/>
      <c r="P164" s="1092">
        <f t="shared" si="45"/>
        <v>0</v>
      </c>
      <c r="Q164" s="1093">
        <v>0</v>
      </c>
      <c r="R164" s="381">
        <f t="shared" si="63"/>
        <v>0</v>
      </c>
      <c r="S164" s="382"/>
      <c r="T164" s="381"/>
      <c r="U164" s="624"/>
      <c r="V164" s="569">
        <f t="shared" si="46"/>
        <v>0</v>
      </c>
      <c r="W164" s="607"/>
      <c r="X164" s="383"/>
      <c r="Y164" s="607"/>
      <c r="Z164" s="383"/>
      <c r="AA164" s="607"/>
      <c r="AB164" s="718"/>
      <c r="AC164" s="335"/>
      <c r="AD164" s="383">
        <f>SUMIF('Asesorías AG anterior'!$B$7:$B$239,B164,'Asesorías AG anterior'!$I$7:$I$239)</f>
        <v>1E-3</v>
      </c>
      <c r="AE164" s="383">
        <f>SUMIF('Asesorías AG anterior'!$B$7:$B$239,B164,'Asesorías AG anterior'!$J$7:$J$239)</f>
        <v>0</v>
      </c>
      <c r="AF164" s="383">
        <f>SUMIF('Asesorías AG anterior'!$B$7:$B$239,B164,'Asesorías AG anterior'!$K$7:$K$239)</f>
        <v>1E-3</v>
      </c>
      <c r="AG164" s="383">
        <f>SUMIF('Asesorías AG anterior'!$B$7:$B$239,B164,'Asesorías AG anterior'!$L$7:$L$239)</f>
        <v>0</v>
      </c>
      <c r="AH164" s="383">
        <f>SUMIF('Asesorías AG anterior'!$B$7:$B$239,B164,'Asesorías AG anterior'!$M$7:$M$239)</f>
        <v>0</v>
      </c>
      <c r="AI164" s="383">
        <f>SUMIF('Asesorías AG anterior'!$B$7:$B$239,B164,'Asesorías AG anterior'!$N$7:$N$239)</f>
        <v>0</v>
      </c>
      <c r="AJ164" s="383">
        <f>SUMIF('Asesorías AG anterior'!$B$7:$B$239,B164,'Asesorías AG anterior'!$O$7:$O$239)</f>
        <v>1E-3</v>
      </c>
      <c r="AK164" s="383">
        <f>SUMIF('Asesorías AG anterior'!$B$7:$B$239,B164,'Asesorías AG anterior'!$P$7:$P$239)</f>
        <v>0</v>
      </c>
      <c r="AL164" s="383">
        <f>SUMIF('Asesorías AG anterior'!$B$7:$B$239,B164,'Asesorías AG anterior'!$Q$7:$Q$239)</f>
        <v>0</v>
      </c>
      <c r="AM164" s="383">
        <f>SUMIF('Asesorías AG anterior'!$B$7:$B$239,B164,'Asesorías AG anterior'!$R$7:$R$239)</f>
        <v>0</v>
      </c>
      <c r="AN164" s="383"/>
      <c r="AO164" s="383">
        <f>SUMIF('Asesorías AG anterior'!$B$7:$B$239,B164,'Asesorías AG anterior'!$T$7:$T$239)</f>
        <v>0</v>
      </c>
      <c r="AP164" s="383">
        <f>SUMIF('Asesorías AG anterior'!$B$7:$B$239,B164,'Asesorías AG anterior'!$U$7:$U$239)</f>
        <v>0</v>
      </c>
      <c r="AQ164" s="383">
        <f>SUMIF('Asesorías AG anterior'!$B$7:$B$239,B164,'Asesorías AG anterior'!$V$7:$V$239)</f>
        <v>0</v>
      </c>
      <c r="AR164" s="383">
        <f>SUMIF('Asesorías AG anterior'!$B$7:$B$239,B164,'Asesorías AG anterior'!$W$7:$W$239)</f>
        <v>0</v>
      </c>
      <c r="AS164" s="383">
        <f>SUMIF('Asesorías AG anterior'!$B$7:$B$239,B164,'Asesorías AG anterior'!$X$7:$X$239)</f>
        <v>0</v>
      </c>
      <c r="AT164" s="383">
        <f>SUMIF('Asesorías AG anterior'!$B$7:$B$239,B164,'Asesorías AG anterior'!$Y$7:$Y$239)</f>
        <v>0</v>
      </c>
      <c r="AU164" s="383">
        <f>SUMIF('Asesorías AG anterior'!$B$7:$B$239,B164,'Asesorías AG anterior'!$Z$7:$Z$239)</f>
        <v>0</v>
      </c>
      <c r="AV164" s="383">
        <f>SUMIF('Asesorías AG anterior'!$B$7:$B$239,B164,'Asesorías AG anterior'!$AA$7:$AA$239)</f>
        <v>0</v>
      </c>
      <c r="AW164" s="383">
        <f>SUMIF('Asesorías AG anterior'!$B$7:$B$239,B164,'Asesorías AG anterior'!$AB$7:$AB$239)</f>
        <v>0</v>
      </c>
      <c r="AX164" s="335"/>
      <c r="AZ164" s="1097" t="s">
        <v>112</v>
      </c>
    </row>
    <row r="165" spans="1:52" x14ac:dyDescent="0.2">
      <c r="A165" s="1184">
        <f t="shared" si="54"/>
        <v>157</v>
      </c>
      <c r="B165" s="1097" t="s">
        <v>113</v>
      </c>
      <c r="C165" s="1185">
        <f>_xlfn.XLOOKUP(B165,Códigos!$B$8:$B$406,Códigos!$A$8:$A$406,"Verificar",0)</f>
        <v>151</v>
      </c>
      <c r="D165" s="1114">
        <f>_xlfn.XLOOKUP(B165,'Consolidado Cobros'!$B$10:$B$312,'Consolidado Cobros'!$C$10:$C$312,"Verificar",0)</f>
        <v>32439160</v>
      </c>
      <c r="E165" s="1520">
        <f t="shared" si="40"/>
        <v>2</v>
      </c>
      <c r="F165" s="1517">
        <f t="shared" si="41"/>
        <v>0</v>
      </c>
      <c r="G165" s="1251">
        <f t="shared" si="42"/>
        <v>0</v>
      </c>
      <c r="H165" s="1240">
        <f t="shared" si="55"/>
        <v>0</v>
      </c>
      <c r="I165" s="1148"/>
      <c r="J165" s="383">
        <f t="shared" si="43"/>
        <v>0</v>
      </c>
      <c r="K165" s="712"/>
      <c r="L165" s="487">
        <f t="shared" si="44"/>
        <v>0</v>
      </c>
      <c r="M165" s="927"/>
      <c r="N165" s="672">
        <v>0</v>
      </c>
      <c r="O165" s="660"/>
      <c r="P165" s="1092">
        <f t="shared" si="45"/>
        <v>0</v>
      </c>
      <c r="Q165" s="1093">
        <v>0</v>
      </c>
      <c r="R165" s="381">
        <f t="shared" si="63"/>
        <v>0</v>
      </c>
      <c r="S165" s="382"/>
      <c r="T165" s="381"/>
      <c r="U165" s="624"/>
      <c r="V165" s="569">
        <f t="shared" si="46"/>
        <v>0</v>
      </c>
      <c r="W165" s="607"/>
      <c r="X165" s="383"/>
      <c r="Y165" s="607"/>
      <c r="Z165" s="383"/>
      <c r="AA165" s="607"/>
      <c r="AB165" s="718"/>
      <c r="AC165" s="335"/>
      <c r="AD165" s="383">
        <f>SUMIF('Asesorías AG anterior'!$B$7:$B$239,B165,'Asesorías AG anterior'!$I$7:$I$239)</f>
        <v>1E-3</v>
      </c>
      <c r="AE165" s="383">
        <f>SUMIF('Asesorías AG anterior'!$B$7:$B$239,B165,'Asesorías AG anterior'!$J$7:$J$239)</f>
        <v>0</v>
      </c>
      <c r="AF165" s="383">
        <f>SUMIF('Asesorías AG anterior'!$B$7:$B$239,B165,'Asesorías AG anterior'!$K$7:$K$239)</f>
        <v>1E-3</v>
      </c>
      <c r="AG165" s="383">
        <f>SUMIF('Asesorías AG anterior'!$B$7:$B$239,B165,'Asesorías AG anterior'!$L$7:$L$239)</f>
        <v>0</v>
      </c>
      <c r="AH165" s="383">
        <f>SUMIF('Asesorías AG anterior'!$B$7:$B$239,B165,'Asesorías AG anterior'!$M$7:$M$239)</f>
        <v>0</v>
      </c>
      <c r="AI165" s="383">
        <f>SUMIF('Asesorías AG anterior'!$B$7:$B$239,B165,'Asesorías AG anterior'!$N$7:$N$239)</f>
        <v>0</v>
      </c>
      <c r="AJ165" s="383">
        <f>SUMIF('Asesorías AG anterior'!$B$7:$B$239,B165,'Asesorías AG anterior'!$O$7:$O$239)</f>
        <v>1E-3</v>
      </c>
      <c r="AK165" s="383">
        <f>SUMIF('Asesorías AG anterior'!$B$7:$B$239,B165,'Asesorías AG anterior'!$P$7:$P$239)</f>
        <v>0</v>
      </c>
      <c r="AL165" s="383">
        <f>SUMIF('Asesorías AG anterior'!$B$7:$B$239,B165,'Asesorías AG anterior'!$Q$7:$Q$239)</f>
        <v>0</v>
      </c>
      <c r="AM165" s="383">
        <f>SUMIF('Asesorías AG anterior'!$B$7:$B$239,B165,'Asesorías AG anterior'!$R$7:$R$239)</f>
        <v>0</v>
      </c>
      <c r="AN165" s="383"/>
      <c r="AO165" s="383">
        <f>SUMIF('Asesorías AG anterior'!$B$7:$B$239,B165,'Asesorías AG anterior'!$T$7:$T$239)</f>
        <v>0</v>
      </c>
      <c r="AP165" s="383">
        <f>SUMIF('Asesorías AG anterior'!$B$7:$B$239,B165,'Asesorías AG anterior'!$U$7:$U$239)</f>
        <v>0</v>
      </c>
      <c r="AQ165" s="383">
        <f>SUMIF('Asesorías AG anterior'!$B$7:$B$239,B165,'Asesorías AG anterior'!$V$7:$V$239)</f>
        <v>0</v>
      </c>
      <c r="AR165" s="383">
        <f>SUMIF('Asesorías AG anterior'!$B$7:$B$239,B165,'Asesorías AG anterior'!$W$7:$W$239)</f>
        <v>0</v>
      </c>
      <c r="AS165" s="383">
        <f>SUMIF('Asesorías AG anterior'!$B$7:$B$239,B165,'Asesorías AG anterior'!$X$7:$X$239)</f>
        <v>0</v>
      </c>
      <c r="AT165" s="383">
        <f>SUMIF('Asesorías AG anterior'!$B$7:$B$239,B165,'Asesorías AG anterior'!$Y$7:$Y$239)</f>
        <v>0</v>
      </c>
      <c r="AU165" s="383">
        <f>SUMIF('Asesorías AG anterior'!$B$7:$B$239,B165,'Asesorías AG anterior'!$Z$7:$Z$239)</f>
        <v>0</v>
      </c>
      <c r="AV165" s="383">
        <f>SUMIF('Asesorías AG anterior'!$B$7:$B$239,B165,'Asesorías AG anterior'!$AA$7:$AA$239)</f>
        <v>0</v>
      </c>
      <c r="AW165" s="383">
        <f>SUMIF('Asesorías AG anterior'!$B$7:$B$239,B165,'Asesorías AG anterior'!$AB$7:$AB$239)</f>
        <v>0</v>
      </c>
      <c r="AX165" s="335"/>
      <c r="AZ165" s="1097" t="s">
        <v>113</v>
      </c>
    </row>
    <row r="166" spans="1:52" x14ac:dyDescent="0.2">
      <c r="A166" s="1184">
        <f t="shared" si="54"/>
        <v>158</v>
      </c>
      <c r="B166" s="1097" t="s">
        <v>114</v>
      </c>
      <c r="C166" s="1185">
        <f>_xlfn.XLOOKUP(B166,Códigos!$B$8:$B$406,Códigos!$A$8:$A$406,"Verificar",0)</f>
        <v>152</v>
      </c>
      <c r="D166" s="1114">
        <f>_xlfn.XLOOKUP(B166,'Consolidado Cobros'!$B$10:$B$312,'Consolidado Cobros'!$C$10:$C$312,"Verificar",0)</f>
        <v>70547628</v>
      </c>
      <c r="E166" s="1520">
        <f t="shared" si="40"/>
        <v>8</v>
      </c>
      <c r="F166" s="1517">
        <f t="shared" si="41"/>
        <v>0</v>
      </c>
      <c r="G166" s="1251">
        <f t="shared" si="42"/>
        <v>0</v>
      </c>
      <c r="H166" s="1240">
        <f t="shared" si="55"/>
        <v>0</v>
      </c>
      <c r="I166" s="1148"/>
      <c r="J166" s="383">
        <f t="shared" si="43"/>
        <v>0</v>
      </c>
      <c r="K166" s="712"/>
      <c r="L166" s="487">
        <f t="shared" si="44"/>
        <v>0</v>
      </c>
      <c r="M166" s="927"/>
      <c r="N166" s="672">
        <v>0</v>
      </c>
      <c r="O166" s="660"/>
      <c r="P166" s="1092">
        <f t="shared" si="45"/>
        <v>0</v>
      </c>
      <c r="Q166" s="1093">
        <v>0</v>
      </c>
      <c r="R166" s="381">
        <f t="shared" si="63"/>
        <v>0</v>
      </c>
      <c r="S166" s="382"/>
      <c r="T166" s="381"/>
      <c r="U166" s="624"/>
      <c r="V166" s="569">
        <f t="shared" si="46"/>
        <v>0</v>
      </c>
      <c r="W166" s="607"/>
      <c r="X166" s="383"/>
      <c r="Y166" s="607"/>
      <c r="Z166" s="383"/>
      <c r="AA166" s="607"/>
      <c r="AB166" s="718"/>
      <c r="AC166" s="335"/>
      <c r="AD166" s="383">
        <f>SUMIF('Asesorías AG anterior'!$B$7:$B$239,B166,'Asesorías AG anterior'!$I$7:$I$239)</f>
        <v>1E-3</v>
      </c>
      <c r="AE166" s="383">
        <f>SUMIF('Asesorías AG anterior'!$B$7:$B$239,B166,'Asesorías AG anterior'!$J$7:$J$239)</f>
        <v>0</v>
      </c>
      <c r="AF166" s="383">
        <f>SUMIF('Asesorías AG anterior'!$B$7:$B$239,B166,'Asesorías AG anterior'!$K$7:$K$239)</f>
        <v>1E-3</v>
      </c>
      <c r="AG166" s="383">
        <f>SUMIF('Asesorías AG anterior'!$B$7:$B$239,B166,'Asesorías AG anterior'!$L$7:$L$239)</f>
        <v>0</v>
      </c>
      <c r="AH166" s="383">
        <f>SUMIF('Asesorías AG anterior'!$B$7:$B$239,B166,'Asesorías AG anterior'!$M$7:$M$239)</f>
        <v>0</v>
      </c>
      <c r="AI166" s="383">
        <f>SUMIF('Asesorías AG anterior'!$B$7:$B$239,B166,'Asesorías AG anterior'!$N$7:$N$239)</f>
        <v>0</v>
      </c>
      <c r="AJ166" s="383">
        <f>SUMIF('Asesorías AG anterior'!$B$7:$B$239,B166,'Asesorías AG anterior'!$O$7:$O$239)</f>
        <v>1E-3</v>
      </c>
      <c r="AK166" s="383">
        <f>SUMIF('Asesorías AG anterior'!$B$7:$B$239,B166,'Asesorías AG anterior'!$P$7:$P$239)</f>
        <v>0</v>
      </c>
      <c r="AL166" s="383">
        <f>SUMIF('Asesorías AG anterior'!$B$7:$B$239,B166,'Asesorías AG anterior'!$Q$7:$Q$239)</f>
        <v>0</v>
      </c>
      <c r="AM166" s="383">
        <f>SUMIF('Asesorías AG anterior'!$B$7:$B$239,B166,'Asesorías AG anterior'!$R$7:$R$239)</f>
        <v>0</v>
      </c>
      <c r="AN166" s="383"/>
      <c r="AO166" s="383">
        <f>SUMIF('Asesorías AG anterior'!$B$7:$B$239,B166,'Asesorías AG anterior'!$T$7:$T$239)</f>
        <v>0</v>
      </c>
      <c r="AP166" s="383">
        <f>SUMIF('Asesorías AG anterior'!$B$7:$B$239,B166,'Asesorías AG anterior'!$U$7:$U$239)</f>
        <v>0</v>
      </c>
      <c r="AQ166" s="383">
        <f>SUMIF('Asesorías AG anterior'!$B$7:$B$239,B166,'Asesorías AG anterior'!$V$7:$V$239)</f>
        <v>0</v>
      </c>
      <c r="AR166" s="383">
        <f>SUMIF('Asesorías AG anterior'!$B$7:$B$239,B166,'Asesorías AG anterior'!$W$7:$W$239)</f>
        <v>0</v>
      </c>
      <c r="AS166" s="383">
        <f>SUMIF('Asesorías AG anterior'!$B$7:$B$239,B166,'Asesorías AG anterior'!$X$7:$X$239)</f>
        <v>0</v>
      </c>
      <c r="AT166" s="383">
        <f>SUMIF('Asesorías AG anterior'!$B$7:$B$239,B166,'Asesorías AG anterior'!$Y$7:$Y$239)</f>
        <v>0</v>
      </c>
      <c r="AU166" s="383">
        <f>SUMIF('Asesorías AG anterior'!$B$7:$B$239,B166,'Asesorías AG anterior'!$Z$7:$Z$239)</f>
        <v>0</v>
      </c>
      <c r="AV166" s="383">
        <f>SUMIF('Asesorías AG anterior'!$B$7:$B$239,B166,'Asesorías AG anterior'!$AA$7:$AA$239)</f>
        <v>0</v>
      </c>
      <c r="AW166" s="383">
        <f>SUMIF('Asesorías AG anterior'!$B$7:$B$239,B166,'Asesorías AG anterior'!$AB$7:$AB$239)</f>
        <v>0</v>
      </c>
      <c r="AX166" s="335"/>
      <c r="AZ166" s="1097" t="s">
        <v>114</v>
      </c>
    </row>
    <row r="167" spans="1:52" x14ac:dyDescent="0.2">
      <c r="A167" s="1184">
        <f t="shared" si="54"/>
        <v>159</v>
      </c>
      <c r="B167" s="1137" t="s">
        <v>413</v>
      </c>
      <c r="C167" s="1185">
        <f>_xlfn.XLOOKUP(B167,Códigos!$B$8:$B$406,Códigos!$A$8:$A$406,"Verificar",0)</f>
        <v>94</v>
      </c>
      <c r="D167" s="1114">
        <f>_xlfn.XLOOKUP(B167,'Consolidado Cobros'!$B$10:$B$312,'Consolidado Cobros'!$C$10:$C$312,"Verificar",0)</f>
        <v>1037639929</v>
      </c>
      <c r="E167" s="1520">
        <f t="shared" ref="E167" si="64">IF((MOD((VALUE(MID(TEXT(D167,"000000000000000"),15,1))*3+VALUE(MID(TEXT(D167,"000000000000000"),14,1))*7+VALUE(MID(TEXT(D167,"000000000000000"),13,1))*13+VALUE(MID(TEXT(D167,"000000000000000"),12,1))*17+VALUE(MID(TEXT(D167,"000000000000000"),11,1))*19+VALUE(MID(TEXT(D167,"000000000000000"),10,1))*23+VALUE(MID(TEXT(D167,"000000000000000"),9,1))*29+VALUE(MID(TEXT(D167,"000000000000000"),8,1))*37+VALUE(MID(TEXT(D167,"000000000000000"),7,1))*41+VALUE(MID(TEXT(D167,"000000000000000"),6,1))*43+VALUE(MID(TEXT(D167,"000000000000000"),5,1))*47+VALUE(MID(TEXT(D167,"000000000000000"),4,1))*53+VALUE(MID(TEXT(D167,"000000000000000"),3,1))*59+VALUE(MID(TEXT(D167,"000000000000000"),2,1))*67+VALUE(MID(TEXT(D167,"000000000000000"),1,1))*71),11))=0,0,IF((MOD((VALUE(MID(TEXT(D167,"000000000000000"),15,1))*3+VALUE(MID(TEXT(D167,"000000000000000"),14,1))*7+VALUE(MID(TEXT(D167,"000000000000000"),13,1))*13+VALUE(MID(TEXT(D167,"000000000000000"),12,1))*17+VALUE(MID(TEXT(D167,"000000000000000"),11,1))*19+VALUE(MID(TEXT(D167,"000000000000000"),10,1))*23+VALUE(MID(TEXT(D167,"000000000000000"),9,1))*29+VALUE(MID(TEXT(D167,"000000000000000"),8,1))*37+VALUE(MID(TEXT(D167,"000000000000000"),7,1))*41+VALUE(MID(TEXT(D167,"000000000000000"),6,1))*43+VALUE(MID(TEXT(D167,"000000000000000"),5,1))*47+VALUE(MID(TEXT(D167,"000000000000000"),4,1))*53+VALUE(MID(TEXT(D167,"000000000000000"),3,1))*59+VALUE(MID(TEXT(D167,"000000000000000"),2,1))*67+VALUE(MID(TEXT(D167,"000000000000000"),1,1))*71),11))=1,1,11-(MOD((VALUE(MID(TEXT(D167,"000000000000000"),15,1))*3+VALUE(MID(TEXT(D167,"000000000000000"),14,1))*7+VALUE(MID(TEXT(D167,"000000000000000"),13,1))*13+VALUE(MID(TEXT(D167,"000000000000000"),12,1))*17+VALUE(MID(TEXT(D167,"000000000000000"),11,1))*19+VALUE(MID(TEXT(D167,"000000000000000"),10,1))*23+VALUE(MID(TEXT(D167,"000000000000000"),9,1))*29+VALUE(MID(TEXT(D167,"000000000000000"),8,1))*37+VALUE(MID(TEXT(D167,"000000000000000"),7,1))*41+VALUE(MID(TEXT(D167,"000000000000000"),6,1))*43+VALUE(MID(TEXT(D167,"000000000000000"),5,1))*47+VALUE(MID(TEXT(D167,"000000000000000"),4,1))*53+VALUE(MID(TEXT(D167,"000000000000000"),3,1))*59+VALUE(MID(TEXT(D167,"000000000000000"),2,1))*67+VALUE(MID(TEXT(D167,"000000000000000"),1,1))*71),11))))</f>
        <v>6</v>
      </c>
      <c r="F167" s="1517">
        <f t="shared" si="41"/>
        <v>0</v>
      </c>
      <c r="G167" s="1251">
        <f t="shared" si="42"/>
        <v>0</v>
      </c>
      <c r="H167" s="1240">
        <f t="shared" si="55"/>
        <v>0</v>
      </c>
      <c r="I167" s="1148"/>
      <c r="J167" s="383">
        <f t="shared" si="43"/>
        <v>0</v>
      </c>
      <c r="K167" s="712"/>
      <c r="L167" s="487">
        <f t="shared" si="44"/>
        <v>0</v>
      </c>
      <c r="M167" s="927"/>
      <c r="N167" s="672">
        <v>0</v>
      </c>
      <c r="O167" s="660"/>
      <c r="P167" s="1092">
        <f t="shared" si="45"/>
        <v>0</v>
      </c>
      <c r="Q167" s="1093">
        <v>0</v>
      </c>
      <c r="R167" s="381">
        <f t="shared" si="63"/>
        <v>0</v>
      </c>
      <c r="S167" s="382"/>
      <c r="T167" s="381"/>
      <c r="U167" s="624"/>
      <c r="V167" s="569">
        <f t="shared" si="46"/>
        <v>0</v>
      </c>
      <c r="W167" s="607"/>
      <c r="X167" s="383"/>
      <c r="Y167" s="607"/>
      <c r="Z167" s="383"/>
      <c r="AA167" s="607"/>
      <c r="AB167" s="718"/>
      <c r="AC167" s="335"/>
      <c r="AD167" s="383">
        <f>SUMIF('Asesorías AG anterior'!$B$7:$B$239,B167,'Asesorías AG anterior'!$I$7:$I$239)</f>
        <v>1E-3</v>
      </c>
      <c r="AE167" s="383">
        <f>SUMIF('Asesorías AG anterior'!$B$7:$B$239,B167,'Asesorías AG anterior'!$J$7:$J$239)</f>
        <v>0</v>
      </c>
      <c r="AF167" s="383">
        <f>SUMIF('Asesorías AG anterior'!$B$7:$B$239,B167,'Asesorías AG anterior'!$K$7:$K$239)</f>
        <v>1E-3</v>
      </c>
      <c r="AG167" s="383">
        <f>SUMIF('Asesorías AG anterior'!$B$7:$B$239,B167,'Asesorías AG anterior'!$L$7:$L$239)</f>
        <v>0</v>
      </c>
      <c r="AH167" s="383">
        <f>SUMIF('Asesorías AG anterior'!$B$7:$B$239,B167,'Asesorías AG anterior'!$M$7:$M$239)</f>
        <v>0</v>
      </c>
      <c r="AI167" s="383">
        <f>SUMIF('Asesorías AG anterior'!$B$7:$B$239,B167,'Asesorías AG anterior'!$N$7:$N$239)</f>
        <v>0</v>
      </c>
      <c r="AJ167" s="383">
        <f>SUMIF('Asesorías AG anterior'!$B$7:$B$239,B167,'Asesorías AG anterior'!$O$7:$O$239)</f>
        <v>1E-3</v>
      </c>
      <c r="AK167" s="383">
        <f>SUMIF('Asesorías AG anterior'!$B$7:$B$239,B167,'Asesorías AG anterior'!$P$7:$P$239)</f>
        <v>0</v>
      </c>
      <c r="AL167" s="383">
        <f>SUMIF('Asesorías AG anterior'!$B$7:$B$239,B167,'Asesorías AG anterior'!$Q$7:$Q$239)</f>
        <v>0</v>
      </c>
      <c r="AM167" s="383">
        <f>SUMIF('Asesorías AG anterior'!$B$7:$B$239,B167,'Asesorías AG anterior'!$R$7:$R$239)</f>
        <v>0</v>
      </c>
      <c r="AN167" s="383"/>
      <c r="AO167" s="383">
        <f>SUMIF('Asesorías AG anterior'!$B$7:$B$239,B167,'Asesorías AG anterior'!$T$7:$T$239)</f>
        <v>0</v>
      </c>
      <c r="AP167" s="383">
        <f>SUMIF('Asesorías AG anterior'!$B$7:$B$239,B167,'Asesorías AG anterior'!$U$7:$U$239)</f>
        <v>0</v>
      </c>
      <c r="AQ167" s="383">
        <f>SUMIF('Asesorías AG anterior'!$B$7:$B$239,B167,'Asesorías AG anterior'!$V$7:$V$239)</f>
        <v>0</v>
      </c>
      <c r="AR167" s="383">
        <f>SUMIF('Asesorías AG anterior'!$B$7:$B$239,B167,'Asesorías AG anterior'!$W$7:$W$239)</f>
        <v>0</v>
      </c>
      <c r="AS167" s="383">
        <f>SUMIF('Asesorías AG anterior'!$B$7:$B$239,B167,'Asesorías AG anterior'!$X$7:$X$239)</f>
        <v>0</v>
      </c>
      <c r="AT167" s="383">
        <f>SUMIF('Asesorías AG anterior'!$B$7:$B$239,B167,'Asesorías AG anterior'!$Y$7:$Y$239)</f>
        <v>0</v>
      </c>
      <c r="AU167" s="383">
        <f>SUMIF('Asesorías AG anterior'!$B$7:$B$239,B167,'Asesorías AG anterior'!$Z$7:$Z$239)</f>
        <v>0</v>
      </c>
      <c r="AV167" s="383">
        <f>SUMIF('Asesorías AG anterior'!$B$7:$B$239,B167,'Asesorías AG anterior'!$AA$7:$AA$239)</f>
        <v>0</v>
      </c>
      <c r="AW167" s="383">
        <f>SUMIF('Asesorías AG anterior'!$B$7:$B$239,B167,'Asesorías AG anterior'!$AB$7:$AB$239)</f>
        <v>0</v>
      </c>
      <c r="AX167" s="335"/>
      <c r="AZ167" s="1137" t="s">
        <v>413</v>
      </c>
    </row>
    <row r="168" spans="1:52" x14ac:dyDescent="0.2">
      <c r="A168" s="1184">
        <f t="shared" si="54"/>
        <v>160</v>
      </c>
      <c r="B168" s="1097" t="s">
        <v>116</v>
      </c>
      <c r="C168" s="1185">
        <f>_xlfn.XLOOKUP(B168,Códigos!$B$8:$B$406,Códigos!$A$8:$A$406,"Verificar",0)</f>
        <v>277</v>
      </c>
      <c r="D168" s="1114">
        <f>_xlfn.XLOOKUP(B168,'Consolidado Cobros'!$B$10:$B$312,'Consolidado Cobros'!$C$10:$C$312,"Verificar",0)</f>
        <v>9094854</v>
      </c>
      <c r="E168" s="1520">
        <f t="shared" si="40"/>
        <v>9</v>
      </c>
      <c r="F168" s="1517">
        <f t="shared" si="41"/>
        <v>0</v>
      </c>
      <c r="G168" s="1251">
        <f t="shared" si="42"/>
        <v>0</v>
      </c>
      <c r="H168" s="1240">
        <f t="shared" si="55"/>
        <v>0</v>
      </c>
      <c r="I168" s="1148"/>
      <c r="J168" s="383">
        <f t="shared" si="43"/>
        <v>0</v>
      </c>
      <c r="K168" s="712"/>
      <c r="L168" s="487">
        <f t="shared" si="44"/>
        <v>0</v>
      </c>
      <c r="M168" s="927"/>
      <c r="N168" s="672">
        <v>0</v>
      </c>
      <c r="O168" s="660"/>
      <c r="P168" s="1092">
        <f t="shared" si="45"/>
        <v>0</v>
      </c>
      <c r="Q168" s="1093">
        <v>0</v>
      </c>
      <c r="R168" s="381">
        <f t="shared" si="63"/>
        <v>0</v>
      </c>
      <c r="S168" s="382"/>
      <c r="T168" s="381"/>
      <c r="U168" s="624"/>
      <c r="V168" s="569">
        <f t="shared" si="46"/>
        <v>0</v>
      </c>
      <c r="W168" s="607"/>
      <c r="X168" s="383"/>
      <c r="Y168" s="607"/>
      <c r="Z168" s="383"/>
      <c r="AA168" s="607"/>
      <c r="AB168" s="718"/>
      <c r="AC168" s="335"/>
      <c r="AD168" s="383">
        <f>SUMIF('Asesorías AG anterior'!$B$7:$B$239,B168,'Asesorías AG anterior'!$I$7:$I$239)</f>
        <v>1E-3</v>
      </c>
      <c r="AE168" s="383">
        <f>SUMIF('Asesorías AG anterior'!$B$7:$B$239,B168,'Asesorías AG anterior'!$J$7:$J$239)</f>
        <v>0</v>
      </c>
      <c r="AF168" s="383">
        <f>SUMIF('Asesorías AG anterior'!$B$7:$B$239,B168,'Asesorías AG anterior'!$K$7:$K$239)</f>
        <v>1E-3</v>
      </c>
      <c r="AG168" s="383">
        <f>SUMIF('Asesorías AG anterior'!$B$7:$B$239,B168,'Asesorías AG anterior'!$L$7:$L$239)</f>
        <v>0</v>
      </c>
      <c r="AH168" s="383">
        <f>SUMIF('Asesorías AG anterior'!$B$7:$B$239,B168,'Asesorías AG anterior'!$M$7:$M$239)</f>
        <v>0</v>
      </c>
      <c r="AI168" s="383">
        <f>SUMIF('Asesorías AG anterior'!$B$7:$B$239,B168,'Asesorías AG anterior'!$N$7:$N$239)</f>
        <v>0</v>
      </c>
      <c r="AJ168" s="383">
        <f>SUMIF('Asesorías AG anterior'!$B$7:$B$239,B168,'Asesorías AG anterior'!$O$7:$O$239)</f>
        <v>1E-3</v>
      </c>
      <c r="AK168" s="383">
        <f>SUMIF('Asesorías AG anterior'!$B$7:$B$239,B168,'Asesorías AG anterior'!$P$7:$P$239)</f>
        <v>0</v>
      </c>
      <c r="AL168" s="383">
        <f>SUMIF('Asesorías AG anterior'!$B$7:$B$239,B168,'Asesorías AG anterior'!$Q$7:$Q$239)</f>
        <v>0</v>
      </c>
      <c r="AM168" s="383">
        <f>SUMIF('Asesorías AG anterior'!$B$7:$B$239,B168,'Asesorías AG anterior'!$R$7:$R$239)</f>
        <v>0</v>
      </c>
      <c r="AN168" s="383"/>
      <c r="AO168" s="383">
        <f>SUMIF('Asesorías AG anterior'!$B$7:$B$239,B168,'Asesorías AG anterior'!$T$7:$T$239)</f>
        <v>0</v>
      </c>
      <c r="AP168" s="383">
        <f>SUMIF('Asesorías AG anterior'!$B$7:$B$239,B168,'Asesorías AG anterior'!$U$7:$U$239)</f>
        <v>0</v>
      </c>
      <c r="AQ168" s="383">
        <f>SUMIF('Asesorías AG anterior'!$B$7:$B$239,B168,'Asesorías AG anterior'!$V$7:$V$239)</f>
        <v>0</v>
      </c>
      <c r="AR168" s="383">
        <f>SUMIF('Asesorías AG anterior'!$B$7:$B$239,B168,'Asesorías AG anterior'!$W$7:$W$239)</f>
        <v>0</v>
      </c>
      <c r="AS168" s="383">
        <f>SUMIF('Asesorías AG anterior'!$B$7:$B$239,B168,'Asesorías AG anterior'!$X$7:$X$239)</f>
        <v>0</v>
      </c>
      <c r="AT168" s="383">
        <f>SUMIF('Asesorías AG anterior'!$B$7:$B$239,B168,'Asesorías AG anterior'!$Y$7:$Y$239)</f>
        <v>0</v>
      </c>
      <c r="AU168" s="383">
        <f>SUMIF('Asesorías AG anterior'!$B$7:$B$239,B168,'Asesorías AG anterior'!$Z$7:$Z$239)</f>
        <v>0</v>
      </c>
      <c r="AV168" s="383">
        <f>SUMIF('Asesorías AG anterior'!$B$7:$B$239,B168,'Asesorías AG anterior'!$AA$7:$AA$239)</f>
        <v>0</v>
      </c>
      <c r="AW168" s="383">
        <f>SUMIF('Asesorías AG anterior'!$B$7:$B$239,B168,'Asesorías AG anterior'!$AB$7:$AB$239)</f>
        <v>0</v>
      </c>
      <c r="AX168" s="335"/>
      <c r="AZ168" s="1097" t="s">
        <v>116</v>
      </c>
    </row>
    <row r="169" spans="1:52" x14ac:dyDescent="0.2">
      <c r="A169" s="1184">
        <f t="shared" si="54"/>
        <v>161</v>
      </c>
      <c r="B169" s="1137" t="s">
        <v>193</v>
      </c>
      <c r="C169" s="1185">
        <f>_xlfn.XLOOKUP(B169,Códigos!$B$8:$B$406,Códigos!$A$8:$A$406,"Verificar",0)</f>
        <v>302</v>
      </c>
      <c r="D169" s="1114">
        <f>_xlfn.XLOOKUP(B169,'Consolidado Cobros'!$B$10:$B$312,'Consolidado Cobros'!$C$10:$C$312,"Verificar",0)</f>
        <v>900835266</v>
      </c>
      <c r="E169" s="1520">
        <f t="shared" si="40"/>
        <v>0</v>
      </c>
      <c r="F169" s="1517">
        <f t="shared" si="41"/>
        <v>0</v>
      </c>
      <c r="G169" s="1251">
        <f t="shared" si="42"/>
        <v>0</v>
      </c>
      <c r="H169" s="1240">
        <f t="shared" si="55"/>
        <v>0</v>
      </c>
      <c r="I169" s="1148"/>
      <c r="J169" s="383">
        <f t="shared" si="43"/>
        <v>0</v>
      </c>
      <c r="K169" s="712"/>
      <c r="L169" s="487">
        <f t="shared" si="44"/>
        <v>0</v>
      </c>
      <c r="M169" s="927"/>
      <c r="N169" s="672">
        <v>0</v>
      </c>
      <c r="O169" s="660"/>
      <c r="P169" s="1092">
        <f t="shared" si="45"/>
        <v>0</v>
      </c>
      <c r="Q169" s="1093">
        <v>0</v>
      </c>
      <c r="R169" s="381">
        <f t="shared" si="63"/>
        <v>0</v>
      </c>
      <c r="S169" s="382"/>
      <c r="T169" s="381"/>
      <c r="U169" s="624"/>
      <c r="V169" s="569">
        <f t="shared" si="46"/>
        <v>0</v>
      </c>
      <c r="W169" s="607"/>
      <c r="X169" s="383"/>
      <c r="Y169" s="607"/>
      <c r="Z169" s="383"/>
      <c r="AA169" s="607"/>
      <c r="AB169" s="718"/>
      <c r="AC169" s="335"/>
      <c r="AD169" s="383">
        <f>SUMIF('Asesorías AG anterior'!$B$7:$B$239,B169,'Asesorías AG anterior'!$I$7:$I$239)</f>
        <v>1E-3</v>
      </c>
      <c r="AE169" s="383">
        <f>SUMIF('Asesorías AG anterior'!$B$7:$B$239,B169,'Asesorías AG anterior'!$J$7:$J$239)</f>
        <v>0</v>
      </c>
      <c r="AF169" s="383">
        <f>SUMIF('Asesorías AG anterior'!$B$7:$B$239,B169,'Asesorías AG anterior'!$K$7:$K$239)</f>
        <v>1E-3</v>
      </c>
      <c r="AG169" s="383">
        <f>SUMIF('Asesorías AG anterior'!$B$7:$B$239,B169,'Asesorías AG anterior'!$L$7:$L$239)</f>
        <v>0</v>
      </c>
      <c r="AH169" s="383">
        <f>SUMIF('Asesorías AG anterior'!$B$7:$B$239,B169,'Asesorías AG anterior'!$M$7:$M$239)</f>
        <v>0</v>
      </c>
      <c r="AI169" s="383">
        <f>SUMIF('Asesorías AG anterior'!$B$7:$B$239,B169,'Asesorías AG anterior'!$N$7:$N$239)</f>
        <v>0</v>
      </c>
      <c r="AJ169" s="383">
        <f>SUMIF('Asesorías AG anterior'!$B$7:$B$239,B169,'Asesorías AG anterior'!$O$7:$O$239)</f>
        <v>1E-3</v>
      </c>
      <c r="AK169" s="383">
        <f>SUMIF('Asesorías AG anterior'!$B$7:$B$239,B169,'Asesorías AG anterior'!$P$7:$P$239)</f>
        <v>0</v>
      </c>
      <c r="AL169" s="383">
        <f>SUMIF('Asesorías AG anterior'!$B$7:$B$239,B169,'Asesorías AG anterior'!$Q$7:$Q$239)</f>
        <v>0</v>
      </c>
      <c r="AM169" s="383">
        <f>SUMIF('Asesorías AG anterior'!$B$7:$B$239,B169,'Asesorías AG anterior'!$R$7:$R$239)</f>
        <v>0</v>
      </c>
      <c r="AN169" s="383"/>
      <c r="AO169" s="383">
        <f>SUMIF('Asesorías AG anterior'!$B$7:$B$239,B169,'Asesorías AG anterior'!$T$7:$T$239)</f>
        <v>0</v>
      </c>
      <c r="AP169" s="383">
        <f>SUMIF('Asesorías AG anterior'!$B$7:$B$239,B169,'Asesorías AG anterior'!$U$7:$U$239)</f>
        <v>0</v>
      </c>
      <c r="AQ169" s="383">
        <f>SUMIF('Asesorías AG anterior'!$B$7:$B$239,B169,'Asesorías AG anterior'!$V$7:$V$239)</f>
        <v>0</v>
      </c>
      <c r="AR169" s="383">
        <f>SUMIF('Asesorías AG anterior'!$B$7:$B$239,B169,'Asesorías AG anterior'!$W$7:$W$239)</f>
        <v>0</v>
      </c>
      <c r="AS169" s="383">
        <f>SUMIF('Asesorías AG anterior'!$B$7:$B$239,B169,'Asesorías AG anterior'!$X$7:$X$239)</f>
        <v>0</v>
      </c>
      <c r="AT169" s="383">
        <f>SUMIF('Asesorías AG anterior'!$B$7:$B$239,B169,'Asesorías AG anterior'!$Y$7:$Y$239)</f>
        <v>0</v>
      </c>
      <c r="AU169" s="383">
        <f>SUMIF('Asesorías AG anterior'!$B$7:$B$239,B169,'Asesorías AG anterior'!$Z$7:$Z$239)</f>
        <v>0</v>
      </c>
      <c r="AV169" s="383">
        <f>SUMIF('Asesorías AG anterior'!$B$7:$B$239,B169,'Asesorías AG anterior'!$AA$7:$AA$239)</f>
        <v>0</v>
      </c>
      <c r="AW169" s="383">
        <f>SUMIF('Asesorías AG anterior'!$B$7:$B$239,B169,'Asesorías AG anterior'!$AB$7:$AB$239)</f>
        <v>0</v>
      </c>
      <c r="AX169" s="335"/>
      <c r="AZ169" s="1137" t="s">
        <v>193</v>
      </c>
    </row>
    <row r="170" spans="1:52" x14ac:dyDescent="0.2">
      <c r="A170" s="1184">
        <f t="shared" si="54"/>
        <v>162</v>
      </c>
      <c r="B170" s="1097" t="s">
        <v>117</v>
      </c>
      <c r="C170" s="1185">
        <f>_xlfn.XLOOKUP(B170,Códigos!$B$8:$B$406,Códigos!$A$8:$A$406,"Verificar",0)</f>
        <v>155</v>
      </c>
      <c r="D170" s="1114">
        <f>_xlfn.XLOOKUP(B170,'Consolidado Cobros'!$B$10:$B$312,'Consolidado Cobros'!$C$10:$C$312,"Verificar",0)</f>
        <v>92102300043</v>
      </c>
      <c r="E170" s="1520">
        <f t="shared" si="40"/>
        <v>1</v>
      </c>
      <c r="F170" s="1517">
        <f t="shared" si="41"/>
        <v>0</v>
      </c>
      <c r="G170" s="1251">
        <f t="shared" si="42"/>
        <v>0</v>
      </c>
      <c r="H170" s="1240">
        <f t="shared" si="55"/>
        <v>0</v>
      </c>
      <c r="I170" s="1148"/>
      <c r="J170" s="383">
        <f t="shared" si="43"/>
        <v>0</v>
      </c>
      <c r="K170" s="712"/>
      <c r="L170" s="487">
        <f t="shared" si="44"/>
        <v>0</v>
      </c>
      <c r="M170" s="927"/>
      <c r="N170" s="672">
        <v>0</v>
      </c>
      <c r="O170" s="660"/>
      <c r="P170" s="1092">
        <f t="shared" si="45"/>
        <v>0</v>
      </c>
      <c r="Q170" s="1093">
        <v>0</v>
      </c>
      <c r="R170" s="381">
        <f t="shared" si="63"/>
        <v>0</v>
      </c>
      <c r="S170" s="382"/>
      <c r="T170" s="381"/>
      <c r="U170" s="624"/>
      <c r="V170" s="569">
        <f t="shared" si="46"/>
        <v>0</v>
      </c>
      <c r="W170" s="607"/>
      <c r="X170" s="383"/>
      <c r="Y170" s="607"/>
      <c r="Z170" s="383"/>
      <c r="AA170" s="607"/>
      <c r="AB170" s="718"/>
      <c r="AC170" s="335"/>
      <c r="AD170" s="383">
        <f>SUMIF('Asesorías AG anterior'!$B$7:$B$239,B170,'Asesorías AG anterior'!$I$7:$I$239)</f>
        <v>1E-3</v>
      </c>
      <c r="AE170" s="383">
        <f>SUMIF('Asesorías AG anterior'!$B$7:$B$239,B170,'Asesorías AG anterior'!$J$7:$J$239)</f>
        <v>0</v>
      </c>
      <c r="AF170" s="383">
        <f>SUMIF('Asesorías AG anterior'!$B$7:$B$239,B170,'Asesorías AG anterior'!$K$7:$K$239)</f>
        <v>1E-3</v>
      </c>
      <c r="AG170" s="383">
        <f>SUMIF('Asesorías AG anterior'!$B$7:$B$239,B170,'Asesorías AG anterior'!$L$7:$L$239)</f>
        <v>0</v>
      </c>
      <c r="AH170" s="383">
        <f>SUMIF('Asesorías AG anterior'!$B$7:$B$239,B170,'Asesorías AG anterior'!$M$7:$M$239)</f>
        <v>0</v>
      </c>
      <c r="AI170" s="383">
        <f>SUMIF('Asesorías AG anterior'!$B$7:$B$239,B170,'Asesorías AG anterior'!$N$7:$N$239)</f>
        <v>0</v>
      </c>
      <c r="AJ170" s="383">
        <f>SUMIF('Asesorías AG anterior'!$B$7:$B$239,B170,'Asesorías AG anterior'!$O$7:$O$239)</f>
        <v>1E-3</v>
      </c>
      <c r="AK170" s="383">
        <f>SUMIF('Asesorías AG anterior'!$B$7:$B$239,B170,'Asesorías AG anterior'!$P$7:$P$239)</f>
        <v>0</v>
      </c>
      <c r="AL170" s="383">
        <f>SUMIF('Asesorías AG anterior'!$B$7:$B$239,B170,'Asesorías AG anterior'!$Q$7:$Q$239)</f>
        <v>0</v>
      </c>
      <c r="AM170" s="383">
        <f>SUMIF('Asesorías AG anterior'!$B$7:$B$239,B170,'Asesorías AG anterior'!$R$7:$R$239)</f>
        <v>0</v>
      </c>
      <c r="AN170" s="383"/>
      <c r="AO170" s="383">
        <f>SUMIF('Asesorías AG anterior'!$B$7:$B$239,B170,'Asesorías AG anterior'!$T$7:$T$239)</f>
        <v>0</v>
      </c>
      <c r="AP170" s="383">
        <f>SUMIF('Asesorías AG anterior'!$B$7:$B$239,B170,'Asesorías AG anterior'!$U$7:$U$239)</f>
        <v>0</v>
      </c>
      <c r="AQ170" s="383">
        <f>SUMIF('Asesorías AG anterior'!$B$7:$B$239,B170,'Asesorías AG anterior'!$V$7:$V$239)</f>
        <v>0</v>
      </c>
      <c r="AR170" s="383">
        <f>SUMIF('Asesorías AG anterior'!$B$7:$B$239,B170,'Asesorías AG anterior'!$W$7:$W$239)</f>
        <v>0</v>
      </c>
      <c r="AS170" s="383">
        <f>SUMIF('Asesorías AG anterior'!$B$7:$B$239,B170,'Asesorías AG anterior'!$X$7:$X$239)</f>
        <v>0</v>
      </c>
      <c r="AT170" s="383">
        <f>SUMIF('Asesorías AG anterior'!$B$7:$B$239,B170,'Asesorías AG anterior'!$Y$7:$Y$239)</f>
        <v>0</v>
      </c>
      <c r="AU170" s="383">
        <f>SUMIF('Asesorías AG anterior'!$B$7:$B$239,B170,'Asesorías AG anterior'!$Z$7:$Z$239)</f>
        <v>0</v>
      </c>
      <c r="AV170" s="383">
        <f>SUMIF('Asesorías AG anterior'!$B$7:$B$239,B170,'Asesorías AG anterior'!$AA$7:$AA$239)</f>
        <v>0</v>
      </c>
      <c r="AW170" s="383">
        <f>SUMIF('Asesorías AG anterior'!$B$7:$B$239,B170,'Asesorías AG anterior'!$AB$7:$AB$239)</f>
        <v>0</v>
      </c>
      <c r="AX170" s="335"/>
      <c r="AZ170" s="1393" t="s">
        <v>117</v>
      </c>
    </row>
    <row r="171" spans="1:52" x14ac:dyDescent="0.2">
      <c r="A171" s="1184">
        <f t="shared" si="54"/>
        <v>163</v>
      </c>
      <c r="B171" s="1097" t="s">
        <v>120</v>
      </c>
      <c r="C171" s="1185">
        <f>_xlfn.XLOOKUP(B171,Códigos!$B$8:$B$406,Códigos!$A$8:$A$406,"Verificar",0)</f>
        <v>158</v>
      </c>
      <c r="D171" s="1114">
        <f>_xlfn.XLOOKUP(B171,'Consolidado Cobros'!$B$10:$B$312,'Consolidado Cobros'!$C$10:$C$312,"Verificar",0)</f>
        <v>21356663</v>
      </c>
      <c r="E171" s="1520">
        <f t="shared" si="40"/>
        <v>8</v>
      </c>
      <c r="F171" s="1517">
        <f t="shared" si="41"/>
        <v>384582.99712041917</v>
      </c>
      <c r="G171" s="1251">
        <f t="shared" si="42"/>
        <v>0</v>
      </c>
      <c r="H171" s="1240">
        <f t="shared" si="55"/>
        <v>384582.99712041917</v>
      </c>
      <c r="I171" s="1148">
        <v>3</v>
      </c>
      <c r="J171" s="383">
        <f t="shared" si="43"/>
        <v>384582.99712041917</v>
      </c>
      <c r="K171" s="712"/>
      <c r="L171" s="487">
        <f t="shared" si="44"/>
        <v>0</v>
      </c>
      <c r="M171" s="927"/>
      <c r="N171" s="672">
        <v>0</v>
      </c>
      <c r="O171" s="660"/>
      <c r="P171" s="1092">
        <f t="shared" si="45"/>
        <v>0</v>
      </c>
      <c r="Q171" s="1093">
        <v>0</v>
      </c>
      <c r="R171" s="381">
        <f t="shared" si="63"/>
        <v>0</v>
      </c>
      <c r="S171" s="382"/>
      <c r="T171" s="381"/>
      <c r="U171" s="624"/>
      <c r="V171" s="569">
        <f t="shared" si="46"/>
        <v>0</v>
      </c>
      <c r="W171" s="607"/>
      <c r="X171" s="383"/>
      <c r="Y171" s="607"/>
      <c r="Z171" s="383"/>
      <c r="AA171" s="607"/>
      <c r="AB171" s="718"/>
      <c r="AC171" s="335"/>
      <c r="AD171" s="383">
        <f>SUMIF('Asesorías AG anterior'!$B$7:$B$239,B171,'Asesorías AG anterior'!$I$7:$I$239)</f>
        <v>3</v>
      </c>
      <c r="AE171" s="383">
        <f>SUMIF('Asesorías AG anterior'!$B$7:$B$239,B171,'Asesorías AG anterior'!$J$7:$J$239)</f>
        <v>365921.02485292027</v>
      </c>
      <c r="AF171" s="383">
        <f>SUMIF('Asesorías AG anterior'!$B$7:$B$239,B171,'Asesorías AG anterior'!$K$7:$K$239)</f>
        <v>1E-3</v>
      </c>
      <c r="AG171" s="383">
        <f>SUMIF('Asesorías AG anterior'!$B$7:$B$239,B171,'Asesorías AG anterior'!$L$7:$L$239)</f>
        <v>0</v>
      </c>
      <c r="AH171" s="383">
        <f>SUMIF('Asesorías AG anterior'!$B$7:$B$239,B171,'Asesorías AG anterior'!$M$7:$M$239)</f>
        <v>0</v>
      </c>
      <c r="AI171" s="383">
        <f>SUMIF('Asesorías AG anterior'!$B$7:$B$239,B171,'Asesorías AG anterior'!$N$7:$N$239)</f>
        <v>0</v>
      </c>
      <c r="AJ171" s="383">
        <f>SUMIF('Asesorías AG anterior'!$B$7:$B$239,B171,'Asesorías AG anterior'!$O$7:$O$239)</f>
        <v>1E-3</v>
      </c>
      <c r="AK171" s="383">
        <f>SUMIF('Asesorías AG anterior'!$B$7:$B$239,B171,'Asesorías AG anterior'!$P$7:$P$239)</f>
        <v>0</v>
      </c>
      <c r="AL171" s="383">
        <f>SUMIF('Asesorías AG anterior'!$B$7:$B$239,B171,'Asesorías AG anterior'!$Q$7:$Q$239)</f>
        <v>0</v>
      </c>
      <c r="AM171" s="383">
        <f>SUMIF('Asesorías AG anterior'!$B$7:$B$239,B171,'Asesorías AG anterior'!$R$7:$R$239)</f>
        <v>0</v>
      </c>
      <c r="AN171" s="383"/>
      <c r="AO171" s="383">
        <f>SUMIF('Asesorías AG anterior'!$B$7:$B$239,B171,'Asesorías AG anterior'!$T$7:$T$239)</f>
        <v>0</v>
      </c>
      <c r="AP171" s="383">
        <f>SUMIF('Asesorías AG anterior'!$B$7:$B$239,B171,'Asesorías AG anterior'!$U$7:$U$239)</f>
        <v>0</v>
      </c>
      <c r="AQ171" s="383">
        <f>SUMIF('Asesorías AG anterior'!$B$7:$B$239,B171,'Asesorías AG anterior'!$V$7:$V$239)</f>
        <v>0</v>
      </c>
      <c r="AR171" s="383">
        <f>SUMIF('Asesorías AG anterior'!$B$7:$B$239,B171,'Asesorías AG anterior'!$W$7:$W$239)</f>
        <v>0</v>
      </c>
      <c r="AS171" s="383">
        <f>SUMIF('Asesorías AG anterior'!$B$7:$B$239,B171,'Asesorías AG anterior'!$X$7:$X$239)</f>
        <v>0</v>
      </c>
      <c r="AT171" s="383">
        <f>SUMIF('Asesorías AG anterior'!$B$7:$B$239,B171,'Asesorías AG anterior'!$Y$7:$Y$239)</f>
        <v>0</v>
      </c>
      <c r="AU171" s="383">
        <f>SUMIF('Asesorías AG anterior'!$B$7:$B$239,B171,'Asesorías AG anterior'!$Z$7:$Z$239)</f>
        <v>0</v>
      </c>
      <c r="AV171" s="383">
        <f>SUMIF('Asesorías AG anterior'!$B$7:$B$239,B171,'Asesorías AG anterior'!$AA$7:$AA$239)</f>
        <v>0</v>
      </c>
      <c r="AW171" s="383">
        <f>SUMIF('Asesorías AG anterior'!$B$7:$B$239,B171,'Asesorías AG anterior'!$AB$7:$AB$239)</f>
        <v>0</v>
      </c>
      <c r="AX171" s="335"/>
      <c r="AZ171" s="1393" t="s">
        <v>120</v>
      </c>
    </row>
    <row r="172" spans="1:52" x14ac:dyDescent="0.2">
      <c r="A172" s="1184">
        <f t="shared" si="54"/>
        <v>164</v>
      </c>
      <c r="B172" s="1097" t="s">
        <v>310</v>
      </c>
      <c r="C172" s="1185">
        <f>_xlfn.XLOOKUP(B172,Códigos!$B$8:$B$406,Códigos!$A$8:$A$406,"Verificar",0)</f>
        <v>334</v>
      </c>
      <c r="D172" s="1114">
        <f>_xlfn.XLOOKUP(B172,'Consolidado Cobros'!$B$10:$B$312,'Consolidado Cobros'!$C$10:$C$312,"Verificar",0)</f>
        <v>15256982</v>
      </c>
      <c r="E172" s="1520">
        <f t="shared" si="40"/>
        <v>1</v>
      </c>
      <c r="F172" s="1517">
        <f t="shared" si="41"/>
        <v>0</v>
      </c>
      <c r="G172" s="1251">
        <f t="shared" si="42"/>
        <v>0</v>
      </c>
      <c r="H172" s="1240">
        <f t="shared" si="55"/>
        <v>0</v>
      </c>
      <c r="I172" s="1148"/>
      <c r="J172" s="383">
        <f t="shared" si="43"/>
        <v>0</v>
      </c>
      <c r="K172" s="712"/>
      <c r="L172" s="487">
        <f t="shared" si="44"/>
        <v>0</v>
      </c>
      <c r="M172" s="927"/>
      <c r="N172" s="672">
        <v>0</v>
      </c>
      <c r="O172" s="660"/>
      <c r="P172" s="1092">
        <f t="shared" si="45"/>
        <v>0</v>
      </c>
      <c r="Q172" s="1093">
        <v>0</v>
      </c>
      <c r="R172" s="381">
        <f t="shared" si="63"/>
        <v>0</v>
      </c>
      <c r="S172" s="382"/>
      <c r="T172" s="381"/>
      <c r="U172" s="624"/>
      <c r="V172" s="569">
        <f t="shared" si="46"/>
        <v>0</v>
      </c>
      <c r="W172" s="607"/>
      <c r="X172" s="383"/>
      <c r="Y172" s="607"/>
      <c r="Z172" s="383"/>
      <c r="AA172" s="607"/>
      <c r="AB172" s="718"/>
      <c r="AC172" s="335"/>
      <c r="AD172" s="383">
        <f>SUMIF('Asesorías AG anterior'!$B$7:$B$239,B172,'Asesorías AG anterior'!$I$7:$I$239)</f>
        <v>1E-3</v>
      </c>
      <c r="AE172" s="383">
        <f>SUMIF('Asesorías AG anterior'!$B$7:$B$239,B172,'Asesorías AG anterior'!$J$7:$J$239)</f>
        <v>0</v>
      </c>
      <c r="AF172" s="383">
        <f>SUMIF('Asesorías AG anterior'!$B$7:$B$239,B172,'Asesorías AG anterior'!$K$7:$K$239)</f>
        <v>1E-3</v>
      </c>
      <c r="AG172" s="383">
        <f>SUMIF('Asesorías AG anterior'!$B$7:$B$239,B172,'Asesorías AG anterior'!$L$7:$L$239)</f>
        <v>0</v>
      </c>
      <c r="AH172" s="383">
        <f>SUMIF('Asesorías AG anterior'!$B$7:$B$239,B172,'Asesorías AG anterior'!$M$7:$M$239)</f>
        <v>0</v>
      </c>
      <c r="AI172" s="383">
        <f>SUMIF('Asesorías AG anterior'!$B$7:$B$239,B172,'Asesorías AG anterior'!$N$7:$N$239)</f>
        <v>0</v>
      </c>
      <c r="AJ172" s="383">
        <f>SUMIF('Asesorías AG anterior'!$B$7:$B$239,B172,'Asesorías AG anterior'!$O$7:$O$239)</f>
        <v>1E-3</v>
      </c>
      <c r="AK172" s="383">
        <f>SUMIF('Asesorías AG anterior'!$B$7:$B$239,B172,'Asesorías AG anterior'!$P$7:$P$239)</f>
        <v>0</v>
      </c>
      <c r="AL172" s="383">
        <f>SUMIF('Asesorías AG anterior'!$B$7:$B$239,B172,'Asesorías AG anterior'!$Q$7:$Q$239)</f>
        <v>0</v>
      </c>
      <c r="AM172" s="383">
        <f>SUMIF('Asesorías AG anterior'!$B$7:$B$239,B172,'Asesorías AG anterior'!$R$7:$R$239)</f>
        <v>0</v>
      </c>
      <c r="AN172" s="383"/>
      <c r="AO172" s="383">
        <f>SUMIF('Asesorías AG anterior'!$B$7:$B$239,B172,'Asesorías AG anterior'!$T$7:$T$239)</f>
        <v>0</v>
      </c>
      <c r="AP172" s="383">
        <f>SUMIF('Asesorías AG anterior'!$B$7:$B$239,B172,'Asesorías AG anterior'!$U$7:$U$239)</f>
        <v>0</v>
      </c>
      <c r="AQ172" s="383">
        <f>SUMIF('Asesorías AG anterior'!$B$7:$B$239,B172,'Asesorías AG anterior'!$V$7:$V$239)</f>
        <v>0</v>
      </c>
      <c r="AR172" s="383">
        <f>SUMIF('Asesorías AG anterior'!$B$7:$B$239,B172,'Asesorías AG anterior'!$W$7:$W$239)</f>
        <v>0</v>
      </c>
      <c r="AS172" s="383">
        <f>SUMIF('Asesorías AG anterior'!$B$7:$B$239,B172,'Asesorías AG anterior'!$X$7:$X$239)</f>
        <v>0</v>
      </c>
      <c r="AT172" s="383">
        <f>SUMIF('Asesorías AG anterior'!$B$7:$B$239,B172,'Asesorías AG anterior'!$Y$7:$Y$239)</f>
        <v>0</v>
      </c>
      <c r="AU172" s="383">
        <f>SUMIF('Asesorías AG anterior'!$B$7:$B$239,B172,'Asesorías AG anterior'!$Z$7:$Z$239)</f>
        <v>0</v>
      </c>
      <c r="AV172" s="383">
        <f>SUMIF('Asesorías AG anterior'!$B$7:$B$239,B172,'Asesorías AG anterior'!$AA$7:$AA$239)</f>
        <v>0</v>
      </c>
      <c r="AW172" s="383">
        <f>SUMIF('Asesorías AG anterior'!$B$7:$B$239,B172,'Asesorías AG anterior'!$AB$7:$AB$239)</f>
        <v>0</v>
      </c>
      <c r="AX172" s="335"/>
      <c r="AZ172" s="1097" t="s">
        <v>310</v>
      </c>
    </row>
    <row r="173" spans="1:52" x14ac:dyDescent="0.2">
      <c r="A173" s="1184">
        <f t="shared" si="54"/>
        <v>165</v>
      </c>
      <c r="B173" s="1097" t="s">
        <v>320</v>
      </c>
      <c r="C173" s="1185">
        <f>_xlfn.XLOOKUP(B173,Códigos!$B$8:$B$406,Códigos!$A$8:$A$406,"Verificar",0)</f>
        <v>342</v>
      </c>
      <c r="D173" s="1114">
        <f>_xlfn.XLOOKUP(B173,'Consolidado Cobros'!$B$10:$B$312,'Consolidado Cobros'!$C$10:$C$312,"Verificar",0)</f>
        <v>71642392</v>
      </c>
      <c r="E173" s="1520">
        <f t="shared" si="40"/>
        <v>5</v>
      </c>
      <c r="F173" s="1517">
        <f t="shared" si="41"/>
        <v>0</v>
      </c>
      <c r="G173" s="1251">
        <f t="shared" si="42"/>
        <v>0</v>
      </c>
      <c r="H173" s="1240">
        <f t="shared" si="55"/>
        <v>0</v>
      </c>
      <c r="I173" s="1148"/>
      <c r="J173" s="383">
        <f t="shared" si="43"/>
        <v>0</v>
      </c>
      <c r="K173" s="712"/>
      <c r="L173" s="487">
        <f t="shared" si="44"/>
        <v>0</v>
      </c>
      <c r="M173" s="927"/>
      <c r="N173" s="672">
        <v>0</v>
      </c>
      <c r="O173" s="660"/>
      <c r="P173" s="1092">
        <f t="shared" si="45"/>
        <v>0</v>
      </c>
      <c r="Q173" s="1093">
        <v>0</v>
      </c>
      <c r="R173" s="381">
        <f t="shared" si="63"/>
        <v>0</v>
      </c>
      <c r="S173" s="382"/>
      <c r="T173" s="381"/>
      <c r="U173" s="624"/>
      <c r="V173" s="569">
        <f t="shared" si="46"/>
        <v>0</v>
      </c>
      <c r="W173" s="607"/>
      <c r="X173" s="383"/>
      <c r="Y173" s="607"/>
      <c r="Z173" s="383"/>
      <c r="AA173" s="607"/>
      <c r="AB173" s="718"/>
      <c r="AC173" s="335"/>
      <c r="AD173" s="383">
        <f>SUMIF('Asesorías AG anterior'!$B$7:$B$239,B173,'Asesorías AG anterior'!$I$7:$I$239)</f>
        <v>1E-3</v>
      </c>
      <c r="AE173" s="383">
        <f>SUMIF('Asesorías AG anterior'!$B$7:$B$239,B173,'Asesorías AG anterior'!$J$7:$J$239)</f>
        <v>0</v>
      </c>
      <c r="AF173" s="383">
        <f>SUMIF('Asesorías AG anterior'!$B$7:$B$239,B173,'Asesorías AG anterior'!$K$7:$K$239)</f>
        <v>1E-3</v>
      </c>
      <c r="AG173" s="383">
        <f>SUMIF('Asesorías AG anterior'!$B$7:$B$239,B173,'Asesorías AG anterior'!$L$7:$L$239)</f>
        <v>0</v>
      </c>
      <c r="AH173" s="383">
        <f>SUMIF('Asesorías AG anterior'!$B$7:$B$239,B173,'Asesorías AG anterior'!$M$7:$M$239)</f>
        <v>0</v>
      </c>
      <c r="AI173" s="383">
        <f>SUMIF('Asesorías AG anterior'!$B$7:$B$239,B173,'Asesorías AG anterior'!$N$7:$N$239)</f>
        <v>0</v>
      </c>
      <c r="AJ173" s="383">
        <f>SUMIF('Asesorías AG anterior'!$B$7:$B$239,B173,'Asesorías AG anterior'!$O$7:$O$239)</f>
        <v>1E-3</v>
      </c>
      <c r="AK173" s="383">
        <f>SUMIF('Asesorías AG anterior'!$B$7:$B$239,B173,'Asesorías AG anterior'!$P$7:$P$239)</f>
        <v>0</v>
      </c>
      <c r="AL173" s="383">
        <f>SUMIF('Asesorías AG anterior'!$B$7:$B$239,B173,'Asesorías AG anterior'!$Q$7:$Q$239)</f>
        <v>0</v>
      </c>
      <c r="AM173" s="383">
        <f>SUMIF('Asesorías AG anterior'!$B$7:$B$239,B173,'Asesorías AG anterior'!$R$7:$R$239)</f>
        <v>0</v>
      </c>
      <c r="AN173" s="383"/>
      <c r="AO173" s="383">
        <f>SUMIF('Asesorías AG anterior'!$B$7:$B$239,B173,'Asesorías AG anterior'!$T$7:$T$239)</f>
        <v>0</v>
      </c>
      <c r="AP173" s="383">
        <f>SUMIF('Asesorías AG anterior'!$B$7:$B$239,B173,'Asesorías AG anterior'!$U$7:$U$239)</f>
        <v>0</v>
      </c>
      <c r="AQ173" s="383">
        <f>SUMIF('Asesorías AG anterior'!$B$7:$B$239,B173,'Asesorías AG anterior'!$V$7:$V$239)</f>
        <v>0</v>
      </c>
      <c r="AR173" s="383">
        <f>SUMIF('Asesorías AG anterior'!$B$7:$B$239,B173,'Asesorías AG anterior'!$W$7:$W$239)</f>
        <v>0</v>
      </c>
      <c r="AS173" s="383">
        <f>SUMIF('Asesorías AG anterior'!$B$7:$B$239,B173,'Asesorías AG anterior'!$X$7:$X$239)</f>
        <v>0</v>
      </c>
      <c r="AT173" s="383">
        <f>SUMIF('Asesorías AG anterior'!$B$7:$B$239,B173,'Asesorías AG anterior'!$Y$7:$Y$239)</f>
        <v>0</v>
      </c>
      <c r="AU173" s="383">
        <f>SUMIF('Asesorías AG anterior'!$B$7:$B$239,B173,'Asesorías AG anterior'!$Z$7:$Z$239)</f>
        <v>0</v>
      </c>
      <c r="AV173" s="383">
        <f>SUMIF('Asesorías AG anterior'!$B$7:$B$239,B173,'Asesorías AG anterior'!$AA$7:$AA$239)</f>
        <v>0</v>
      </c>
      <c r="AW173" s="383">
        <f>SUMIF('Asesorías AG anterior'!$B$7:$B$239,B173,'Asesorías AG anterior'!$AB$7:$AB$239)</f>
        <v>0</v>
      </c>
      <c r="AX173" s="335"/>
      <c r="AZ173" s="1097" t="s">
        <v>320</v>
      </c>
    </row>
    <row r="174" spans="1:52" x14ac:dyDescent="0.2">
      <c r="A174" s="1184">
        <f t="shared" si="54"/>
        <v>166</v>
      </c>
      <c r="B174" s="1097" t="s">
        <v>121</v>
      </c>
      <c r="C174" s="1185">
        <f>_xlfn.XLOOKUP(B174,Códigos!$B$8:$B$406,Códigos!$A$8:$A$406,"Verificar",0)</f>
        <v>159</v>
      </c>
      <c r="D174" s="1114">
        <f>_xlfn.XLOOKUP(B174,'Consolidado Cobros'!$B$10:$B$312,'Consolidado Cobros'!$C$10:$C$312,"Verificar",0)</f>
        <v>87101474230</v>
      </c>
      <c r="E174" s="1520">
        <f t="shared" ref="E174:E233" si="65">IF((MOD((VALUE(MID(TEXT(D174,"000000000000000"),15,1))*3+VALUE(MID(TEXT(D174,"000000000000000"),14,1))*7+VALUE(MID(TEXT(D174,"000000000000000"),13,1))*13+VALUE(MID(TEXT(D174,"000000000000000"),12,1))*17+VALUE(MID(TEXT(D174,"000000000000000"),11,1))*19+VALUE(MID(TEXT(D174,"000000000000000"),10,1))*23+VALUE(MID(TEXT(D174,"000000000000000"),9,1))*29+VALUE(MID(TEXT(D174,"000000000000000"),8,1))*37+VALUE(MID(TEXT(D174,"000000000000000"),7,1))*41+VALUE(MID(TEXT(D174,"000000000000000"),6,1))*43+VALUE(MID(TEXT(D174,"000000000000000"),5,1))*47+VALUE(MID(TEXT(D174,"000000000000000"),4,1))*53+VALUE(MID(TEXT(D174,"000000000000000"),3,1))*59+VALUE(MID(TEXT(D174,"000000000000000"),2,1))*67+VALUE(MID(TEXT(D174,"000000000000000"),1,1))*71),11))=0,0,IF((MOD((VALUE(MID(TEXT(D174,"000000000000000"),15,1))*3+VALUE(MID(TEXT(D174,"000000000000000"),14,1))*7+VALUE(MID(TEXT(D174,"000000000000000"),13,1))*13+VALUE(MID(TEXT(D174,"000000000000000"),12,1))*17+VALUE(MID(TEXT(D174,"000000000000000"),11,1))*19+VALUE(MID(TEXT(D174,"000000000000000"),10,1))*23+VALUE(MID(TEXT(D174,"000000000000000"),9,1))*29+VALUE(MID(TEXT(D174,"000000000000000"),8,1))*37+VALUE(MID(TEXT(D174,"000000000000000"),7,1))*41+VALUE(MID(TEXT(D174,"000000000000000"),6,1))*43+VALUE(MID(TEXT(D174,"000000000000000"),5,1))*47+VALUE(MID(TEXT(D174,"000000000000000"),4,1))*53+VALUE(MID(TEXT(D174,"000000000000000"),3,1))*59+VALUE(MID(TEXT(D174,"000000000000000"),2,1))*67+VALUE(MID(TEXT(D174,"000000000000000"),1,1))*71),11))=1,1,11-(MOD((VALUE(MID(TEXT(D174,"000000000000000"),15,1))*3+VALUE(MID(TEXT(D174,"000000000000000"),14,1))*7+VALUE(MID(TEXT(D174,"000000000000000"),13,1))*13+VALUE(MID(TEXT(D174,"000000000000000"),12,1))*17+VALUE(MID(TEXT(D174,"000000000000000"),11,1))*19+VALUE(MID(TEXT(D174,"000000000000000"),10,1))*23+VALUE(MID(TEXT(D174,"000000000000000"),9,1))*29+VALUE(MID(TEXT(D174,"000000000000000"),8,1))*37+VALUE(MID(TEXT(D174,"000000000000000"),7,1))*41+VALUE(MID(TEXT(D174,"000000000000000"),6,1))*43+VALUE(MID(TEXT(D174,"000000000000000"),5,1))*47+VALUE(MID(TEXT(D174,"000000000000000"),4,1))*53+VALUE(MID(TEXT(D174,"000000000000000"),3,1))*59+VALUE(MID(TEXT(D174,"000000000000000"),2,1))*67+VALUE(MID(TEXT(D174,"000000000000000"),1,1))*71),11))))</f>
        <v>2</v>
      </c>
      <c r="F174" s="1517">
        <f t="shared" ref="F174:F234" si="66">+IF(H174&gt;0,H174,0)</f>
        <v>0</v>
      </c>
      <c r="G174" s="1251">
        <f t="shared" ref="G174:G234" si="67">+IF(V174&gt;0,V174,0)</f>
        <v>0</v>
      </c>
      <c r="H174" s="1240">
        <f t="shared" si="55"/>
        <v>0</v>
      </c>
      <c r="I174" s="1148"/>
      <c r="J174" s="383">
        <f t="shared" ref="J174:J234" si="68">+(AE174/AD174*(100%+$J$4))*I174</f>
        <v>0</v>
      </c>
      <c r="K174" s="712"/>
      <c r="L174" s="487">
        <f t="shared" ref="L174:L234" si="69">+(AG174/AF174*(100%+$J$4))*K174</f>
        <v>0</v>
      </c>
      <c r="M174" s="927"/>
      <c r="N174" s="672">
        <v>0</v>
      </c>
      <c r="O174" s="660"/>
      <c r="P174" s="1092">
        <f t="shared" ref="P174:P234" si="70">ROUND(IF(O174="SI",AK174*(100%+$P$4),0),-4)</f>
        <v>0</v>
      </c>
      <c r="Q174" s="1093">
        <v>0</v>
      </c>
      <c r="R174" s="381">
        <f t="shared" si="63"/>
        <v>0</v>
      </c>
      <c r="S174" s="382"/>
      <c r="T174" s="381"/>
      <c r="U174" s="624"/>
      <c r="V174" s="569">
        <f t="shared" ref="V174:V234" si="71">+X174+Z174+AB174</f>
        <v>0</v>
      </c>
      <c r="W174" s="607"/>
      <c r="X174" s="383"/>
      <c r="Y174" s="607"/>
      <c r="Z174" s="383"/>
      <c r="AA174" s="607"/>
      <c r="AB174" s="718"/>
      <c r="AC174" s="335"/>
      <c r="AD174" s="383">
        <f>SUMIF('Asesorías AG anterior'!$B$7:$B$239,B174,'Asesorías AG anterior'!$I$7:$I$239)</f>
        <v>1E-3</v>
      </c>
      <c r="AE174" s="383">
        <f>SUMIF('Asesorías AG anterior'!$B$7:$B$239,B174,'Asesorías AG anterior'!$J$7:$J$239)</f>
        <v>0</v>
      </c>
      <c r="AF174" s="383">
        <f>SUMIF('Asesorías AG anterior'!$B$7:$B$239,B174,'Asesorías AG anterior'!$K$7:$K$239)</f>
        <v>1E-3</v>
      </c>
      <c r="AG174" s="383">
        <f>SUMIF('Asesorías AG anterior'!$B$7:$B$239,B174,'Asesorías AG anterior'!$L$7:$L$239)</f>
        <v>0</v>
      </c>
      <c r="AH174" s="383">
        <f>SUMIF('Asesorías AG anterior'!$B$7:$B$239,B174,'Asesorías AG anterior'!$M$7:$M$239)</f>
        <v>0</v>
      </c>
      <c r="AI174" s="383">
        <f>SUMIF('Asesorías AG anterior'!$B$7:$B$239,B174,'Asesorías AG anterior'!$N$7:$N$239)</f>
        <v>0</v>
      </c>
      <c r="AJ174" s="383">
        <f>SUMIF('Asesorías AG anterior'!$B$7:$B$239,B174,'Asesorías AG anterior'!$O$7:$O$239)</f>
        <v>1E-3</v>
      </c>
      <c r="AK174" s="383">
        <f>SUMIF('Asesorías AG anterior'!$B$7:$B$239,B174,'Asesorías AG anterior'!$P$7:$P$239)</f>
        <v>0</v>
      </c>
      <c r="AL174" s="383">
        <f>SUMIF('Asesorías AG anterior'!$B$7:$B$239,B174,'Asesorías AG anterior'!$Q$7:$Q$239)</f>
        <v>0</v>
      </c>
      <c r="AM174" s="383">
        <f>SUMIF('Asesorías AG anterior'!$B$7:$B$239,B174,'Asesorías AG anterior'!$R$7:$R$239)</f>
        <v>0</v>
      </c>
      <c r="AN174" s="383"/>
      <c r="AO174" s="383">
        <f>SUMIF('Asesorías AG anterior'!$B$7:$B$239,B174,'Asesorías AG anterior'!$T$7:$T$239)</f>
        <v>0</v>
      </c>
      <c r="AP174" s="383">
        <f>SUMIF('Asesorías AG anterior'!$B$7:$B$239,B174,'Asesorías AG anterior'!$U$7:$U$239)</f>
        <v>0</v>
      </c>
      <c r="AQ174" s="383">
        <f>SUMIF('Asesorías AG anterior'!$B$7:$B$239,B174,'Asesorías AG anterior'!$V$7:$V$239)</f>
        <v>0</v>
      </c>
      <c r="AR174" s="383">
        <f>SUMIF('Asesorías AG anterior'!$B$7:$B$239,B174,'Asesorías AG anterior'!$W$7:$W$239)</f>
        <v>0</v>
      </c>
      <c r="AS174" s="383">
        <f>SUMIF('Asesorías AG anterior'!$B$7:$B$239,B174,'Asesorías AG anterior'!$X$7:$X$239)</f>
        <v>0</v>
      </c>
      <c r="AT174" s="383">
        <f>SUMIF('Asesorías AG anterior'!$B$7:$B$239,B174,'Asesorías AG anterior'!$Y$7:$Y$239)</f>
        <v>0</v>
      </c>
      <c r="AU174" s="383">
        <f>SUMIF('Asesorías AG anterior'!$B$7:$B$239,B174,'Asesorías AG anterior'!$Z$7:$Z$239)</f>
        <v>0</v>
      </c>
      <c r="AV174" s="383">
        <f>SUMIF('Asesorías AG anterior'!$B$7:$B$239,B174,'Asesorías AG anterior'!$AA$7:$AA$239)</f>
        <v>0</v>
      </c>
      <c r="AW174" s="383">
        <f>SUMIF('Asesorías AG anterior'!$B$7:$B$239,B174,'Asesorías AG anterior'!$AB$7:$AB$239)</f>
        <v>0</v>
      </c>
      <c r="AX174" s="335"/>
      <c r="AZ174" s="1393" t="s">
        <v>121</v>
      </c>
    </row>
    <row r="175" spans="1:52" x14ac:dyDescent="0.2">
      <c r="A175" s="1184">
        <f t="shared" si="54"/>
        <v>167</v>
      </c>
      <c r="B175" s="1097" t="s">
        <v>122</v>
      </c>
      <c r="C175" s="1185">
        <f>_xlfn.XLOOKUP(B175,Códigos!$B$8:$B$406,Códigos!$A$8:$A$406,"Verificar",0)</f>
        <v>160</v>
      </c>
      <c r="D175" s="1114">
        <f>_xlfn.XLOOKUP(B175,'Consolidado Cobros'!$B$10:$B$312,'Consolidado Cobros'!$C$10:$C$312,"Verificar",0)</f>
        <v>71368472</v>
      </c>
      <c r="E175" s="1520">
        <f t="shared" si="65"/>
        <v>1</v>
      </c>
      <c r="F175" s="1517">
        <f t="shared" si="66"/>
        <v>0</v>
      </c>
      <c r="G175" s="1251">
        <f t="shared" si="67"/>
        <v>0</v>
      </c>
      <c r="H175" s="1240">
        <f t="shared" si="55"/>
        <v>0</v>
      </c>
      <c r="I175" s="1148"/>
      <c r="J175" s="383">
        <f t="shared" si="68"/>
        <v>0</v>
      </c>
      <c r="K175" s="712"/>
      <c r="L175" s="487">
        <f t="shared" si="69"/>
        <v>0</v>
      </c>
      <c r="M175" s="927"/>
      <c r="N175" s="672">
        <v>0</v>
      </c>
      <c r="O175" s="660"/>
      <c r="P175" s="1092">
        <f t="shared" si="70"/>
        <v>0</v>
      </c>
      <c r="Q175" s="1093">
        <v>0</v>
      </c>
      <c r="R175" s="381">
        <f t="shared" si="63"/>
        <v>0</v>
      </c>
      <c r="S175" s="382"/>
      <c r="T175" s="381"/>
      <c r="U175" s="624"/>
      <c r="V175" s="569">
        <f t="shared" si="71"/>
        <v>0</v>
      </c>
      <c r="W175" s="607"/>
      <c r="X175" s="383"/>
      <c r="Y175" s="607"/>
      <c r="Z175" s="383"/>
      <c r="AA175" s="607"/>
      <c r="AB175" s="718"/>
      <c r="AC175" s="335"/>
      <c r="AD175" s="383">
        <f>SUMIF('Asesorías AG anterior'!$B$7:$B$239,B175,'Asesorías AG anterior'!$I$7:$I$239)</f>
        <v>1E-3</v>
      </c>
      <c r="AE175" s="383">
        <f>SUMIF('Asesorías AG anterior'!$B$7:$B$239,B175,'Asesorías AG anterior'!$J$7:$J$239)</f>
        <v>0</v>
      </c>
      <c r="AF175" s="383">
        <f>SUMIF('Asesorías AG anterior'!$B$7:$B$239,B175,'Asesorías AG anterior'!$K$7:$K$239)</f>
        <v>1E-3</v>
      </c>
      <c r="AG175" s="383">
        <f>SUMIF('Asesorías AG anterior'!$B$7:$B$239,B175,'Asesorías AG anterior'!$L$7:$L$239)</f>
        <v>0</v>
      </c>
      <c r="AH175" s="383">
        <f>SUMIF('Asesorías AG anterior'!$B$7:$B$239,B175,'Asesorías AG anterior'!$M$7:$M$239)</f>
        <v>0</v>
      </c>
      <c r="AI175" s="383">
        <f>SUMIF('Asesorías AG anterior'!$B$7:$B$239,B175,'Asesorías AG anterior'!$N$7:$N$239)</f>
        <v>0</v>
      </c>
      <c r="AJ175" s="383">
        <f>SUMIF('Asesorías AG anterior'!$B$7:$B$239,B175,'Asesorías AG anterior'!$O$7:$O$239)</f>
        <v>1E-3</v>
      </c>
      <c r="AK175" s="383">
        <f>SUMIF('Asesorías AG anterior'!$B$7:$B$239,B175,'Asesorías AG anterior'!$P$7:$P$239)</f>
        <v>0</v>
      </c>
      <c r="AL175" s="383">
        <f>SUMIF('Asesorías AG anterior'!$B$7:$B$239,B175,'Asesorías AG anterior'!$Q$7:$Q$239)</f>
        <v>0</v>
      </c>
      <c r="AM175" s="383">
        <f>SUMIF('Asesorías AG anterior'!$B$7:$B$239,B175,'Asesorías AG anterior'!$R$7:$R$239)</f>
        <v>0</v>
      </c>
      <c r="AN175" s="383"/>
      <c r="AO175" s="383">
        <f>SUMIF('Asesorías AG anterior'!$B$7:$B$239,B175,'Asesorías AG anterior'!$T$7:$T$239)</f>
        <v>0</v>
      </c>
      <c r="AP175" s="383">
        <f>SUMIF('Asesorías AG anterior'!$B$7:$B$239,B175,'Asesorías AG anterior'!$U$7:$U$239)</f>
        <v>0</v>
      </c>
      <c r="AQ175" s="383">
        <f>SUMIF('Asesorías AG anterior'!$B$7:$B$239,B175,'Asesorías AG anterior'!$V$7:$V$239)</f>
        <v>0</v>
      </c>
      <c r="AR175" s="383">
        <f>SUMIF('Asesorías AG anterior'!$B$7:$B$239,B175,'Asesorías AG anterior'!$W$7:$W$239)</f>
        <v>0</v>
      </c>
      <c r="AS175" s="383">
        <f>SUMIF('Asesorías AG anterior'!$B$7:$B$239,B175,'Asesorías AG anterior'!$X$7:$X$239)</f>
        <v>0</v>
      </c>
      <c r="AT175" s="383">
        <f>SUMIF('Asesorías AG anterior'!$B$7:$B$239,B175,'Asesorías AG anterior'!$Y$7:$Y$239)</f>
        <v>0</v>
      </c>
      <c r="AU175" s="383">
        <f>SUMIF('Asesorías AG anterior'!$B$7:$B$239,B175,'Asesorías AG anterior'!$Z$7:$Z$239)</f>
        <v>0</v>
      </c>
      <c r="AV175" s="383">
        <f>SUMIF('Asesorías AG anterior'!$B$7:$B$239,B175,'Asesorías AG anterior'!$AA$7:$AA$239)</f>
        <v>0</v>
      </c>
      <c r="AW175" s="383">
        <f>SUMIF('Asesorías AG anterior'!$B$7:$B$239,B175,'Asesorías AG anterior'!$AB$7:$AB$239)</f>
        <v>0</v>
      </c>
      <c r="AX175" s="335"/>
      <c r="AZ175" s="1393" t="s">
        <v>122</v>
      </c>
    </row>
    <row r="176" spans="1:52" x14ac:dyDescent="0.2">
      <c r="A176" s="1184">
        <f t="shared" si="54"/>
        <v>168</v>
      </c>
      <c r="B176" s="1097" t="s">
        <v>125</v>
      </c>
      <c r="C176" s="1185">
        <f>_xlfn.XLOOKUP(B176,Códigos!$B$8:$B$406,Códigos!$A$8:$A$406,"Verificar",0)</f>
        <v>165</v>
      </c>
      <c r="D176" s="1114">
        <f>_xlfn.XLOOKUP(B176,'Consolidado Cobros'!$B$10:$B$312,'Consolidado Cobros'!$C$10:$C$312,"Verificar",0)</f>
        <v>32404117</v>
      </c>
      <c r="E176" s="1520">
        <f t="shared" si="65"/>
        <v>4</v>
      </c>
      <c r="F176" s="1517">
        <f t="shared" si="66"/>
        <v>0</v>
      </c>
      <c r="G176" s="1251">
        <f t="shared" si="67"/>
        <v>0</v>
      </c>
      <c r="H176" s="1240">
        <f t="shared" si="55"/>
        <v>0</v>
      </c>
      <c r="I176" s="1148"/>
      <c r="J176" s="383">
        <f t="shared" si="68"/>
        <v>0</v>
      </c>
      <c r="K176" s="712"/>
      <c r="L176" s="487">
        <f t="shared" si="69"/>
        <v>0</v>
      </c>
      <c r="M176" s="927"/>
      <c r="N176" s="672">
        <v>0</v>
      </c>
      <c r="O176" s="660"/>
      <c r="P176" s="1092">
        <f t="shared" si="70"/>
        <v>0</v>
      </c>
      <c r="Q176" s="1093">
        <v>0</v>
      </c>
      <c r="R176" s="381">
        <f t="shared" si="63"/>
        <v>0</v>
      </c>
      <c r="S176" s="382"/>
      <c r="T176" s="381"/>
      <c r="U176" s="624"/>
      <c r="V176" s="569">
        <f t="shared" si="71"/>
        <v>0</v>
      </c>
      <c r="W176" s="607"/>
      <c r="X176" s="383"/>
      <c r="Y176" s="607"/>
      <c r="Z176" s="383"/>
      <c r="AA176" s="607"/>
      <c r="AB176" s="718"/>
      <c r="AC176" s="335"/>
      <c r="AD176" s="383">
        <f>SUMIF('Asesorías AG anterior'!$B$7:$B$239,B176,'Asesorías AG anterior'!$I$7:$I$239)</f>
        <v>1E-3</v>
      </c>
      <c r="AE176" s="383">
        <f>SUMIF('Asesorías AG anterior'!$B$7:$B$239,B176,'Asesorías AG anterior'!$J$7:$J$239)</f>
        <v>0</v>
      </c>
      <c r="AF176" s="383">
        <f>SUMIF('Asesorías AG anterior'!$B$7:$B$239,B176,'Asesorías AG anterior'!$K$7:$K$239)</f>
        <v>1E-3</v>
      </c>
      <c r="AG176" s="383">
        <f>SUMIF('Asesorías AG anterior'!$B$7:$B$239,B176,'Asesorías AG anterior'!$L$7:$L$239)</f>
        <v>0</v>
      </c>
      <c r="AH176" s="383">
        <f>SUMIF('Asesorías AG anterior'!$B$7:$B$239,B176,'Asesorías AG anterior'!$M$7:$M$239)</f>
        <v>0</v>
      </c>
      <c r="AI176" s="383">
        <f>SUMIF('Asesorías AG anterior'!$B$7:$B$239,B176,'Asesorías AG anterior'!$N$7:$N$239)</f>
        <v>0</v>
      </c>
      <c r="AJ176" s="383">
        <f>SUMIF('Asesorías AG anterior'!$B$7:$B$239,B176,'Asesorías AG anterior'!$O$7:$O$239)</f>
        <v>1E-3</v>
      </c>
      <c r="AK176" s="383">
        <f>SUMIF('Asesorías AG anterior'!$B$7:$B$239,B176,'Asesorías AG anterior'!$P$7:$P$239)</f>
        <v>0</v>
      </c>
      <c r="AL176" s="383">
        <f>SUMIF('Asesorías AG anterior'!$B$7:$B$239,B176,'Asesorías AG anterior'!$Q$7:$Q$239)</f>
        <v>0</v>
      </c>
      <c r="AM176" s="383">
        <f>SUMIF('Asesorías AG anterior'!$B$7:$B$239,B176,'Asesorías AG anterior'!$R$7:$R$239)</f>
        <v>0</v>
      </c>
      <c r="AN176" s="383"/>
      <c r="AO176" s="383">
        <f>SUMIF('Asesorías AG anterior'!$B$7:$B$239,B176,'Asesorías AG anterior'!$T$7:$T$239)</f>
        <v>0</v>
      </c>
      <c r="AP176" s="383">
        <f>SUMIF('Asesorías AG anterior'!$B$7:$B$239,B176,'Asesorías AG anterior'!$U$7:$U$239)</f>
        <v>0</v>
      </c>
      <c r="AQ176" s="383">
        <f>SUMIF('Asesorías AG anterior'!$B$7:$B$239,B176,'Asesorías AG anterior'!$V$7:$V$239)</f>
        <v>0</v>
      </c>
      <c r="AR176" s="383">
        <f>SUMIF('Asesorías AG anterior'!$B$7:$B$239,B176,'Asesorías AG anterior'!$W$7:$W$239)</f>
        <v>0</v>
      </c>
      <c r="AS176" s="383">
        <f>SUMIF('Asesorías AG anterior'!$B$7:$B$239,B176,'Asesorías AG anterior'!$X$7:$X$239)</f>
        <v>0</v>
      </c>
      <c r="AT176" s="383">
        <f>SUMIF('Asesorías AG anterior'!$B$7:$B$239,B176,'Asesorías AG anterior'!$Y$7:$Y$239)</f>
        <v>0</v>
      </c>
      <c r="AU176" s="383">
        <f>SUMIF('Asesorías AG anterior'!$B$7:$B$239,B176,'Asesorías AG anterior'!$Z$7:$Z$239)</f>
        <v>0</v>
      </c>
      <c r="AV176" s="383">
        <f>SUMIF('Asesorías AG anterior'!$B$7:$B$239,B176,'Asesorías AG anterior'!$AA$7:$AA$239)</f>
        <v>0</v>
      </c>
      <c r="AW176" s="383">
        <f>SUMIF('Asesorías AG anterior'!$B$7:$B$239,B176,'Asesorías AG anterior'!$AB$7:$AB$239)</f>
        <v>0</v>
      </c>
      <c r="AX176" s="335"/>
      <c r="AZ176" s="1393" t="s">
        <v>125</v>
      </c>
    </row>
    <row r="177" spans="1:52" x14ac:dyDescent="0.2">
      <c r="A177" s="1184">
        <f t="shared" si="54"/>
        <v>169</v>
      </c>
      <c r="B177" s="1097" t="s">
        <v>126</v>
      </c>
      <c r="C177" s="1185">
        <f>_xlfn.XLOOKUP(B177,Códigos!$B$8:$B$406,Códigos!$A$8:$A$406,"Verificar",0)</f>
        <v>166</v>
      </c>
      <c r="D177" s="1114">
        <f>_xlfn.XLOOKUP(B177,'Consolidado Cobros'!$B$10:$B$312,'Consolidado Cobros'!$C$10:$C$312,"Verificar",0)</f>
        <v>8248980</v>
      </c>
      <c r="E177" s="1520">
        <f t="shared" si="65"/>
        <v>8</v>
      </c>
      <c r="F177" s="1517">
        <f t="shared" si="66"/>
        <v>600000</v>
      </c>
      <c r="G177" s="1251">
        <f t="shared" si="67"/>
        <v>0</v>
      </c>
      <c r="H177" s="1240">
        <f>+J177+L177+N177+P177+U177+R177</f>
        <v>600000</v>
      </c>
      <c r="I177" s="1148"/>
      <c r="J177" s="383">
        <f t="shared" si="68"/>
        <v>0</v>
      </c>
      <c r="K177" s="712"/>
      <c r="L177" s="487">
        <f t="shared" si="69"/>
        <v>0</v>
      </c>
      <c r="M177" s="927"/>
      <c r="N177" s="672">
        <v>0</v>
      </c>
      <c r="O177" s="660"/>
      <c r="P177" s="1092">
        <f t="shared" si="70"/>
        <v>0</v>
      </c>
      <c r="Q177" s="1093">
        <v>0</v>
      </c>
      <c r="R177" s="1813">
        <f>600000</f>
        <v>600000</v>
      </c>
      <c r="S177" s="382"/>
      <c r="T177" s="381"/>
      <c r="U177" s="624"/>
      <c r="V177" s="569">
        <f t="shared" si="71"/>
        <v>0</v>
      </c>
      <c r="W177" s="607"/>
      <c r="X177" s="383"/>
      <c r="Y177" s="607"/>
      <c r="Z177" s="383"/>
      <c r="AA177" s="607"/>
      <c r="AB177" s="718"/>
      <c r="AC177" s="335"/>
      <c r="AD177" s="383">
        <f>SUMIF('Asesorías AG anterior'!$B$7:$B$239,B177,'Asesorías AG anterior'!$I$7:$I$239)</f>
        <v>1E-3</v>
      </c>
      <c r="AE177" s="383">
        <f>SUMIF('Asesorías AG anterior'!$B$7:$B$239,B177,'Asesorías AG anterior'!$J$7:$J$239)</f>
        <v>0</v>
      </c>
      <c r="AF177" s="383">
        <f>SUMIF('Asesorías AG anterior'!$B$7:$B$239,B177,'Asesorías AG anterior'!$K$7:$K$239)</f>
        <v>1E-3</v>
      </c>
      <c r="AG177" s="383">
        <f>SUMIF('Asesorías AG anterior'!$B$7:$B$239,B177,'Asesorías AG anterior'!$L$7:$L$239)</f>
        <v>0</v>
      </c>
      <c r="AH177" s="383">
        <f>SUMIF('Asesorías AG anterior'!$B$7:$B$239,B177,'Asesorías AG anterior'!$M$7:$M$239)</f>
        <v>0</v>
      </c>
      <c r="AI177" s="383">
        <f>SUMIF('Asesorías AG anterior'!$B$7:$B$239,B177,'Asesorías AG anterior'!$N$7:$N$239)</f>
        <v>0</v>
      </c>
      <c r="AJ177" s="383">
        <f>SUMIF('Asesorías AG anterior'!$B$7:$B$239,B177,'Asesorías AG anterior'!$O$7:$O$239)</f>
        <v>1E-3</v>
      </c>
      <c r="AK177" s="383">
        <f>SUMIF('Asesorías AG anterior'!$B$7:$B$239,B177,'Asesorías AG anterior'!$P$7:$P$239)</f>
        <v>0</v>
      </c>
      <c r="AL177" s="383">
        <f>SUMIF('Asesorías AG anterior'!$B$7:$B$239,B177,'Asesorías AG anterior'!$Q$7:$Q$239)</f>
        <v>0</v>
      </c>
      <c r="AM177" s="383">
        <f>SUMIF('Asesorías AG anterior'!$B$7:$B$239,B177,'Asesorías AG anterior'!$R$7:$R$239)</f>
        <v>500000</v>
      </c>
      <c r="AN177" s="383"/>
      <c r="AO177" s="383">
        <f>SUMIF('Asesorías AG anterior'!$B$7:$B$239,B177,'Asesorías AG anterior'!$T$7:$T$239)</f>
        <v>0</v>
      </c>
      <c r="AP177" s="383">
        <f>SUMIF('Asesorías AG anterior'!$B$7:$B$239,B177,'Asesorías AG anterior'!$U$7:$U$239)</f>
        <v>0</v>
      </c>
      <c r="AQ177" s="383">
        <f>SUMIF('Asesorías AG anterior'!$B$7:$B$239,B177,'Asesorías AG anterior'!$V$7:$V$239)</f>
        <v>0</v>
      </c>
      <c r="AR177" s="383">
        <f>SUMIF('Asesorías AG anterior'!$B$7:$B$239,B177,'Asesorías AG anterior'!$W$7:$W$239)</f>
        <v>0</v>
      </c>
      <c r="AS177" s="383">
        <f>SUMIF('Asesorías AG anterior'!$B$7:$B$239,B177,'Asesorías AG anterior'!$X$7:$X$239)</f>
        <v>0</v>
      </c>
      <c r="AT177" s="383">
        <f>SUMIF('Asesorías AG anterior'!$B$7:$B$239,B177,'Asesorías AG anterior'!$Y$7:$Y$239)</f>
        <v>0</v>
      </c>
      <c r="AU177" s="383">
        <f>SUMIF('Asesorías AG anterior'!$B$7:$B$239,B177,'Asesorías AG anterior'!$Z$7:$Z$239)</f>
        <v>0</v>
      </c>
      <c r="AV177" s="383">
        <f>SUMIF('Asesorías AG anterior'!$B$7:$B$239,B177,'Asesorías AG anterior'!$AA$7:$AA$239)</f>
        <v>0</v>
      </c>
      <c r="AW177" s="383">
        <f>SUMIF('Asesorías AG anterior'!$B$7:$B$239,B177,'Asesorías AG anterior'!$AB$7:$AB$239)</f>
        <v>0</v>
      </c>
      <c r="AX177" s="335"/>
      <c r="AZ177" s="1393" t="s">
        <v>126</v>
      </c>
    </row>
    <row r="178" spans="1:52" x14ac:dyDescent="0.2">
      <c r="A178" s="1184">
        <f t="shared" si="54"/>
        <v>170</v>
      </c>
      <c r="B178" s="1097" t="s">
        <v>127</v>
      </c>
      <c r="C178" s="1185">
        <f>_xlfn.XLOOKUP(B178,Códigos!$B$8:$B$406,Códigos!$A$8:$A$406,"Verificar",0)</f>
        <v>167</v>
      </c>
      <c r="D178" s="1114">
        <f>_xlfn.XLOOKUP(B178,'Consolidado Cobros'!$B$10:$B$312,'Consolidado Cobros'!$C$10:$C$312,"Verificar",0)</f>
        <v>8290656</v>
      </c>
      <c r="E178" s="1520">
        <f t="shared" si="65"/>
        <v>3</v>
      </c>
      <c r="F178" s="1517">
        <f t="shared" si="66"/>
        <v>0</v>
      </c>
      <c r="G178" s="1251">
        <f t="shared" si="67"/>
        <v>0</v>
      </c>
      <c r="H178" s="1240">
        <f t="shared" si="55"/>
        <v>0</v>
      </c>
      <c r="I178" s="1148"/>
      <c r="J178" s="383">
        <f t="shared" si="68"/>
        <v>0</v>
      </c>
      <c r="K178" s="712"/>
      <c r="L178" s="487">
        <f t="shared" si="69"/>
        <v>0</v>
      </c>
      <c r="M178" s="927"/>
      <c r="N178" s="672">
        <v>0</v>
      </c>
      <c r="O178" s="660"/>
      <c r="P178" s="1092">
        <f t="shared" si="70"/>
        <v>0</v>
      </c>
      <c r="Q178" s="1093">
        <v>0</v>
      </c>
      <c r="R178" s="381">
        <f t="shared" si="63"/>
        <v>0</v>
      </c>
      <c r="S178" s="382"/>
      <c r="T178" s="381"/>
      <c r="U178" s="624"/>
      <c r="V178" s="569">
        <f t="shared" si="71"/>
        <v>0</v>
      </c>
      <c r="W178" s="607"/>
      <c r="X178" s="383"/>
      <c r="Y178" s="607"/>
      <c r="Z178" s="383"/>
      <c r="AA178" s="607"/>
      <c r="AB178" s="718"/>
      <c r="AC178" s="335"/>
      <c r="AD178" s="383">
        <f>SUMIF('Asesorías AG anterior'!$B$7:$B$239,B178,'Asesorías AG anterior'!$I$7:$I$239)</f>
        <v>1E-3</v>
      </c>
      <c r="AE178" s="383">
        <f>SUMIF('Asesorías AG anterior'!$B$7:$B$239,B178,'Asesorías AG anterior'!$J$7:$J$239)</f>
        <v>0</v>
      </c>
      <c r="AF178" s="383">
        <f>SUMIF('Asesorías AG anterior'!$B$7:$B$239,B178,'Asesorías AG anterior'!$K$7:$K$239)</f>
        <v>1E-3</v>
      </c>
      <c r="AG178" s="383">
        <f>SUMIF('Asesorías AG anterior'!$B$7:$B$239,B178,'Asesorías AG anterior'!$L$7:$L$239)</f>
        <v>0</v>
      </c>
      <c r="AH178" s="383">
        <f>SUMIF('Asesorías AG anterior'!$B$7:$B$239,B178,'Asesorías AG anterior'!$M$7:$M$239)</f>
        <v>0</v>
      </c>
      <c r="AI178" s="383">
        <f>SUMIF('Asesorías AG anterior'!$B$7:$B$239,B178,'Asesorías AG anterior'!$N$7:$N$239)</f>
        <v>0</v>
      </c>
      <c r="AJ178" s="383">
        <f>SUMIF('Asesorías AG anterior'!$B$7:$B$239,B178,'Asesorías AG anterior'!$O$7:$O$239)</f>
        <v>1E-3</v>
      </c>
      <c r="AK178" s="383">
        <f>SUMIF('Asesorías AG anterior'!$B$7:$B$239,B178,'Asesorías AG anterior'!$P$7:$P$239)</f>
        <v>0</v>
      </c>
      <c r="AL178" s="383">
        <f>SUMIF('Asesorías AG anterior'!$B$7:$B$239,B178,'Asesorías AG anterior'!$Q$7:$Q$239)</f>
        <v>0</v>
      </c>
      <c r="AM178" s="383">
        <f>SUMIF('Asesorías AG anterior'!$B$7:$B$239,B178,'Asesorías AG anterior'!$R$7:$R$239)</f>
        <v>0</v>
      </c>
      <c r="AN178" s="383"/>
      <c r="AO178" s="383">
        <f>SUMIF('Asesorías AG anterior'!$B$7:$B$239,B178,'Asesorías AG anterior'!$T$7:$T$239)</f>
        <v>0</v>
      </c>
      <c r="AP178" s="383">
        <f>SUMIF('Asesorías AG anterior'!$B$7:$B$239,B178,'Asesorías AG anterior'!$U$7:$U$239)</f>
        <v>0</v>
      </c>
      <c r="AQ178" s="383">
        <f>SUMIF('Asesorías AG anterior'!$B$7:$B$239,B178,'Asesorías AG anterior'!$V$7:$V$239)</f>
        <v>0</v>
      </c>
      <c r="AR178" s="383">
        <f>SUMIF('Asesorías AG anterior'!$B$7:$B$239,B178,'Asesorías AG anterior'!$W$7:$W$239)</f>
        <v>0</v>
      </c>
      <c r="AS178" s="383">
        <f>SUMIF('Asesorías AG anterior'!$B$7:$B$239,B178,'Asesorías AG anterior'!$X$7:$X$239)</f>
        <v>0</v>
      </c>
      <c r="AT178" s="383">
        <f>SUMIF('Asesorías AG anterior'!$B$7:$B$239,B178,'Asesorías AG anterior'!$Y$7:$Y$239)</f>
        <v>0</v>
      </c>
      <c r="AU178" s="383">
        <f>SUMIF('Asesorías AG anterior'!$B$7:$B$239,B178,'Asesorías AG anterior'!$Z$7:$Z$239)</f>
        <v>0</v>
      </c>
      <c r="AV178" s="383">
        <f>SUMIF('Asesorías AG anterior'!$B$7:$B$239,B178,'Asesorías AG anterior'!$AA$7:$AA$239)</f>
        <v>0</v>
      </c>
      <c r="AW178" s="383">
        <f>SUMIF('Asesorías AG anterior'!$B$7:$B$239,B178,'Asesorías AG anterior'!$AB$7:$AB$239)</f>
        <v>0</v>
      </c>
      <c r="AX178" s="335"/>
      <c r="AZ178" s="1393" t="s">
        <v>127</v>
      </c>
    </row>
    <row r="179" spans="1:52" x14ac:dyDescent="0.2">
      <c r="A179" s="1184">
        <f t="shared" si="54"/>
        <v>171</v>
      </c>
      <c r="B179" s="1097" t="s">
        <v>128</v>
      </c>
      <c r="C179" s="1185">
        <f>_xlfn.XLOOKUP(B179,Códigos!$B$8:$B$406,Códigos!$A$8:$A$406,"Verificar",0)</f>
        <v>168</v>
      </c>
      <c r="D179" s="1114">
        <f>_xlfn.XLOOKUP(B179,'Consolidado Cobros'!$B$10:$B$312,'Consolidado Cobros'!$C$10:$C$312,"Verificar",0)</f>
        <v>32524963</v>
      </c>
      <c r="E179" s="1520">
        <f t="shared" si="65"/>
        <v>3</v>
      </c>
      <c r="F179" s="1517">
        <f t="shared" si="66"/>
        <v>696501.152</v>
      </c>
      <c r="G179" s="1251">
        <f t="shared" si="67"/>
        <v>0</v>
      </c>
      <c r="H179" s="1240">
        <f>+J179+L179+N179+P179+U179+R179</f>
        <v>696501.152</v>
      </c>
      <c r="I179" s="1148">
        <v>3</v>
      </c>
      <c r="J179" s="383">
        <f t="shared" si="68"/>
        <v>390501.152</v>
      </c>
      <c r="K179" s="712"/>
      <c r="L179" s="487">
        <f t="shared" si="69"/>
        <v>0</v>
      </c>
      <c r="M179" s="927"/>
      <c r="N179" s="672">
        <v>0</v>
      </c>
      <c r="O179" s="660" t="s">
        <v>318</v>
      </c>
      <c r="P179" s="1092">
        <v>150000</v>
      </c>
      <c r="Q179" s="1093">
        <v>0</v>
      </c>
      <c r="R179" s="1814">
        <f>13000*12</f>
        <v>156000</v>
      </c>
      <c r="S179" s="1815" t="s">
        <v>1092</v>
      </c>
      <c r="T179" s="381">
        <f>306000/12</f>
        <v>25500</v>
      </c>
      <c r="U179" s="624"/>
      <c r="V179" s="569">
        <f t="shared" si="71"/>
        <v>0</v>
      </c>
      <c r="W179" s="607"/>
      <c r="X179" s="383"/>
      <c r="Y179" s="607"/>
      <c r="Z179" s="383"/>
      <c r="AA179" s="607"/>
      <c r="AB179" s="718"/>
      <c r="AC179" s="335"/>
      <c r="AD179" s="383">
        <f>SUMIF('Asesorías AG anterior'!$B$7:$B$239,B179,'Asesorías AG anterior'!$I$7:$I$239)</f>
        <v>3</v>
      </c>
      <c r="AE179" s="383">
        <f>SUMIF('Asesorías AG anterior'!$B$7:$B$239,B179,'Asesorías AG anterior'!$J$7:$J$239)</f>
        <v>371552</v>
      </c>
      <c r="AF179" s="383">
        <f>SUMIF('Asesorías AG anterior'!$B$7:$B$239,B179,'Asesorías AG anterior'!$K$7:$K$239)</f>
        <v>1E-3</v>
      </c>
      <c r="AG179" s="383">
        <f>SUMIF('Asesorías AG anterior'!$B$7:$B$239,B179,'Asesorías AG anterior'!$L$7:$L$239)</f>
        <v>0</v>
      </c>
      <c r="AH179" s="383">
        <f>SUMIF('Asesorías AG anterior'!$B$7:$B$239,B179,'Asesorías AG anterior'!$M$7:$M$239)</f>
        <v>0</v>
      </c>
      <c r="AI179" s="383">
        <f>SUMIF('Asesorías AG anterior'!$B$7:$B$239,B179,'Asesorías AG anterior'!$N$7:$N$239)</f>
        <v>0</v>
      </c>
      <c r="AJ179" s="383">
        <f>SUMIF('Asesorías AG anterior'!$B$7:$B$239,B179,'Asesorías AG anterior'!$O$7:$O$239)</f>
        <v>0</v>
      </c>
      <c r="AK179" s="383">
        <f>SUMIF('Asesorías AG anterior'!$B$7:$B$239,B179,'Asesorías AG anterior'!$P$7:$P$239)</f>
        <v>130000</v>
      </c>
      <c r="AL179" s="383">
        <f>SUMIF('Asesorías AG anterior'!$B$7:$B$239,B179,'Asesorías AG anterior'!$Q$7:$Q$239)</f>
        <v>0</v>
      </c>
      <c r="AM179" s="383">
        <f>SUMIF('Asesorías AG anterior'!$B$7:$B$239,B179,'Asesorías AG anterior'!$R$7:$R$239)</f>
        <v>130000</v>
      </c>
      <c r="AN179" s="383"/>
      <c r="AO179" s="383">
        <f>SUMIF('Asesorías AG anterior'!$B$7:$B$239,B179,'Asesorías AG anterior'!$T$7:$T$239)</f>
        <v>0</v>
      </c>
      <c r="AP179" s="383">
        <f>SUMIF('Asesorías AG anterior'!$B$7:$B$239,B179,'Asesorías AG anterior'!$U$7:$U$239)</f>
        <v>0</v>
      </c>
      <c r="AQ179" s="383">
        <f>SUMIF('Asesorías AG anterior'!$B$7:$B$239,B179,'Asesorías AG anterior'!$V$7:$V$239)</f>
        <v>0</v>
      </c>
      <c r="AR179" s="383">
        <f>SUMIF('Asesorías AG anterior'!$B$7:$B$239,B179,'Asesorías AG anterior'!$W$7:$W$239)</f>
        <v>0</v>
      </c>
      <c r="AS179" s="383">
        <f>SUMIF('Asesorías AG anterior'!$B$7:$B$239,B179,'Asesorías AG anterior'!$X$7:$X$239)</f>
        <v>0</v>
      </c>
      <c r="AT179" s="383">
        <f>SUMIF('Asesorías AG anterior'!$B$7:$B$239,B179,'Asesorías AG anterior'!$Y$7:$Y$239)</f>
        <v>0</v>
      </c>
      <c r="AU179" s="383">
        <f>SUMIF('Asesorías AG anterior'!$B$7:$B$239,B179,'Asesorías AG anterior'!$Z$7:$Z$239)</f>
        <v>0</v>
      </c>
      <c r="AV179" s="383">
        <f>SUMIF('Asesorías AG anterior'!$B$7:$B$239,B179,'Asesorías AG anterior'!$AA$7:$AA$239)</f>
        <v>0</v>
      </c>
      <c r="AW179" s="383">
        <f>SUMIF('Asesorías AG anterior'!$B$7:$B$239,B179,'Asesorías AG anterior'!$AB$7:$AB$239)</f>
        <v>0</v>
      </c>
      <c r="AX179" s="335"/>
      <c r="AZ179" s="1393" t="s">
        <v>128</v>
      </c>
    </row>
    <row r="180" spans="1:52" x14ac:dyDescent="0.2">
      <c r="A180" s="1184">
        <f t="shared" si="54"/>
        <v>172</v>
      </c>
      <c r="B180" s="1137" t="s">
        <v>368</v>
      </c>
      <c r="C180" s="1185">
        <f>_xlfn.XLOOKUP(B180,Códigos!$B$8:$B$406,Códigos!$A$8:$A$406,"Verificar",0)</f>
        <v>35</v>
      </c>
      <c r="D180" s="1114">
        <f>_xlfn.XLOOKUP(B180,'Consolidado Cobros'!$B$10:$B$312,'Consolidado Cobros'!$C$10:$C$312,"Verificar",0)</f>
        <v>800178231</v>
      </c>
      <c r="E180" s="1520">
        <f t="shared" si="65"/>
        <v>1</v>
      </c>
      <c r="F180" s="1517">
        <f t="shared" si="66"/>
        <v>0</v>
      </c>
      <c r="G180" s="1251">
        <f t="shared" si="67"/>
        <v>0</v>
      </c>
      <c r="H180" s="1240">
        <f t="shared" si="55"/>
        <v>0</v>
      </c>
      <c r="I180" s="1148"/>
      <c r="J180" s="383">
        <f t="shared" si="68"/>
        <v>0</v>
      </c>
      <c r="K180" s="712"/>
      <c r="L180" s="487">
        <f t="shared" si="69"/>
        <v>0</v>
      </c>
      <c r="M180" s="927"/>
      <c r="N180" s="672">
        <v>0</v>
      </c>
      <c r="P180" s="1092">
        <f>ROUND(IF(O179="SI",AK180*(100%+$P$4),0),-4)</f>
        <v>0</v>
      </c>
      <c r="Q180" s="1093">
        <v>0</v>
      </c>
      <c r="R180" s="381">
        <f t="shared" si="63"/>
        <v>0</v>
      </c>
      <c r="S180" s="382"/>
      <c r="T180" s="381"/>
      <c r="U180" s="624"/>
      <c r="V180" s="569">
        <f t="shared" si="71"/>
        <v>0</v>
      </c>
      <c r="W180" s="607"/>
      <c r="X180" s="383"/>
      <c r="Y180" s="607"/>
      <c r="Z180" s="383"/>
      <c r="AA180" s="607"/>
      <c r="AB180" s="718"/>
      <c r="AC180" s="335"/>
      <c r="AD180" s="383">
        <f>SUMIF('Asesorías AG anterior'!$B$7:$B$239,B180,'Asesorías AG anterior'!$I$7:$I$239)</f>
        <v>1E-3</v>
      </c>
      <c r="AE180" s="383">
        <f>SUMIF('Asesorías AG anterior'!$B$7:$B$239,B180,'Asesorías AG anterior'!$J$7:$J$239)</f>
        <v>0</v>
      </c>
      <c r="AF180" s="383">
        <f>SUMIF('Asesorías AG anterior'!$B$7:$B$239,B180,'Asesorías AG anterior'!$K$7:$K$239)</f>
        <v>1E-3</v>
      </c>
      <c r="AG180" s="383">
        <f>SUMIF('Asesorías AG anterior'!$B$7:$B$239,B180,'Asesorías AG anterior'!$L$7:$L$239)</f>
        <v>0</v>
      </c>
      <c r="AH180" s="383">
        <f>SUMIF('Asesorías AG anterior'!$B$7:$B$239,B180,'Asesorías AG anterior'!$M$7:$M$239)</f>
        <v>0</v>
      </c>
      <c r="AI180" s="383">
        <f>SUMIF('Asesorías AG anterior'!$B$7:$B$239,B180,'Asesorías AG anterior'!$N$7:$N$239)</f>
        <v>0</v>
      </c>
      <c r="AJ180" s="383">
        <f>SUMIF('Asesorías AG anterior'!$B$7:$B$239,B180,'Asesorías AG anterior'!$O$7:$O$239)</f>
        <v>1E-3</v>
      </c>
      <c r="AK180" s="383">
        <f>SUMIF('Asesorías AG anterior'!$B$7:$B$239,B180,'Asesorías AG anterior'!$P$7:$P$239)</f>
        <v>0</v>
      </c>
      <c r="AL180" s="383">
        <f>SUMIF('Asesorías AG anterior'!$B$7:$B$239,B180,'Asesorías AG anterior'!$Q$7:$Q$239)</f>
        <v>0</v>
      </c>
      <c r="AM180" s="383">
        <f>SUMIF('Asesorías AG anterior'!$B$7:$B$239,B180,'Asesorías AG anterior'!$R$7:$R$239)</f>
        <v>0</v>
      </c>
      <c r="AN180" s="383"/>
      <c r="AO180" s="383">
        <f>SUMIF('Asesorías AG anterior'!$B$7:$B$239,B180,'Asesorías AG anterior'!$T$7:$T$239)</f>
        <v>0</v>
      </c>
      <c r="AP180" s="383">
        <f>SUMIF('Asesorías AG anterior'!$B$7:$B$239,B180,'Asesorías AG anterior'!$U$7:$U$239)</f>
        <v>0</v>
      </c>
      <c r="AQ180" s="383">
        <f>SUMIF('Asesorías AG anterior'!$B$7:$B$239,B180,'Asesorías AG anterior'!$V$7:$V$239)</f>
        <v>0</v>
      </c>
      <c r="AR180" s="383">
        <f>SUMIF('Asesorías AG anterior'!$B$7:$B$239,B180,'Asesorías AG anterior'!$W$7:$W$239)</f>
        <v>0</v>
      </c>
      <c r="AS180" s="383">
        <f>SUMIF('Asesorías AG anterior'!$B$7:$B$239,B180,'Asesorías AG anterior'!$X$7:$X$239)</f>
        <v>0</v>
      </c>
      <c r="AT180" s="383">
        <f>SUMIF('Asesorías AG anterior'!$B$7:$B$239,B180,'Asesorías AG anterior'!$Y$7:$Y$239)</f>
        <v>0</v>
      </c>
      <c r="AU180" s="383">
        <f>SUMIF('Asesorías AG anterior'!$B$7:$B$239,B180,'Asesorías AG anterior'!$Z$7:$Z$239)</f>
        <v>0</v>
      </c>
      <c r="AV180" s="383">
        <f>SUMIF('Asesorías AG anterior'!$B$7:$B$239,B180,'Asesorías AG anterior'!$AA$7:$AA$239)</f>
        <v>0</v>
      </c>
      <c r="AW180" s="383">
        <f>SUMIF('Asesorías AG anterior'!$B$7:$B$239,B180,'Asesorías AG anterior'!$AB$7:$AB$239)</f>
        <v>0</v>
      </c>
      <c r="AX180" s="335"/>
      <c r="AZ180" s="1137" t="s">
        <v>368</v>
      </c>
    </row>
    <row r="181" spans="1:52" x14ac:dyDescent="0.2">
      <c r="A181" s="1184">
        <f t="shared" si="54"/>
        <v>173</v>
      </c>
      <c r="B181" s="1097" t="s">
        <v>767</v>
      </c>
      <c r="C181" s="1185">
        <f>_xlfn.XLOOKUP(B181,Códigos!$B$8:$B$406,Códigos!$A$8:$A$406,"Verificar",0)</f>
        <v>308</v>
      </c>
      <c r="D181" s="1114">
        <f>_xlfn.XLOOKUP(B181,'Consolidado Cobros'!$B$10:$B$312,'Consolidado Cobros'!$C$10:$C$312,"Verificar",0)</f>
        <v>39295015</v>
      </c>
      <c r="E181" s="1520">
        <f t="shared" ref="E181" si="72">IF((MOD((VALUE(MID(TEXT(D181,"000000000000000"),15,1))*3+VALUE(MID(TEXT(D181,"000000000000000"),14,1))*7+VALUE(MID(TEXT(D181,"000000000000000"),13,1))*13+VALUE(MID(TEXT(D181,"000000000000000"),12,1))*17+VALUE(MID(TEXT(D181,"000000000000000"),11,1))*19+VALUE(MID(TEXT(D181,"000000000000000"),10,1))*23+VALUE(MID(TEXT(D181,"000000000000000"),9,1))*29+VALUE(MID(TEXT(D181,"000000000000000"),8,1))*37+VALUE(MID(TEXT(D181,"000000000000000"),7,1))*41+VALUE(MID(TEXT(D181,"000000000000000"),6,1))*43+VALUE(MID(TEXT(D181,"000000000000000"),5,1))*47+VALUE(MID(TEXT(D181,"000000000000000"),4,1))*53+VALUE(MID(TEXT(D181,"000000000000000"),3,1))*59+VALUE(MID(TEXT(D181,"000000000000000"),2,1))*67+VALUE(MID(TEXT(D181,"000000000000000"),1,1))*71),11))=0,0,IF((MOD((VALUE(MID(TEXT(D181,"000000000000000"),15,1))*3+VALUE(MID(TEXT(D181,"000000000000000"),14,1))*7+VALUE(MID(TEXT(D181,"000000000000000"),13,1))*13+VALUE(MID(TEXT(D181,"000000000000000"),12,1))*17+VALUE(MID(TEXT(D181,"000000000000000"),11,1))*19+VALUE(MID(TEXT(D181,"000000000000000"),10,1))*23+VALUE(MID(TEXT(D181,"000000000000000"),9,1))*29+VALUE(MID(TEXT(D181,"000000000000000"),8,1))*37+VALUE(MID(TEXT(D181,"000000000000000"),7,1))*41+VALUE(MID(TEXT(D181,"000000000000000"),6,1))*43+VALUE(MID(TEXT(D181,"000000000000000"),5,1))*47+VALUE(MID(TEXT(D181,"000000000000000"),4,1))*53+VALUE(MID(TEXT(D181,"000000000000000"),3,1))*59+VALUE(MID(TEXT(D181,"000000000000000"),2,1))*67+VALUE(MID(TEXT(D181,"000000000000000"),1,1))*71),11))=1,1,11-(MOD((VALUE(MID(TEXT(D181,"000000000000000"),15,1))*3+VALUE(MID(TEXT(D181,"000000000000000"),14,1))*7+VALUE(MID(TEXT(D181,"000000000000000"),13,1))*13+VALUE(MID(TEXT(D181,"000000000000000"),12,1))*17+VALUE(MID(TEXT(D181,"000000000000000"),11,1))*19+VALUE(MID(TEXT(D181,"000000000000000"),10,1))*23+VALUE(MID(TEXT(D181,"000000000000000"),9,1))*29+VALUE(MID(TEXT(D181,"000000000000000"),8,1))*37+VALUE(MID(TEXT(D181,"000000000000000"),7,1))*41+VALUE(MID(TEXT(D181,"000000000000000"),6,1))*43+VALUE(MID(TEXT(D181,"000000000000000"),5,1))*47+VALUE(MID(TEXT(D181,"000000000000000"),4,1))*53+VALUE(MID(TEXT(D181,"000000000000000"),3,1))*59+VALUE(MID(TEXT(D181,"000000000000000"),2,1))*67+VALUE(MID(TEXT(D181,"000000000000000"),1,1))*71),11))))</f>
        <v>8</v>
      </c>
      <c r="F181" s="1517">
        <f t="shared" si="66"/>
        <v>0</v>
      </c>
      <c r="G181" s="1251">
        <f t="shared" si="67"/>
        <v>0</v>
      </c>
      <c r="H181" s="1240">
        <f t="shared" si="55"/>
        <v>0</v>
      </c>
      <c r="I181" s="1148"/>
      <c r="J181" s="383">
        <f t="shared" si="68"/>
        <v>0</v>
      </c>
      <c r="K181" s="712"/>
      <c r="L181" s="487">
        <f t="shared" si="69"/>
        <v>0</v>
      </c>
      <c r="M181" s="927"/>
      <c r="N181" s="672">
        <v>0</v>
      </c>
      <c r="O181" s="660"/>
      <c r="P181" s="1092">
        <f t="shared" si="70"/>
        <v>0</v>
      </c>
      <c r="Q181" s="1093">
        <v>0</v>
      </c>
      <c r="R181" s="381">
        <f t="shared" si="63"/>
        <v>0</v>
      </c>
      <c r="S181" s="382"/>
      <c r="T181" s="381"/>
      <c r="U181" s="624"/>
      <c r="V181" s="569">
        <f t="shared" si="71"/>
        <v>0</v>
      </c>
      <c r="W181" s="607"/>
      <c r="X181" s="383"/>
      <c r="Y181" s="607"/>
      <c r="Z181" s="383"/>
      <c r="AA181" s="607"/>
      <c r="AB181" s="718"/>
      <c r="AC181" s="335"/>
      <c r="AD181" s="383">
        <f>SUMIF('Asesorías AG anterior'!$B$7:$B$239,B181,'Asesorías AG anterior'!$I$7:$I$239)</f>
        <v>1E-3</v>
      </c>
      <c r="AE181" s="383">
        <f>SUMIF('Asesorías AG anterior'!$B$7:$B$239,B181,'Asesorías AG anterior'!$J$7:$J$239)</f>
        <v>0</v>
      </c>
      <c r="AF181" s="383">
        <f>SUMIF('Asesorías AG anterior'!$B$7:$B$239,B181,'Asesorías AG anterior'!$K$7:$K$239)</f>
        <v>1E-3</v>
      </c>
      <c r="AG181" s="383">
        <f>SUMIF('Asesorías AG anterior'!$B$7:$B$239,B181,'Asesorías AG anterior'!$L$7:$L$239)</f>
        <v>0</v>
      </c>
      <c r="AH181" s="383">
        <f>SUMIF('Asesorías AG anterior'!$B$7:$B$239,B181,'Asesorías AG anterior'!$M$7:$M$239)</f>
        <v>0</v>
      </c>
      <c r="AI181" s="383">
        <f>SUMIF('Asesorías AG anterior'!$B$7:$B$239,B181,'Asesorías AG anterior'!$N$7:$N$239)</f>
        <v>0</v>
      </c>
      <c r="AJ181" s="383">
        <f>SUMIF('Asesorías AG anterior'!$B$7:$B$239,B181,'Asesorías AG anterior'!$O$7:$O$239)</f>
        <v>1E-3</v>
      </c>
      <c r="AK181" s="383">
        <f>SUMIF('Asesorías AG anterior'!$B$7:$B$239,B181,'Asesorías AG anterior'!$P$7:$P$239)</f>
        <v>0</v>
      </c>
      <c r="AL181" s="383">
        <f>SUMIF('Asesorías AG anterior'!$B$7:$B$239,B181,'Asesorías AG anterior'!$Q$7:$Q$239)</f>
        <v>0</v>
      </c>
      <c r="AM181" s="383">
        <f>SUMIF('Asesorías AG anterior'!$B$7:$B$239,B181,'Asesorías AG anterior'!$R$7:$R$239)</f>
        <v>0</v>
      </c>
      <c r="AN181" s="383"/>
      <c r="AO181" s="383">
        <f>SUMIF('Asesorías AG anterior'!$B$7:$B$239,B181,'Asesorías AG anterior'!$T$7:$T$239)</f>
        <v>0</v>
      </c>
      <c r="AP181" s="383">
        <f>SUMIF('Asesorías AG anterior'!$B$7:$B$239,B181,'Asesorías AG anterior'!$U$7:$U$239)</f>
        <v>0</v>
      </c>
      <c r="AQ181" s="383">
        <f>SUMIF('Asesorías AG anterior'!$B$7:$B$239,B181,'Asesorías AG anterior'!$V$7:$V$239)</f>
        <v>0</v>
      </c>
      <c r="AR181" s="383">
        <f>SUMIF('Asesorías AG anterior'!$B$7:$B$239,B181,'Asesorías AG anterior'!$W$7:$W$239)</f>
        <v>0</v>
      </c>
      <c r="AS181" s="383">
        <f>SUMIF('Asesorías AG anterior'!$B$7:$B$239,B181,'Asesorías AG anterior'!$X$7:$X$239)</f>
        <v>0</v>
      </c>
      <c r="AT181" s="383">
        <f>SUMIF('Asesorías AG anterior'!$B$7:$B$239,B181,'Asesorías AG anterior'!$Y$7:$Y$239)</f>
        <v>0</v>
      </c>
      <c r="AU181" s="383">
        <f>SUMIF('Asesorías AG anterior'!$B$7:$B$239,B181,'Asesorías AG anterior'!$Z$7:$Z$239)</f>
        <v>0</v>
      </c>
      <c r="AV181" s="383">
        <f>SUMIF('Asesorías AG anterior'!$B$7:$B$239,B181,'Asesorías AG anterior'!$AA$7:$AA$239)</f>
        <v>0</v>
      </c>
      <c r="AW181" s="383">
        <f>SUMIF('Asesorías AG anterior'!$B$7:$B$239,B181,'Asesorías AG anterior'!$AB$7:$AB$239)</f>
        <v>0</v>
      </c>
      <c r="AX181" s="335"/>
      <c r="AZ181" s="1097" t="s">
        <v>767</v>
      </c>
    </row>
    <row r="182" spans="1:52" x14ac:dyDescent="0.2">
      <c r="A182" s="1184">
        <f t="shared" si="54"/>
        <v>174</v>
      </c>
      <c r="B182" s="1097" t="s">
        <v>607</v>
      </c>
      <c r="C182" s="1185">
        <f>_xlfn.XLOOKUP(B182,Códigos!$B$8:$B$406,Códigos!$A$8:$A$406,"Verificar",0)</f>
        <v>237</v>
      </c>
      <c r="D182" s="1114">
        <f>_xlfn.XLOOKUP(B182,'Consolidado Cobros'!$B$10:$B$312,'Consolidado Cobros'!$C$10:$C$312,"Verificar",0)</f>
        <v>1128457837</v>
      </c>
      <c r="E182" s="1520">
        <f t="shared" si="65"/>
        <v>5</v>
      </c>
      <c r="F182" s="1517">
        <f t="shared" si="66"/>
        <v>0</v>
      </c>
      <c r="G182" s="1251">
        <f t="shared" si="67"/>
        <v>0</v>
      </c>
      <c r="H182" s="1240">
        <f t="shared" si="55"/>
        <v>0</v>
      </c>
      <c r="I182" s="1148"/>
      <c r="J182" s="383">
        <f t="shared" si="68"/>
        <v>0</v>
      </c>
      <c r="K182" s="712"/>
      <c r="L182" s="487">
        <f t="shared" si="69"/>
        <v>0</v>
      </c>
      <c r="M182" s="927"/>
      <c r="N182" s="672">
        <v>0</v>
      </c>
      <c r="O182" s="660"/>
      <c r="P182" s="1092">
        <f t="shared" si="70"/>
        <v>0</v>
      </c>
      <c r="Q182" s="1093">
        <v>0</v>
      </c>
      <c r="R182" s="381">
        <f t="shared" si="63"/>
        <v>0</v>
      </c>
      <c r="S182" s="382"/>
      <c r="T182" s="381"/>
      <c r="U182" s="624"/>
      <c r="V182" s="569">
        <f t="shared" si="71"/>
        <v>0</v>
      </c>
      <c r="W182" s="607"/>
      <c r="X182" s="383"/>
      <c r="Y182" s="607"/>
      <c r="Z182" s="383"/>
      <c r="AA182" s="607"/>
      <c r="AB182" s="718"/>
      <c r="AC182" s="335"/>
      <c r="AD182" s="383">
        <f>SUMIF('Asesorías AG anterior'!$B$7:$B$239,B182,'Asesorías AG anterior'!$I$7:$I$239)</f>
        <v>1E-3</v>
      </c>
      <c r="AE182" s="383">
        <f>SUMIF('Asesorías AG anterior'!$B$7:$B$239,B182,'Asesorías AG anterior'!$J$7:$J$239)</f>
        <v>0</v>
      </c>
      <c r="AF182" s="383">
        <f>SUMIF('Asesorías AG anterior'!$B$7:$B$239,B182,'Asesorías AG anterior'!$K$7:$K$239)</f>
        <v>1E-3</v>
      </c>
      <c r="AG182" s="383">
        <f>SUMIF('Asesorías AG anterior'!$B$7:$B$239,B182,'Asesorías AG anterior'!$L$7:$L$239)</f>
        <v>0</v>
      </c>
      <c r="AH182" s="383">
        <f>SUMIF('Asesorías AG anterior'!$B$7:$B$239,B182,'Asesorías AG anterior'!$M$7:$M$239)</f>
        <v>0</v>
      </c>
      <c r="AI182" s="383">
        <f>SUMIF('Asesorías AG anterior'!$B$7:$B$239,B182,'Asesorías AG anterior'!$N$7:$N$239)</f>
        <v>0</v>
      </c>
      <c r="AJ182" s="383">
        <f>SUMIF('Asesorías AG anterior'!$B$7:$B$239,B182,'Asesorías AG anterior'!$O$7:$O$239)</f>
        <v>1E-3</v>
      </c>
      <c r="AK182" s="383">
        <f>SUMIF('Asesorías AG anterior'!$B$7:$B$239,B182,'Asesorías AG anterior'!$P$7:$P$239)</f>
        <v>0</v>
      </c>
      <c r="AL182" s="383">
        <f>SUMIF('Asesorías AG anterior'!$B$7:$B$239,B182,'Asesorías AG anterior'!$Q$7:$Q$239)</f>
        <v>0</v>
      </c>
      <c r="AM182" s="383">
        <f>SUMIF('Asesorías AG anterior'!$B$7:$B$239,B182,'Asesorías AG anterior'!$R$7:$R$239)</f>
        <v>0</v>
      </c>
      <c r="AN182" s="383"/>
      <c r="AO182" s="383">
        <f>SUMIF('Asesorías AG anterior'!$B$7:$B$239,B182,'Asesorías AG anterior'!$T$7:$T$239)</f>
        <v>0</v>
      </c>
      <c r="AP182" s="383">
        <f>SUMIF('Asesorías AG anterior'!$B$7:$B$239,B182,'Asesorías AG anterior'!$U$7:$U$239)</f>
        <v>0</v>
      </c>
      <c r="AQ182" s="383">
        <f>SUMIF('Asesorías AG anterior'!$B$7:$B$239,B182,'Asesorías AG anterior'!$V$7:$V$239)</f>
        <v>0</v>
      </c>
      <c r="AR182" s="383">
        <f>SUMIF('Asesorías AG anterior'!$B$7:$B$239,B182,'Asesorías AG anterior'!$W$7:$W$239)</f>
        <v>0</v>
      </c>
      <c r="AS182" s="383">
        <f>SUMIF('Asesorías AG anterior'!$B$7:$B$239,B182,'Asesorías AG anterior'!$X$7:$X$239)</f>
        <v>0</v>
      </c>
      <c r="AT182" s="383">
        <f>SUMIF('Asesorías AG anterior'!$B$7:$B$239,B182,'Asesorías AG anterior'!$Y$7:$Y$239)</f>
        <v>0</v>
      </c>
      <c r="AU182" s="383">
        <f>SUMIF('Asesorías AG anterior'!$B$7:$B$239,B182,'Asesorías AG anterior'!$Z$7:$Z$239)</f>
        <v>0</v>
      </c>
      <c r="AV182" s="383">
        <f>SUMIF('Asesorías AG anterior'!$B$7:$B$239,B182,'Asesorías AG anterior'!$AA$7:$AA$239)</f>
        <v>0</v>
      </c>
      <c r="AW182" s="383">
        <f>SUMIF('Asesorías AG anterior'!$B$7:$B$239,B182,'Asesorías AG anterior'!$AB$7:$AB$239)</f>
        <v>0</v>
      </c>
      <c r="AX182" s="335"/>
      <c r="AZ182" s="1097" t="s">
        <v>607</v>
      </c>
    </row>
    <row r="183" spans="1:52" x14ac:dyDescent="0.2">
      <c r="A183" s="1184">
        <f t="shared" si="54"/>
        <v>175</v>
      </c>
      <c r="B183" s="1137" t="s">
        <v>130</v>
      </c>
      <c r="C183" s="1185">
        <f>_xlfn.XLOOKUP(B183,Códigos!$B$8:$B$406,Códigos!$A$8:$A$406,"Verificar",0)</f>
        <v>298</v>
      </c>
      <c r="D183" s="1114">
        <f>_xlfn.XLOOKUP(B183,'Consolidado Cobros'!$B$10:$B$312,'Consolidado Cobros'!$C$10:$C$312,"Verificar",0)</f>
        <v>71728652</v>
      </c>
      <c r="E183" s="1520">
        <f t="shared" si="65"/>
        <v>6</v>
      </c>
      <c r="F183" s="1517">
        <f t="shared" si="66"/>
        <v>500000</v>
      </c>
      <c r="G183" s="1251">
        <f t="shared" si="67"/>
        <v>0</v>
      </c>
      <c r="H183" s="1240">
        <f>+J183+L183+N183+P183+U183+R183</f>
        <v>500000</v>
      </c>
      <c r="I183" s="1148"/>
      <c r="J183" s="383">
        <f t="shared" si="68"/>
        <v>0</v>
      </c>
      <c r="K183" s="712"/>
      <c r="L183" s="487">
        <f t="shared" si="69"/>
        <v>0</v>
      </c>
      <c r="M183" s="927"/>
      <c r="N183" s="672">
        <v>0</v>
      </c>
      <c r="O183" s="660" t="s">
        <v>318</v>
      </c>
      <c r="P183" s="1092">
        <f t="shared" si="70"/>
        <v>70000</v>
      </c>
      <c r="Q183" s="1093">
        <v>0</v>
      </c>
      <c r="R183" s="1836">
        <v>430000</v>
      </c>
      <c r="S183" s="1837" t="s">
        <v>1099</v>
      </c>
      <c r="T183" s="381"/>
      <c r="U183" s="624"/>
      <c r="V183" s="569">
        <f t="shared" si="71"/>
        <v>0</v>
      </c>
      <c r="W183" s="607"/>
      <c r="X183" s="383"/>
      <c r="Y183" s="607"/>
      <c r="Z183" s="383"/>
      <c r="AA183" s="607"/>
      <c r="AB183" s="718"/>
      <c r="AC183" s="335"/>
      <c r="AD183" s="383">
        <f>SUMIF('Asesorías AG anterior'!$B$7:$B$239,B183,'Asesorías AG anterior'!$I$7:$I$239)</f>
        <v>1E-3</v>
      </c>
      <c r="AE183" s="383">
        <f>SUMIF('Asesorías AG anterior'!$B$7:$B$239,B183,'Asesorías AG anterior'!$J$7:$J$239)</f>
        <v>0</v>
      </c>
      <c r="AF183" s="383">
        <f>SUMIF('Asesorías AG anterior'!$B$7:$B$239,B183,'Asesorías AG anterior'!$K$7:$K$239)</f>
        <v>1E-3</v>
      </c>
      <c r="AG183" s="383">
        <f>SUMIF('Asesorías AG anterior'!$B$7:$B$239,B183,'Asesorías AG anterior'!$L$7:$L$239)</f>
        <v>0</v>
      </c>
      <c r="AH183" s="383">
        <f>SUMIF('Asesorías AG anterior'!$B$7:$B$239,B183,'Asesorías AG anterior'!$M$7:$M$239)</f>
        <v>0</v>
      </c>
      <c r="AI183" s="383">
        <f>SUMIF('Asesorías AG anterior'!$B$7:$B$239,B183,'Asesorías AG anterior'!$N$7:$N$239)</f>
        <v>0</v>
      </c>
      <c r="AJ183" s="383">
        <f>SUMIF('Asesorías AG anterior'!$B$7:$B$239,B183,'Asesorías AG anterior'!$O$7:$O$239)</f>
        <v>0</v>
      </c>
      <c r="AK183" s="383">
        <f>SUMIF('Asesorías AG anterior'!$B$7:$B$239,B183,'Asesorías AG anterior'!$P$7:$P$239)</f>
        <v>70000</v>
      </c>
      <c r="AL183" s="383">
        <f>SUMIF('Asesorías AG anterior'!$B$7:$B$239,B183,'Asesorías AG anterior'!$Q$7:$Q$239)</f>
        <v>0</v>
      </c>
      <c r="AM183" s="383">
        <f>SUMIF('Asesorías AG anterior'!$B$7:$B$239,B183,'Asesorías AG anterior'!$R$7:$R$239)</f>
        <v>0</v>
      </c>
      <c r="AN183" s="383"/>
      <c r="AO183" s="383">
        <f>SUMIF('Asesorías AG anterior'!$B$7:$B$239,B183,'Asesorías AG anterior'!$T$7:$T$239)</f>
        <v>0</v>
      </c>
      <c r="AP183" s="383">
        <f>SUMIF('Asesorías AG anterior'!$B$7:$B$239,B183,'Asesorías AG anterior'!$U$7:$U$239)</f>
        <v>0</v>
      </c>
      <c r="AQ183" s="383">
        <f>SUMIF('Asesorías AG anterior'!$B$7:$B$239,B183,'Asesorías AG anterior'!$V$7:$V$239)</f>
        <v>0</v>
      </c>
      <c r="AR183" s="383">
        <f>SUMIF('Asesorías AG anterior'!$B$7:$B$239,B183,'Asesorías AG anterior'!$W$7:$W$239)</f>
        <v>0</v>
      </c>
      <c r="AS183" s="383">
        <f>SUMIF('Asesorías AG anterior'!$B$7:$B$239,B183,'Asesorías AG anterior'!$X$7:$X$239)</f>
        <v>0</v>
      </c>
      <c r="AT183" s="383">
        <f>SUMIF('Asesorías AG anterior'!$B$7:$B$239,B183,'Asesorías AG anterior'!$Y$7:$Y$239)</f>
        <v>0</v>
      </c>
      <c r="AU183" s="383">
        <f>SUMIF('Asesorías AG anterior'!$B$7:$B$239,B183,'Asesorías AG anterior'!$Z$7:$Z$239)</f>
        <v>0</v>
      </c>
      <c r="AV183" s="383">
        <f>SUMIF('Asesorías AG anterior'!$B$7:$B$239,B183,'Asesorías AG anterior'!$AA$7:$AA$239)</f>
        <v>0</v>
      </c>
      <c r="AW183" s="383">
        <f>SUMIF('Asesorías AG anterior'!$B$7:$B$239,B183,'Asesorías AG anterior'!$AB$7:$AB$239)</f>
        <v>0</v>
      </c>
      <c r="AX183" s="335"/>
      <c r="AZ183" s="1137" t="s">
        <v>130</v>
      </c>
    </row>
    <row r="184" spans="1:52" x14ac:dyDescent="0.2">
      <c r="A184" s="1184">
        <f t="shared" si="54"/>
        <v>176</v>
      </c>
      <c r="B184" s="1097" t="s">
        <v>131</v>
      </c>
      <c r="C184" s="1185">
        <f>_xlfn.XLOOKUP(B184,Códigos!$B$8:$B$406,Códigos!$A$8:$A$406,"Verificar",0)</f>
        <v>169</v>
      </c>
      <c r="D184" s="1114">
        <f>_xlfn.XLOOKUP(B184,'Consolidado Cobros'!$B$10:$B$312,'Consolidado Cobros'!$C$10:$C$312,"Verificar",0)</f>
        <v>675024</v>
      </c>
      <c r="E184" s="1520">
        <f t="shared" si="65"/>
        <v>3</v>
      </c>
      <c r="F184" s="1517">
        <f t="shared" si="66"/>
        <v>0</v>
      </c>
      <c r="G184" s="1251">
        <f t="shared" si="67"/>
        <v>0</v>
      </c>
      <c r="H184" s="1240">
        <f t="shared" si="55"/>
        <v>0</v>
      </c>
      <c r="I184" s="1148"/>
      <c r="J184" s="383">
        <f t="shared" si="68"/>
        <v>0</v>
      </c>
      <c r="K184" s="712"/>
      <c r="L184" s="487">
        <f t="shared" si="69"/>
        <v>0</v>
      </c>
      <c r="M184" s="927"/>
      <c r="N184" s="672">
        <v>0</v>
      </c>
      <c r="O184" s="660"/>
      <c r="P184" s="1092">
        <f t="shared" si="70"/>
        <v>0</v>
      </c>
      <c r="Q184" s="1093">
        <v>0</v>
      </c>
      <c r="R184" s="381">
        <f t="shared" si="63"/>
        <v>0</v>
      </c>
      <c r="S184" s="382"/>
      <c r="T184" s="381"/>
      <c r="U184" s="624"/>
      <c r="V184" s="569">
        <f t="shared" si="71"/>
        <v>0</v>
      </c>
      <c r="W184" s="607"/>
      <c r="X184" s="383"/>
      <c r="Y184" s="607"/>
      <c r="Z184" s="383"/>
      <c r="AA184" s="607"/>
      <c r="AB184" s="718"/>
      <c r="AC184" s="335"/>
      <c r="AD184" s="383">
        <f>SUMIF('Asesorías AG anterior'!$B$7:$B$239,B184,'Asesorías AG anterior'!$I$7:$I$239)</f>
        <v>1E-3</v>
      </c>
      <c r="AE184" s="383">
        <f>SUMIF('Asesorías AG anterior'!$B$7:$B$239,B184,'Asesorías AG anterior'!$J$7:$J$239)</f>
        <v>0</v>
      </c>
      <c r="AF184" s="383">
        <f>SUMIF('Asesorías AG anterior'!$B$7:$B$239,B184,'Asesorías AG anterior'!$K$7:$K$239)</f>
        <v>1E-3</v>
      </c>
      <c r="AG184" s="383">
        <f>SUMIF('Asesorías AG anterior'!$B$7:$B$239,B184,'Asesorías AG anterior'!$L$7:$L$239)</f>
        <v>0</v>
      </c>
      <c r="AH184" s="383">
        <f>SUMIF('Asesorías AG anterior'!$B$7:$B$239,B184,'Asesorías AG anterior'!$M$7:$M$239)</f>
        <v>0</v>
      </c>
      <c r="AI184" s="383">
        <f>SUMIF('Asesorías AG anterior'!$B$7:$B$239,B184,'Asesorías AG anterior'!$N$7:$N$239)</f>
        <v>0</v>
      </c>
      <c r="AJ184" s="383">
        <f>SUMIF('Asesorías AG anterior'!$B$7:$B$239,B184,'Asesorías AG anterior'!$O$7:$O$239)</f>
        <v>1E-3</v>
      </c>
      <c r="AK184" s="383">
        <f>SUMIF('Asesorías AG anterior'!$B$7:$B$239,B184,'Asesorías AG anterior'!$P$7:$P$239)</f>
        <v>0</v>
      </c>
      <c r="AL184" s="383">
        <f>SUMIF('Asesorías AG anterior'!$B$7:$B$239,B184,'Asesorías AG anterior'!$Q$7:$Q$239)</f>
        <v>0</v>
      </c>
      <c r="AM184" s="383">
        <f>SUMIF('Asesorías AG anterior'!$B$7:$B$239,B184,'Asesorías AG anterior'!$R$7:$R$239)</f>
        <v>0</v>
      </c>
      <c r="AN184" s="383"/>
      <c r="AO184" s="383">
        <f>SUMIF('Asesorías AG anterior'!$B$7:$B$239,B184,'Asesorías AG anterior'!$T$7:$T$239)</f>
        <v>0</v>
      </c>
      <c r="AP184" s="383">
        <f>SUMIF('Asesorías AG anterior'!$B$7:$B$239,B184,'Asesorías AG anterior'!$U$7:$U$239)</f>
        <v>0</v>
      </c>
      <c r="AQ184" s="383">
        <f>SUMIF('Asesorías AG anterior'!$B$7:$B$239,B184,'Asesorías AG anterior'!$V$7:$V$239)</f>
        <v>0</v>
      </c>
      <c r="AR184" s="383">
        <f>SUMIF('Asesorías AG anterior'!$B$7:$B$239,B184,'Asesorías AG anterior'!$W$7:$W$239)</f>
        <v>0</v>
      </c>
      <c r="AS184" s="383">
        <f>SUMIF('Asesorías AG anterior'!$B$7:$B$239,B184,'Asesorías AG anterior'!$X$7:$X$239)</f>
        <v>0</v>
      </c>
      <c r="AT184" s="383">
        <f>SUMIF('Asesorías AG anterior'!$B$7:$B$239,B184,'Asesorías AG anterior'!$Y$7:$Y$239)</f>
        <v>0</v>
      </c>
      <c r="AU184" s="383">
        <f>SUMIF('Asesorías AG anterior'!$B$7:$B$239,B184,'Asesorías AG anterior'!$Z$7:$Z$239)</f>
        <v>0</v>
      </c>
      <c r="AV184" s="383">
        <f>SUMIF('Asesorías AG anterior'!$B$7:$B$239,B184,'Asesorías AG anterior'!$AA$7:$AA$239)</f>
        <v>0</v>
      </c>
      <c r="AW184" s="383">
        <f>SUMIF('Asesorías AG anterior'!$B$7:$B$239,B184,'Asesorías AG anterior'!$AB$7:$AB$239)</f>
        <v>0</v>
      </c>
      <c r="AX184" s="335"/>
      <c r="AZ184" s="1470" t="s">
        <v>131</v>
      </c>
    </row>
    <row r="185" spans="1:52" x14ac:dyDescent="0.2">
      <c r="A185" s="1184">
        <f t="shared" si="54"/>
        <v>177</v>
      </c>
      <c r="B185" s="1097" t="s">
        <v>401</v>
      </c>
      <c r="C185" s="1185">
        <f>_xlfn.XLOOKUP(B185,Códigos!$B$8:$B$406,Códigos!$A$8:$A$406,"Verificar",0)</f>
        <v>107</v>
      </c>
      <c r="D185" s="1114">
        <f>_xlfn.XLOOKUP(B185,'Consolidado Cobros'!$B$10:$B$312,'Consolidado Cobros'!$C$10:$C$312,"Verificar",0)</f>
        <v>1152437125</v>
      </c>
      <c r="E185" s="1520">
        <f t="shared" si="65"/>
        <v>1</v>
      </c>
      <c r="F185" s="1517">
        <f t="shared" si="66"/>
        <v>0</v>
      </c>
      <c r="G185" s="1251">
        <f t="shared" si="67"/>
        <v>0</v>
      </c>
      <c r="H185" s="1240">
        <f t="shared" si="55"/>
        <v>0</v>
      </c>
      <c r="I185" s="1148"/>
      <c r="J185" s="383">
        <f t="shared" si="68"/>
        <v>0</v>
      </c>
      <c r="K185" s="712"/>
      <c r="L185" s="487">
        <f t="shared" si="69"/>
        <v>0</v>
      </c>
      <c r="M185" s="927"/>
      <c r="N185" s="672">
        <v>0</v>
      </c>
      <c r="O185" s="660"/>
      <c r="P185" s="1092">
        <f t="shared" si="70"/>
        <v>0</v>
      </c>
      <c r="Q185" s="1093">
        <v>0</v>
      </c>
      <c r="R185" s="381">
        <f t="shared" si="63"/>
        <v>0</v>
      </c>
      <c r="S185" s="382"/>
      <c r="T185" s="381"/>
      <c r="U185" s="624"/>
      <c r="V185" s="569">
        <f t="shared" si="71"/>
        <v>0</v>
      </c>
      <c r="W185" s="607"/>
      <c r="X185" s="383"/>
      <c r="Y185" s="607"/>
      <c r="Z185" s="383"/>
      <c r="AA185" s="607"/>
      <c r="AB185" s="718"/>
      <c r="AC185" s="335"/>
      <c r="AD185" s="383">
        <f>SUMIF('Asesorías AG anterior'!$B$7:$B$239,B185,'Asesorías AG anterior'!$I$7:$I$239)</f>
        <v>1E-3</v>
      </c>
      <c r="AE185" s="383">
        <f>SUMIF('Asesorías AG anterior'!$B$7:$B$239,B185,'Asesorías AG anterior'!$J$7:$J$239)</f>
        <v>0</v>
      </c>
      <c r="AF185" s="383">
        <f>SUMIF('Asesorías AG anterior'!$B$7:$B$239,B185,'Asesorías AG anterior'!$K$7:$K$239)</f>
        <v>1E-3</v>
      </c>
      <c r="AG185" s="383">
        <f>SUMIF('Asesorías AG anterior'!$B$7:$B$239,B185,'Asesorías AG anterior'!$L$7:$L$239)</f>
        <v>0</v>
      </c>
      <c r="AH185" s="383">
        <f>SUMIF('Asesorías AG anterior'!$B$7:$B$239,B185,'Asesorías AG anterior'!$M$7:$M$239)</f>
        <v>0</v>
      </c>
      <c r="AI185" s="383">
        <f>SUMIF('Asesorías AG anterior'!$B$7:$B$239,B185,'Asesorías AG anterior'!$N$7:$N$239)</f>
        <v>0</v>
      </c>
      <c r="AJ185" s="383">
        <f>SUMIF('Asesorías AG anterior'!$B$7:$B$239,B185,'Asesorías AG anterior'!$O$7:$O$239)</f>
        <v>1E-3</v>
      </c>
      <c r="AK185" s="383">
        <f>SUMIF('Asesorías AG anterior'!$B$7:$B$239,B185,'Asesorías AG anterior'!$P$7:$P$239)</f>
        <v>0</v>
      </c>
      <c r="AL185" s="383">
        <f>SUMIF('Asesorías AG anterior'!$B$7:$B$239,B185,'Asesorías AG anterior'!$Q$7:$Q$239)</f>
        <v>0</v>
      </c>
      <c r="AM185" s="383">
        <f>SUMIF('Asesorías AG anterior'!$B$7:$B$239,B185,'Asesorías AG anterior'!$R$7:$R$239)</f>
        <v>0</v>
      </c>
      <c r="AN185" s="383"/>
      <c r="AO185" s="383">
        <f>SUMIF('Asesorías AG anterior'!$B$7:$B$239,B185,'Asesorías AG anterior'!$T$7:$T$239)</f>
        <v>0</v>
      </c>
      <c r="AP185" s="383">
        <f>SUMIF('Asesorías AG anterior'!$B$7:$B$239,B185,'Asesorías AG anterior'!$U$7:$U$239)</f>
        <v>0</v>
      </c>
      <c r="AQ185" s="383">
        <f>SUMIF('Asesorías AG anterior'!$B$7:$B$239,B185,'Asesorías AG anterior'!$V$7:$V$239)</f>
        <v>0</v>
      </c>
      <c r="AR185" s="383">
        <f>SUMIF('Asesorías AG anterior'!$B$7:$B$239,B185,'Asesorías AG anterior'!$W$7:$W$239)</f>
        <v>0</v>
      </c>
      <c r="AS185" s="383">
        <f>SUMIF('Asesorías AG anterior'!$B$7:$B$239,B185,'Asesorías AG anterior'!$X$7:$X$239)</f>
        <v>0</v>
      </c>
      <c r="AT185" s="383">
        <f>SUMIF('Asesorías AG anterior'!$B$7:$B$239,B185,'Asesorías AG anterior'!$Y$7:$Y$239)</f>
        <v>0</v>
      </c>
      <c r="AU185" s="383">
        <f>SUMIF('Asesorías AG anterior'!$B$7:$B$239,B185,'Asesorías AG anterior'!$Z$7:$Z$239)</f>
        <v>0</v>
      </c>
      <c r="AV185" s="383">
        <f>SUMIF('Asesorías AG anterior'!$B$7:$B$239,B185,'Asesorías AG anterior'!$AA$7:$AA$239)</f>
        <v>0</v>
      </c>
      <c r="AW185" s="383">
        <f>SUMIF('Asesorías AG anterior'!$B$7:$B$239,B185,'Asesorías AG anterior'!$AB$7:$AB$239)</f>
        <v>0</v>
      </c>
      <c r="AX185" s="335"/>
      <c r="AZ185" s="1393" t="s">
        <v>401</v>
      </c>
    </row>
    <row r="186" spans="1:52" x14ac:dyDescent="0.2">
      <c r="A186" s="1184">
        <f t="shared" si="54"/>
        <v>178</v>
      </c>
      <c r="B186" s="1097" t="s">
        <v>648</v>
      </c>
      <c r="C186" s="1185">
        <f>_xlfn.XLOOKUP(B186,Códigos!$B$8:$B$406,Códigos!$A$8:$A$406,"Verificar",0)</f>
        <v>229</v>
      </c>
      <c r="D186" s="1114">
        <f>_xlfn.XLOOKUP(B186,'Consolidado Cobros'!$B$10:$B$312,'Consolidado Cobros'!$C$10:$C$312,"Verificar",0)</f>
        <v>1037624491</v>
      </c>
      <c r="E186" s="1520">
        <f t="shared" si="65"/>
        <v>7</v>
      </c>
      <c r="F186" s="1517">
        <f t="shared" si="66"/>
        <v>0</v>
      </c>
      <c r="G186" s="1251">
        <f t="shared" si="67"/>
        <v>0</v>
      </c>
      <c r="H186" s="1240">
        <f t="shared" si="55"/>
        <v>0</v>
      </c>
      <c r="I186" s="1148"/>
      <c r="J186" s="383">
        <f t="shared" si="68"/>
        <v>0</v>
      </c>
      <c r="K186" s="712"/>
      <c r="L186" s="487">
        <f t="shared" si="69"/>
        <v>0</v>
      </c>
      <c r="M186" s="927"/>
      <c r="N186" s="672">
        <v>0</v>
      </c>
      <c r="O186" s="660"/>
      <c r="P186" s="1092">
        <f t="shared" si="70"/>
        <v>0</v>
      </c>
      <c r="Q186" s="1093">
        <v>0</v>
      </c>
      <c r="R186" s="381">
        <f t="shared" si="63"/>
        <v>0</v>
      </c>
      <c r="S186" s="382"/>
      <c r="T186" s="381"/>
      <c r="U186" s="624"/>
      <c r="V186" s="569">
        <f t="shared" si="71"/>
        <v>0</v>
      </c>
      <c r="W186" s="607"/>
      <c r="X186" s="383"/>
      <c r="Y186" s="607"/>
      <c r="Z186" s="383"/>
      <c r="AA186" s="607"/>
      <c r="AB186" s="718"/>
      <c r="AC186" s="335"/>
      <c r="AD186" s="383">
        <f>SUMIF('Asesorías AG anterior'!$B$7:$B$239,B186,'Asesorías AG anterior'!$I$7:$I$239)</f>
        <v>1E-3</v>
      </c>
      <c r="AE186" s="383">
        <f>SUMIF('Asesorías AG anterior'!$B$7:$B$239,B186,'Asesorías AG anterior'!$J$7:$J$239)</f>
        <v>0</v>
      </c>
      <c r="AF186" s="383">
        <f>SUMIF('Asesorías AG anterior'!$B$7:$B$239,B186,'Asesorías AG anterior'!$K$7:$K$239)</f>
        <v>1E-3</v>
      </c>
      <c r="AG186" s="383">
        <f>SUMIF('Asesorías AG anterior'!$B$7:$B$239,B186,'Asesorías AG anterior'!$L$7:$L$239)</f>
        <v>0</v>
      </c>
      <c r="AH186" s="383">
        <f>SUMIF('Asesorías AG anterior'!$B$7:$B$239,B186,'Asesorías AG anterior'!$M$7:$M$239)</f>
        <v>0</v>
      </c>
      <c r="AI186" s="383">
        <f>SUMIF('Asesorías AG anterior'!$B$7:$B$239,B186,'Asesorías AG anterior'!$N$7:$N$239)</f>
        <v>0</v>
      </c>
      <c r="AJ186" s="383">
        <f>SUMIF('Asesorías AG anterior'!$B$7:$B$239,B186,'Asesorías AG anterior'!$O$7:$O$239)</f>
        <v>1E-3</v>
      </c>
      <c r="AK186" s="383">
        <f>SUMIF('Asesorías AG anterior'!$B$7:$B$239,B186,'Asesorías AG anterior'!$P$7:$P$239)</f>
        <v>0</v>
      </c>
      <c r="AL186" s="383">
        <f>SUMIF('Asesorías AG anterior'!$B$7:$B$239,B186,'Asesorías AG anterior'!$Q$7:$Q$239)</f>
        <v>0</v>
      </c>
      <c r="AM186" s="383">
        <f>SUMIF('Asesorías AG anterior'!$B$7:$B$239,B186,'Asesorías AG anterior'!$R$7:$R$239)</f>
        <v>0</v>
      </c>
      <c r="AN186" s="383"/>
      <c r="AO186" s="383">
        <f>SUMIF('Asesorías AG anterior'!$B$7:$B$239,B186,'Asesorías AG anterior'!$T$7:$T$239)</f>
        <v>0</v>
      </c>
      <c r="AP186" s="383">
        <f>SUMIF('Asesorías AG anterior'!$B$7:$B$239,B186,'Asesorías AG anterior'!$U$7:$U$239)</f>
        <v>0</v>
      </c>
      <c r="AQ186" s="383">
        <f>SUMIF('Asesorías AG anterior'!$B$7:$B$239,B186,'Asesorías AG anterior'!$V$7:$V$239)</f>
        <v>0</v>
      </c>
      <c r="AR186" s="383">
        <f>SUMIF('Asesorías AG anterior'!$B$7:$B$239,B186,'Asesorías AG anterior'!$W$7:$W$239)</f>
        <v>0</v>
      </c>
      <c r="AS186" s="383">
        <f>SUMIF('Asesorías AG anterior'!$B$7:$B$239,B186,'Asesorías AG anterior'!$X$7:$X$239)</f>
        <v>0</v>
      </c>
      <c r="AT186" s="383">
        <f>SUMIF('Asesorías AG anterior'!$B$7:$B$239,B186,'Asesorías AG anterior'!$Y$7:$Y$239)</f>
        <v>0</v>
      </c>
      <c r="AU186" s="383">
        <f>SUMIF('Asesorías AG anterior'!$B$7:$B$239,B186,'Asesorías AG anterior'!$Z$7:$Z$239)</f>
        <v>0</v>
      </c>
      <c r="AV186" s="383">
        <f>SUMIF('Asesorías AG anterior'!$B$7:$B$239,B186,'Asesorías AG anterior'!$AA$7:$AA$239)</f>
        <v>0</v>
      </c>
      <c r="AW186" s="383">
        <f>SUMIF('Asesorías AG anterior'!$B$7:$B$239,B186,'Asesorías AG anterior'!$AB$7:$AB$239)</f>
        <v>0</v>
      </c>
      <c r="AX186" s="335"/>
      <c r="AZ186" s="1486" t="s">
        <v>648</v>
      </c>
    </row>
    <row r="187" spans="1:52" x14ac:dyDescent="0.2">
      <c r="A187" s="1184">
        <f t="shared" si="54"/>
        <v>179</v>
      </c>
      <c r="B187" s="1097" t="s">
        <v>267</v>
      </c>
      <c r="C187" s="1185">
        <f>_xlfn.XLOOKUP(B187,Códigos!$B$8:$B$406,Códigos!$A$8:$A$406,"Verificar",0)</f>
        <v>171</v>
      </c>
      <c r="D187" s="1114">
        <f>_xlfn.XLOOKUP(B187,'Consolidado Cobros'!$B$10:$B$312,'Consolidado Cobros'!$C$10:$C$312,"Verificar",0)</f>
        <v>71660993</v>
      </c>
      <c r="E187" s="1520">
        <f t="shared" si="65"/>
        <v>8</v>
      </c>
      <c r="F187" s="1517">
        <f t="shared" si="66"/>
        <v>0</v>
      </c>
      <c r="G187" s="1251">
        <f t="shared" si="67"/>
        <v>0</v>
      </c>
      <c r="H187" s="1240">
        <f t="shared" si="55"/>
        <v>0</v>
      </c>
      <c r="I187" s="1148">
        <v>3</v>
      </c>
      <c r="J187" s="383">
        <f t="shared" si="68"/>
        <v>0</v>
      </c>
      <c r="K187" s="712">
        <v>12</v>
      </c>
      <c r="L187" s="487">
        <f t="shared" si="69"/>
        <v>0</v>
      </c>
      <c r="M187" s="927"/>
      <c r="N187" s="672">
        <v>0</v>
      </c>
      <c r="O187" s="660"/>
      <c r="P187" s="1092">
        <f t="shared" si="70"/>
        <v>0</v>
      </c>
      <c r="Q187" s="1093">
        <v>0</v>
      </c>
      <c r="R187" s="381">
        <f t="shared" si="63"/>
        <v>0</v>
      </c>
      <c r="S187" s="382"/>
      <c r="T187" s="381"/>
      <c r="U187" s="624"/>
      <c r="V187" s="569">
        <f t="shared" si="71"/>
        <v>0</v>
      </c>
      <c r="W187" s="607"/>
      <c r="X187" s="383"/>
      <c r="Y187" s="607"/>
      <c r="Z187" s="383"/>
      <c r="AA187" s="607"/>
      <c r="AB187" s="718"/>
      <c r="AC187" s="335"/>
      <c r="AD187" s="383">
        <f>SUMIF('Asesorías AG anterior'!$B$7:$B$239,B187,'Asesorías AG anterior'!$I$7:$I$239)</f>
        <v>1E-3</v>
      </c>
      <c r="AE187" s="383">
        <f>SUMIF('Asesorías AG anterior'!$B$7:$B$239,B187,'Asesorías AG anterior'!$J$7:$J$239)</f>
        <v>0</v>
      </c>
      <c r="AF187" s="383">
        <f>SUMIF('Asesorías AG anterior'!$B$7:$B$239,B187,'Asesorías AG anterior'!$K$7:$K$239)</f>
        <v>1E-3</v>
      </c>
      <c r="AG187" s="383">
        <f>SUMIF('Asesorías AG anterior'!$B$7:$B$239,B187,'Asesorías AG anterior'!$L$7:$L$239)</f>
        <v>0</v>
      </c>
      <c r="AH187" s="383">
        <f>SUMIF('Asesorías AG anterior'!$B$7:$B$239,B187,'Asesorías AG anterior'!$M$7:$M$239)</f>
        <v>0</v>
      </c>
      <c r="AI187" s="383">
        <f>SUMIF('Asesorías AG anterior'!$B$7:$B$239,B187,'Asesorías AG anterior'!$N$7:$N$239)</f>
        <v>0</v>
      </c>
      <c r="AJ187" s="383">
        <f>SUMIF('Asesorías AG anterior'!$B$7:$B$239,B187,'Asesorías AG anterior'!$O$7:$O$239)</f>
        <v>1E-3</v>
      </c>
      <c r="AK187" s="383">
        <f>SUMIF('Asesorías AG anterior'!$B$7:$B$239,B187,'Asesorías AG anterior'!$P$7:$P$239)</f>
        <v>0</v>
      </c>
      <c r="AL187" s="383">
        <f>SUMIF('Asesorías AG anterior'!$B$7:$B$239,B187,'Asesorías AG anterior'!$Q$7:$Q$239)</f>
        <v>0</v>
      </c>
      <c r="AM187" s="383">
        <f>SUMIF('Asesorías AG anterior'!$B$7:$B$239,B187,'Asesorías AG anterior'!$R$7:$R$239)</f>
        <v>0</v>
      </c>
      <c r="AN187" s="383"/>
      <c r="AO187" s="383">
        <f>SUMIF('Asesorías AG anterior'!$B$7:$B$239,B187,'Asesorías AG anterior'!$T$7:$T$239)</f>
        <v>0</v>
      </c>
      <c r="AP187" s="383">
        <f>SUMIF('Asesorías AG anterior'!$B$7:$B$239,B187,'Asesorías AG anterior'!$U$7:$U$239)</f>
        <v>0</v>
      </c>
      <c r="AQ187" s="383">
        <f>SUMIF('Asesorías AG anterior'!$B$7:$B$239,B187,'Asesorías AG anterior'!$V$7:$V$239)</f>
        <v>0</v>
      </c>
      <c r="AR187" s="383">
        <f>SUMIF('Asesorías AG anterior'!$B$7:$B$239,B187,'Asesorías AG anterior'!$W$7:$W$239)</f>
        <v>0</v>
      </c>
      <c r="AS187" s="383">
        <f>SUMIF('Asesorías AG anterior'!$B$7:$B$239,B187,'Asesorías AG anterior'!$X$7:$X$239)</f>
        <v>0</v>
      </c>
      <c r="AT187" s="383">
        <f>SUMIF('Asesorías AG anterior'!$B$7:$B$239,B187,'Asesorías AG anterior'!$Y$7:$Y$239)</f>
        <v>0</v>
      </c>
      <c r="AU187" s="383">
        <f>SUMIF('Asesorías AG anterior'!$B$7:$B$239,B187,'Asesorías AG anterior'!$Z$7:$Z$239)</f>
        <v>0</v>
      </c>
      <c r="AV187" s="383">
        <f>SUMIF('Asesorías AG anterior'!$B$7:$B$239,B187,'Asesorías AG anterior'!$AA$7:$AA$239)</f>
        <v>0</v>
      </c>
      <c r="AW187" s="383">
        <f>SUMIF('Asesorías AG anterior'!$B$7:$B$239,B187,'Asesorías AG anterior'!$AB$7:$AB$239)</f>
        <v>0</v>
      </c>
      <c r="AX187" s="335"/>
      <c r="AZ187" s="1097" t="s">
        <v>267</v>
      </c>
    </row>
    <row r="188" spans="1:52" x14ac:dyDescent="0.2">
      <c r="A188" s="1184">
        <f t="shared" si="54"/>
        <v>180</v>
      </c>
      <c r="B188" s="1097" t="s">
        <v>132</v>
      </c>
      <c r="C188" s="1185">
        <f>_xlfn.XLOOKUP(B188,Códigos!$B$8:$B$406,Códigos!$A$8:$A$406,"Verificar",0)</f>
        <v>238</v>
      </c>
      <c r="D188" s="1114">
        <f>_xlfn.XLOOKUP(B188,'Consolidado Cobros'!$B$10:$B$312,'Consolidado Cobros'!$C$10:$C$312,"Verificar",0)</f>
        <v>39456473</v>
      </c>
      <c r="E188" s="1520">
        <f t="shared" si="65"/>
        <v>1</v>
      </c>
      <c r="F188" s="1517">
        <f t="shared" si="66"/>
        <v>0</v>
      </c>
      <c r="G188" s="1251">
        <f t="shared" si="67"/>
        <v>0</v>
      </c>
      <c r="H188" s="1240">
        <f t="shared" si="55"/>
        <v>0</v>
      </c>
      <c r="I188" s="1148"/>
      <c r="J188" s="383">
        <f t="shared" si="68"/>
        <v>0</v>
      </c>
      <c r="K188" s="712"/>
      <c r="L188" s="487">
        <f t="shared" si="69"/>
        <v>0</v>
      </c>
      <c r="M188" s="927"/>
      <c r="N188" s="672">
        <v>0</v>
      </c>
      <c r="O188" s="660"/>
      <c r="P188" s="1092">
        <f t="shared" si="70"/>
        <v>0</v>
      </c>
      <c r="Q188" s="1093">
        <v>0</v>
      </c>
      <c r="R188" s="381">
        <f t="shared" si="63"/>
        <v>0</v>
      </c>
      <c r="S188" s="382"/>
      <c r="T188" s="381"/>
      <c r="U188" s="624"/>
      <c r="V188" s="569">
        <f t="shared" si="71"/>
        <v>0</v>
      </c>
      <c r="W188" s="607"/>
      <c r="X188" s="383"/>
      <c r="Y188" s="607"/>
      <c r="Z188" s="383"/>
      <c r="AA188" s="607"/>
      <c r="AB188" s="718"/>
      <c r="AC188" s="335"/>
      <c r="AD188" s="383">
        <f>SUMIF('Asesorías AG anterior'!$B$7:$B$239,B188,'Asesorías AG anterior'!$I$7:$I$239)</f>
        <v>1E-3</v>
      </c>
      <c r="AE188" s="383">
        <f>SUMIF('Asesorías AG anterior'!$B$7:$B$239,B188,'Asesorías AG anterior'!$J$7:$J$239)</f>
        <v>0</v>
      </c>
      <c r="AF188" s="383">
        <f>SUMIF('Asesorías AG anterior'!$B$7:$B$239,B188,'Asesorías AG anterior'!$K$7:$K$239)</f>
        <v>1E-3</v>
      </c>
      <c r="AG188" s="383">
        <f>SUMIF('Asesorías AG anterior'!$B$7:$B$239,B188,'Asesorías AG anterior'!$L$7:$L$239)</f>
        <v>0</v>
      </c>
      <c r="AH188" s="383">
        <f>SUMIF('Asesorías AG anterior'!$B$7:$B$239,B188,'Asesorías AG anterior'!$M$7:$M$239)</f>
        <v>0</v>
      </c>
      <c r="AI188" s="383">
        <f>SUMIF('Asesorías AG anterior'!$B$7:$B$239,B188,'Asesorías AG anterior'!$N$7:$N$239)</f>
        <v>0</v>
      </c>
      <c r="AJ188" s="383">
        <f>SUMIF('Asesorías AG anterior'!$B$7:$B$239,B188,'Asesorías AG anterior'!$O$7:$O$239)</f>
        <v>1E-3</v>
      </c>
      <c r="AK188" s="383">
        <f>SUMIF('Asesorías AG anterior'!$B$7:$B$239,B188,'Asesorías AG anterior'!$P$7:$P$239)</f>
        <v>0</v>
      </c>
      <c r="AL188" s="383">
        <f>SUMIF('Asesorías AG anterior'!$B$7:$B$239,B188,'Asesorías AG anterior'!$Q$7:$Q$239)</f>
        <v>0</v>
      </c>
      <c r="AM188" s="383">
        <f>SUMIF('Asesorías AG anterior'!$B$7:$B$239,B188,'Asesorías AG anterior'!$R$7:$R$239)</f>
        <v>0</v>
      </c>
      <c r="AN188" s="383"/>
      <c r="AO188" s="383">
        <f>SUMIF('Asesorías AG anterior'!$B$7:$B$239,B188,'Asesorías AG anterior'!$T$7:$T$239)</f>
        <v>0</v>
      </c>
      <c r="AP188" s="383">
        <f>SUMIF('Asesorías AG anterior'!$B$7:$B$239,B188,'Asesorías AG anterior'!$U$7:$U$239)</f>
        <v>0</v>
      </c>
      <c r="AQ188" s="383">
        <f>SUMIF('Asesorías AG anterior'!$B$7:$B$239,B188,'Asesorías AG anterior'!$V$7:$V$239)</f>
        <v>0</v>
      </c>
      <c r="AR188" s="383">
        <f>SUMIF('Asesorías AG anterior'!$B$7:$B$239,B188,'Asesorías AG anterior'!$W$7:$W$239)</f>
        <v>0</v>
      </c>
      <c r="AS188" s="383">
        <f>SUMIF('Asesorías AG anterior'!$B$7:$B$239,B188,'Asesorías AG anterior'!$X$7:$X$239)</f>
        <v>0</v>
      </c>
      <c r="AT188" s="383">
        <f>SUMIF('Asesorías AG anterior'!$B$7:$B$239,B188,'Asesorías AG anterior'!$Y$7:$Y$239)</f>
        <v>0</v>
      </c>
      <c r="AU188" s="383">
        <f>SUMIF('Asesorías AG anterior'!$B$7:$B$239,B188,'Asesorías AG anterior'!$Z$7:$Z$239)</f>
        <v>0</v>
      </c>
      <c r="AV188" s="383">
        <f>SUMIF('Asesorías AG anterior'!$B$7:$B$239,B188,'Asesorías AG anterior'!$AA$7:$AA$239)</f>
        <v>0</v>
      </c>
      <c r="AW188" s="383">
        <f>SUMIF('Asesorías AG anterior'!$B$7:$B$239,B188,'Asesorías AG anterior'!$AB$7:$AB$239)</f>
        <v>0</v>
      </c>
      <c r="AX188" s="335"/>
      <c r="AZ188" s="1097" t="s">
        <v>132</v>
      </c>
    </row>
    <row r="189" spans="1:52" x14ac:dyDescent="0.2">
      <c r="A189" s="1184">
        <f t="shared" si="54"/>
        <v>181</v>
      </c>
      <c r="B189" s="1097" t="s">
        <v>133</v>
      </c>
      <c r="C189" s="1185">
        <f>_xlfn.XLOOKUP(B189,Códigos!$B$8:$B$406,Códigos!$A$8:$A$406,"Verificar",0)</f>
        <v>282</v>
      </c>
      <c r="D189" s="1114">
        <f>_xlfn.XLOOKUP(B189,'Consolidado Cobros'!$B$10:$B$312,'Consolidado Cobros'!$C$10:$C$312,"Verificar",0)</f>
        <v>1128268578</v>
      </c>
      <c r="E189" s="1520">
        <f t="shared" si="65"/>
        <v>1</v>
      </c>
      <c r="F189" s="1517">
        <f t="shared" si="66"/>
        <v>0</v>
      </c>
      <c r="G189" s="1251">
        <f t="shared" si="67"/>
        <v>0</v>
      </c>
      <c r="H189" s="1240">
        <f t="shared" si="55"/>
        <v>0</v>
      </c>
      <c r="I189" s="1148"/>
      <c r="J189" s="383">
        <f t="shared" si="68"/>
        <v>0</v>
      </c>
      <c r="K189" s="712"/>
      <c r="L189" s="487">
        <f t="shared" si="69"/>
        <v>0</v>
      </c>
      <c r="M189" s="927"/>
      <c r="N189" s="672">
        <v>0</v>
      </c>
      <c r="O189" s="660"/>
      <c r="P189" s="1092">
        <f t="shared" si="70"/>
        <v>0</v>
      </c>
      <c r="Q189" s="1093">
        <v>0</v>
      </c>
      <c r="R189" s="381">
        <f t="shared" si="63"/>
        <v>0</v>
      </c>
      <c r="S189" s="382"/>
      <c r="T189" s="381"/>
      <c r="U189" s="624"/>
      <c r="V189" s="569">
        <f t="shared" si="71"/>
        <v>0</v>
      </c>
      <c r="W189" s="607"/>
      <c r="X189" s="383"/>
      <c r="Y189" s="607"/>
      <c r="Z189" s="383"/>
      <c r="AA189" s="607"/>
      <c r="AB189" s="718"/>
      <c r="AC189" s="335"/>
      <c r="AD189" s="383">
        <f>SUMIF('Asesorías AG anterior'!$B$7:$B$239,B189,'Asesorías AG anterior'!$I$7:$I$239)</f>
        <v>1E-3</v>
      </c>
      <c r="AE189" s="383">
        <f>SUMIF('Asesorías AG anterior'!$B$7:$B$239,B189,'Asesorías AG anterior'!$J$7:$J$239)</f>
        <v>0</v>
      </c>
      <c r="AF189" s="383">
        <f>SUMIF('Asesorías AG anterior'!$B$7:$B$239,B189,'Asesorías AG anterior'!$K$7:$K$239)</f>
        <v>1E-3</v>
      </c>
      <c r="AG189" s="383">
        <f>SUMIF('Asesorías AG anterior'!$B$7:$B$239,B189,'Asesorías AG anterior'!$L$7:$L$239)</f>
        <v>0</v>
      </c>
      <c r="AH189" s="383">
        <f>SUMIF('Asesorías AG anterior'!$B$7:$B$239,B189,'Asesorías AG anterior'!$M$7:$M$239)</f>
        <v>0</v>
      </c>
      <c r="AI189" s="383">
        <f>SUMIF('Asesorías AG anterior'!$B$7:$B$239,B189,'Asesorías AG anterior'!$N$7:$N$239)</f>
        <v>0</v>
      </c>
      <c r="AJ189" s="383">
        <f>SUMIF('Asesorías AG anterior'!$B$7:$B$239,B189,'Asesorías AG anterior'!$O$7:$O$239)</f>
        <v>1E-3</v>
      </c>
      <c r="AK189" s="383">
        <f>SUMIF('Asesorías AG anterior'!$B$7:$B$239,B189,'Asesorías AG anterior'!$P$7:$P$239)</f>
        <v>0</v>
      </c>
      <c r="AL189" s="383">
        <f>SUMIF('Asesorías AG anterior'!$B$7:$B$239,B189,'Asesorías AG anterior'!$Q$7:$Q$239)</f>
        <v>0</v>
      </c>
      <c r="AM189" s="383">
        <f>SUMIF('Asesorías AG anterior'!$B$7:$B$239,B189,'Asesorías AG anterior'!$R$7:$R$239)</f>
        <v>0</v>
      </c>
      <c r="AN189" s="383"/>
      <c r="AO189" s="383">
        <f>SUMIF('Asesorías AG anterior'!$B$7:$B$239,B189,'Asesorías AG anterior'!$T$7:$T$239)</f>
        <v>0</v>
      </c>
      <c r="AP189" s="383">
        <f>SUMIF('Asesorías AG anterior'!$B$7:$B$239,B189,'Asesorías AG anterior'!$U$7:$U$239)</f>
        <v>0</v>
      </c>
      <c r="AQ189" s="383">
        <f>SUMIF('Asesorías AG anterior'!$B$7:$B$239,B189,'Asesorías AG anterior'!$V$7:$V$239)</f>
        <v>0</v>
      </c>
      <c r="AR189" s="383">
        <f>SUMIF('Asesorías AG anterior'!$B$7:$B$239,B189,'Asesorías AG anterior'!$W$7:$W$239)</f>
        <v>0</v>
      </c>
      <c r="AS189" s="383">
        <f>SUMIF('Asesorías AG anterior'!$B$7:$B$239,B189,'Asesorías AG anterior'!$X$7:$X$239)</f>
        <v>0</v>
      </c>
      <c r="AT189" s="383">
        <f>SUMIF('Asesorías AG anterior'!$B$7:$B$239,B189,'Asesorías AG anterior'!$Y$7:$Y$239)</f>
        <v>0</v>
      </c>
      <c r="AU189" s="383">
        <f>SUMIF('Asesorías AG anterior'!$B$7:$B$239,B189,'Asesorías AG anterior'!$Z$7:$Z$239)</f>
        <v>0</v>
      </c>
      <c r="AV189" s="383">
        <f>SUMIF('Asesorías AG anterior'!$B$7:$B$239,B189,'Asesorías AG anterior'!$AA$7:$AA$239)</f>
        <v>0</v>
      </c>
      <c r="AW189" s="383">
        <f>SUMIF('Asesorías AG anterior'!$B$7:$B$239,B189,'Asesorías AG anterior'!$AB$7:$AB$239)</f>
        <v>0</v>
      </c>
      <c r="AX189" s="335"/>
      <c r="AZ189" s="1097" t="s">
        <v>133</v>
      </c>
    </row>
    <row r="190" spans="1:52" x14ac:dyDescent="0.2">
      <c r="A190" s="1184">
        <f t="shared" si="54"/>
        <v>182</v>
      </c>
      <c r="B190" s="1097" t="s">
        <v>135</v>
      </c>
      <c r="C190" s="1185">
        <f>_xlfn.XLOOKUP(B190,Códigos!$B$8:$B$406,Códigos!$A$8:$A$406,"Verificar",0)</f>
        <v>173</v>
      </c>
      <c r="D190" s="1114">
        <f>_xlfn.XLOOKUP(B190,'Consolidado Cobros'!$B$10:$B$312,'Consolidado Cobros'!$C$10:$C$312,"Verificar",0)</f>
        <v>32413027</v>
      </c>
      <c r="E190" s="1520">
        <f t="shared" si="65"/>
        <v>8</v>
      </c>
      <c r="F190" s="1517">
        <f t="shared" si="66"/>
        <v>396388.66474694619</v>
      </c>
      <c r="G190" s="1251">
        <f t="shared" si="67"/>
        <v>0</v>
      </c>
      <c r="H190" s="1240">
        <f t="shared" si="55"/>
        <v>396388.66474694619</v>
      </c>
      <c r="I190" s="1148">
        <v>3</v>
      </c>
      <c r="J190" s="383">
        <f t="shared" si="68"/>
        <v>256388.66474694616</v>
      </c>
      <c r="K190" s="712"/>
      <c r="L190" s="487">
        <f t="shared" si="69"/>
        <v>0</v>
      </c>
      <c r="M190" s="927"/>
      <c r="N190" s="672">
        <v>0</v>
      </c>
      <c r="O190" s="660" t="s">
        <v>318</v>
      </c>
      <c r="P190" s="1092">
        <f t="shared" si="70"/>
        <v>140000</v>
      </c>
      <c r="Q190" s="1093">
        <v>0</v>
      </c>
      <c r="R190" s="381">
        <f t="shared" si="63"/>
        <v>140000</v>
      </c>
      <c r="S190" s="382"/>
      <c r="T190" s="381"/>
      <c r="U190" s="624"/>
      <c r="V190" s="569">
        <f t="shared" si="71"/>
        <v>0</v>
      </c>
      <c r="W190" s="607"/>
      <c r="X190" s="383"/>
      <c r="Y190" s="607"/>
      <c r="Z190" s="383"/>
      <c r="AA190" s="607"/>
      <c r="AB190" s="718"/>
      <c r="AC190" s="335"/>
      <c r="AD190" s="383">
        <f>SUMIF('Asesorías AG anterior'!$B$7:$B$239,B190,'Asesorías AG anterior'!$I$7:$I$239)</f>
        <v>3</v>
      </c>
      <c r="AE190" s="383">
        <f>SUMIF('Asesorías AG anterior'!$B$7:$B$239,B190,'Asesorías AG anterior'!$J$7:$J$239)</f>
        <v>243947.3499019469</v>
      </c>
      <c r="AF190" s="383">
        <f>SUMIF('Asesorías AG anterior'!$B$7:$B$239,B190,'Asesorías AG anterior'!$K$7:$K$239)</f>
        <v>1E-3</v>
      </c>
      <c r="AG190" s="383">
        <f>SUMIF('Asesorías AG anterior'!$B$7:$B$239,B190,'Asesorías AG anterior'!$L$7:$L$239)</f>
        <v>0</v>
      </c>
      <c r="AH190" s="383">
        <f>SUMIF('Asesorías AG anterior'!$B$7:$B$239,B190,'Asesorías AG anterior'!$M$7:$M$239)</f>
        <v>0</v>
      </c>
      <c r="AI190" s="383">
        <f>SUMIF('Asesorías AG anterior'!$B$7:$B$239,B190,'Asesorías AG anterior'!$N$7:$N$239)</f>
        <v>0</v>
      </c>
      <c r="AJ190" s="383">
        <f>SUMIF('Asesorías AG anterior'!$B$7:$B$239,B190,'Asesorías AG anterior'!$O$7:$O$239)</f>
        <v>0</v>
      </c>
      <c r="AK190" s="383">
        <f>SUMIF('Asesorías AG anterior'!$B$7:$B$239,B190,'Asesorías AG anterior'!$P$7:$P$239)</f>
        <v>130000</v>
      </c>
      <c r="AL190" s="383">
        <f>SUMIF('Asesorías AG anterior'!$B$7:$B$239,B190,'Asesorías AG anterior'!$Q$7:$Q$239)</f>
        <v>0</v>
      </c>
      <c r="AM190" s="383">
        <f>SUMIF('Asesorías AG anterior'!$B$7:$B$239,B190,'Asesorías AG anterior'!$R$7:$R$239)</f>
        <v>0</v>
      </c>
      <c r="AN190" s="383"/>
      <c r="AO190" s="383">
        <f>SUMIF('Asesorías AG anterior'!$B$7:$B$239,B190,'Asesorías AG anterior'!$T$7:$T$239)</f>
        <v>0</v>
      </c>
      <c r="AP190" s="383">
        <f>SUMIF('Asesorías AG anterior'!$B$7:$B$239,B190,'Asesorías AG anterior'!$U$7:$U$239)</f>
        <v>0</v>
      </c>
      <c r="AQ190" s="383">
        <f>SUMIF('Asesorías AG anterior'!$B$7:$B$239,B190,'Asesorías AG anterior'!$V$7:$V$239)</f>
        <v>0</v>
      </c>
      <c r="AR190" s="383">
        <f>SUMIF('Asesorías AG anterior'!$B$7:$B$239,B190,'Asesorías AG anterior'!$W$7:$W$239)</f>
        <v>0</v>
      </c>
      <c r="AS190" s="383">
        <f>SUMIF('Asesorías AG anterior'!$B$7:$B$239,B190,'Asesorías AG anterior'!$X$7:$X$239)</f>
        <v>0</v>
      </c>
      <c r="AT190" s="383">
        <f>SUMIF('Asesorías AG anterior'!$B$7:$B$239,B190,'Asesorías AG anterior'!$Y$7:$Y$239)</f>
        <v>0</v>
      </c>
      <c r="AU190" s="383">
        <f>SUMIF('Asesorías AG anterior'!$B$7:$B$239,B190,'Asesorías AG anterior'!$Z$7:$Z$239)</f>
        <v>0</v>
      </c>
      <c r="AV190" s="383">
        <f>SUMIF('Asesorías AG anterior'!$B$7:$B$239,B190,'Asesorías AG anterior'!$AA$7:$AA$239)</f>
        <v>0</v>
      </c>
      <c r="AW190" s="383">
        <f>SUMIF('Asesorías AG anterior'!$B$7:$B$239,B190,'Asesorías AG anterior'!$AB$7:$AB$239)</f>
        <v>0</v>
      </c>
      <c r="AX190" s="335"/>
      <c r="AZ190" s="1097" t="s">
        <v>135</v>
      </c>
    </row>
    <row r="191" spans="1:52" x14ac:dyDescent="0.2">
      <c r="A191" s="1184">
        <f t="shared" si="54"/>
        <v>183</v>
      </c>
      <c r="B191" s="1137" t="s">
        <v>724</v>
      </c>
      <c r="C191" s="1185">
        <f>_xlfn.XLOOKUP(B191,Códigos!$B$8:$B$406,Códigos!$A$8:$A$406,"Verificar",0)</f>
        <v>294</v>
      </c>
      <c r="D191" s="1114">
        <f>_xlfn.XLOOKUP(B191,'Consolidado Cobros'!$B$10:$B$312,'Consolidado Cobros'!$C$10:$C$312,"Verificar",0)</f>
        <v>900742209</v>
      </c>
      <c r="E191" s="1520">
        <f t="shared" si="65"/>
        <v>0</v>
      </c>
      <c r="F191" s="1517">
        <f t="shared" si="66"/>
        <v>1239211.87961024</v>
      </c>
      <c r="G191" s="1251">
        <f t="shared" si="67"/>
        <v>0</v>
      </c>
      <c r="H191" s="1240">
        <f t="shared" si="55"/>
        <v>1239211.87961024</v>
      </c>
      <c r="I191" s="1148">
        <v>3</v>
      </c>
      <c r="J191" s="383">
        <f t="shared" si="68"/>
        <v>384582.99712041917</v>
      </c>
      <c r="K191" s="712">
        <v>12</v>
      </c>
      <c r="L191" s="487">
        <f t="shared" si="69"/>
        <v>854628.88248982071</v>
      </c>
      <c r="M191" s="927"/>
      <c r="N191" s="672">
        <v>0</v>
      </c>
      <c r="O191" s="660"/>
      <c r="P191" s="1092">
        <f t="shared" si="70"/>
        <v>0</v>
      </c>
      <c r="Q191" s="1093">
        <v>0</v>
      </c>
      <c r="R191" s="381">
        <f t="shared" si="63"/>
        <v>0</v>
      </c>
      <c r="S191" s="382"/>
      <c r="T191" s="381"/>
      <c r="U191" s="624"/>
      <c r="V191" s="569">
        <f t="shared" si="71"/>
        <v>0</v>
      </c>
      <c r="W191" s="607"/>
      <c r="X191" s="383"/>
      <c r="Y191" s="607"/>
      <c r="Z191" s="383"/>
      <c r="AA191" s="607"/>
      <c r="AB191" s="718"/>
      <c r="AC191" s="335"/>
      <c r="AD191" s="383">
        <f>SUMIF('Asesorías AG anterior'!$B$7:$B$239,B191,'Asesorías AG anterior'!$I$7:$I$239)</f>
        <v>3</v>
      </c>
      <c r="AE191" s="383">
        <f>SUMIF('Asesorías AG anterior'!$B$7:$B$239,B191,'Asesorías AG anterior'!$J$7:$J$239)</f>
        <v>365921.02485292027</v>
      </c>
      <c r="AF191" s="383">
        <f>SUMIF('Asesorías AG anterior'!$B$7:$B$239,B191,'Asesorías AG anterior'!$K$7:$K$239)</f>
        <v>12</v>
      </c>
      <c r="AG191" s="383">
        <f>SUMIF('Asesorías AG anterior'!$B$7:$B$239,B191,'Asesorías AG anterior'!$L$7:$L$239)</f>
        <v>813157.83300648979</v>
      </c>
      <c r="AH191" s="383">
        <f>SUMIF('Asesorías AG anterior'!$B$7:$B$239,B191,'Asesorías AG anterior'!$M$7:$M$239)</f>
        <v>0</v>
      </c>
      <c r="AI191" s="383">
        <f>SUMIF('Asesorías AG anterior'!$B$7:$B$239,B191,'Asesorías AG anterior'!$N$7:$N$239)</f>
        <v>0</v>
      </c>
      <c r="AJ191" s="383">
        <f>SUMIF('Asesorías AG anterior'!$B$7:$B$239,B191,'Asesorías AG anterior'!$O$7:$O$239)</f>
        <v>0</v>
      </c>
      <c r="AK191" s="383">
        <f>SUMIF('Asesorías AG anterior'!$B$7:$B$239,B191,'Asesorías AG anterior'!$P$7:$P$239)</f>
        <v>0</v>
      </c>
      <c r="AL191" s="383">
        <f>SUMIF('Asesorías AG anterior'!$B$7:$B$239,B191,'Asesorías AG anterior'!$Q$7:$Q$239)</f>
        <v>0</v>
      </c>
      <c r="AM191" s="383">
        <f>SUMIF('Asesorías AG anterior'!$B$7:$B$239,B191,'Asesorías AG anterior'!$R$7:$R$239)</f>
        <v>0</v>
      </c>
      <c r="AN191" s="383"/>
      <c r="AO191" s="383">
        <f>SUMIF('Asesorías AG anterior'!$B$7:$B$239,B191,'Asesorías AG anterior'!$T$7:$T$239)</f>
        <v>0</v>
      </c>
      <c r="AP191" s="383">
        <f>SUMIF('Asesorías AG anterior'!$B$7:$B$239,B191,'Asesorías AG anterior'!$U$7:$U$239)</f>
        <v>0</v>
      </c>
      <c r="AQ191" s="383">
        <f>SUMIF('Asesorías AG anterior'!$B$7:$B$239,B191,'Asesorías AG anterior'!$V$7:$V$239)</f>
        <v>0</v>
      </c>
      <c r="AR191" s="383">
        <f>SUMIF('Asesorías AG anterior'!$B$7:$B$239,B191,'Asesorías AG anterior'!$W$7:$W$239)</f>
        <v>0</v>
      </c>
      <c r="AS191" s="383">
        <f>SUMIF('Asesorías AG anterior'!$B$7:$B$239,B191,'Asesorías AG anterior'!$X$7:$X$239)</f>
        <v>0</v>
      </c>
      <c r="AT191" s="383">
        <f>SUMIF('Asesorías AG anterior'!$B$7:$B$239,B191,'Asesorías AG anterior'!$Y$7:$Y$239)</f>
        <v>0</v>
      </c>
      <c r="AU191" s="383">
        <f>SUMIF('Asesorías AG anterior'!$B$7:$B$239,B191,'Asesorías AG anterior'!$Z$7:$Z$239)</f>
        <v>0</v>
      </c>
      <c r="AV191" s="383">
        <f>SUMIF('Asesorías AG anterior'!$B$7:$B$239,B191,'Asesorías AG anterior'!$AA$7:$AA$239)</f>
        <v>0</v>
      </c>
      <c r="AW191" s="383">
        <f>SUMIF('Asesorías AG anterior'!$B$7:$B$239,B191,'Asesorías AG anterior'!$AB$7:$AB$239)</f>
        <v>0</v>
      </c>
      <c r="AX191" s="335"/>
      <c r="AZ191" s="1201" t="s">
        <v>724</v>
      </c>
    </row>
    <row r="192" spans="1:52" x14ac:dyDescent="0.2">
      <c r="A192" s="1184">
        <f t="shared" si="54"/>
        <v>184</v>
      </c>
      <c r="B192" s="1097" t="s">
        <v>136</v>
      </c>
      <c r="C192" s="1185">
        <f>_xlfn.XLOOKUP(B192,Códigos!$B$8:$B$406,Códigos!$A$8:$A$406,"Verificar",0)</f>
        <v>243</v>
      </c>
      <c r="D192" s="1114">
        <f>_xlfn.XLOOKUP(B192,'Consolidado Cobros'!$B$10:$B$312,'Consolidado Cobros'!$C$10:$C$312,"Verificar",0)</f>
        <v>43978133</v>
      </c>
      <c r="E192" s="1520">
        <f t="shared" si="65"/>
        <v>5</v>
      </c>
      <c r="F192" s="1517">
        <f t="shared" si="66"/>
        <v>0</v>
      </c>
      <c r="G192" s="1251">
        <f t="shared" si="67"/>
        <v>0</v>
      </c>
      <c r="H192" s="1240">
        <f t="shared" si="55"/>
        <v>0</v>
      </c>
      <c r="I192" s="1148"/>
      <c r="J192" s="383">
        <f t="shared" si="68"/>
        <v>0</v>
      </c>
      <c r="K192" s="712"/>
      <c r="L192" s="487">
        <f t="shared" si="69"/>
        <v>0</v>
      </c>
      <c r="M192" s="927"/>
      <c r="N192" s="672">
        <v>0</v>
      </c>
      <c r="O192" s="660"/>
      <c r="P192" s="1092">
        <f t="shared" si="70"/>
        <v>0</v>
      </c>
      <c r="Q192" s="1093">
        <v>0</v>
      </c>
      <c r="R192" s="381">
        <f t="shared" si="63"/>
        <v>0</v>
      </c>
      <c r="S192" s="382"/>
      <c r="T192" s="381"/>
      <c r="U192" s="624"/>
      <c r="V192" s="569">
        <f t="shared" si="71"/>
        <v>0</v>
      </c>
      <c r="W192" s="607"/>
      <c r="X192" s="383"/>
      <c r="Y192" s="607"/>
      <c r="Z192" s="383"/>
      <c r="AA192" s="607"/>
      <c r="AB192" s="718"/>
      <c r="AC192" s="335"/>
      <c r="AD192" s="383">
        <f>SUMIF('Asesorías AG anterior'!$B$7:$B$239,B192,'Asesorías AG anterior'!$I$7:$I$239)</f>
        <v>1E-3</v>
      </c>
      <c r="AE192" s="383">
        <f>SUMIF('Asesorías AG anterior'!$B$7:$B$239,B192,'Asesorías AG anterior'!$J$7:$J$239)</f>
        <v>0</v>
      </c>
      <c r="AF192" s="383">
        <f>SUMIF('Asesorías AG anterior'!$B$7:$B$239,B192,'Asesorías AG anterior'!$K$7:$K$239)</f>
        <v>1E-3</v>
      </c>
      <c r="AG192" s="383">
        <f>SUMIF('Asesorías AG anterior'!$B$7:$B$239,B192,'Asesorías AG anterior'!$L$7:$L$239)</f>
        <v>0</v>
      </c>
      <c r="AH192" s="383">
        <f>SUMIF('Asesorías AG anterior'!$B$7:$B$239,B192,'Asesorías AG anterior'!$M$7:$M$239)</f>
        <v>0</v>
      </c>
      <c r="AI192" s="383">
        <f>SUMIF('Asesorías AG anterior'!$B$7:$B$239,B192,'Asesorías AG anterior'!$N$7:$N$239)</f>
        <v>0</v>
      </c>
      <c r="AJ192" s="383">
        <f>SUMIF('Asesorías AG anterior'!$B$7:$B$239,B192,'Asesorías AG anterior'!$O$7:$O$239)</f>
        <v>1E-3</v>
      </c>
      <c r="AK192" s="383">
        <f>SUMIF('Asesorías AG anterior'!$B$7:$B$239,B192,'Asesorías AG anterior'!$P$7:$P$239)</f>
        <v>0</v>
      </c>
      <c r="AL192" s="383">
        <f>SUMIF('Asesorías AG anterior'!$B$7:$B$239,B192,'Asesorías AG anterior'!$Q$7:$Q$239)</f>
        <v>0</v>
      </c>
      <c r="AM192" s="383">
        <f>SUMIF('Asesorías AG anterior'!$B$7:$B$239,B192,'Asesorías AG anterior'!$R$7:$R$239)</f>
        <v>0</v>
      </c>
      <c r="AN192" s="383"/>
      <c r="AO192" s="383">
        <f>SUMIF('Asesorías AG anterior'!$B$7:$B$239,B192,'Asesorías AG anterior'!$T$7:$T$239)</f>
        <v>0</v>
      </c>
      <c r="AP192" s="383">
        <f>SUMIF('Asesorías AG anterior'!$B$7:$B$239,B192,'Asesorías AG anterior'!$U$7:$U$239)</f>
        <v>0</v>
      </c>
      <c r="AQ192" s="383">
        <f>SUMIF('Asesorías AG anterior'!$B$7:$B$239,B192,'Asesorías AG anterior'!$V$7:$V$239)</f>
        <v>0</v>
      </c>
      <c r="AR192" s="383">
        <f>SUMIF('Asesorías AG anterior'!$B$7:$B$239,B192,'Asesorías AG anterior'!$W$7:$W$239)</f>
        <v>0</v>
      </c>
      <c r="AS192" s="383">
        <f>SUMIF('Asesorías AG anterior'!$B$7:$B$239,B192,'Asesorías AG anterior'!$X$7:$X$239)</f>
        <v>0</v>
      </c>
      <c r="AT192" s="383">
        <f>SUMIF('Asesorías AG anterior'!$B$7:$B$239,B192,'Asesorías AG anterior'!$Y$7:$Y$239)</f>
        <v>0</v>
      </c>
      <c r="AU192" s="383">
        <f>SUMIF('Asesorías AG anterior'!$B$7:$B$239,B192,'Asesorías AG anterior'!$Z$7:$Z$239)</f>
        <v>0</v>
      </c>
      <c r="AV192" s="383">
        <f>SUMIF('Asesorías AG anterior'!$B$7:$B$239,B192,'Asesorías AG anterior'!$AA$7:$AA$239)</f>
        <v>0</v>
      </c>
      <c r="AW192" s="383">
        <f>SUMIF('Asesorías AG anterior'!$B$7:$B$239,B192,'Asesorías AG anterior'!$AB$7:$AB$239)</f>
        <v>0</v>
      </c>
      <c r="AX192" s="335"/>
      <c r="AZ192" s="1097" t="s">
        <v>136</v>
      </c>
    </row>
    <row r="193" spans="1:52" x14ac:dyDescent="0.2">
      <c r="A193" s="1184">
        <f t="shared" si="54"/>
        <v>185</v>
      </c>
      <c r="B193" s="1097" t="s">
        <v>137</v>
      </c>
      <c r="C193" s="1185">
        <f>_xlfn.XLOOKUP(B193,Códigos!$B$8:$B$406,Códigos!$A$8:$A$406,"Verificar",0)</f>
        <v>175</v>
      </c>
      <c r="D193" s="1114">
        <f>_xlfn.XLOOKUP(B193,'Consolidado Cobros'!$B$10:$B$312,'Consolidado Cobros'!$C$10:$C$312,"Verificar",0)</f>
        <v>71315509</v>
      </c>
      <c r="E193" s="1520">
        <f t="shared" si="65"/>
        <v>8</v>
      </c>
      <c r="F193" s="1517">
        <f t="shared" si="66"/>
        <v>0</v>
      </c>
      <c r="G193" s="1251">
        <f t="shared" si="67"/>
        <v>0</v>
      </c>
      <c r="H193" s="1240">
        <f t="shared" si="55"/>
        <v>0</v>
      </c>
      <c r="I193" s="1148"/>
      <c r="J193" s="383">
        <f t="shared" si="68"/>
        <v>0</v>
      </c>
      <c r="K193" s="712"/>
      <c r="L193" s="487">
        <f t="shared" si="69"/>
        <v>0</v>
      </c>
      <c r="M193" s="927"/>
      <c r="N193" s="672">
        <v>0</v>
      </c>
      <c r="O193" s="660"/>
      <c r="P193" s="1092">
        <f t="shared" si="70"/>
        <v>0</v>
      </c>
      <c r="Q193" s="1093">
        <v>0</v>
      </c>
      <c r="R193" s="381">
        <f t="shared" si="63"/>
        <v>0</v>
      </c>
      <c r="S193" s="382"/>
      <c r="T193" s="381"/>
      <c r="U193" s="624"/>
      <c r="V193" s="569">
        <f t="shared" si="71"/>
        <v>0</v>
      </c>
      <c r="W193" s="607"/>
      <c r="X193" s="383"/>
      <c r="Y193" s="607"/>
      <c r="Z193" s="383"/>
      <c r="AA193" s="607"/>
      <c r="AB193" s="718"/>
      <c r="AC193" s="335"/>
      <c r="AD193" s="383">
        <f>SUMIF('Asesorías AG anterior'!$B$7:$B$239,B193,'Asesorías AG anterior'!$I$7:$I$239)</f>
        <v>1E-3</v>
      </c>
      <c r="AE193" s="383">
        <f>SUMIF('Asesorías AG anterior'!$B$7:$B$239,B193,'Asesorías AG anterior'!$J$7:$J$239)</f>
        <v>0</v>
      </c>
      <c r="AF193" s="383">
        <f>SUMIF('Asesorías AG anterior'!$B$7:$B$239,B193,'Asesorías AG anterior'!$K$7:$K$239)</f>
        <v>1E-3</v>
      </c>
      <c r="AG193" s="383">
        <f>SUMIF('Asesorías AG anterior'!$B$7:$B$239,B193,'Asesorías AG anterior'!$L$7:$L$239)</f>
        <v>0</v>
      </c>
      <c r="AH193" s="383">
        <f>SUMIF('Asesorías AG anterior'!$B$7:$B$239,B193,'Asesorías AG anterior'!$M$7:$M$239)</f>
        <v>0</v>
      </c>
      <c r="AI193" s="383">
        <f>SUMIF('Asesorías AG anterior'!$B$7:$B$239,B193,'Asesorías AG anterior'!$N$7:$N$239)</f>
        <v>0</v>
      </c>
      <c r="AJ193" s="383">
        <f>SUMIF('Asesorías AG anterior'!$B$7:$B$239,B193,'Asesorías AG anterior'!$O$7:$O$239)</f>
        <v>1E-3</v>
      </c>
      <c r="AK193" s="383">
        <f>SUMIF('Asesorías AG anterior'!$B$7:$B$239,B193,'Asesorías AG anterior'!$P$7:$P$239)</f>
        <v>0</v>
      </c>
      <c r="AL193" s="383">
        <f>SUMIF('Asesorías AG anterior'!$B$7:$B$239,B193,'Asesorías AG anterior'!$Q$7:$Q$239)</f>
        <v>0</v>
      </c>
      <c r="AM193" s="383">
        <f>SUMIF('Asesorías AG anterior'!$B$7:$B$239,B193,'Asesorías AG anterior'!$R$7:$R$239)</f>
        <v>0</v>
      </c>
      <c r="AN193" s="383"/>
      <c r="AO193" s="383">
        <f>SUMIF('Asesorías AG anterior'!$B$7:$B$239,B193,'Asesorías AG anterior'!$T$7:$T$239)</f>
        <v>0</v>
      </c>
      <c r="AP193" s="383">
        <f>SUMIF('Asesorías AG anterior'!$B$7:$B$239,B193,'Asesorías AG anterior'!$U$7:$U$239)</f>
        <v>0</v>
      </c>
      <c r="AQ193" s="383">
        <f>SUMIF('Asesorías AG anterior'!$B$7:$B$239,B193,'Asesorías AG anterior'!$V$7:$V$239)</f>
        <v>0</v>
      </c>
      <c r="AR193" s="383">
        <f>SUMIF('Asesorías AG anterior'!$B$7:$B$239,B193,'Asesorías AG anterior'!$W$7:$W$239)</f>
        <v>0</v>
      </c>
      <c r="AS193" s="383">
        <f>SUMIF('Asesorías AG anterior'!$B$7:$B$239,B193,'Asesorías AG anterior'!$X$7:$X$239)</f>
        <v>0</v>
      </c>
      <c r="AT193" s="383">
        <f>SUMIF('Asesorías AG anterior'!$B$7:$B$239,B193,'Asesorías AG anterior'!$Y$7:$Y$239)</f>
        <v>0</v>
      </c>
      <c r="AU193" s="383">
        <f>SUMIF('Asesorías AG anterior'!$B$7:$B$239,B193,'Asesorías AG anterior'!$Z$7:$Z$239)</f>
        <v>0</v>
      </c>
      <c r="AV193" s="383">
        <f>SUMIF('Asesorías AG anterior'!$B$7:$B$239,B193,'Asesorías AG anterior'!$AA$7:$AA$239)</f>
        <v>0</v>
      </c>
      <c r="AW193" s="383">
        <f>SUMIF('Asesorías AG anterior'!$B$7:$B$239,B193,'Asesorías AG anterior'!$AB$7:$AB$239)</f>
        <v>0</v>
      </c>
      <c r="AX193" s="335"/>
      <c r="AZ193" s="1393" t="s">
        <v>137</v>
      </c>
    </row>
    <row r="194" spans="1:52" x14ac:dyDescent="0.2">
      <c r="A194" s="1184">
        <f t="shared" si="54"/>
        <v>186</v>
      </c>
      <c r="B194" s="1097" t="s">
        <v>138</v>
      </c>
      <c r="C194" s="1185">
        <f>_xlfn.XLOOKUP(B194,Códigos!$B$8:$B$406,Códigos!$A$8:$A$406,"Verificar",0)</f>
        <v>296</v>
      </c>
      <c r="D194" s="1114">
        <f>_xlfn.XLOOKUP(B194,'Consolidado Cobros'!$B$10:$B$312,'Consolidado Cobros'!$C$10:$C$312,"Verificar",0)</f>
        <v>43628444</v>
      </c>
      <c r="E194" s="1520">
        <f t="shared" si="65"/>
        <v>1</v>
      </c>
      <c r="F194" s="1517">
        <f t="shared" si="66"/>
        <v>384582.99712041917</v>
      </c>
      <c r="G194" s="1251">
        <f t="shared" si="67"/>
        <v>0</v>
      </c>
      <c r="H194" s="1240">
        <f t="shared" si="55"/>
        <v>384582.99712041917</v>
      </c>
      <c r="I194" s="1148">
        <v>3</v>
      </c>
      <c r="J194" s="383">
        <f t="shared" si="68"/>
        <v>384582.99712041917</v>
      </c>
      <c r="K194" s="712"/>
      <c r="L194" s="487">
        <f t="shared" si="69"/>
        <v>0</v>
      </c>
      <c r="M194" s="927"/>
      <c r="N194" s="672">
        <v>0</v>
      </c>
      <c r="O194" s="660"/>
      <c r="P194" s="1092">
        <f t="shared" si="70"/>
        <v>0</v>
      </c>
      <c r="Q194" s="1093">
        <v>0</v>
      </c>
      <c r="R194" s="381">
        <f t="shared" si="63"/>
        <v>0</v>
      </c>
      <c r="S194" s="382"/>
      <c r="T194" s="381"/>
      <c r="U194" s="624"/>
      <c r="V194" s="569">
        <f t="shared" si="71"/>
        <v>0</v>
      </c>
      <c r="W194" s="607"/>
      <c r="X194" s="383"/>
      <c r="Y194" s="607"/>
      <c r="Z194" s="383"/>
      <c r="AA194" s="607"/>
      <c r="AB194" s="718"/>
      <c r="AC194" s="335"/>
      <c r="AD194" s="383">
        <f>SUMIF('Asesorías AG anterior'!$B$7:$B$239,B194,'Asesorías AG anterior'!$I$7:$I$239)</f>
        <v>3</v>
      </c>
      <c r="AE194" s="383">
        <f>SUMIF('Asesorías AG anterior'!$B$7:$B$239,B194,'Asesorías AG anterior'!$J$7:$J$239)</f>
        <v>365921.02485292027</v>
      </c>
      <c r="AF194" s="383">
        <f>SUMIF('Asesorías AG anterior'!$B$7:$B$239,B194,'Asesorías AG anterior'!$K$7:$K$239)</f>
        <v>1E-3</v>
      </c>
      <c r="AG194" s="383">
        <f>SUMIF('Asesorías AG anterior'!$B$7:$B$239,B194,'Asesorías AG anterior'!$L$7:$L$239)</f>
        <v>0</v>
      </c>
      <c r="AH194" s="383">
        <f>SUMIF('Asesorías AG anterior'!$B$7:$B$239,B194,'Asesorías AG anterior'!$M$7:$M$239)</f>
        <v>0</v>
      </c>
      <c r="AI194" s="383">
        <f>SUMIF('Asesorías AG anterior'!$B$7:$B$239,B194,'Asesorías AG anterior'!$N$7:$N$239)</f>
        <v>0</v>
      </c>
      <c r="AJ194" s="383">
        <f>SUMIF('Asesorías AG anterior'!$B$7:$B$239,B194,'Asesorías AG anterior'!$O$7:$O$239)</f>
        <v>1E-3</v>
      </c>
      <c r="AK194" s="383">
        <f>SUMIF('Asesorías AG anterior'!$B$7:$B$239,B194,'Asesorías AG anterior'!$P$7:$P$239)</f>
        <v>0</v>
      </c>
      <c r="AL194" s="383">
        <f>SUMIF('Asesorías AG anterior'!$B$7:$B$239,B194,'Asesorías AG anterior'!$Q$7:$Q$239)</f>
        <v>0</v>
      </c>
      <c r="AM194" s="383">
        <f>SUMIF('Asesorías AG anterior'!$B$7:$B$239,B194,'Asesorías AG anterior'!$R$7:$R$239)</f>
        <v>0</v>
      </c>
      <c r="AN194" s="383"/>
      <c r="AO194" s="383">
        <f>SUMIF('Asesorías AG anterior'!$B$7:$B$239,B194,'Asesorías AG anterior'!$T$7:$T$239)</f>
        <v>0</v>
      </c>
      <c r="AP194" s="383">
        <f>SUMIF('Asesorías AG anterior'!$B$7:$B$239,B194,'Asesorías AG anterior'!$U$7:$U$239)</f>
        <v>0</v>
      </c>
      <c r="AQ194" s="383">
        <f>SUMIF('Asesorías AG anterior'!$B$7:$B$239,B194,'Asesorías AG anterior'!$V$7:$V$239)</f>
        <v>0</v>
      </c>
      <c r="AR194" s="383">
        <f>SUMIF('Asesorías AG anterior'!$B$7:$B$239,B194,'Asesorías AG anterior'!$W$7:$W$239)</f>
        <v>0</v>
      </c>
      <c r="AS194" s="383">
        <f>SUMIF('Asesorías AG anterior'!$B$7:$B$239,B194,'Asesorías AG anterior'!$X$7:$X$239)</f>
        <v>0</v>
      </c>
      <c r="AT194" s="383">
        <f>SUMIF('Asesorías AG anterior'!$B$7:$B$239,B194,'Asesorías AG anterior'!$Y$7:$Y$239)</f>
        <v>0</v>
      </c>
      <c r="AU194" s="383">
        <f>SUMIF('Asesorías AG anterior'!$B$7:$B$239,B194,'Asesorías AG anterior'!$Z$7:$Z$239)</f>
        <v>0</v>
      </c>
      <c r="AV194" s="383">
        <f>SUMIF('Asesorías AG anterior'!$B$7:$B$239,B194,'Asesorías AG anterior'!$AA$7:$AA$239)</f>
        <v>0</v>
      </c>
      <c r="AW194" s="383">
        <f>SUMIF('Asesorías AG anterior'!$B$7:$B$239,B194,'Asesorías AG anterior'!$AB$7:$AB$239)</f>
        <v>0</v>
      </c>
      <c r="AX194" s="335"/>
      <c r="AZ194" s="1393" t="s">
        <v>138</v>
      </c>
    </row>
    <row r="195" spans="1:52" x14ac:dyDescent="0.2">
      <c r="A195" s="1184">
        <f t="shared" si="54"/>
        <v>187</v>
      </c>
      <c r="B195" s="1097" t="s">
        <v>139</v>
      </c>
      <c r="C195" s="1185">
        <f>_xlfn.XLOOKUP(B195,Códigos!$B$8:$B$406,Códigos!$A$8:$A$406,"Verificar",0)</f>
        <v>176</v>
      </c>
      <c r="D195" s="1114">
        <f>_xlfn.XLOOKUP(B195,'Consolidado Cobros'!$B$10:$B$312,'Consolidado Cobros'!$C$10:$C$312,"Verificar",0)</f>
        <v>1138258</v>
      </c>
      <c r="E195" s="1520">
        <f t="shared" si="65"/>
        <v>0</v>
      </c>
      <c r="F195" s="1517">
        <f t="shared" si="66"/>
        <v>0</v>
      </c>
      <c r="G195" s="1251">
        <f t="shared" si="67"/>
        <v>0</v>
      </c>
      <c r="H195" s="1240">
        <f t="shared" si="55"/>
        <v>0</v>
      </c>
      <c r="I195" s="1148"/>
      <c r="J195" s="383">
        <f t="shared" si="68"/>
        <v>0</v>
      </c>
      <c r="K195" s="712"/>
      <c r="L195" s="487">
        <f t="shared" si="69"/>
        <v>0</v>
      </c>
      <c r="M195" s="927"/>
      <c r="N195" s="672">
        <v>0</v>
      </c>
      <c r="O195" s="660"/>
      <c r="P195" s="1092">
        <f t="shared" si="70"/>
        <v>0</v>
      </c>
      <c r="Q195" s="1093">
        <v>0</v>
      </c>
      <c r="R195" s="381">
        <f t="shared" si="63"/>
        <v>0</v>
      </c>
      <c r="S195" s="382"/>
      <c r="T195" s="381"/>
      <c r="U195" s="624"/>
      <c r="V195" s="569">
        <f t="shared" si="71"/>
        <v>0</v>
      </c>
      <c r="W195" s="607"/>
      <c r="X195" s="383"/>
      <c r="Y195" s="607"/>
      <c r="Z195" s="383"/>
      <c r="AA195" s="607"/>
      <c r="AB195" s="718"/>
      <c r="AC195" s="335"/>
      <c r="AD195" s="383">
        <f>SUMIF('Asesorías AG anterior'!$B$7:$B$239,B195,'Asesorías AG anterior'!$I$7:$I$239)</f>
        <v>1E-3</v>
      </c>
      <c r="AE195" s="383">
        <f>SUMIF('Asesorías AG anterior'!$B$7:$B$239,B195,'Asesorías AG anterior'!$J$7:$J$239)</f>
        <v>0</v>
      </c>
      <c r="AF195" s="383">
        <f>SUMIF('Asesorías AG anterior'!$B$7:$B$239,B195,'Asesorías AG anterior'!$K$7:$K$239)</f>
        <v>1E-3</v>
      </c>
      <c r="AG195" s="383">
        <f>SUMIF('Asesorías AG anterior'!$B$7:$B$239,B195,'Asesorías AG anterior'!$L$7:$L$239)</f>
        <v>0</v>
      </c>
      <c r="AH195" s="383">
        <f>SUMIF('Asesorías AG anterior'!$B$7:$B$239,B195,'Asesorías AG anterior'!$M$7:$M$239)</f>
        <v>0</v>
      </c>
      <c r="AI195" s="383">
        <f>SUMIF('Asesorías AG anterior'!$B$7:$B$239,B195,'Asesorías AG anterior'!$N$7:$N$239)</f>
        <v>0</v>
      </c>
      <c r="AJ195" s="383">
        <f>SUMIF('Asesorías AG anterior'!$B$7:$B$239,B195,'Asesorías AG anterior'!$O$7:$O$239)</f>
        <v>1E-3</v>
      </c>
      <c r="AK195" s="383">
        <f>SUMIF('Asesorías AG anterior'!$B$7:$B$239,B195,'Asesorías AG anterior'!$P$7:$P$239)</f>
        <v>0</v>
      </c>
      <c r="AL195" s="383">
        <f>SUMIF('Asesorías AG anterior'!$B$7:$B$239,B195,'Asesorías AG anterior'!$Q$7:$Q$239)</f>
        <v>0</v>
      </c>
      <c r="AM195" s="383">
        <f>SUMIF('Asesorías AG anterior'!$B$7:$B$239,B195,'Asesorías AG anterior'!$R$7:$R$239)</f>
        <v>0</v>
      </c>
      <c r="AN195" s="383"/>
      <c r="AO195" s="383">
        <f>SUMIF('Asesorías AG anterior'!$B$7:$B$239,B195,'Asesorías AG anterior'!$T$7:$T$239)</f>
        <v>0</v>
      </c>
      <c r="AP195" s="383">
        <f>SUMIF('Asesorías AG anterior'!$B$7:$B$239,B195,'Asesorías AG anterior'!$U$7:$U$239)</f>
        <v>0</v>
      </c>
      <c r="AQ195" s="383">
        <f>SUMIF('Asesorías AG anterior'!$B$7:$B$239,B195,'Asesorías AG anterior'!$V$7:$V$239)</f>
        <v>0</v>
      </c>
      <c r="AR195" s="383">
        <f>SUMIF('Asesorías AG anterior'!$B$7:$B$239,B195,'Asesorías AG anterior'!$W$7:$W$239)</f>
        <v>0</v>
      </c>
      <c r="AS195" s="383">
        <f>SUMIF('Asesorías AG anterior'!$B$7:$B$239,B195,'Asesorías AG anterior'!$X$7:$X$239)</f>
        <v>0</v>
      </c>
      <c r="AT195" s="383">
        <f>SUMIF('Asesorías AG anterior'!$B$7:$B$239,B195,'Asesorías AG anterior'!$Y$7:$Y$239)</f>
        <v>0</v>
      </c>
      <c r="AU195" s="383">
        <f>SUMIF('Asesorías AG anterior'!$B$7:$B$239,B195,'Asesorías AG anterior'!$Z$7:$Z$239)</f>
        <v>0</v>
      </c>
      <c r="AV195" s="383">
        <f>SUMIF('Asesorías AG anterior'!$B$7:$B$239,B195,'Asesorías AG anterior'!$AA$7:$AA$239)</f>
        <v>0</v>
      </c>
      <c r="AW195" s="383">
        <f>SUMIF('Asesorías AG anterior'!$B$7:$B$239,B195,'Asesorías AG anterior'!$AB$7:$AB$239)</f>
        <v>0</v>
      </c>
      <c r="AX195" s="335"/>
      <c r="AZ195" s="1393" t="s">
        <v>139</v>
      </c>
    </row>
    <row r="196" spans="1:52" x14ac:dyDescent="0.2">
      <c r="A196" s="1184">
        <f t="shared" si="54"/>
        <v>188</v>
      </c>
      <c r="B196" s="1097" t="s">
        <v>140</v>
      </c>
      <c r="C196" s="1185">
        <f>_xlfn.XLOOKUP(B196,Códigos!$B$8:$B$406,Códigos!$A$8:$A$406,"Verificar",0)</f>
        <v>177</v>
      </c>
      <c r="D196" s="1114">
        <f>_xlfn.XLOOKUP(B196,'Consolidado Cobros'!$B$10:$B$312,'Consolidado Cobros'!$C$10:$C$312,"Verificar",0)</f>
        <v>70058618</v>
      </c>
      <c r="E196" s="1520">
        <f t="shared" si="65"/>
        <v>6</v>
      </c>
      <c r="F196" s="1517">
        <f t="shared" si="66"/>
        <v>0</v>
      </c>
      <c r="G196" s="1251">
        <f t="shared" si="67"/>
        <v>0</v>
      </c>
      <c r="H196" s="1240">
        <f t="shared" si="55"/>
        <v>0</v>
      </c>
      <c r="I196" s="1148"/>
      <c r="J196" s="383">
        <f t="shared" si="68"/>
        <v>0</v>
      </c>
      <c r="K196" s="712"/>
      <c r="L196" s="487">
        <f t="shared" si="69"/>
        <v>0</v>
      </c>
      <c r="M196" s="927"/>
      <c r="N196" s="672">
        <v>0</v>
      </c>
      <c r="O196" s="660"/>
      <c r="P196" s="1092">
        <f t="shared" si="70"/>
        <v>0</v>
      </c>
      <c r="Q196" s="1093">
        <v>0</v>
      </c>
      <c r="R196" s="381">
        <f t="shared" si="63"/>
        <v>0</v>
      </c>
      <c r="S196" s="382"/>
      <c r="T196" s="381"/>
      <c r="U196" s="624"/>
      <c r="V196" s="569">
        <f t="shared" si="71"/>
        <v>0</v>
      </c>
      <c r="W196" s="607"/>
      <c r="X196" s="383"/>
      <c r="Y196" s="607"/>
      <c r="Z196" s="383"/>
      <c r="AA196" s="607"/>
      <c r="AB196" s="718"/>
      <c r="AC196" s="335"/>
      <c r="AD196" s="383">
        <f>SUMIF('Asesorías AG anterior'!$B$7:$B$239,B196,'Asesorías AG anterior'!$I$7:$I$239)</f>
        <v>1E-3</v>
      </c>
      <c r="AE196" s="383">
        <f>SUMIF('Asesorías AG anterior'!$B$7:$B$239,B196,'Asesorías AG anterior'!$J$7:$J$239)</f>
        <v>0</v>
      </c>
      <c r="AF196" s="383">
        <f>SUMIF('Asesorías AG anterior'!$B$7:$B$239,B196,'Asesorías AG anterior'!$K$7:$K$239)</f>
        <v>1E-3</v>
      </c>
      <c r="AG196" s="383">
        <f>SUMIF('Asesorías AG anterior'!$B$7:$B$239,B196,'Asesorías AG anterior'!$L$7:$L$239)</f>
        <v>0</v>
      </c>
      <c r="AH196" s="383">
        <f>SUMIF('Asesorías AG anterior'!$B$7:$B$239,B196,'Asesorías AG anterior'!$M$7:$M$239)</f>
        <v>0</v>
      </c>
      <c r="AI196" s="383">
        <f>SUMIF('Asesorías AG anterior'!$B$7:$B$239,B196,'Asesorías AG anterior'!$N$7:$N$239)</f>
        <v>0</v>
      </c>
      <c r="AJ196" s="383">
        <f>SUMIF('Asesorías AG anterior'!$B$7:$B$239,B196,'Asesorías AG anterior'!$O$7:$O$239)</f>
        <v>1E-3</v>
      </c>
      <c r="AK196" s="383">
        <f>SUMIF('Asesorías AG anterior'!$B$7:$B$239,B196,'Asesorías AG anterior'!$P$7:$P$239)</f>
        <v>0</v>
      </c>
      <c r="AL196" s="383">
        <f>SUMIF('Asesorías AG anterior'!$B$7:$B$239,B196,'Asesorías AG anterior'!$Q$7:$Q$239)</f>
        <v>0</v>
      </c>
      <c r="AM196" s="383">
        <f>SUMIF('Asesorías AG anterior'!$B$7:$B$239,B196,'Asesorías AG anterior'!$R$7:$R$239)</f>
        <v>0</v>
      </c>
      <c r="AN196" s="383"/>
      <c r="AO196" s="383">
        <f>SUMIF('Asesorías AG anterior'!$B$7:$B$239,B196,'Asesorías AG anterior'!$T$7:$T$239)</f>
        <v>0</v>
      </c>
      <c r="AP196" s="383">
        <f>SUMIF('Asesorías AG anterior'!$B$7:$B$239,B196,'Asesorías AG anterior'!$U$7:$U$239)</f>
        <v>0</v>
      </c>
      <c r="AQ196" s="383">
        <f>SUMIF('Asesorías AG anterior'!$B$7:$B$239,B196,'Asesorías AG anterior'!$V$7:$V$239)</f>
        <v>0</v>
      </c>
      <c r="AR196" s="383">
        <f>SUMIF('Asesorías AG anterior'!$B$7:$B$239,B196,'Asesorías AG anterior'!$W$7:$W$239)</f>
        <v>0</v>
      </c>
      <c r="AS196" s="383">
        <f>SUMIF('Asesorías AG anterior'!$B$7:$B$239,B196,'Asesorías AG anterior'!$X$7:$X$239)</f>
        <v>0</v>
      </c>
      <c r="AT196" s="383">
        <f>SUMIF('Asesorías AG anterior'!$B$7:$B$239,B196,'Asesorías AG anterior'!$Y$7:$Y$239)</f>
        <v>0</v>
      </c>
      <c r="AU196" s="383">
        <f>SUMIF('Asesorías AG anterior'!$B$7:$B$239,B196,'Asesorías AG anterior'!$Z$7:$Z$239)</f>
        <v>0</v>
      </c>
      <c r="AV196" s="383">
        <f>SUMIF('Asesorías AG anterior'!$B$7:$B$239,B196,'Asesorías AG anterior'!$AA$7:$AA$239)</f>
        <v>0</v>
      </c>
      <c r="AW196" s="383">
        <f>SUMIF('Asesorías AG anterior'!$B$7:$B$239,B196,'Asesorías AG anterior'!$AB$7:$AB$239)</f>
        <v>0</v>
      </c>
      <c r="AX196" s="335"/>
      <c r="AZ196" s="1097" t="s">
        <v>140</v>
      </c>
    </row>
    <row r="197" spans="1:52" x14ac:dyDescent="0.2">
      <c r="A197" s="1184">
        <f t="shared" si="54"/>
        <v>189</v>
      </c>
      <c r="B197" s="1097" t="s">
        <v>141</v>
      </c>
      <c r="C197" s="1185">
        <f>_xlfn.XLOOKUP(B197,Códigos!$B$8:$B$406,Códigos!$A$8:$A$406,"Verificar",0)</f>
        <v>234</v>
      </c>
      <c r="D197" s="1114">
        <f>_xlfn.XLOOKUP(B197,'Consolidado Cobros'!$B$10:$B$312,'Consolidado Cobros'!$C$10:$C$312,"Verificar",0)</f>
        <v>43103382</v>
      </c>
      <c r="E197" s="1520">
        <f t="shared" si="65"/>
        <v>8</v>
      </c>
      <c r="F197" s="1517">
        <f t="shared" si="66"/>
        <v>0</v>
      </c>
      <c r="G197" s="1251">
        <f t="shared" si="67"/>
        <v>0</v>
      </c>
      <c r="H197" s="1240">
        <f t="shared" si="55"/>
        <v>0</v>
      </c>
      <c r="I197" s="1148"/>
      <c r="J197" s="383">
        <f t="shared" si="68"/>
        <v>0</v>
      </c>
      <c r="K197" s="712"/>
      <c r="L197" s="487">
        <f t="shared" si="69"/>
        <v>0</v>
      </c>
      <c r="M197" s="927"/>
      <c r="N197" s="672">
        <v>0</v>
      </c>
      <c r="O197" s="660"/>
      <c r="P197" s="1092">
        <f t="shared" si="70"/>
        <v>0</v>
      </c>
      <c r="Q197" s="1093">
        <v>0</v>
      </c>
      <c r="R197" s="381">
        <f t="shared" si="63"/>
        <v>0</v>
      </c>
      <c r="S197" s="382"/>
      <c r="T197" s="381"/>
      <c r="U197" s="624"/>
      <c r="V197" s="569">
        <f t="shared" si="71"/>
        <v>0</v>
      </c>
      <c r="W197" s="607"/>
      <c r="X197" s="383"/>
      <c r="Y197" s="607"/>
      <c r="Z197" s="383"/>
      <c r="AA197" s="607"/>
      <c r="AB197" s="718"/>
      <c r="AC197" s="335"/>
      <c r="AD197" s="383">
        <f>SUMIF('Asesorías AG anterior'!$B$7:$B$239,B197,'Asesorías AG anterior'!$I$7:$I$239)</f>
        <v>1E-3</v>
      </c>
      <c r="AE197" s="383">
        <f>SUMIF('Asesorías AG anterior'!$B$7:$B$239,B197,'Asesorías AG anterior'!$J$7:$J$239)</f>
        <v>0</v>
      </c>
      <c r="AF197" s="383">
        <f>SUMIF('Asesorías AG anterior'!$B$7:$B$239,B197,'Asesorías AG anterior'!$K$7:$K$239)</f>
        <v>1E-3</v>
      </c>
      <c r="AG197" s="383">
        <f>SUMIF('Asesorías AG anterior'!$B$7:$B$239,B197,'Asesorías AG anterior'!$L$7:$L$239)</f>
        <v>0</v>
      </c>
      <c r="AH197" s="383">
        <f>SUMIF('Asesorías AG anterior'!$B$7:$B$239,B197,'Asesorías AG anterior'!$M$7:$M$239)</f>
        <v>0</v>
      </c>
      <c r="AI197" s="383">
        <f>SUMIF('Asesorías AG anterior'!$B$7:$B$239,B197,'Asesorías AG anterior'!$N$7:$N$239)</f>
        <v>0</v>
      </c>
      <c r="AJ197" s="383">
        <f>SUMIF('Asesorías AG anterior'!$B$7:$B$239,B197,'Asesorías AG anterior'!$O$7:$O$239)</f>
        <v>1E-3</v>
      </c>
      <c r="AK197" s="383">
        <f>SUMIF('Asesorías AG anterior'!$B$7:$B$239,B197,'Asesorías AG anterior'!$P$7:$P$239)</f>
        <v>0</v>
      </c>
      <c r="AL197" s="383">
        <f>SUMIF('Asesorías AG anterior'!$B$7:$B$239,B197,'Asesorías AG anterior'!$Q$7:$Q$239)</f>
        <v>0</v>
      </c>
      <c r="AM197" s="383">
        <f>SUMIF('Asesorías AG anterior'!$B$7:$B$239,B197,'Asesorías AG anterior'!$R$7:$R$239)</f>
        <v>0</v>
      </c>
      <c r="AN197" s="383"/>
      <c r="AO197" s="383">
        <f>SUMIF('Asesorías AG anterior'!$B$7:$B$239,B197,'Asesorías AG anterior'!$T$7:$T$239)</f>
        <v>0</v>
      </c>
      <c r="AP197" s="383">
        <f>SUMIF('Asesorías AG anterior'!$B$7:$B$239,B197,'Asesorías AG anterior'!$U$7:$U$239)</f>
        <v>0</v>
      </c>
      <c r="AQ197" s="383">
        <f>SUMIF('Asesorías AG anterior'!$B$7:$B$239,B197,'Asesorías AG anterior'!$V$7:$V$239)</f>
        <v>0</v>
      </c>
      <c r="AR197" s="383">
        <f>SUMIF('Asesorías AG anterior'!$B$7:$B$239,B197,'Asesorías AG anterior'!$W$7:$W$239)</f>
        <v>0</v>
      </c>
      <c r="AS197" s="383">
        <f>SUMIF('Asesorías AG anterior'!$B$7:$B$239,B197,'Asesorías AG anterior'!$X$7:$X$239)</f>
        <v>0</v>
      </c>
      <c r="AT197" s="383">
        <f>SUMIF('Asesorías AG anterior'!$B$7:$B$239,B197,'Asesorías AG anterior'!$Y$7:$Y$239)</f>
        <v>0</v>
      </c>
      <c r="AU197" s="383">
        <f>SUMIF('Asesorías AG anterior'!$B$7:$B$239,B197,'Asesorías AG anterior'!$Z$7:$Z$239)</f>
        <v>0</v>
      </c>
      <c r="AV197" s="383">
        <f>SUMIF('Asesorías AG anterior'!$B$7:$B$239,B197,'Asesorías AG anterior'!$AA$7:$AA$239)</f>
        <v>0</v>
      </c>
      <c r="AW197" s="383">
        <f>SUMIF('Asesorías AG anterior'!$B$7:$B$239,B197,'Asesorías AG anterior'!$AB$7:$AB$239)</f>
        <v>0</v>
      </c>
      <c r="AX197" s="335"/>
      <c r="AZ197" s="1097" t="s">
        <v>141</v>
      </c>
    </row>
    <row r="198" spans="1:52" x14ac:dyDescent="0.2">
      <c r="A198" s="1184">
        <f t="shared" si="54"/>
        <v>190</v>
      </c>
      <c r="B198" s="1097" t="s">
        <v>142</v>
      </c>
      <c r="C198" s="1185">
        <f>_xlfn.XLOOKUP(B198,Códigos!$B$8:$B$406,Códigos!$A$8:$A$406,"Verificar",0)</f>
        <v>266</v>
      </c>
      <c r="D198" s="1114">
        <f>_xlfn.XLOOKUP(B198,'Consolidado Cobros'!$B$10:$B$312,'Consolidado Cobros'!$C$10:$C$312,"Verificar",0)</f>
        <v>3520885</v>
      </c>
      <c r="E198" s="1520">
        <f t="shared" si="65"/>
        <v>3</v>
      </c>
      <c r="F198" s="1517">
        <f t="shared" si="66"/>
        <v>0</v>
      </c>
      <c r="G198" s="1251">
        <f t="shared" si="67"/>
        <v>0</v>
      </c>
      <c r="H198" s="1240">
        <f t="shared" si="55"/>
        <v>0</v>
      </c>
      <c r="I198" s="1148"/>
      <c r="J198" s="383">
        <f t="shared" si="68"/>
        <v>0</v>
      </c>
      <c r="K198" s="712"/>
      <c r="L198" s="487">
        <f t="shared" si="69"/>
        <v>0</v>
      </c>
      <c r="M198" s="927"/>
      <c r="N198" s="672">
        <v>0</v>
      </c>
      <c r="O198" s="660"/>
      <c r="P198" s="1092">
        <f t="shared" si="70"/>
        <v>0</v>
      </c>
      <c r="Q198" s="1093">
        <v>0</v>
      </c>
      <c r="R198" s="381">
        <f t="shared" si="63"/>
        <v>0</v>
      </c>
      <c r="S198" s="382"/>
      <c r="T198" s="381"/>
      <c r="U198" s="624"/>
      <c r="V198" s="569">
        <f t="shared" si="71"/>
        <v>0</v>
      </c>
      <c r="W198" s="607"/>
      <c r="X198" s="383"/>
      <c r="Y198" s="607"/>
      <c r="Z198" s="383"/>
      <c r="AA198" s="607"/>
      <c r="AB198" s="718"/>
      <c r="AC198" s="335"/>
      <c r="AD198" s="383">
        <f>SUMIF('Asesorías AG anterior'!$B$7:$B$239,B198,'Asesorías AG anterior'!$I$7:$I$239)</f>
        <v>1E-3</v>
      </c>
      <c r="AE198" s="383">
        <f>SUMIF('Asesorías AG anterior'!$B$7:$B$239,B198,'Asesorías AG anterior'!$J$7:$J$239)</f>
        <v>0</v>
      </c>
      <c r="AF198" s="383">
        <f>SUMIF('Asesorías AG anterior'!$B$7:$B$239,B198,'Asesorías AG anterior'!$K$7:$K$239)</f>
        <v>1E-3</v>
      </c>
      <c r="AG198" s="383">
        <f>SUMIF('Asesorías AG anterior'!$B$7:$B$239,B198,'Asesorías AG anterior'!$L$7:$L$239)</f>
        <v>0</v>
      </c>
      <c r="AH198" s="383">
        <f>SUMIF('Asesorías AG anterior'!$B$7:$B$239,B198,'Asesorías AG anterior'!$M$7:$M$239)</f>
        <v>0</v>
      </c>
      <c r="AI198" s="383">
        <f>SUMIF('Asesorías AG anterior'!$B$7:$B$239,B198,'Asesorías AG anterior'!$N$7:$N$239)</f>
        <v>0</v>
      </c>
      <c r="AJ198" s="383">
        <f>SUMIF('Asesorías AG anterior'!$B$7:$B$239,B198,'Asesorías AG anterior'!$O$7:$O$239)</f>
        <v>1E-3</v>
      </c>
      <c r="AK198" s="383">
        <f>SUMIF('Asesorías AG anterior'!$B$7:$B$239,B198,'Asesorías AG anterior'!$P$7:$P$239)</f>
        <v>0</v>
      </c>
      <c r="AL198" s="383">
        <f>SUMIF('Asesorías AG anterior'!$B$7:$B$239,B198,'Asesorías AG anterior'!$Q$7:$Q$239)</f>
        <v>0</v>
      </c>
      <c r="AM198" s="383">
        <f>SUMIF('Asesorías AG anterior'!$B$7:$B$239,B198,'Asesorías AG anterior'!$R$7:$R$239)</f>
        <v>0</v>
      </c>
      <c r="AN198" s="383"/>
      <c r="AO198" s="383">
        <f>SUMIF('Asesorías AG anterior'!$B$7:$B$239,B198,'Asesorías AG anterior'!$T$7:$T$239)</f>
        <v>0</v>
      </c>
      <c r="AP198" s="383">
        <f>SUMIF('Asesorías AG anterior'!$B$7:$B$239,B198,'Asesorías AG anterior'!$U$7:$U$239)</f>
        <v>0</v>
      </c>
      <c r="AQ198" s="383">
        <f>SUMIF('Asesorías AG anterior'!$B$7:$B$239,B198,'Asesorías AG anterior'!$V$7:$V$239)</f>
        <v>0</v>
      </c>
      <c r="AR198" s="383">
        <f>SUMIF('Asesorías AG anterior'!$B$7:$B$239,B198,'Asesorías AG anterior'!$W$7:$W$239)</f>
        <v>0</v>
      </c>
      <c r="AS198" s="383">
        <f>SUMIF('Asesorías AG anterior'!$B$7:$B$239,B198,'Asesorías AG anterior'!$X$7:$X$239)</f>
        <v>0</v>
      </c>
      <c r="AT198" s="383">
        <f>SUMIF('Asesorías AG anterior'!$B$7:$B$239,B198,'Asesorías AG anterior'!$Y$7:$Y$239)</f>
        <v>0</v>
      </c>
      <c r="AU198" s="383">
        <f>SUMIF('Asesorías AG anterior'!$B$7:$B$239,B198,'Asesorías AG anterior'!$Z$7:$Z$239)</f>
        <v>0</v>
      </c>
      <c r="AV198" s="383">
        <f>SUMIF('Asesorías AG anterior'!$B$7:$B$239,B198,'Asesorías AG anterior'!$AA$7:$AA$239)</f>
        <v>0</v>
      </c>
      <c r="AW198" s="383">
        <f>SUMIF('Asesorías AG anterior'!$B$7:$B$239,B198,'Asesorías AG anterior'!$AB$7:$AB$239)</f>
        <v>0</v>
      </c>
      <c r="AX198" s="335"/>
      <c r="AZ198" s="1097" t="s">
        <v>142</v>
      </c>
    </row>
    <row r="199" spans="1:52" x14ac:dyDescent="0.2">
      <c r="A199" s="1184">
        <f t="shared" si="54"/>
        <v>191</v>
      </c>
      <c r="B199" s="1097" t="s">
        <v>199</v>
      </c>
      <c r="C199" s="1185">
        <f>_xlfn.XLOOKUP(B199,Códigos!$B$8:$B$406,Códigos!$A$8:$A$406,"Verificar",0)</f>
        <v>317</v>
      </c>
      <c r="D199" s="1114">
        <f>_xlfn.XLOOKUP(B199,'Consolidado Cobros'!$B$10:$B$312,'Consolidado Cobros'!$C$10:$C$312,"Verificar",0)</f>
        <v>70049729</v>
      </c>
      <c r="E199" s="1520">
        <f t="shared" si="65"/>
        <v>7</v>
      </c>
      <c r="F199" s="1517">
        <f t="shared" si="66"/>
        <v>0</v>
      </c>
      <c r="G199" s="1251">
        <f t="shared" si="67"/>
        <v>0</v>
      </c>
      <c r="H199" s="1240">
        <f t="shared" si="55"/>
        <v>0</v>
      </c>
      <c r="I199" s="1148"/>
      <c r="J199" s="383">
        <f t="shared" si="68"/>
        <v>0</v>
      </c>
      <c r="K199" s="712"/>
      <c r="L199" s="487">
        <f t="shared" si="69"/>
        <v>0</v>
      </c>
      <c r="M199" s="927"/>
      <c r="N199" s="672">
        <v>0</v>
      </c>
      <c r="O199" s="660"/>
      <c r="P199" s="1092">
        <f t="shared" si="70"/>
        <v>0</v>
      </c>
      <c r="Q199" s="1093">
        <v>0</v>
      </c>
      <c r="R199" s="381">
        <f t="shared" si="63"/>
        <v>0</v>
      </c>
      <c r="S199" s="382"/>
      <c r="T199" s="381"/>
      <c r="U199" s="624"/>
      <c r="V199" s="569">
        <f t="shared" si="71"/>
        <v>0</v>
      </c>
      <c r="W199" s="607"/>
      <c r="X199" s="383"/>
      <c r="Y199" s="607"/>
      <c r="Z199" s="383"/>
      <c r="AA199" s="607"/>
      <c r="AB199" s="718"/>
      <c r="AC199" s="335"/>
      <c r="AD199" s="383">
        <f>SUMIF('Asesorías AG anterior'!$B$7:$B$239,B199,'Asesorías AG anterior'!$I$7:$I$239)</f>
        <v>1E-3</v>
      </c>
      <c r="AE199" s="383">
        <f>SUMIF('Asesorías AG anterior'!$B$7:$B$239,B199,'Asesorías AG anterior'!$J$7:$J$239)</f>
        <v>0</v>
      </c>
      <c r="AF199" s="383">
        <f>SUMIF('Asesorías AG anterior'!$B$7:$B$239,B199,'Asesorías AG anterior'!$K$7:$K$239)</f>
        <v>1E-3</v>
      </c>
      <c r="AG199" s="383">
        <f>SUMIF('Asesorías AG anterior'!$B$7:$B$239,B199,'Asesorías AG anterior'!$L$7:$L$239)</f>
        <v>0</v>
      </c>
      <c r="AH199" s="383">
        <f>SUMIF('Asesorías AG anterior'!$B$7:$B$239,B199,'Asesorías AG anterior'!$M$7:$M$239)</f>
        <v>0</v>
      </c>
      <c r="AI199" s="383">
        <f>SUMIF('Asesorías AG anterior'!$B$7:$B$239,B199,'Asesorías AG anterior'!$N$7:$N$239)</f>
        <v>0</v>
      </c>
      <c r="AJ199" s="383">
        <f>SUMIF('Asesorías AG anterior'!$B$7:$B$239,B199,'Asesorías AG anterior'!$O$7:$O$239)</f>
        <v>1E-3</v>
      </c>
      <c r="AK199" s="383">
        <f>SUMIF('Asesorías AG anterior'!$B$7:$B$239,B199,'Asesorías AG anterior'!$P$7:$P$239)</f>
        <v>0</v>
      </c>
      <c r="AL199" s="383">
        <f>SUMIF('Asesorías AG anterior'!$B$7:$B$239,B199,'Asesorías AG anterior'!$Q$7:$Q$239)</f>
        <v>0</v>
      </c>
      <c r="AM199" s="383">
        <f>SUMIF('Asesorías AG anterior'!$B$7:$B$239,B199,'Asesorías AG anterior'!$R$7:$R$239)</f>
        <v>0</v>
      </c>
      <c r="AN199" s="383"/>
      <c r="AO199" s="383">
        <f>SUMIF('Asesorías AG anterior'!$B$7:$B$239,B199,'Asesorías AG anterior'!$T$7:$T$239)</f>
        <v>0</v>
      </c>
      <c r="AP199" s="383">
        <f>SUMIF('Asesorías AG anterior'!$B$7:$B$239,B199,'Asesorías AG anterior'!$U$7:$U$239)</f>
        <v>0</v>
      </c>
      <c r="AQ199" s="383">
        <f>SUMIF('Asesorías AG anterior'!$B$7:$B$239,B199,'Asesorías AG anterior'!$V$7:$V$239)</f>
        <v>0</v>
      </c>
      <c r="AR199" s="383">
        <f>SUMIF('Asesorías AG anterior'!$B$7:$B$239,B199,'Asesorías AG anterior'!$W$7:$W$239)</f>
        <v>0</v>
      </c>
      <c r="AS199" s="383">
        <f>SUMIF('Asesorías AG anterior'!$B$7:$B$239,B199,'Asesorías AG anterior'!$X$7:$X$239)</f>
        <v>0</v>
      </c>
      <c r="AT199" s="383">
        <f>SUMIF('Asesorías AG anterior'!$B$7:$B$239,B199,'Asesorías AG anterior'!$Y$7:$Y$239)</f>
        <v>0</v>
      </c>
      <c r="AU199" s="383">
        <f>SUMIF('Asesorías AG anterior'!$B$7:$B$239,B199,'Asesorías AG anterior'!$Z$7:$Z$239)</f>
        <v>0</v>
      </c>
      <c r="AV199" s="383">
        <f>SUMIF('Asesorías AG anterior'!$B$7:$B$239,B199,'Asesorías AG anterior'!$AA$7:$AA$239)</f>
        <v>0</v>
      </c>
      <c r="AW199" s="383">
        <f>SUMIF('Asesorías AG anterior'!$B$7:$B$239,B199,'Asesorías AG anterior'!$AB$7:$AB$239)</f>
        <v>0</v>
      </c>
      <c r="AX199" s="335"/>
      <c r="AZ199" s="1097" t="s">
        <v>199</v>
      </c>
    </row>
    <row r="200" spans="1:52" x14ac:dyDescent="0.2">
      <c r="A200" s="1184">
        <f t="shared" si="54"/>
        <v>192</v>
      </c>
      <c r="B200" s="1137" t="s">
        <v>740</v>
      </c>
      <c r="C200" s="1185">
        <f>_xlfn.XLOOKUP(B200,Códigos!$B$8:$B$406,Códigos!$A$8:$A$406,"Verificar",0)</f>
        <v>319</v>
      </c>
      <c r="D200" s="1114">
        <f>_xlfn.XLOOKUP(B200,'Consolidado Cobros'!$B$10:$B$312,'Consolidado Cobros'!$C$10:$C$312,"Verificar",0)</f>
        <v>901035800</v>
      </c>
      <c r="E200" s="1520">
        <f t="shared" si="65"/>
        <v>5</v>
      </c>
      <c r="F200" s="1517">
        <f t="shared" si="66"/>
        <v>1239211.87961024</v>
      </c>
      <c r="G200" s="1251">
        <f t="shared" si="67"/>
        <v>0</v>
      </c>
      <c r="H200" s="1240">
        <f t="shared" si="55"/>
        <v>1239211.87961024</v>
      </c>
      <c r="I200" s="1148">
        <v>3</v>
      </c>
      <c r="J200" s="383">
        <f t="shared" si="68"/>
        <v>384582.99712041917</v>
      </c>
      <c r="K200" s="712">
        <v>12</v>
      </c>
      <c r="L200" s="487">
        <f t="shared" si="69"/>
        <v>854628.88248982071</v>
      </c>
      <c r="M200" s="927"/>
      <c r="N200" s="672">
        <v>0</v>
      </c>
      <c r="O200" s="660"/>
      <c r="P200" s="1092">
        <f t="shared" si="70"/>
        <v>0</v>
      </c>
      <c r="Q200" s="1093">
        <v>0</v>
      </c>
      <c r="R200" s="381">
        <f t="shared" si="63"/>
        <v>0</v>
      </c>
      <c r="S200" s="382"/>
      <c r="T200" s="381"/>
      <c r="U200" s="624"/>
      <c r="V200" s="569">
        <f t="shared" si="71"/>
        <v>0</v>
      </c>
      <c r="W200" s="607"/>
      <c r="X200" s="383"/>
      <c r="Y200" s="607"/>
      <c r="Z200" s="383"/>
      <c r="AA200" s="607"/>
      <c r="AB200" s="718"/>
      <c r="AC200" s="335"/>
      <c r="AD200" s="383">
        <f>SUMIF('Asesorías AG anterior'!$B$7:$B$239,B200,'Asesorías AG anterior'!$I$7:$I$239)</f>
        <v>3</v>
      </c>
      <c r="AE200" s="383">
        <f>SUMIF('Asesorías AG anterior'!$B$7:$B$239,B200,'Asesorías AG anterior'!$J$7:$J$239)</f>
        <v>365921.02485292027</v>
      </c>
      <c r="AF200" s="383">
        <f>SUMIF('Asesorías AG anterior'!$B$7:$B$239,B200,'Asesorías AG anterior'!$K$7:$K$239)</f>
        <v>12</v>
      </c>
      <c r="AG200" s="383">
        <f>SUMIF('Asesorías AG anterior'!$B$7:$B$239,B200,'Asesorías AG anterior'!$L$7:$L$239)</f>
        <v>813157.83300648979</v>
      </c>
      <c r="AH200" s="383">
        <f>SUMIF('Asesorías AG anterior'!$B$7:$B$239,B200,'Asesorías AG anterior'!$M$7:$M$239)</f>
        <v>0</v>
      </c>
      <c r="AI200" s="383">
        <f>SUMIF('Asesorías AG anterior'!$B$7:$B$239,B200,'Asesorías AG anterior'!$N$7:$N$239)</f>
        <v>0</v>
      </c>
      <c r="AJ200" s="383">
        <f>SUMIF('Asesorías AG anterior'!$B$7:$B$239,B200,'Asesorías AG anterior'!$O$7:$O$239)</f>
        <v>1E-3</v>
      </c>
      <c r="AK200" s="383">
        <f>SUMIF('Asesorías AG anterior'!$B$7:$B$239,B200,'Asesorías AG anterior'!$P$7:$P$239)</f>
        <v>0</v>
      </c>
      <c r="AL200" s="383">
        <f>SUMIF('Asesorías AG anterior'!$B$7:$B$239,B200,'Asesorías AG anterior'!$Q$7:$Q$239)</f>
        <v>0</v>
      </c>
      <c r="AM200" s="383">
        <f>SUMIF('Asesorías AG anterior'!$B$7:$B$239,B200,'Asesorías AG anterior'!$R$7:$R$239)</f>
        <v>0</v>
      </c>
      <c r="AN200" s="383"/>
      <c r="AO200" s="383">
        <f>SUMIF('Asesorías AG anterior'!$B$7:$B$239,B200,'Asesorías AG anterior'!$T$7:$T$239)</f>
        <v>0</v>
      </c>
      <c r="AP200" s="383">
        <f>SUMIF('Asesorías AG anterior'!$B$7:$B$239,B200,'Asesorías AG anterior'!$U$7:$U$239)</f>
        <v>0</v>
      </c>
      <c r="AQ200" s="383">
        <f>SUMIF('Asesorías AG anterior'!$B$7:$B$239,B200,'Asesorías AG anterior'!$V$7:$V$239)</f>
        <v>0</v>
      </c>
      <c r="AR200" s="383">
        <f>SUMIF('Asesorías AG anterior'!$B$7:$B$239,B200,'Asesorías AG anterior'!$W$7:$W$239)</f>
        <v>0</v>
      </c>
      <c r="AS200" s="383">
        <f>SUMIF('Asesorías AG anterior'!$B$7:$B$239,B200,'Asesorías AG anterior'!$X$7:$X$239)</f>
        <v>0</v>
      </c>
      <c r="AT200" s="383">
        <f>SUMIF('Asesorías AG anterior'!$B$7:$B$239,B200,'Asesorías AG anterior'!$Y$7:$Y$239)</f>
        <v>0</v>
      </c>
      <c r="AU200" s="383">
        <f>SUMIF('Asesorías AG anterior'!$B$7:$B$239,B200,'Asesorías AG anterior'!$Z$7:$Z$239)</f>
        <v>0</v>
      </c>
      <c r="AV200" s="383">
        <f>SUMIF('Asesorías AG anterior'!$B$7:$B$239,B200,'Asesorías AG anterior'!$AA$7:$AA$239)</f>
        <v>0</v>
      </c>
      <c r="AW200" s="383">
        <f>SUMIF('Asesorías AG anterior'!$B$7:$B$239,B200,'Asesorías AG anterior'!$AB$7:$AB$239)</f>
        <v>0</v>
      </c>
      <c r="AX200" s="335"/>
      <c r="AZ200" s="1137" t="s">
        <v>740</v>
      </c>
    </row>
    <row r="201" spans="1:52" x14ac:dyDescent="0.2">
      <c r="A201" s="1184">
        <f t="shared" si="54"/>
        <v>193</v>
      </c>
      <c r="B201" s="1137" t="s">
        <v>195</v>
      </c>
      <c r="C201" s="1185">
        <f>_xlfn.XLOOKUP(B201,Códigos!$B$8:$B$406,Códigos!$A$8:$A$406,"Verificar",0)</f>
        <v>37</v>
      </c>
      <c r="D201" s="1114">
        <f>_xlfn.XLOOKUP(B201,'Consolidado Cobros'!$B$10:$B$312,'Consolidado Cobros'!$C$10:$C$312,"Verificar",0)</f>
        <v>900258791</v>
      </c>
      <c r="E201" s="1520">
        <f t="shared" si="65"/>
        <v>0</v>
      </c>
      <c r="F201" s="1517">
        <f t="shared" si="66"/>
        <v>0</v>
      </c>
      <c r="G201" s="1251">
        <f t="shared" si="67"/>
        <v>0</v>
      </c>
      <c r="H201" s="1240">
        <f t="shared" si="55"/>
        <v>0</v>
      </c>
      <c r="I201" s="1148"/>
      <c r="J201" s="383">
        <f t="shared" si="68"/>
        <v>0</v>
      </c>
      <c r="K201" s="712"/>
      <c r="L201" s="487">
        <f t="shared" si="69"/>
        <v>0</v>
      </c>
      <c r="M201" s="927"/>
      <c r="N201" s="672">
        <v>0</v>
      </c>
      <c r="O201" s="660"/>
      <c r="P201" s="1092">
        <f t="shared" si="70"/>
        <v>0</v>
      </c>
      <c r="Q201" s="1093">
        <v>0</v>
      </c>
      <c r="R201" s="381">
        <f t="shared" si="63"/>
        <v>0</v>
      </c>
      <c r="S201" s="382"/>
      <c r="T201" s="381"/>
      <c r="U201" s="624"/>
      <c r="V201" s="569">
        <f t="shared" si="71"/>
        <v>0</v>
      </c>
      <c r="W201" s="607"/>
      <c r="X201" s="383"/>
      <c r="Y201" s="607"/>
      <c r="Z201" s="383"/>
      <c r="AA201" s="607"/>
      <c r="AB201" s="718"/>
      <c r="AC201" s="335"/>
      <c r="AD201" s="383">
        <f>SUMIF('Asesorías AG anterior'!$B$7:$B$239,B201,'Asesorías AG anterior'!$I$7:$I$239)</f>
        <v>1E-3</v>
      </c>
      <c r="AE201" s="383">
        <f>SUMIF('Asesorías AG anterior'!$B$7:$B$239,B201,'Asesorías AG anterior'!$J$7:$J$239)</f>
        <v>0</v>
      </c>
      <c r="AF201" s="383">
        <f>SUMIF('Asesorías AG anterior'!$B$7:$B$239,B201,'Asesorías AG anterior'!$K$7:$K$239)</f>
        <v>1E-3</v>
      </c>
      <c r="AG201" s="383">
        <f>SUMIF('Asesorías AG anterior'!$B$7:$B$239,B201,'Asesorías AG anterior'!$L$7:$L$239)</f>
        <v>0</v>
      </c>
      <c r="AH201" s="383">
        <f>SUMIF('Asesorías AG anterior'!$B$7:$B$239,B201,'Asesorías AG anterior'!$M$7:$M$239)</f>
        <v>0</v>
      </c>
      <c r="AI201" s="383">
        <f>SUMIF('Asesorías AG anterior'!$B$7:$B$239,B201,'Asesorías AG anterior'!$N$7:$N$239)</f>
        <v>0</v>
      </c>
      <c r="AJ201" s="383">
        <f>SUMIF('Asesorías AG anterior'!$B$7:$B$239,B201,'Asesorías AG anterior'!$O$7:$O$239)</f>
        <v>1E-3</v>
      </c>
      <c r="AK201" s="383">
        <f>SUMIF('Asesorías AG anterior'!$B$7:$B$239,B201,'Asesorías AG anterior'!$P$7:$P$239)</f>
        <v>0</v>
      </c>
      <c r="AL201" s="383">
        <f>SUMIF('Asesorías AG anterior'!$B$7:$B$239,B201,'Asesorías AG anterior'!$Q$7:$Q$239)</f>
        <v>0</v>
      </c>
      <c r="AM201" s="383">
        <f>SUMIF('Asesorías AG anterior'!$B$7:$B$239,B201,'Asesorías AG anterior'!$R$7:$R$239)</f>
        <v>0</v>
      </c>
      <c r="AN201" s="383"/>
      <c r="AO201" s="383">
        <f>SUMIF('Asesorías AG anterior'!$B$7:$B$239,B201,'Asesorías AG anterior'!$T$7:$T$239)</f>
        <v>0</v>
      </c>
      <c r="AP201" s="383">
        <f>SUMIF('Asesorías AG anterior'!$B$7:$B$239,B201,'Asesorías AG anterior'!$U$7:$U$239)</f>
        <v>0</v>
      </c>
      <c r="AQ201" s="383">
        <f>SUMIF('Asesorías AG anterior'!$B$7:$B$239,B201,'Asesorías AG anterior'!$V$7:$V$239)</f>
        <v>0</v>
      </c>
      <c r="AR201" s="383">
        <f>SUMIF('Asesorías AG anterior'!$B$7:$B$239,B201,'Asesorías AG anterior'!$W$7:$W$239)</f>
        <v>0</v>
      </c>
      <c r="AS201" s="383">
        <f>SUMIF('Asesorías AG anterior'!$B$7:$B$239,B201,'Asesorías AG anterior'!$X$7:$X$239)</f>
        <v>0</v>
      </c>
      <c r="AT201" s="383">
        <f>SUMIF('Asesorías AG anterior'!$B$7:$B$239,B201,'Asesorías AG anterior'!$Y$7:$Y$239)</f>
        <v>0</v>
      </c>
      <c r="AU201" s="383">
        <f>SUMIF('Asesorías AG anterior'!$B$7:$B$239,B201,'Asesorías AG anterior'!$Z$7:$Z$239)</f>
        <v>0</v>
      </c>
      <c r="AV201" s="383">
        <f>SUMIF('Asesorías AG anterior'!$B$7:$B$239,B201,'Asesorías AG anterior'!$AA$7:$AA$239)</f>
        <v>0</v>
      </c>
      <c r="AW201" s="383">
        <f>SUMIF('Asesorías AG anterior'!$B$7:$B$239,B201,'Asesorías AG anterior'!$AB$7:$AB$239)</f>
        <v>0</v>
      </c>
      <c r="AX201" s="335"/>
      <c r="AZ201" s="1137" t="s">
        <v>195</v>
      </c>
    </row>
    <row r="202" spans="1:52" x14ac:dyDescent="0.2">
      <c r="A202" s="1184">
        <f t="shared" si="54"/>
        <v>194</v>
      </c>
      <c r="B202" s="1097" t="s">
        <v>143</v>
      </c>
      <c r="C202" s="1185">
        <f>_xlfn.XLOOKUP(B202,Códigos!$B$8:$B$406,Códigos!$A$8:$A$406,"Verificar",0)</f>
        <v>264</v>
      </c>
      <c r="D202" s="1114">
        <f>_xlfn.XLOOKUP(B202,'Consolidado Cobros'!$B$10:$B$312,'Consolidado Cobros'!$C$10:$C$312,"Verificar",0)</f>
        <v>32504732</v>
      </c>
      <c r="E202" s="1520">
        <f t="shared" si="65"/>
        <v>3</v>
      </c>
      <c r="F202" s="1517">
        <f t="shared" si="66"/>
        <v>0</v>
      </c>
      <c r="G202" s="1251">
        <f t="shared" si="67"/>
        <v>0</v>
      </c>
      <c r="H202" s="1240">
        <f t="shared" si="55"/>
        <v>0</v>
      </c>
      <c r="I202" s="1148"/>
      <c r="J202" s="383">
        <f t="shared" si="68"/>
        <v>0</v>
      </c>
      <c r="K202" s="712"/>
      <c r="L202" s="487">
        <f t="shared" si="69"/>
        <v>0</v>
      </c>
      <c r="M202" s="927"/>
      <c r="N202" s="672">
        <v>0</v>
      </c>
      <c r="O202" s="660"/>
      <c r="P202" s="1092">
        <f t="shared" si="70"/>
        <v>0</v>
      </c>
      <c r="Q202" s="1093">
        <v>0</v>
      </c>
      <c r="R202" s="381">
        <f t="shared" si="63"/>
        <v>0</v>
      </c>
      <c r="S202" s="382"/>
      <c r="T202" s="381"/>
      <c r="U202" s="624"/>
      <c r="V202" s="569">
        <f t="shared" si="71"/>
        <v>0</v>
      </c>
      <c r="W202" s="607"/>
      <c r="X202" s="383"/>
      <c r="Y202" s="607"/>
      <c r="Z202" s="383"/>
      <c r="AA202" s="607"/>
      <c r="AB202" s="718"/>
      <c r="AC202" s="335"/>
      <c r="AD202" s="383">
        <f>SUMIF('Asesorías AG anterior'!$B$7:$B$239,B202,'Asesorías AG anterior'!$I$7:$I$239)</f>
        <v>1E-3</v>
      </c>
      <c r="AE202" s="383">
        <f>SUMIF('Asesorías AG anterior'!$B$7:$B$239,B202,'Asesorías AG anterior'!$J$7:$J$239)</f>
        <v>0</v>
      </c>
      <c r="AF202" s="383">
        <f>SUMIF('Asesorías AG anterior'!$B$7:$B$239,B202,'Asesorías AG anterior'!$K$7:$K$239)</f>
        <v>1E-3</v>
      </c>
      <c r="AG202" s="383">
        <f>SUMIF('Asesorías AG anterior'!$B$7:$B$239,B202,'Asesorías AG anterior'!$L$7:$L$239)</f>
        <v>0</v>
      </c>
      <c r="AH202" s="383">
        <f>SUMIF('Asesorías AG anterior'!$B$7:$B$239,B202,'Asesorías AG anterior'!$M$7:$M$239)</f>
        <v>0</v>
      </c>
      <c r="AI202" s="383">
        <f>SUMIF('Asesorías AG anterior'!$B$7:$B$239,B202,'Asesorías AG anterior'!$N$7:$N$239)</f>
        <v>0</v>
      </c>
      <c r="AJ202" s="383">
        <f>SUMIF('Asesorías AG anterior'!$B$7:$B$239,B202,'Asesorías AG anterior'!$O$7:$O$239)</f>
        <v>1E-3</v>
      </c>
      <c r="AK202" s="383">
        <f>SUMIF('Asesorías AG anterior'!$B$7:$B$239,B202,'Asesorías AG anterior'!$P$7:$P$239)</f>
        <v>0</v>
      </c>
      <c r="AL202" s="383">
        <f>SUMIF('Asesorías AG anterior'!$B$7:$B$239,B202,'Asesorías AG anterior'!$Q$7:$Q$239)</f>
        <v>0</v>
      </c>
      <c r="AM202" s="383">
        <f>SUMIF('Asesorías AG anterior'!$B$7:$B$239,B202,'Asesorías AG anterior'!$R$7:$R$239)</f>
        <v>0</v>
      </c>
      <c r="AN202" s="383"/>
      <c r="AO202" s="383">
        <f>SUMIF('Asesorías AG anterior'!$B$7:$B$239,B202,'Asesorías AG anterior'!$T$7:$T$239)</f>
        <v>0</v>
      </c>
      <c r="AP202" s="383">
        <f>SUMIF('Asesorías AG anterior'!$B$7:$B$239,B202,'Asesorías AG anterior'!$U$7:$U$239)</f>
        <v>0</v>
      </c>
      <c r="AQ202" s="383">
        <f>SUMIF('Asesorías AG anterior'!$B$7:$B$239,B202,'Asesorías AG anterior'!$V$7:$V$239)</f>
        <v>0</v>
      </c>
      <c r="AR202" s="383">
        <f>SUMIF('Asesorías AG anterior'!$B$7:$B$239,B202,'Asesorías AG anterior'!$W$7:$W$239)</f>
        <v>0</v>
      </c>
      <c r="AS202" s="383">
        <f>SUMIF('Asesorías AG anterior'!$B$7:$B$239,B202,'Asesorías AG anterior'!$X$7:$X$239)</f>
        <v>0</v>
      </c>
      <c r="AT202" s="383">
        <f>SUMIF('Asesorías AG anterior'!$B$7:$B$239,B202,'Asesorías AG anterior'!$Y$7:$Y$239)</f>
        <v>0</v>
      </c>
      <c r="AU202" s="383">
        <f>SUMIF('Asesorías AG anterior'!$B$7:$B$239,B202,'Asesorías AG anterior'!$Z$7:$Z$239)</f>
        <v>0</v>
      </c>
      <c r="AV202" s="383">
        <f>SUMIF('Asesorías AG anterior'!$B$7:$B$239,B202,'Asesorías AG anterior'!$AA$7:$AA$239)</f>
        <v>0</v>
      </c>
      <c r="AW202" s="383">
        <f>SUMIF('Asesorías AG anterior'!$B$7:$B$239,B202,'Asesorías AG anterior'!$AB$7:$AB$239)</f>
        <v>0</v>
      </c>
      <c r="AX202" s="335"/>
      <c r="AZ202" s="1097" t="s">
        <v>143</v>
      </c>
    </row>
    <row r="203" spans="1:52" x14ac:dyDescent="0.2">
      <c r="A203" s="1184">
        <f t="shared" ref="A203:A234" si="73">+A202+1</f>
        <v>195</v>
      </c>
      <c r="B203" s="1097" t="s">
        <v>785</v>
      </c>
      <c r="C203" s="1185">
        <f>_xlfn.XLOOKUP(B203,Códigos!$B$8:$B$406,Códigos!$A$8:$A$406,"Verificar",0)</f>
        <v>281</v>
      </c>
      <c r="D203" s="1114">
        <f>_xlfn.XLOOKUP(B203,'Consolidado Cobros'!$B$10:$B$312,'Consolidado Cobros'!$C$10:$C$312,"Verificar",0)</f>
        <v>32403951</v>
      </c>
      <c r="E203" s="1520">
        <f t="shared" ref="E203" si="74">IF((MOD((VALUE(MID(TEXT(D203,"000000000000000"),15,1))*3+VALUE(MID(TEXT(D203,"000000000000000"),14,1))*7+VALUE(MID(TEXT(D203,"000000000000000"),13,1))*13+VALUE(MID(TEXT(D203,"000000000000000"),12,1))*17+VALUE(MID(TEXT(D203,"000000000000000"),11,1))*19+VALUE(MID(TEXT(D203,"000000000000000"),10,1))*23+VALUE(MID(TEXT(D203,"000000000000000"),9,1))*29+VALUE(MID(TEXT(D203,"000000000000000"),8,1))*37+VALUE(MID(TEXT(D203,"000000000000000"),7,1))*41+VALUE(MID(TEXT(D203,"000000000000000"),6,1))*43+VALUE(MID(TEXT(D203,"000000000000000"),5,1))*47+VALUE(MID(TEXT(D203,"000000000000000"),4,1))*53+VALUE(MID(TEXT(D203,"000000000000000"),3,1))*59+VALUE(MID(TEXT(D203,"000000000000000"),2,1))*67+VALUE(MID(TEXT(D203,"000000000000000"),1,1))*71),11))=0,0,IF((MOD((VALUE(MID(TEXT(D203,"000000000000000"),15,1))*3+VALUE(MID(TEXT(D203,"000000000000000"),14,1))*7+VALUE(MID(TEXT(D203,"000000000000000"),13,1))*13+VALUE(MID(TEXT(D203,"000000000000000"),12,1))*17+VALUE(MID(TEXT(D203,"000000000000000"),11,1))*19+VALUE(MID(TEXT(D203,"000000000000000"),10,1))*23+VALUE(MID(TEXT(D203,"000000000000000"),9,1))*29+VALUE(MID(TEXT(D203,"000000000000000"),8,1))*37+VALUE(MID(TEXT(D203,"000000000000000"),7,1))*41+VALUE(MID(TEXT(D203,"000000000000000"),6,1))*43+VALUE(MID(TEXT(D203,"000000000000000"),5,1))*47+VALUE(MID(TEXT(D203,"000000000000000"),4,1))*53+VALUE(MID(TEXT(D203,"000000000000000"),3,1))*59+VALUE(MID(TEXT(D203,"000000000000000"),2,1))*67+VALUE(MID(TEXT(D203,"000000000000000"),1,1))*71),11))=1,1,11-(MOD((VALUE(MID(TEXT(D203,"000000000000000"),15,1))*3+VALUE(MID(TEXT(D203,"000000000000000"),14,1))*7+VALUE(MID(TEXT(D203,"000000000000000"),13,1))*13+VALUE(MID(TEXT(D203,"000000000000000"),12,1))*17+VALUE(MID(TEXT(D203,"000000000000000"),11,1))*19+VALUE(MID(TEXT(D203,"000000000000000"),10,1))*23+VALUE(MID(TEXT(D203,"000000000000000"),9,1))*29+VALUE(MID(TEXT(D203,"000000000000000"),8,1))*37+VALUE(MID(TEXT(D203,"000000000000000"),7,1))*41+VALUE(MID(TEXT(D203,"000000000000000"),6,1))*43+VALUE(MID(TEXT(D203,"000000000000000"),5,1))*47+VALUE(MID(TEXT(D203,"000000000000000"),4,1))*53+VALUE(MID(TEXT(D203,"000000000000000"),3,1))*59+VALUE(MID(TEXT(D203,"000000000000000"),2,1))*67+VALUE(MID(TEXT(D203,"000000000000000"),1,1))*71),11))))</f>
        <v>6</v>
      </c>
      <c r="F203" s="1517">
        <f t="shared" si="66"/>
        <v>0</v>
      </c>
      <c r="G203" s="1251">
        <f t="shared" si="67"/>
        <v>0</v>
      </c>
      <c r="H203" s="1240">
        <f t="shared" si="55"/>
        <v>0</v>
      </c>
      <c r="I203" s="1148"/>
      <c r="J203" s="383">
        <f t="shared" si="68"/>
        <v>0</v>
      </c>
      <c r="K203" s="712"/>
      <c r="L203" s="487">
        <f t="shared" si="69"/>
        <v>0</v>
      </c>
      <c r="M203" s="927"/>
      <c r="N203" s="672">
        <v>0</v>
      </c>
      <c r="O203" s="660"/>
      <c r="P203" s="1092">
        <f t="shared" si="70"/>
        <v>0</v>
      </c>
      <c r="Q203" s="1093">
        <v>0</v>
      </c>
      <c r="R203" s="381">
        <f t="shared" si="63"/>
        <v>0</v>
      </c>
      <c r="S203" s="382"/>
      <c r="T203" s="381"/>
      <c r="U203" s="624"/>
      <c r="V203" s="569">
        <f t="shared" si="71"/>
        <v>0</v>
      </c>
      <c r="W203" s="607"/>
      <c r="X203" s="383"/>
      <c r="Y203" s="607"/>
      <c r="Z203" s="383"/>
      <c r="AA203" s="607"/>
      <c r="AB203" s="718"/>
      <c r="AC203" s="335"/>
      <c r="AD203" s="383">
        <f>SUMIF('Asesorías AG anterior'!$B$7:$B$239,B203,'Asesorías AG anterior'!$I$7:$I$239)</f>
        <v>1E-3</v>
      </c>
      <c r="AE203" s="383">
        <f>SUMIF('Asesorías AG anterior'!$B$7:$B$239,B203,'Asesorías AG anterior'!$J$7:$J$239)</f>
        <v>0</v>
      </c>
      <c r="AF203" s="383">
        <f>SUMIF('Asesorías AG anterior'!$B$7:$B$239,B203,'Asesorías AG anterior'!$K$7:$K$239)</f>
        <v>1E-3</v>
      </c>
      <c r="AG203" s="383">
        <f>SUMIF('Asesorías AG anterior'!$B$7:$B$239,B203,'Asesorías AG anterior'!$L$7:$L$239)</f>
        <v>0</v>
      </c>
      <c r="AH203" s="383">
        <f>SUMIF('Asesorías AG anterior'!$B$7:$B$239,B203,'Asesorías AG anterior'!$M$7:$M$239)</f>
        <v>0</v>
      </c>
      <c r="AI203" s="383">
        <f>SUMIF('Asesorías AG anterior'!$B$7:$B$239,B203,'Asesorías AG anterior'!$N$7:$N$239)</f>
        <v>0</v>
      </c>
      <c r="AJ203" s="383">
        <f>SUMIF('Asesorías AG anterior'!$B$7:$B$239,B203,'Asesorías AG anterior'!$O$7:$O$239)</f>
        <v>1E-3</v>
      </c>
      <c r="AK203" s="383">
        <f>SUMIF('Asesorías AG anterior'!$B$7:$B$239,B203,'Asesorías AG anterior'!$P$7:$P$239)</f>
        <v>0</v>
      </c>
      <c r="AL203" s="383">
        <f>SUMIF('Asesorías AG anterior'!$B$7:$B$239,B203,'Asesorías AG anterior'!$Q$7:$Q$239)</f>
        <v>0</v>
      </c>
      <c r="AM203" s="383">
        <f>SUMIF('Asesorías AG anterior'!$B$7:$B$239,B203,'Asesorías AG anterior'!$R$7:$R$239)</f>
        <v>0</v>
      </c>
      <c r="AN203" s="383"/>
      <c r="AO203" s="383">
        <f>SUMIF('Asesorías AG anterior'!$B$7:$B$239,B203,'Asesorías AG anterior'!$T$7:$T$239)</f>
        <v>0</v>
      </c>
      <c r="AP203" s="383">
        <f>SUMIF('Asesorías AG anterior'!$B$7:$B$239,B203,'Asesorías AG anterior'!$U$7:$U$239)</f>
        <v>0</v>
      </c>
      <c r="AQ203" s="383">
        <f>SUMIF('Asesorías AG anterior'!$B$7:$B$239,B203,'Asesorías AG anterior'!$V$7:$V$239)</f>
        <v>0</v>
      </c>
      <c r="AR203" s="383">
        <f>SUMIF('Asesorías AG anterior'!$B$7:$B$239,B203,'Asesorías AG anterior'!$W$7:$W$239)</f>
        <v>0</v>
      </c>
      <c r="AS203" s="383">
        <f>SUMIF('Asesorías AG anterior'!$B$7:$B$239,B203,'Asesorías AG anterior'!$X$7:$X$239)</f>
        <v>0</v>
      </c>
      <c r="AT203" s="383">
        <f>SUMIF('Asesorías AG anterior'!$B$7:$B$239,B203,'Asesorías AG anterior'!$Y$7:$Y$239)</f>
        <v>0</v>
      </c>
      <c r="AU203" s="383">
        <f>SUMIF('Asesorías AG anterior'!$B$7:$B$239,B203,'Asesorías AG anterior'!$Z$7:$Z$239)</f>
        <v>0</v>
      </c>
      <c r="AV203" s="383">
        <f>SUMIF('Asesorías AG anterior'!$B$7:$B$239,B203,'Asesorías AG anterior'!$AA$7:$AA$239)</f>
        <v>0</v>
      </c>
      <c r="AW203" s="383">
        <f>SUMIF('Asesorías AG anterior'!$B$7:$B$239,B203,'Asesorías AG anterior'!$AB$7:$AB$239)</f>
        <v>0</v>
      </c>
      <c r="AX203" s="335"/>
      <c r="AZ203" s="1097" t="s">
        <v>785</v>
      </c>
    </row>
    <row r="204" spans="1:52" x14ac:dyDescent="0.2">
      <c r="A204" s="1184">
        <f t="shared" si="73"/>
        <v>196</v>
      </c>
      <c r="B204" s="1097" t="s">
        <v>144</v>
      </c>
      <c r="C204" s="1185">
        <f>_xlfn.XLOOKUP(B204,Códigos!$B$8:$B$406,Códigos!$A$8:$A$406,"Verificar",0)</f>
        <v>180</v>
      </c>
      <c r="D204" s="1114">
        <f>_xlfn.XLOOKUP(B204,'Consolidado Cobros'!$B$10:$B$312,'Consolidado Cobros'!$C$10:$C$312,"Verificar",0)</f>
        <v>42871237</v>
      </c>
      <c r="E204" s="1520">
        <f t="shared" si="65"/>
        <v>8</v>
      </c>
      <c r="F204" s="1517">
        <f t="shared" si="66"/>
        <v>0</v>
      </c>
      <c r="G204" s="1251">
        <f t="shared" si="67"/>
        <v>0</v>
      </c>
      <c r="H204" s="1240">
        <f t="shared" ref="H204:H234" si="75">+J204+L204+N204+P204+U204</f>
        <v>0</v>
      </c>
      <c r="I204" s="1148"/>
      <c r="J204" s="383">
        <f t="shared" si="68"/>
        <v>0</v>
      </c>
      <c r="K204" s="712"/>
      <c r="L204" s="487">
        <f t="shared" si="69"/>
        <v>0</v>
      </c>
      <c r="M204" s="927"/>
      <c r="N204" s="672">
        <v>0</v>
      </c>
      <c r="O204" s="660"/>
      <c r="P204" s="1092">
        <f t="shared" si="70"/>
        <v>0</v>
      </c>
      <c r="Q204" s="1093">
        <v>0</v>
      </c>
      <c r="R204" s="381">
        <f t="shared" si="63"/>
        <v>0</v>
      </c>
      <c r="S204" s="382"/>
      <c r="T204" s="381"/>
      <c r="U204" s="624"/>
      <c r="V204" s="569">
        <f t="shared" si="71"/>
        <v>0</v>
      </c>
      <c r="W204" s="607"/>
      <c r="X204" s="383"/>
      <c r="Y204" s="607"/>
      <c r="Z204" s="383"/>
      <c r="AA204" s="607"/>
      <c r="AB204" s="718"/>
      <c r="AC204" s="335"/>
      <c r="AD204" s="383">
        <f>SUMIF('Asesorías AG anterior'!$B$7:$B$239,B204,'Asesorías AG anterior'!$I$7:$I$239)</f>
        <v>1E-3</v>
      </c>
      <c r="AE204" s="383">
        <f>SUMIF('Asesorías AG anterior'!$B$7:$B$239,B204,'Asesorías AG anterior'!$J$7:$J$239)</f>
        <v>0</v>
      </c>
      <c r="AF204" s="383">
        <f>SUMIF('Asesorías AG anterior'!$B$7:$B$239,B204,'Asesorías AG anterior'!$K$7:$K$239)</f>
        <v>1E-3</v>
      </c>
      <c r="AG204" s="383">
        <f>SUMIF('Asesorías AG anterior'!$B$7:$B$239,B204,'Asesorías AG anterior'!$L$7:$L$239)</f>
        <v>0</v>
      </c>
      <c r="AH204" s="383">
        <f>SUMIF('Asesorías AG anterior'!$B$7:$B$239,B204,'Asesorías AG anterior'!$M$7:$M$239)</f>
        <v>0</v>
      </c>
      <c r="AI204" s="383">
        <f>SUMIF('Asesorías AG anterior'!$B$7:$B$239,B204,'Asesorías AG anterior'!$N$7:$N$239)</f>
        <v>0</v>
      </c>
      <c r="AJ204" s="383">
        <f>SUMIF('Asesorías AG anterior'!$B$7:$B$239,B204,'Asesorías AG anterior'!$O$7:$O$239)</f>
        <v>1E-3</v>
      </c>
      <c r="AK204" s="383">
        <f>SUMIF('Asesorías AG anterior'!$B$7:$B$239,B204,'Asesorías AG anterior'!$P$7:$P$239)</f>
        <v>0</v>
      </c>
      <c r="AL204" s="383">
        <f>SUMIF('Asesorías AG anterior'!$B$7:$B$239,B204,'Asesorías AG anterior'!$Q$7:$Q$239)</f>
        <v>0</v>
      </c>
      <c r="AM204" s="383">
        <f>SUMIF('Asesorías AG anterior'!$B$7:$B$239,B204,'Asesorías AG anterior'!$R$7:$R$239)</f>
        <v>0</v>
      </c>
      <c r="AN204" s="383"/>
      <c r="AO204" s="383">
        <f>SUMIF('Asesorías AG anterior'!$B$7:$B$239,B204,'Asesorías AG anterior'!$T$7:$T$239)</f>
        <v>0</v>
      </c>
      <c r="AP204" s="383">
        <f>SUMIF('Asesorías AG anterior'!$B$7:$B$239,B204,'Asesorías AG anterior'!$U$7:$U$239)</f>
        <v>0</v>
      </c>
      <c r="AQ204" s="383">
        <f>SUMIF('Asesorías AG anterior'!$B$7:$B$239,B204,'Asesorías AG anterior'!$V$7:$V$239)</f>
        <v>0</v>
      </c>
      <c r="AR204" s="383">
        <f>SUMIF('Asesorías AG anterior'!$B$7:$B$239,B204,'Asesorías AG anterior'!$W$7:$W$239)</f>
        <v>0</v>
      </c>
      <c r="AS204" s="383">
        <f>SUMIF('Asesorías AG anterior'!$B$7:$B$239,B204,'Asesorías AG anterior'!$X$7:$X$239)</f>
        <v>0</v>
      </c>
      <c r="AT204" s="383">
        <f>SUMIF('Asesorías AG anterior'!$B$7:$B$239,B204,'Asesorías AG anterior'!$Y$7:$Y$239)</f>
        <v>0</v>
      </c>
      <c r="AU204" s="383">
        <f>SUMIF('Asesorías AG anterior'!$B$7:$B$239,B204,'Asesorías AG anterior'!$Z$7:$Z$239)</f>
        <v>0</v>
      </c>
      <c r="AV204" s="383">
        <f>SUMIF('Asesorías AG anterior'!$B$7:$B$239,B204,'Asesorías AG anterior'!$AA$7:$AA$239)</f>
        <v>0</v>
      </c>
      <c r="AW204" s="383">
        <f>SUMIF('Asesorías AG anterior'!$B$7:$B$239,B204,'Asesorías AG anterior'!$AB$7:$AB$239)</f>
        <v>0</v>
      </c>
      <c r="AX204" s="335"/>
      <c r="AZ204" s="1097" t="s">
        <v>144</v>
      </c>
    </row>
    <row r="205" spans="1:52" x14ac:dyDescent="0.2">
      <c r="A205" s="1184">
        <f t="shared" si="73"/>
        <v>197</v>
      </c>
      <c r="B205" s="1097" t="s">
        <v>249</v>
      </c>
      <c r="C205" s="1185">
        <f>_xlfn.XLOOKUP(B205,Códigos!$B$8:$B$406,Códigos!$A$8:$A$406,"Verificar",0)</f>
        <v>311</v>
      </c>
      <c r="D205" s="1114">
        <f>_xlfn.XLOOKUP(B205,'Consolidado Cobros'!$B$10:$B$312,'Consolidado Cobros'!$C$10:$C$312,"Verificar",0)</f>
        <v>21378911</v>
      </c>
      <c r="E205" s="1520">
        <f t="shared" si="65"/>
        <v>4</v>
      </c>
      <c r="F205" s="1517">
        <f t="shared" si="66"/>
        <v>0</v>
      </c>
      <c r="G205" s="1251">
        <f t="shared" si="67"/>
        <v>0</v>
      </c>
      <c r="H205" s="1240">
        <f t="shared" si="75"/>
        <v>0</v>
      </c>
      <c r="I205" s="1148"/>
      <c r="J205" s="383">
        <f t="shared" si="68"/>
        <v>0</v>
      </c>
      <c r="K205" s="712"/>
      <c r="L205" s="487">
        <f t="shared" si="69"/>
        <v>0</v>
      </c>
      <c r="M205" s="927"/>
      <c r="N205" s="672">
        <v>0</v>
      </c>
      <c r="O205" s="660"/>
      <c r="P205" s="1092">
        <f t="shared" si="70"/>
        <v>0</v>
      </c>
      <c r="Q205" s="1093">
        <v>0</v>
      </c>
      <c r="R205" s="381">
        <f t="shared" si="63"/>
        <v>0</v>
      </c>
      <c r="S205" s="382"/>
      <c r="T205" s="381"/>
      <c r="U205" s="624"/>
      <c r="V205" s="569">
        <f t="shared" si="71"/>
        <v>0</v>
      </c>
      <c r="W205" s="607"/>
      <c r="X205" s="383"/>
      <c r="Y205" s="607"/>
      <c r="Z205" s="383"/>
      <c r="AA205" s="607"/>
      <c r="AB205" s="718"/>
      <c r="AC205" s="335"/>
      <c r="AD205" s="383">
        <f>SUMIF('Asesorías AG anterior'!$B$7:$B$239,B205,'Asesorías AG anterior'!$I$7:$I$239)</f>
        <v>1E-3</v>
      </c>
      <c r="AE205" s="383">
        <f>SUMIF('Asesorías AG anterior'!$B$7:$B$239,B205,'Asesorías AG anterior'!$J$7:$J$239)</f>
        <v>0</v>
      </c>
      <c r="AF205" s="383">
        <f>SUMIF('Asesorías AG anterior'!$B$7:$B$239,B205,'Asesorías AG anterior'!$K$7:$K$239)</f>
        <v>1E-3</v>
      </c>
      <c r="AG205" s="383">
        <f>SUMIF('Asesorías AG anterior'!$B$7:$B$239,B205,'Asesorías AG anterior'!$L$7:$L$239)</f>
        <v>0</v>
      </c>
      <c r="AH205" s="383">
        <f>SUMIF('Asesorías AG anterior'!$B$7:$B$239,B205,'Asesorías AG anterior'!$M$7:$M$239)</f>
        <v>0</v>
      </c>
      <c r="AI205" s="383">
        <f>SUMIF('Asesorías AG anterior'!$B$7:$B$239,B205,'Asesorías AG anterior'!$N$7:$N$239)</f>
        <v>0</v>
      </c>
      <c r="AJ205" s="383">
        <f>SUMIF('Asesorías AG anterior'!$B$7:$B$239,B205,'Asesorías AG anterior'!$O$7:$O$239)</f>
        <v>1E-3</v>
      </c>
      <c r="AK205" s="383">
        <f>SUMIF('Asesorías AG anterior'!$B$7:$B$239,B205,'Asesorías AG anterior'!$P$7:$P$239)</f>
        <v>0</v>
      </c>
      <c r="AL205" s="383">
        <f>SUMIF('Asesorías AG anterior'!$B$7:$B$239,B205,'Asesorías AG anterior'!$Q$7:$Q$239)</f>
        <v>0</v>
      </c>
      <c r="AM205" s="383">
        <f>SUMIF('Asesorías AG anterior'!$B$7:$B$239,B205,'Asesorías AG anterior'!$R$7:$R$239)</f>
        <v>0</v>
      </c>
      <c r="AN205" s="383"/>
      <c r="AO205" s="383">
        <f>SUMIF('Asesorías AG anterior'!$B$7:$B$239,B205,'Asesorías AG anterior'!$T$7:$T$239)</f>
        <v>0</v>
      </c>
      <c r="AP205" s="383">
        <f>SUMIF('Asesorías AG anterior'!$B$7:$B$239,B205,'Asesorías AG anterior'!$U$7:$U$239)</f>
        <v>0</v>
      </c>
      <c r="AQ205" s="383">
        <f>SUMIF('Asesorías AG anterior'!$B$7:$B$239,B205,'Asesorías AG anterior'!$V$7:$V$239)</f>
        <v>0</v>
      </c>
      <c r="AR205" s="383">
        <f>SUMIF('Asesorías AG anterior'!$B$7:$B$239,B205,'Asesorías AG anterior'!$W$7:$W$239)</f>
        <v>0</v>
      </c>
      <c r="AS205" s="383">
        <f>SUMIF('Asesorías AG anterior'!$B$7:$B$239,B205,'Asesorías AG anterior'!$X$7:$X$239)</f>
        <v>0</v>
      </c>
      <c r="AT205" s="383">
        <f>SUMIF('Asesorías AG anterior'!$B$7:$B$239,B205,'Asesorías AG anterior'!$Y$7:$Y$239)</f>
        <v>0</v>
      </c>
      <c r="AU205" s="383">
        <f>SUMIF('Asesorías AG anterior'!$B$7:$B$239,B205,'Asesorías AG anterior'!$Z$7:$Z$239)</f>
        <v>0</v>
      </c>
      <c r="AV205" s="383">
        <f>SUMIF('Asesorías AG anterior'!$B$7:$B$239,B205,'Asesorías AG anterior'!$AA$7:$AA$239)</f>
        <v>0</v>
      </c>
      <c r="AW205" s="383">
        <f>SUMIF('Asesorías AG anterior'!$B$7:$B$239,B205,'Asesorías AG anterior'!$AB$7:$AB$239)</f>
        <v>0</v>
      </c>
      <c r="AX205" s="335"/>
      <c r="AZ205" s="1097" t="s">
        <v>249</v>
      </c>
    </row>
    <row r="206" spans="1:52" x14ac:dyDescent="0.2">
      <c r="A206" s="1184">
        <f t="shared" si="73"/>
        <v>198</v>
      </c>
      <c r="B206" s="1097" t="s">
        <v>145</v>
      </c>
      <c r="C206" s="1185">
        <f>_xlfn.XLOOKUP(B206,Códigos!$B$8:$B$406,Códigos!$A$8:$A$406,"Verificar",0)</f>
        <v>241</v>
      </c>
      <c r="D206" s="1114">
        <f>_xlfn.XLOOKUP(B206,'Consolidado Cobros'!$B$10:$B$312,'Consolidado Cobros'!$C$10:$C$312,"Verificar",0)</f>
        <v>43073222</v>
      </c>
      <c r="E206" s="1520">
        <f t="shared" si="65"/>
        <v>8</v>
      </c>
      <c r="F206" s="1517">
        <f t="shared" si="66"/>
        <v>0</v>
      </c>
      <c r="G206" s="1251">
        <f t="shared" si="67"/>
        <v>0</v>
      </c>
      <c r="H206" s="1240">
        <f t="shared" si="75"/>
        <v>0</v>
      </c>
      <c r="I206" s="1148"/>
      <c r="J206" s="383">
        <f t="shared" si="68"/>
        <v>0</v>
      </c>
      <c r="K206" s="712"/>
      <c r="L206" s="487">
        <f t="shared" si="69"/>
        <v>0</v>
      </c>
      <c r="M206" s="927"/>
      <c r="N206" s="672">
        <v>0</v>
      </c>
      <c r="O206" s="660"/>
      <c r="P206" s="1092">
        <f t="shared" si="70"/>
        <v>0</v>
      </c>
      <c r="Q206" s="1093">
        <v>0</v>
      </c>
      <c r="R206" s="381">
        <f t="shared" si="63"/>
        <v>0</v>
      </c>
      <c r="S206" s="382"/>
      <c r="T206" s="381"/>
      <c r="U206" s="624"/>
      <c r="V206" s="569">
        <f t="shared" si="71"/>
        <v>0</v>
      </c>
      <c r="W206" s="607"/>
      <c r="X206" s="383"/>
      <c r="Y206" s="607"/>
      <c r="Z206" s="383"/>
      <c r="AA206" s="607"/>
      <c r="AB206" s="718"/>
      <c r="AC206" s="335"/>
      <c r="AD206" s="383">
        <f>SUMIF('Asesorías AG anterior'!$B$7:$B$239,B206,'Asesorías AG anterior'!$I$7:$I$239)</f>
        <v>1E-3</v>
      </c>
      <c r="AE206" s="383">
        <f>SUMIF('Asesorías AG anterior'!$B$7:$B$239,B206,'Asesorías AG anterior'!$J$7:$J$239)</f>
        <v>0</v>
      </c>
      <c r="AF206" s="383">
        <f>SUMIF('Asesorías AG anterior'!$B$7:$B$239,B206,'Asesorías AG anterior'!$K$7:$K$239)</f>
        <v>1E-3</v>
      </c>
      <c r="AG206" s="383">
        <f>SUMIF('Asesorías AG anterior'!$B$7:$B$239,B206,'Asesorías AG anterior'!$L$7:$L$239)</f>
        <v>0</v>
      </c>
      <c r="AH206" s="383">
        <f>SUMIF('Asesorías AG anterior'!$B$7:$B$239,B206,'Asesorías AG anterior'!$M$7:$M$239)</f>
        <v>0</v>
      </c>
      <c r="AI206" s="383">
        <f>SUMIF('Asesorías AG anterior'!$B$7:$B$239,B206,'Asesorías AG anterior'!$N$7:$N$239)</f>
        <v>0</v>
      </c>
      <c r="AJ206" s="383">
        <f>SUMIF('Asesorías AG anterior'!$B$7:$B$239,B206,'Asesorías AG anterior'!$O$7:$O$239)</f>
        <v>1E-3</v>
      </c>
      <c r="AK206" s="383">
        <f>SUMIF('Asesorías AG anterior'!$B$7:$B$239,B206,'Asesorías AG anterior'!$P$7:$P$239)</f>
        <v>0</v>
      </c>
      <c r="AL206" s="383">
        <f>SUMIF('Asesorías AG anterior'!$B$7:$B$239,B206,'Asesorías AG anterior'!$Q$7:$Q$239)</f>
        <v>0</v>
      </c>
      <c r="AM206" s="383">
        <f>SUMIF('Asesorías AG anterior'!$B$7:$B$239,B206,'Asesorías AG anterior'!$R$7:$R$239)</f>
        <v>0</v>
      </c>
      <c r="AN206" s="383"/>
      <c r="AO206" s="383">
        <f>SUMIF('Asesorías AG anterior'!$B$7:$B$239,B206,'Asesorías AG anterior'!$T$7:$T$239)</f>
        <v>0</v>
      </c>
      <c r="AP206" s="383">
        <f>SUMIF('Asesorías AG anterior'!$B$7:$B$239,B206,'Asesorías AG anterior'!$U$7:$U$239)</f>
        <v>0</v>
      </c>
      <c r="AQ206" s="383">
        <f>SUMIF('Asesorías AG anterior'!$B$7:$B$239,B206,'Asesorías AG anterior'!$V$7:$V$239)</f>
        <v>0</v>
      </c>
      <c r="AR206" s="383">
        <f>SUMIF('Asesorías AG anterior'!$B$7:$B$239,B206,'Asesorías AG anterior'!$W$7:$W$239)</f>
        <v>0</v>
      </c>
      <c r="AS206" s="383">
        <f>SUMIF('Asesorías AG anterior'!$B$7:$B$239,B206,'Asesorías AG anterior'!$X$7:$X$239)</f>
        <v>0</v>
      </c>
      <c r="AT206" s="383">
        <f>SUMIF('Asesorías AG anterior'!$B$7:$B$239,B206,'Asesorías AG anterior'!$Y$7:$Y$239)</f>
        <v>0</v>
      </c>
      <c r="AU206" s="383">
        <f>SUMIF('Asesorías AG anterior'!$B$7:$B$239,B206,'Asesorías AG anterior'!$Z$7:$Z$239)</f>
        <v>0</v>
      </c>
      <c r="AV206" s="383">
        <f>SUMIF('Asesorías AG anterior'!$B$7:$B$239,B206,'Asesorías AG anterior'!$AA$7:$AA$239)</f>
        <v>0</v>
      </c>
      <c r="AW206" s="383">
        <f>SUMIF('Asesorías AG anterior'!$B$7:$B$239,B206,'Asesorías AG anterior'!$AB$7:$AB$239)</f>
        <v>0</v>
      </c>
      <c r="AX206" s="335"/>
      <c r="AZ206" s="1097" t="s">
        <v>145</v>
      </c>
    </row>
    <row r="207" spans="1:52" x14ac:dyDescent="0.2">
      <c r="A207" s="1184">
        <f t="shared" si="73"/>
        <v>199</v>
      </c>
      <c r="B207" s="1097" t="s">
        <v>146</v>
      </c>
      <c r="C207" s="1185">
        <f>_xlfn.XLOOKUP(B207,Códigos!$B$8:$B$406,Códigos!$A$8:$A$406,"Verificar",0)</f>
        <v>182</v>
      </c>
      <c r="D207" s="1114">
        <f>_xlfn.XLOOKUP(B207,'Consolidado Cobros'!$B$10:$B$312,'Consolidado Cobros'!$C$10:$C$312,"Verificar",0)</f>
        <v>21371978</v>
      </c>
      <c r="E207" s="1520">
        <f t="shared" si="65"/>
        <v>5</v>
      </c>
      <c r="F207" s="1517">
        <f t="shared" si="66"/>
        <v>0</v>
      </c>
      <c r="G207" s="1251">
        <f t="shared" si="67"/>
        <v>0</v>
      </c>
      <c r="H207" s="1240">
        <f t="shared" si="75"/>
        <v>0</v>
      </c>
      <c r="I207" s="1148"/>
      <c r="J207" s="383">
        <f t="shared" si="68"/>
        <v>0</v>
      </c>
      <c r="K207" s="712"/>
      <c r="L207" s="487">
        <f t="shared" si="69"/>
        <v>0</v>
      </c>
      <c r="M207" s="927"/>
      <c r="N207" s="672">
        <v>0</v>
      </c>
      <c r="O207" s="660"/>
      <c r="P207" s="1092">
        <f t="shared" si="70"/>
        <v>0</v>
      </c>
      <c r="Q207" s="1093">
        <v>0</v>
      </c>
      <c r="R207" s="381">
        <f t="shared" si="63"/>
        <v>0</v>
      </c>
      <c r="S207" s="382"/>
      <c r="T207" s="381"/>
      <c r="U207" s="624"/>
      <c r="V207" s="569">
        <f t="shared" si="71"/>
        <v>0</v>
      </c>
      <c r="W207" s="607"/>
      <c r="X207" s="383"/>
      <c r="Y207" s="607"/>
      <c r="Z207" s="383"/>
      <c r="AA207" s="607"/>
      <c r="AB207" s="718"/>
      <c r="AC207" s="335"/>
      <c r="AD207" s="383">
        <f>SUMIF('Asesorías AG anterior'!$B$7:$B$239,B207,'Asesorías AG anterior'!$I$7:$I$239)</f>
        <v>1E-3</v>
      </c>
      <c r="AE207" s="383">
        <f>SUMIF('Asesorías AG anterior'!$B$7:$B$239,B207,'Asesorías AG anterior'!$J$7:$J$239)</f>
        <v>0</v>
      </c>
      <c r="AF207" s="383">
        <f>SUMIF('Asesorías AG anterior'!$B$7:$B$239,B207,'Asesorías AG anterior'!$K$7:$K$239)</f>
        <v>1E-3</v>
      </c>
      <c r="AG207" s="383">
        <f>SUMIF('Asesorías AG anterior'!$B$7:$B$239,B207,'Asesorías AG anterior'!$L$7:$L$239)</f>
        <v>0</v>
      </c>
      <c r="AH207" s="383">
        <f>SUMIF('Asesorías AG anterior'!$B$7:$B$239,B207,'Asesorías AG anterior'!$M$7:$M$239)</f>
        <v>0</v>
      </c>
      <c r="AI207" s="383">
        <f>SUMIF('Asesorías AG anterior'!$B$7:$B$239,B207,'Asesorías AG anterior'!$N$7:$N$239)</f>
        <v>0</v>
      </c>
      <c r="AJ207" s="383">
        <f>SUMIF('Asesorías AG anterior'!$B$7:$B$239,B207,'Asesorías AG anterior'!$O$7:$O$239)</f>
        <v>1E-3</v>
      </c>
      <c r="AK207" s="383">
        <f>SUMIF('Asesorías AG anterior'!$B$7:$B$239,B207,'Asesorías AG anterior'!$P$7:$P$239)</f>
        <v>0</v>
      </c>
      <c r="AL207" s="383">
        <f>SUMIF('Asesorías AG anterior'!$B$7:$B$239,B207,'Asesorías AG anterior'!$Q$7:$Q$239)</f>
        <v>0</v>
      </c>
      <c r="AM207" s="383">
        <f>SUMIF('Asesorías AG anterior'!$B$7:$B$239,B207,'Asesorías AG anterior'!$R$7:$R$239)</f>
        <v>0</v>
      </c>
      <c r="AN207" s="383"/>
      <c r="AO207" s="383">
        <f>SUMIF('Asesorías AG anterior'!$B$7:$B$239,B207,'Asesorías AG anterior'!$T$7:$T$239)</f>
        <v>0</v>
      </c>
      <c r="AP207" s="383">
        <f>SUMIF('Asesorías AG anterior'!$B$7:$B$239,B207,'Asesorías AG anterior'!$U$7:$U$239)</f>
        <v>0</v>
      </c>
      <c r="AQ207" s="383">
        <f>SUMIF('Asesorías AG anterior'!$B$7:$B$239,B207,'Asesorías AG anterior'!$V$7:$V$239)</f>
        <v>0</v>
      </c>
      <c r="AR207" s="383">
        <f>SUMIF('Asesorías AG anterior'!$B$7:$B$239,B207,'Asesorías AG anterior'!$W$7:$W$239)</f>
        <v>0</v>
      </c>
      <c r="AS207" s="383">
        <f>SUMIF('Asesorías AG anterior'!$B$7:$B$239,B207,'Asesorías AG anterior'!$X$7:$X$239)</f>
        <v>0</v>
      </c>
      <c r="AT207" s="383">
        <f>SUMIF('Asesorías AG anterior'!$B$7:$B$239,B207,'Asesorías AG anterior'!$Y$7:$Y$239)</f>
        <v>0</v>
      </c>
      <c r="AU207" s="383">
        <f>SUMIF('Asesorías AG anterior'!$B$7:$B$239,B207,'Asesorías AG anterior'!$Z$7:$Z$239)</f>
        <v>0</v>
      </c>
      <c r="AV207" s="383">
        <f>SUMIF('Asesorías AG anterior'!$B$7:$B$239,B207,'Asesorías AG anterior'!$AA$7:$AA$239)</f>
        <v>0</v>
      </c>
      <c r="AW207" s="383">
        <f>SUMIF('Asesorías AG anterior'!$B$7:$B$239,B207,'Asesorías AG anterior'!$AB$7:$AB$239)</f>
        <v>0</v>
      </c>
      <c r="AX207" s="335"/>
      <c r="AZ207" s="1097" t="s">
        <v>146</v>
      </c>
    </row>
    <row r="208" spans="1:52" x14ac:dyDescent="0.2">
      <c r="A208" s="1184">
        <f t="shared" si="73"/>
        <v>200</v>
      </c>
      <c r="B208" s="1097" t="s">
        <v>361</v>
      </c>
      <c r="C208" s="1185">
        <f>_xlfn.XLOOKUP(B208,Códigos!$B$8:$B$406,Códigos!$A$8:$A$406,"Verificar",0)</f>
        <v>183</v>
      </c>
      <c r="D208" s="1114">
        <f>_xlfn.XLOOKUP(B208,'Consolidado Cobros'!$B$10:$B$312,'Consolidado Cobros'!$C$10:$C$312,"Verificar",0)</f>
        <v>8226721</v>
      </c>
      <c r="E208" s="1520">
        <f t="shared" si="65"/>
        <v>2</v>
      </c>
      <c r="F208" s="1517">
        <f t="shared" si="66"/>
        <v>0</v>
      </c>
      <c r="G208" s="1251">
        <f t="shared" si="67"/>
        <v>0</v>
      </c>
      <c r="H208" s="1240">
        <f t="shared" si="75"/>
        <v>0</v>
      </c>
      <c r="I208" s="1148"/>
      <c r="J208" s="383">
        <f t="shared" si="68"/>
        <v>0</v>
      </c>
      <c r="K208" s="712"/>
      <c r="L208" s="487">
        <f t="shared" si="69"/>
        <v>0</v>
      </c>
      <c r="M208" s="927"/>
      <c r="N208" s="672">
        <v>0</v>
      </c>
      <c r="O208" s="660"/>
      <c r="P208" s="1092">
        <f t="shared" si="70"/>
        <v>0</v>
      </c>
      <c r="Q208" s="1093">
        <v>0</v>
      </c>
      <c r="R208" s="381">
        <f t="shared" si="63"/>
        <v>0</v>
      </c>
      <c r="S208" s="382"/>
      <c r="T208" s="381"/>
      <c r="U208" s="624"/>
      <c r="V208" s="569">
        <f t="shared" si="71"/>
        <v>0</v>
      </c>
      <c r="W208" s="607"/>
      <c r="X208" s="383"/>
      <c r="Y208" s="607"/>
      <c r="Z208" s="383"/>
      <c r="AA208" s="607"/>
      <c r="AB208" s="718"/>
      <c r="AC208" s="335"/>
      <c r="AD208" s="383">
        <f>SUMIF('Asesorías AG anterior'!$B$7:$B$239,B208,'Asesorías AG anterior'!$I$7:$I$239)</f>
        <v>1E-3</v>
      </c>
      <c r="AE208" s="383">
        <f>SUMIF('Asesorías AG anterior'!$B$7:$B$239,B208,'Asesorías AG anterior'!$J$7:$J$239)</f>
        <v>0</v>
      </c>
      <c r="AF208" s="383">
        <f>SUMIF('Asesorías AG anterior'!$B$7:$B$239,B208,'Asesorías AG anterior'!$K$7:$K$239)</f>
        <v>1E-3</v>
      </c>
      <c r="AG208" s="383">
        <f>SUMIF('Asesorías AG anterior'!$B$7:$B$239,B208,'Asesorías AG anterior'!$L$7:$L$239)</f>
        <v>0</v>
      </c>
      <c r="AH208" s="383">
        <f>SUMIF('Asesorías AG anterior'!$B$7:$B$239,B208,'Asesorías AG anterior'!$M$7:$M$239)</f>
        <v>0</v>
      </c>
      <c r="AI208" s="383">
        <f>SUMIF('Asesorías AG anterior'!$B$7:$B$239,B208,'Asesorías AG anterior'!$N$7:$N$239)</f>
        <v>0</v>
      </c>
      <c r="AJ208" s="383">
        <f>SUMIF('Asesorías AG anterior'!$B$7:$B$239,B208,'Asesorías AG anterior'!$O$7:$O$239)</f>
        <v>1E-3</v>
      </c>
      <c r="AK208" s="383">
        <f>SUMIF('Asesorías AG anterior'!$B$7:$B$239,B208,'Asesorías AG anterior'!$P$7:$P$239)</f>
        <v>0</v>
      </c>
      <c r="AL208" s="383">
        <f>SUMIF('Asesorías AG anterior'!$B$7:$B$239,B208,'Asesorías AG anterior'!$Q$7:$Q$239)</f>
        <v>0</v>
      </c>
      <c r="AM208" s="383">
        <f>SUMIF('Asesorías AG anterior'!$B$7:$B$239,B208,'Asesorías AG anterior'!$R$7:$R$239)</f>
        <v>0</v>
      </c>
      <c r="AN208" s="383"/>
      <c r="AO208" s="383">
        <f>SUMIF('Asesorías AG anterior'!$B$7:$B$239,B208,'Asesorías AG anterior'!$T$7:$T$239)</f>
        <v>0</v>
      </c>
      <c r="AP208" s="383">
        <f>SUMIF('Asesorías AG anterior'!$B$7:$B$239,B208,'Asesorías AG anterior'!$U$7:$U$239)</f>
        <v>0</v>
      </c>
      <c r="AQ208" s="383">
        <f>SUMIF('Asesorías AG anterior'!$B$7:$B$239,B208,'Asesorías AG anterior'!$V$7:$V$239)</f>
        <v>0</v>
      </c>
      <c r="AR208" s="383">
        <f>SUMIF('Asesorías AG anterior'!$B$7:$B$239,B208,'Asesorías AG anterior'!$W$7:$W$239)</f>
        <v>0</v>
      </c>
      <c r="AS208" s="383">
        <f>SUMIF('Asesorías AG anterior'!$B$7:$B$239,B208,'Asesorías AG anterior'!$X$7:$X$239)</f>
        <v>0</v>
      </c>
      <c r="AT208" s="383">
        <f>SUMIF('Asesorías AG anterior'!$B$7:$B$239,B208,'Asesorías AG anterior'!$Y$7:$Y$239)</f>
        <v>0</v>
      </c>
      <c r="AU208" s="383">
        <f>SUMIF('Asesorías AG anterior'!$B$7:$B$239,B208,'Asesorías AG anterior'!$Z$7:$Z$239)</f>
        <v>0</v>
      </c>
      <c r="AV208" s="383">
        <f>SUMIF('Asesorías AG anterior'!$B$7:$B$239,B208,'Asesorías AG anterior'!$AA$7:$AA$239)</f>
        <v>0</v>
      </c>
      <c r="AW208" s="383">
        <f>SUMIF('Asesorías AG anterior'!$B$7:$B$239,B208,'Asesorías AG anterior'!$AB$7:$AB$239)</f>
        <v>0</v>
      </c>
      <c r="AX208" s="335"/>
      <c r="AZ208" s="1097" t="s">
        <v>361</v>
      </c>
    </row>
    <row r="209" spans="1:52" x14ac:dyDescent="0.2">
      <c r="A209" s="1184">
        <f t="shared" si="73"/>
        <v>201</v>
      </c>
      <c r="B209" s="1097" t="s">
        <v>651</v>
      </c>
      <c r="C209" s="1185">
        <f>_xlfn.XLOOKUP(B209,Códigos!$B$8:$B$406,Códigos!$A$8:$A$406,"Verificar",0)</f>
        <v>201</v>
      </c>
      <c r="D209" s="1114">
        <f>_xlfn.XLOOKUP(B209,'Consolidado Cobros'!$B$10:$B$312,'Consolidado Cobros'!$C$10:$C$312,"Verificar",0)</f>
        <v>32476227</v>
      </c>
      <c r="E209" s="1520">
        <f t="shared" si="65"/>
        <v>4</v>
      </c>
      <c r="F209" s="1517">
        <f t="shared" si="66"/>
        <v>0</v>
      </c>
      <c r="G209" s="1251">
        <f t="shared" si="67"/>
        <v>0</v>
      </c>
      <c r="H209" s="1240">
        <f t="shared" si="75"/>
        <v>0</v>
      </c>
      <c r="I209" s="1148"/>
      <c r="J209" s="383">
        <f t="shared" si="68"/>
        <v>0</v>
      </c>
      <c r="K209" s="712"/>
      <c r="L209" s="487">
        <f t="shared" si="69"/>
        <v>0</v>
      </c>
      <c r="M209" s="927"/>
      <c r="N209" s="672">
        <v>0</v>
      </c>
      <c r="O209" s="660"/>
      <c r="P209" s="1092">
        <f t="shared" si="70"/>
        <v>0</v>
      </c>
      <c r="Q209" s="1093">
        <v>0</v>
      </c>
      <c r="R209" s="381">
        <f t="shared" si="63"/>
        <v>0</v>
      </c>
      <c r="S209" s="382"/>
      <c r="T209" s="381"/>
      <c r="U209" s="624"/>
      <c r="V209" s="569">
        <f t="shared" si="71"/>
        <v>0</v>
      </c>
      <c r="W209" s="607"/>
      <c r="X209" s="383"/>
      <c r="Y209" s="607"/>
      <c r="Z209" s="383"/>
      <c r="AA209" s="607"/>
      <c r="AB209" s="718"/>
      <c r="AC209" s="335"/>
      <c r="AD209" s="383">
        <f>SUMIF('Asesorías AG anterior'!$B$7:$B$239,B209,'Asesorías AG anterior'!$I$7:$I$239)</f>
        <v>1E-3</v>
      </c>
      <c r="AE209" s="383">
        <f>SUMIF('Asesorías AG anterior'!$B$7:$B$239,B209,'Asesorías AG anterior'!$J$7:$J$239)</f>
        <v>0</v>
      </c>
      <c r="AF209" s="383">
        <f>SUMIF('Asesorías AG anterior'!$B$7:$B$239,B209,'Asesorías AG anterior'!$K$7:$K$239)</f>
        <v>1E-3</v>
      </c>
      <c r="AG209" s="383">
        <f>SUMIF('Asesorías AG anterior'!$B$7:$B$239,B209,'Asesorías AG anterior'!$L$7:$L$239)</f>
        <v>0</v>
      </c>
      <c r="AH209" s="383">
        <f>SUMIF('Asesorías AG anterior'!$B$7:$B$239,B209,'Asesorías AG anterior'!$M$7:$M$239)</f>
        <v>0</v>
      </c>
      <c r="AI209" s="383">
        <f>SUMIF('Asesorías AG anterior'!$B$7:$B$239,B209,'Asesorías AG anterior'!$N$7:$N$239)</f>
        <v>0</v>
      </c>
      <c r="AJ209" s="383">
        <f>SUMIF('Asesorías AG anterior'!$B$7:$B$239,B209,'Asesorías AG anterior'!$O$7:$O$239)</f>
        <v>1E-3</v>
      </c>
      <c r="AK209" s="383">
        <f>SUMIF('Asesorías AG anterior'!$B$7:$B$239,B209,'Asesorías AG anterior'!$P$7:$P$239)</f>
        <v>0</v>
      </c>
      <c r="AL209" s="383">
        <f>SUMIF('Asesorías AG anterior'!$B$7:$B$239,B209,'Asesorías AG anterior'!$Q$7:$Q$239)</f>
        <v>0</v>
      </c>
      <c r="AM209" s="383">
        <f>SUMIF('Asesorías AG anterior'!$B$7:$B$239,B209,'Asesorías AG anterior'!$R$7:$R$239)</f>
        <v>0</v>
      </c>
      <c r="AN209" s="383"/>
      <c r="AO209" s="383">
        <f>SUMIF('Asesorías AG anterior'!$B$7:$B$239,B209,'Asesorías AG anterior'!$T$7:$T$239)</f>
        <v>0</v>
      </c>
      <c r="AP209" s="383">
        <f>SUMIF('Asesorías AG anterior'!$B$7:$B$239,B209,'Asesorías AG anterior'!$U$7:$U$239)</f>
        <v>0</v>
      </c>
      <c r="AQ209" s="383">
        <f>SUMIF('Asesorías AG anterior'!$B$7:$B$239,B209,'Asesorías AG anterior'!$V$7:$V$239)</f>
        <v>0</v>
      </c>
      <c r="AR209" s="383">
        <f>SUMIF('Asesorías AG anterior'!$B$7:$B$239,B209,'Asesorías AG anterior'!$W$7:$W$239)</f>
        <v>0</v>
      </c>
      <c r="AS209" s="383">
        <f>SUMIF('Asesorías AG anterior'!$B$7:$B$239,B209,'Asesorías AG anterior'!$X$7:$X$239)</f>
        <v>0</v>
      </c>
      <c r="AT209" s="383">
        <f>SUMIF('Asesorías AG anterior'!$B$7:$B$239,B209,'Asesorías AG anterior'!$Y$7:$Y$239)</f>
        <v>0</v>
      </c>
      <c r="AU209" s="383">
        <f>SUMIF('Asesorías AG anterior'!$B$7:$B$239,B209,'Asesorías AG anterior'!$Z$7:$Z$239)</f>
        <v>0</v>
      </c>
      <c r="AV209" s="383">
        <f>SUMIF('Asesorías AG anterior'!$B$7:$B$239,B209,'Asesorías AG anterior'!$AA$7:$AA$239)</f>
        <v>0</v>
      </c>
      <c r="AW209" s="383">
        <f>SUMIF('Asesorías AG anterior'!$B$7:$B$239,B209,'Asesorías AG anterior'!$AB$7:$AB$239)</f>
        <v>0</v>
      </c>
      <c r="AX209" s="335"/>
      <c r="AZ209" s="1493" t="s">
        <v>651</v>
      </c>
    </row>
    <row r="210" spans="1:52" x14ac:dyDescent="0.2">
      <c r="A210" s="1184">
        <f t="shared" si="73"/>
        <v>202</v>
      </c>
      <c r="B210" s="1097" t="s">
        <v>645</v>
      </c>
      <c r="C210" s="1185">
        <f>_xlfn.XLOOKUP(B210,Códigos!$B$8:$B$406,Códigos!$A$8:$A$406,"Verificar",0)</f>
        <v>205</v>
      </c>
      <c r="D210" s="1114">
        <f>_xlfn.XLOOKUP(B210,'Consolidado Cobros'!$B$10:$B$312,'Consolidado Cobros'!$C$10:$C$312,"Verificar",0)</f>
        <v>42969424</v>
      </c>
      <c r="E210" s="1520">
        <f t="shared" si="65"/>
        <v>1</v>
      </c>
      <c r="F210" s="1517">
        <f t="shared" si="66"/>
        <v>0</v>
      </c>
      <c r="G210" s="1251">
        <f t="shared" si="67"/>
        <v>0</v>
      </c>
      <c r="H210" s="1240">
        <f t="shared" si="75"/>
        <v>0</v>
      </c>
      <c r="I210" s="1148"/>
      <c r="J210" s="383">
        <f t="shared" si="68"/>
        <v>0</v>
      </c>
      <c r="K210" s="712"/>
      <c r="L210" s="487">
        <f t="shared" si="69"/>
        <v>0</v>
      </c>
      <c r="M210" s="927"/>
      <c r="N210" s="672">
        <v>0</v>
      </c>
      <c r="O210" s="660"/>
      <c r="P210" s="1092">
        <f t="shared" si="70"/>
        <v>0</v>
      </c>
      <c r="Q210" s="1093">
        <v>0</v>
      </c>
      <c r="R210" s="381">
        <f t="shared" si="63"/>
        <v>0</v>
      </c>
      <c r="S210" s="382"/>
      <c r="T210" s="381"/>
      <c r="U210" s="624"/>
      <c r="V210" s="569">
        <f t="shared" si="71"/>
        <v>0</v>
      </c>
      <c r="W210" s="607"/>
      <c r="X210" s="383"/>
      <c r="Y210" s="607"/>
      <c r="Z210" s="383"/>
      <c r="AA210" s="607"/>
      <c r="AB210" s="718"/>
      <c r="AC210" s="335"/>
      <c r="AD210" s="383">
        <f>SUMIF('Asesorías AG anterior'!$B$7:$B$239,B210,'Asesorías AG anterior'!$I$7:$I$239)</f>
        <v>1E-3</v>
      </c>
      <c r="AE210" s="383">
        <f>SUMIF('Asesorías AG anterior'!$B$7:$B$239,B210,'Asesorías AG anterior'!$J$7:$J$239)</f>
        <v>0</v>
      </c>
      <c r="AF210" s="383">
        <f>SUMIF('Asesorías AG anterior'!$B$7:$B$239,B210,'Asesorías AG anterior'!$K$7:$K$239)</f>
        <v>1E-3</v>
      </c>
      <c r="AG210" s="383">
        <f>SUMIF('Asesorías AG anterior'!$B$7:$B$239,B210,'Asesorías AG anterior'!$L$7:$L$239)</f>
        <v>0</v>
      </c>
      <c r="AH210" s="383">
        <f>SUMIF('Asesorías AG anterior'!$B$7:$B$239,B210,'Asesorías AG anterior'!$M$7:$M$239)</f>
        <v>0</v>
      </c>
      <c r="AI210" s="383">
        <f>SUMIF('Asesorías AG anterior'!$B$7:$B$239,B210,'Asesorías AG anterior'!$N$7:$N$239)</f>
        <v>0</v>
      </c>
      <c r="AJ210" s="383">
        <f>SUMIF('Asesorías AG anterior'!$B$7:$B$239,B210,'Asesorías AG anterior'!$O$7:$O$239)</f>
        <v>1E-3</v>
      </c>
      <c r="AK210" s="383">
        <f>SUMIF('Asesorías AG anterior'!$B$7:$B$239,B210,'Asesorías AG anterior'!$P$7:$P$239)</f>
        <v>0</v>
      </c>
      <c r="AL210" s="383">
        <f>SUMIF('Asesorías AG anterior'!$B$7:$B$239,B210,'Asesorías AG anterior'!$Q$7:$Q$239)</f>
        <v>0</v>
      </c>
      <c r="AM210" s="383">
        <f>SUMIF('Asesorías AG anterior'!$B$7:$B$239,B210,'Asesorías AG anterior'!$R$7:$R$239)</f>
        <v>0</v>
      </c>
      <c r="AN210" s="383"/>
      <c r="AO210" s="383">
        <f>SUMIF('Asesorías AG anterior'!$B$7:$B$239,B210,'Asesorías AG anterior'!$T$7:$T$239)</f>
        <v>0</v>
      </c>
      <c r="AP210" s="383">
        <f>SUMIF('Asesorías AG anterior'!$B$7:$B$239,B210,'Asesorías AG anterior'!$U$7:$U$239)</f>
        <v>0</v>
      </c>
      <c r="AQ210" s="383">
        <f>SUMIF('Asesorías AG anterior'!$B$7:$B$239,B210,'Asesorías AG anterior'!$V$7:$V$239)</f>
        <v>0</v>
      </c>
      <c r="AR210" s="383">
        <f>SUMIF('Asesorías AG anterior'!$B$7:$B$239,B210,'Asesorías AG anterior'!$W$7:$W$239)</f>
        <v>0</v>
      </c>
      <c r="AS210" s="383">
        <f>SUMIF('Asesorías AG anterior'!$B$7:$B$239,B210,'Asesorías AG anterior'!$X$7:$X$239)</f>
        <v>0</v>
      </c>
      <c r="AT210" s="383">
        <f>SUMIF('Asesorías AG anterior'!$B$7:$B$239,B210,'Asesorías AG anterior'!$Y$7:$Y$239)</f>
        <v>0</v>
      </c>
      <c r="AU210" s="383">
        <f>SUMIF('Asesorías AG anterior'!$B$7:$B$239,B210,'Asesorías AG anterior'!$Z$7:$Z$239)</f>
        <v>0</v>
      </c>
      <c r="AV210" s="383">
        <f>SUMIF('Asesorías AG anterior'!$B$7:$B$239,B210,'Asesorías AG anterior'!$AA$7:$AA$239)</f>
        <v>0</v>
      </c>
      <c r="AW210" s="383">
        <f>SUMIF('Asesorías AG anterior'!$B$7:$B$239,B210,'Asesorías AG anterior'!$AB$7:$AB$239)</f>
        <v>0</v>
      </c>
      <c r="AX210" s="335"/>
      <c r="AZ210" s="1493" t="s">
        <v>645</v>
      </c>
    </row>
    <row r="211" spans="1:52" x14ac:dyDescent="0.2">
      <c r="A211" s="1184">
        <f t="shared" si="73"/>
        <v>203</v>
      </c>
      <c r="B211" s="1097" t="s">
        <v>147</v>
      </c>
      <c r="C211" s="1185">
        <f>_xlfn.XLOOKUP(B211,Códigos!$B$8:$B$406,Códigos!$A$8:$A$406,"Verificar",0)</f>
        <v>185</v>
      </c>
      <c r="D211" s="1114">
        <f>_xlfn.XLOOKUP(B211,'Consolidado Cobros'!$B$10:$B$312,'Consolidado Cobros'!$C$10:$C$312,"Verificar",0)</f>
        <v>43041519</v>
      </c>
      <c r="E211" s="1520">
        <f t="shared" si="65"/>
        <v>2</v>
      </c>
      <c r="F211" s="1517">
        <f t="shared" si="66"/>
        <v>0</v>
      </c>
      <c r="G211" s="1251">
        <f t="shared" si="67"/>
        <v>0</v>
      </c>
      <c r="H211" s="1240">
        <f t="shared" si="75"/>
        <v>0</v>
      </c>
      <c r="I211" s="1148"/>
      <c r="J211" s="383">
        <f t="shared" si="68"/>
        <v>0</v>
      </c>
      <c r="K211" s="712"/>
      <c r="L211" s="487">
        <f t="shared" si="69"/>
        <v>0</v>
      </c>
      <c r="M211" s="927"/>
      <c r="N211" s="672">
        <v>0</v>
      </c>
      <c r="O211" s="660"/>
      <c r="P211" s="1092">
        <f t="shared" si="70"/>
        <v>0</v>
      </c>
      <c r="Q211" s="1093">
        <v>0</v>
      </c>
      <c r="R211" s="381">
        <f t="shared" si="63"/>
        <v>0</v>
      </c>
      <c r="S211" s="382"/>
      <c r="T211" s="381"/>
      <c r="U211" s="624"/>
      <c r="V211" s="569">
        <f t="shared" si="71"/>
        <v>0</v>
      </c>
      <c r="W211" s="607"/>
      <c r="X211" s="383"/>
      <c r="Y211" s="607"/>
      <c r="Z211" s="383"/>
      <c r="AA211" s="607"/>
      <c r="AB211" s="718"/>
      <c r="AC211" s="335"/>
      <c r="AD211" s="383">
        <f>SUMIF('Asesorías AG anterior'!$B$7:$B$239,B211,'Asesorías AG anterior'!$I$7:$I$239)</f>
        <v>1E-3</v>
      </c>
      <c r="AE211" s="383">
        <f>SUMIF('Asesorías AG anterior'!$B$7:$B$239,B211,'Asesorías AG anterior'!$J$7:$J$239)</f>
        <v>0</v>
      </c>
      <c r="AF211" s="383">
        <f>SUMIF('Asesorías AG anterior'!$B$7:$B$239,B211,'Asesorías AG anterior'!$K$7:$K$239)</f>
        <v>1E-3</v>
      </c>
      <c r="AG211" s="383">
        <f>SUMIF('Asesorías AG anterior'!$B$7:$B$239,B211,'Asesorías AG anterior'!$L$7:$L$239)</f>
        <v>0</v>
      </c>
      <c r="AH211" s="383">
        <f>SUMIF('Asesorías AG anterior'!$B$7:$B$239,B211,'Asesorías AG anterior'!$M$7:$M$239)</f>
        <v>0</v>
      </c>
      <c r="AI211" s="383">
        <f>SUMIF('Asesorías AG anterior'!$B$7:$B$239,B211,'Asesorías AG anterior'!$N$7:$N$239)</f>
        <v>0</v>
      </c>
      <c r="AJ211" s="383">
        <f>SUMIF('Asesorías AG anterior'!$B$7:$B$239,B211,'Asesorías AG anterior'!$O$7:$O$239)</f>
        <v>1E-3</v>
      </c>
      <c r="AK211" s="383">
        <f>SUMIF('Asesorías AG anterior'!$B$7:$B$239,B211,'Asesorías AG anterior'!$P$7:$P$239)</f>
        <v>0</v>
      </c>
      <c r="AL211" s="383">
        <f>SUMIF('Asesorías AG anterior'!$B$7:$B$239,B211,'Asesorías AG anterior'!$Q$7:$Q$239)</f>
        <v>0</v>
      </c>
      <c r="AM211" s="383">
        <f>SUMIF('Asesorías AG anterior'!$B$7:$B$239,B211,'Asesorías AG anterior'!$R$7:$R$239)</f>
        <v>2420000</v>
      </c>
      <c r="AN211" s="383"/>
      <c r="AO211" s="383">
        <f>SUMIF('Asesorías AG anterior'!$B$7:$B$239,B211,'Asesorías AG anterior'!$T$7:$T$239)</f>
        <v>0</v>
      </c>
      <c r="AP211" s="383">
        <f>SUMIF('Asesorías AG anterior'!$B$7:$B$239,B211,'Asesorías AG anterior'!$U$7:$U$239)</f>
        <v>0</v>
      </c>
      <c r="AQ211" s="383">
        <f>SUMIF('Asesorías AG anterior'!$B$7:$B$239,B211,'Asesorías AG anterior'!$V$7:$V$239)</f>
        <v>0</v>
      </c>
      <c r="AR211" s="383">
        <f>SUMIF('Asesorías AG anterior'!$B$7:$B$239,B211,'Asesorías AG anterior'!$W$7:$W$239)</f>
        <v>0</v>
      </c>
      <c r="AS211" s="383">
        <f>SUMIF('Asesorías AG anterior'!$B$7:$B$239,B211,'Asesorías AG anterior'!$X$7:$X$239)</f>
        <v>0</v>
      </c>
      <c r="AT211" s="383">
        <f>SUMIF('Asesorías AG anterior'!$B$7:$B$239,B211,'Asesorías AG anterior'!$Y$7:$Y$239)</f>
        <v>0</v>
      </c>
      <c r="AU211" s="383">
        <f>SUMIF('Asesorías AG anterior'!$B$7:$B$239,B211,'Asesorías AG anterior'!$Z$7:$Z$239)</f>
        <v>0</v>
      </c>
      <c r="AV211" s="383">
        <f>SUMIF('Asesorías AG anterior'!$B$7:$B$239,B211,'Asesorías AG anterior'!$AA$7:$AA$239)</f>
        <v>0</v>
      </c>
      <c r="AW211" s="383">
        <f>SUMIF('Asesorías AG anterior'!$B$7:$B$239,B211,'Asesorías AG anterior'!$AB$7:$AB$239)</f>
        <v>0</v>
      </c>
      <c r="AX211" s="335"/>
      <c r="AZ211" s="1097" t="s">
        <v>147</v>
      </c>
    </row>
    <row r="212" spans="1:52" x14ac:dyDescent="0.2">
      <c r="A212" s="1184">
        <f t="shared" si="73"/>
        <v>204</v>
      </c>
      <c r="B212" s="1097" t="s">
        <v>148</v>
      </c>
      <c r="C212" s="1185">
        <f>_xlfn.XLOOKUP(B212,Códigos!$B$8:$B$406,Códigos!$A$8:$A$406,"Verificar",0)</f>
        <v>187</v>
      </c>
      <c r="D212" s="1114">
        <f>_xlfn.XLOOKUP(B212,'Consolidado Cobros'!$B$10:$B$312,'Consolidado Cobros'!$C$10:$C$312,"Verificar",0)</f>
        <v>71595523</v>
      </c>
      <c r="E212" s="1520">
        <f t="shared" si="65"/>
        <v>1</v>
      </c>
      <c r="F212" s="1517">
        <f t="shared" si="66"/>
        <v>0</v>
      </c>
      <c r="G212" s="1251">
        <f t="shared" si="67"/>
        <v>0</v>
      </c>
      <c r="H212" s="1240">
        <f t="shared" si="75"/>
        <v>0</v>
      </c>
      <c r="I212" s="1148"/>
      <c r="J212" s="383">
        <f t="shared" si="68"/>
        <v>0</v>
      </c>
      <c r="K212" s="712"/>
      <c r="L212" s="487">
        <f t="shared" si="69"/>
        <v>0</v>
      </c>
      <c r="M212" s="927"/>
      <c r="N212" s="672">
        <v>0</v>
      </c>
      <c r="O212" s="660"/>
      <c r="P212" s="1092">
        <f t="shared" si="70"/>
        <v>0</v>
      </c>
      <c r="Q212" s="1093">
        <v>0</v>
      </c>
      <c r="R212" s="381">
        <f t="shared" si="63"/>
        <v>0</v>
      </c>
      <c r="S212" s="382"/>
      <c r="T212" s="381"/>
      <c r="U212" s="624"/>
      <c r="V212" s="569">
        <f t="shared" si="71"/>
        <v>0</v>
      </c>
      <c r="W212" s="607"/>
      <c r="X212" s="383"/>
      <c r="Y212" s="607"/>
      <c r="Z212" s="383"/>
      <c r="AA212" s="607"/>
      <c r="AB212" s="718"/>
      <c r="AC212" s="335"/>
      <c r="AD212" s="383">
        <f>SUMIF('Asesorías AG anterior'!$B$7:$B$239,B212,'Asesorías AG anterior'!$I$7:$I$239)</f>
        <v>1E-3</v>
      </c>
      <c r="AE212" s="383">
        <f>SUMIF('Asesorías AG anterior'!$B$7:$B$239,B212,'Asesorías AG anterior'!$J$7:$J$239)</f>
        <v>0</v>
      </c>
      <c r="AF212" s="383">
        <f>SUMIF('Asesorías AG anterior'!$B$7:$B$239,B212,'Asesorías AG anterior'!$K$7:$K$239)</f>
        <v>1E-3</v>
      </c>
      <c r="AG212" s="383">
        <f>SUMIF('Asesorías AG anterior'!$B$7:$B$239,B212,'Asesorías AG anterior'!$L$7:$L$239)</f>
        <v>0</v>
      </c>
      <c r="AH212" s="383">
        <f>SUMIF('Asesorías AG anterior'!$B$7:$B$239,B212,'Asesorías AG anterior'!$M$7:$M$239)</f>
        <v>0</v>
      </c>
      <c r="AI212" s="383">
        <f>SUMIF('Asesorías AG anterior'!$B$7:$B$239,B212,'Asesorías AG anterior'!$N$7:$N$239)</f>
        <v>0</v>
      </c>
      <c r="AJ212" s="383">
        <f>SUMIF('Asesorías AG anterior'!$B$7:$B$239,B212,'Asesorías AG anterior'!$O$7:$O$239)</f>
        <v>1E-3</v>
      </c>
      <c r="AK212" s="383">
        <f>SUMIF('Asesorías AG anterior'!$B$7:$B$239,B212,'Asesorías AG anterior'!$P$7:$P$239)</f>
        <v>0</v>
      </c>
      <c r="AL212" s="383">
        <f>SUMIF('Asesorías AG anterior'!$B$7:$B$239,B212,'Asesorías AG anterior'!$Q$7:$Q$239)</f>
        <v>0</v>
      </c>
      <c r="AM212" s="383">
        <f>SUMIF('Asesorías AG anterior'!$B$7:$B$239,B212,'Asesorías AG anterior'!$R$7:$R$239)</f>
        <v>0</v>
      </c>
      <c r="AN212" s="383"/>
      <c r="AO212" s="383">
        <f>SUMIF('Asesorías AG anterior'!$B$7:$B$239,B212,'Asesorías AG anterior'!$T$7:$T$239)</f>
        <v>0</v>
      </c>
      <c r="AP212" s="383">
        <f>SUMIF('Asesorías AG anterior'!$B$7:$B$239,B212,'Asesorías AG anterior'!$U$7:$U$239)</f>
        <v>0</v>
      </c>
      <c r="AQ212" s="383">
        <f>SUMIF('Asesorías AG anterior'!$B$7:$B$239,B212,'Asesorías AG anterior'!$V$7:$V$239)</f>
        <v>0</v>
      </c>
      <c r="AR212" s="383">
        <f>SUMIF('Asesorías AG anterior'!$B$7:$B$239,B212,'Asesorías AG anterior'!$W$7:$W$239)</f>
        <v>0</v>
      </c>
      <c r="AS212" s="383">
        <f>SUMIF('Asesorías AG anterior'!$B$7:$B$239,B212,'Asesorías AG anterior'!$X$7:$X$239)</f>
        <v>0</v>
      </c>
      <c r="AT212" s="383">
        <f>SUMIF('Asesorías AG anterior'!$B$7:$B$239,B212,'Asesorías AG anterior'!$Y$7:$Y$239)</f>
        <v>0</v>
      </c>
      <c r="AU212" s="383">
        <f>SUMIF('Asesorías AG anterior'!$B$7:$B$239,B212,'Asesorías AG anterior'!$Z$7:$Z$239)</f>
        <v>0</v>
      </c>
      <c r="AV212" s="383">
        <f>SUMIF('Asesorías AG anterior'!$B$7:$B$239,B212,'Asesorías AG anterior'!$AA$7:$AA$239)</f>
        <v>0</v>
      </c>
      <c r="AW212" s="383">
        <f>SUMIF('Asesorías AG anterior'!$B$7:$B$239,B212,'Asesorías AG anterior'!$AB$7:$AB$239)</f>
        <v>0</v>
      </c>
      <c r="AX212" s="335"/>
      <c r="AZ212" s="1470" t="s">
        <v>148</v>
      </c>
    </row>
    <row r="213" spans="1:52" x14ac:dyDescent="0.2">
      <c r="A213" s="1184">
        <f t="shared" si="73"/>
        <v>205</v>
      </c>
      <c r="B213" s="1491" t="s">
        <v>359</v>
      </c>
      <c r="C213" s="1185">
        <f>_xlfn.XLOOKUP(B213,Códigos!$B$8:$B$406,Códigos!$A$8:$A$406,"Verificar",0)</f>
        <v>188</v>
      </c>
      <c r="D213" s="1114">
        <f>_xlfn.XLOOKUP(B213,'Consolidado Cobros'!$B$10:$B$312,'Consolidado Cobros'!$C$10:$C$312,"Verificar",0)</f>
        <v>70567656</v>
      </c>
      <c r="E213" s="1520">
        <f t="shared" si="65"/>
        <v>1</v>
      </c>
      <c r="F213" s="1517">
        <f t="shared" si="66"/>
        <v>0</v>
      </c>
      <c r="G213" s="1251">
        <f t="shared" si="67"/>
        <v>0</v>
      </c>
      <c r="H213" s="1240">
        <f t="shared" si="75"/>
        <v>0</v>
      </c>
      <c r="I213" s="1148"/>
      <c r="J213" s="383">
        <f t="shared" si="68"/>
        <v>0</v>
      </c>
      <c r="K213" s="712"/>
      <c r="L213" s="487">
        <f t="shared" si="69"/>
        <v>0</v>
      </c>
      <c r="M213" s="927"/>
      <c r="N213" s="672">
        <v>0</v>
      </c>
      <c r="O213" s="660"/>
      <c r="P213" s="1092">
        <f t="shared" si="70"/>
        <v>0</v>
      </c>
      <c r="Q213" s="1093">
        <v>0</v>
      </c>
      <c r="R213" s="381">
        <f t="shared" si="63"/>
        <v>0</v>
      </c>
      <c r="S213" s="382"/>
      <c r="T213" s="381"/>
      <c r="U213" s="624"/>
      <c r="V213" s="569">
        <f t="shared" si="71"/>
        <v>0</v>
      </c>
      <c r="W213" s="607"/>
      <c r="X213" s="383"/>
      <c r="Y213" s="607"/>
      <c r="Z213" s="383"/>
      <c r="AA213" s="607"/>
      <c r="AB213" s="718"/>
      <c r="AC213" s="335"/>
      <c r="AD213" s="383">
        <f>SUMIF('Asesorías AG anterior'!$B$7:$B$239,B213,'Asesorías AG anterior'!$I$7:$I$239)</f>
        <v>1E-3</v>
      </c>
      <c r="AE213" s="383">
        <f>SUMIF('Asesorías AG anterior'!$B$7:$B$239,B213,'Asesorías AG anterior'!$J$7:$J$239)</f>
        <v>0</v>
      </c>
      <c r="AF213" s="383">
        <f>SUMIF('Asesorías AG anterior'!$B$7:$B$239,B213,'Asesorías AG anterior'!$K$7:$K$239)</f>
        <v>1E-3</v>
      </c>
      <c r="AG213" s="383">
        <f>SUMIF('Asesorías AG anterior'!$B$7:$B$239,B213,'Asesorías AG anterior'!$L$7:$L$239)</f>
        <v>0</v>
      </c>
      <c r="AH213" s="383">
        <f>SUMIF('Asesorías AG anterior'!$B$7:$B$239,B213,'Asesorías AG anterior'!$M$7:$M$239)</f>
        <v>0</v>
      </c>
      <c r="AI213" s="383">
        <f>SUMIF('Asesorías AG anterior'!$B$7:$B$239,B213,'Asesorías AG anterior'!$N$7:$N$239)</f>
        <v>0</v>
      </c>
      <c r="AJ213" s="383">
        <f>SUMIF('Asesorías AG anterior'!$B$7:$B$239,B213,'Asesorías AG anterior'!$O$7:$O$239)</f>
        <v>1E-3</v>
      </c>
      <c r="AK213" s="383">
        <f>SUMIF('Asesorías AG anterior'!$B$7:$B$239,B213,'Asesorías AG anterior'!$P$7:$P$239)</f>
        <v>0</v>
      </c>
      <c r="AL213" s="383">
        <f>SUMIF('Asesorías AG anterior'!$B$7:$B$239,B213,'Asesorías AG anterior'!$Q$7:$Q$239)</f>
        <v>0</v>
      </c>
      <c r="AM213" s="383">
        <f>SUMIF('Asesorías AG anterior'!$B$7:$B$239,B213,'Asesorías AG anterior'!$R$7:$R$239)</f>
        <v>0</v>
      </c>
      <c r="AN213" s="383"/>
      <c r="AO213" s="383">
        <f>SUMIF('Asesorías AG anterior'!$B$7:$B$239,B213,'Asesorías AG anterior'!$T$7:$T$239)</f>
        <v>0</v>
      </c>
      <c r="AP213" s="383">
        <f>SUMIF('Asesorías AG anterior'!$B$7:$B$239,B213,'Asesorías AG anterior'!$U$7:$U$239)</f>
        <v>0</v>
      </c>
      <c r="AQ213" s="383">
        <f>SUMIF('Asesorías AG anterior'!$B$7:$B$239,B213,'Asesorías AG anterior'!$V$7:$V$239)</f>
        <v>0</v>
      </c>
      <c r="AR213" s="383">
        <f>SUMIF('Asesorías AG anterior'!$B$7:$B$239,B213,'Asesorías AG anterior'!$W$7:$W$239)</f>
        <v>0</v>
      </c>
      <c r="AS213" s="383">
        <f>SUMIF('Asesorías AG anterior'!$B$7:$B$239,B213,'Asesorías AG anterior'!$X$7:$X$239)</f>
        <v>0</v>
      </c>
      <c r="AT213" s="383">
        <f>SUMIF('Asesorías AG anterior'!$B$7:$B$239,B213,'Asesorías AG anterior'!$Y$7:$Y$239)</f>
        <v>0</v>
      </c>
      <c r="AU213" s="383">
        <f>SUMIF('Asesorías AG anterior'!$B$7:$B$239,B213,'Asesorías AG anterior'!$Z$7:$Z$239)</f>
        <v>0</v>
      </c>
      <c r="AV213" s="383">
        <f>SUMIF('Asesorías AG anterior'!$B$7:$B$239,B213,'Asesorías AG anterior'!$AA$7:$AA$239)</f>
        <v>0</v>
      </c>
      <c r="AW213" s="383">
        <f>SUMIF('Asesorías AG anterior'!$B$7:$B$239,B213,'Asesorías AG anterior'!$AB$7:$AB$239)</f>
        <v>0</v>
      </c>
      <c r="AX213" s="335"/>
      <c r="AZ213" s="1491" t="s">
        <v>359</v>
      </c>
    </row>
    <row r="214" spans="1:52" x14ac:dyDescent="0.2">
      <c r="A214" s="1184">
        <f t="shared" si="73"/>
        <v>206</v>
      </c>
      <c r="B214" s="1201" t="s">
        <v>149</v>
      </c>
      <c r="C214" s="1185">
        <f>_xlfn.XLOOKUP(B214,Códigos!$B$8:$B$406,Códigos!$A$8:$A$406,"Verificar",0)</f>
        <v>189</v>
      </c>
      <c r="D214" s="1114">
        <f>_xlfn.XLOOKUP(B214,'Consolidado Cobros'!$B$10:$B$312,'Consolidado Cobros'!$C$10:$C$312,"Verificar",0)</f>
        <v>42877800</v>
      </c>
      <c r="E214" s="1520">
        <f t="shared" si="65"/>
        <v>2</v>
      </c>
      <c r="F214" s="1517">
        <f t="shared" si="66"/>
        <v>524582.99712041917</v>
      </c>
      <c r="G214" s="1251">
        <f t="shared" si="67"/>
        <v>0</v>
      </c>
      <c r="H214" s="1240">
        <f t="shared" si="75"/>
        <v>524582.99712041917</v>
      </c>
      <c r="I214" s="1148">
        <v>3</v>
      </c>
      <c r="J214" s="383">
        <f t="shared" si="68"/>
        <v>384582.99712041917</v>
      </c>
      <c r="K214" s="712"/>
      <c r="L214" s="487">
        <f t="shared" si="69"/>
        <v>0</v>
      </c>
      <c r="M214" s="927"/>
      <c r="N214" s="672">
        <v>0</v>
      </c>
      <c r="O214" s="660" t="s">
        <v>318</v>
      </c>
      <c r="P214" s="1092">
        <f t="shared" si="70"/>
        <v>140000</v>
      </c>
      <c r="Q214" s="1093">
        <v>0</v>
      </c>
      <c r="R214" s="381">
        <f t="shared" si="63"/>
        <v>140000</v>
      </c>
      <c r="S214" s="382"/>
      <c r="T214" s="381"/>
      <c r="U214" s="624"/>
      <c r="V214" s="569">
        <f t="shared" si="71"/>
        <v>0</v>
      </c>
      <c r="W214" s="607"/>
      <c r="X214" s="383"/>
      <c r="Y214" s="607"/>
      <c r="Z214" s="383"/>
      <c r="AA214" s="607"/>
      <c r="AB214" s="718"/>
      <c r="AC214" s="335"/>
      <c r="AD214" s="383">
        <f>SUMIF('Asesorías AG anterior'!$B$7:$B$239,B214,'Asesorías AG anterior'!$I$7:$I$239)</f>
        <v>3</v>
      </c>
      <c r="AE214" s="383">
        <f>SUMIF('Asesorías AG anterior'!$B$7:$B$239,B214,'Asesorías AG anterior'!$J$7:$J$239)</f>
        <v>365921.02485292027</v>
      </c>
      <c r="AF214" s="383">
        <f>SUMIF('Asesorías AG anterior'!$B$7:$B$239,B214,'Asesorías AG anterior'!$K$7:$K$239)</f>
        <v>1E-3</v>
      </c>
      <c r="AG214" s="383">
        <f>SUMIF('Asesorías AG anterior'!$B$7:$B$239,B214,'Asesorías AG anterior'!$L$7:$L$239)</f>
        <v>0</v>
      </c>
      <c r="AH214" s="383">
        <f>SUMIF('Asesorías AG anterior'!$B$7:$B$239,B214,'Asesorías AG anterior'!$M$7:$M$239)</f>
        <v>0</v>
      </c>
      <c r="AI214" s="383">
        <f>SUMIF('Asesorías AG anterior'!$B$7:$B$239,B214,'Asesorías AG anterior'!$N$7:$N$239)</f>
        <v>0</v>
      </c>
      <c r="AJ214" s="383">
        <f>SUMIF('Asesorías AG anterior'!$B$7:$B$239,B214,'Asesorías AG anterior'!$O$7:$O$239)</f>
        <v>0</v>
      </c>
      <c r="AK214" s="383">
        <f>SUMIF('Asesorías AG anterior'!$B$7:$B$239,B214,'Asesorías AG anterior'!$P$7:$P$239)</f>
        <v>130000</v>
      </c>
      <c r="AL214" s="383">
        <f>SUMIF('Asesorías AG anterior'!$B$7:$B$239,B214,'Asesorías AG anterior'!$Q$7:$Q$239)</f>
        <v>0</v>
      </c>
      <c r="AM214" s="383">
        <f>SUMIF('Asesorías AG anterior'!$B$7:$B$239,B214,'Asesorías AG anterior'!$R$7:$R$239)</f>
        <v>0</v>
      </c>
      <c r="AN214" s="383"/>
      <c r="AO214" s="383">
        <f>SUMIF('Asesorías AG anterior'!$B$7:$B$239,B214,'Asesorías AG anterior'!$T$7:$T$239)</f>
        <v>0</v>
      </c>
      <c r="AP214" s="383">
        <f>SUMIF('Asesorías AG anterior'!$B$7:$B$239,B214,'Asesorías AG anterior'!$U$7:$U$239)</f>
        <v>0</v>
      </c>
      <c r="AQ214" s="383">
        <f>SUMIF('Asesorías AG anterior'!$B$7:$B$239,B214,'Asesorías AG anterior'!$V$7:$V$239)</f>
        <v>0</v>
      </c>
      <c r="AR214" s="383">
        <f>SUMIF('Asesorías AG anterior'!$B$7:$B$239,B214,'Asesorías AG anterior'!$W$7:$W$239)</f>
        <v>0</v>
      </c>
      <c r="AS214" s="383">
        <f>SUMIF('Asesorías AG anterior'!$B$7:$B$239,B214,'Asesorías AG anterior'!$X$7:$X$239)</f>
        <v>0</v>
      </c>
      <c r="AT214" s="383">
        <f>SUMIF('Asesorías AG anterior'!$B$7:$B$239,B214,'Asesorías AG anterior'!$Y$7:$Y$239)</f>
        <v>0</v>
      </c>
      <c r="AU214" s="383">
        <f>SUMIF('Asesorías AG anterior'!$B$7:$B$239,B214,'Asesorías AG anterior'!$Z$7:$Z$239)</f>
        <v>0</v>
      </c>
      <c r="AV214" s="383">
        <f>SUMIF('Asesorías AG anterior'!$B$7:$B$239,B214,'Asesorías AG anterior'!$AA$7:$AA$239)</f>
        <v>0</v>
      </c>
      <c r="AW214" s="383">
        <f>SUMIF('Asesorías AG anterior'!$B$7:$B$239,B214,'Asesorías AG anterior'!$AB$7:$AB$239)</f>
        <v>0</v>
      </c>
      <c r="AX214" s="335"/>
      <c r="AZ214" s="1097" t="s">
        <v>149</v>
      </c>
    </row>
    <row r="215" spans="1:52" x14ac:dyDescent="0.2">
      <c r="A215" s="1184">
        <f t="shared" si="73"/>
        <v>207</v>
      </c>
      <c r="B215" s="1097" t="s">
        <v>150</v>
      </c>
      <c r="C215" s="1185">
        <f>_xlfn.XLOOKUP(B215,Códigos!$B$8:$B$406,Códigos!$A$8:$A$406,"Verificar",0)</f>
        <v>190</v>
      </c>
      <c r="D215" s="1114">
        <f>_xlfn.XLOOKUP(B215,'Consolidado Cobros'!$B$10:$B$312,'Consolidado Cobros'!$C$10:$C$312,"Verificar",0)</f>
        <v>21717463</v>
      </c>
      <c r="E215" s="1520">
        <f t="shared" si="65"/>
        <v>1</v>
      </c>
      <c r="F215" s="1517">
        <f t="shared" si="66"/>
        <v>0</v>
      </c>
      <c r="G215" s="1251">
        <f t="shared" si="67"/>
        <v>0</v>
      </c>
      <c r="H215" s="1240">
        <f t="shared" si="75"/>
        <v>0</v>
      </c>
      <c r="I215" s="1148"/>
      <c r="J215" s="383">
        <f t="shared" si="68"/>
        <v>0</v>
      </c>
      <c r="K215" s="712"/>
      <c r="L215" s="487">
        <f t="shared" si="69"/>
        <v>0</v>
      </c>
      <c r="M215" s="927"/>
      <c r="N215" s="672">
        <v>0</v>
      </c>
      <c r="O215" s="660"/>
      <c r="P215" s="1092">
        <f t="shared" si="70"/>
        <v>0</v>
      </c>
      <c r="Q215" s="1093">
        <v>0</v>
      </c>
      <c r="R215" s="381">
        <f t="shared" ref="R215:R231" si="76">+P215</f>
        <v>0</v>
      </c>
      <c r="S215" s="382"/>
      <c r="T215" s="381"/>
      <c r="U215" s="624"/>
      <c r="V215" s="569">
        <f t="shared" si="71"/>
        <v>0</v>
      </c>
      <c r="W215" s="607"/>
      <c r="X215" s="383"/>
      <c r="Y215" s="607"/>
      <c r="Z215" s="383"/>
      <c r="AA215" s="607"/>
      <c r="AB215" s="718"/>
      <c r="AC215" s="335"/>
      <c r="AD215" s="383">
        <f>SUMIF('Asesorías AG anterior'!$B$7:$B$239,B215,'Asesorías AG anterior'!$I$7:$I$239)</f>
        <v>1E-3</v>
      </c>
      <c r="AE215" s="383">
        <f>SUMIF('Asesorías AG anterior'!$B$7:$B$239,B215,'Asesorías AG anterior'!$J$7:$J$239)</f>
        <v>0</v>
      </c>
      <c r="AF215" s="383">
        <f>SUMIF('Asesorías AG anterior'!$B$7:$B$239,B215,'Asesorías AG anterior'!$K$7:$K$239)</f>
        <v>1E-3</v>
      </c>
      <c r="AG215" s="383">
        <f>SUMIF('Asesorías AG anterior'!$B$7:$B$239,B215,'Asesorías AG anterior'!$L$7:$L$239)</f>
        <v>0</v>
      </c>
      <c r="AH215" s="383">
        <f>SUMIF('Asesorías AG anterior'!$B$7:$B$239,B215,'Asesorías AG anterior'!$M$7:$M$239)</f>
        <v>0</v>
      </c>
      <c r="AI215" s="383">
        <f>SUMIF('Asesorías AG anterior'!$B$7:$B$239,B215,'Asesorías AG anterior'!$N$7:$N$239)</f>
        <v>0</v>
      </c>
      <c r="AJ215" s="383">
        <f>SUMIF('Asesorías AG anterior'!$B$7:$B$239,B215,'Asesorías AG anterior'!$O$7:$O$239)</f>
        <v>1E-3</v>
      </c>
      <c r="AK215" s="383">
        <f>SUMIF('Asesorías AG anterior'!$B$7:$B$239,B215,'Asesorías AG anterior'!$P$7:$P$239)</f>
        <v>0</v>
      </c>
      <c r="AL215" s="383">
        <f>SUMIF('Asesorías AG anterior'!$B$7:$B$239,B215,'Asesorías AG anterior'!$Q$7:$Q$239)</f>
        <v>0</v>
      </c>
      <c r="AM215" s="383">
        <f>SUMIF('Asesorías AG anterior'!$B$7:$B$239,B215,'Asesorías AG anterior'!$R$7:$R$239)</f>
        <v>0</v>
      </c>
      <c r="AN215" s="383"/>
      <c r="AO215" s="383">
        <f>SUMIF('Asesorías AG anterior'!$B$7:$B$239,B215,'Asesorías AG anterior'!$T$7:$T$239)</f>
        <v>0</v>
      </c>
      <c r="AP215" s="383">
        <f>SUMIF('Asesorías AG anterior'!$B$7:$B$239,B215,'Asesorías AG anterior'!$U$7:$U$239)</f>
        <v>0</v>
      </c>
      <c r="AQ215" s="383">
        <f>SUMIF('Asesorías AG anterior'!$B$7:$B$239,B215,'Asesorías AG anterior'!$V$7:$V$239)</f>
        <v>0</v>
      </c>
      <c r="AR215" s="383">
        <f>SUMIF('Asesorías AG anterior'!$B$7:$B$239,B215,'Asesorías AG anterior'!$W$7:$W$239)</f>
        <v>0</v>
      </c>
      <c r="AS215" s="383">
        <f>SUMIF('Asesorías AG anterior'!$B$7:$B$239,B215,'Asesorías AG anterior'!$X$7:$X$239)</f>
        <v>0</v>
      </c>
      <c r="AT215" s="383">
        <f>SUMIF('Asesorías AG anterior'!$B$7:$B$239,B215,'Asesorías AG anterior'!$Y$7:$Y$239)</f>
        <v>0</v>
      </c>
      <c r="AU215" s="383">
        <f>SUMIF('Asesorías AG anterior'!$B$7:$B$239,B215,'Asesorías AG anterior'!$Z$7:$Z$239)</f>
        <v>0</v>
      </c>
      <c r="AV215" s="383">
        <f>SUMIF('Asesorías AG anterior'!$B$7:$B$239,B215,'Asesorías AG anterior'!$AA$7:$AA$239)</f>
        <v>0</v>
      </c>
      <c r="AW215" s="383">
        <f>SUMIF('Asesorías AG anterior'!$B$7:$B$239,B215,'Asesorías AG anterior'!$AB$7:$AB$239)</f>
        <v>0</v>
      </c>
      <c r="AX215" s="335"/>
      <c r="AZ215" s="1097" t="s">
        <v>150</v>
      </c>
    </row>
    <row r="216" spans="1:52" x14ac:dyDescent="0.2">
      <c r="A216" s="1184">
        <f t="shared" si="73"/>
        <v>208</v>
      </c>
      <c r="B216" s="1137" t="s">
        <v>455</v>
      </c>
      <c r="C216" s="1185">
        <f>_xlfn.XLOOKUP(B216,Códigos!$B$8:$B$406,Códigos!$A$8:$A$406,"Verificar",0)</f>
        <v>192</v>
      </c>
      <c r="D216" s="1114">
        <f>_xlfn.XLOOKUP(B216,'Consolidado Cobros'!$B$10:$B$312,'Consolidado Cobros'!$C$10:$C$312,"Verificar",0)</f>
        <v>21717467</v>
      </c>
      <c r="E216" s="1520">
        <f t="shared" si="65"/>
        <v>0</v>
      </c>
      <c r="F216" s="1517">
        <f t="shared" si="66"/>
        <v>0</v>
      </c>
      <c r="G216" s="1251">
        <f t="shared" si="67"/>
        <v>0</v>
      </c>
      <c r="H216" s="1240">
        <f t="shared" si="75"/>
        <v>0</v>
      </c>
      <c r="I216" s="1148"/>
      <c r="J216" s="383">
        <f t="shared" si="68"/>
        <v>0</v>
      </c>
      <c r="K216" s="712"/>
      <c r="L216" s="487">
        <f t="shared" si="69"/>
        <v>0</v>
      </c>
      <c r="M216" s="927"/>
      <c r="N216" s="672">
        <v>0</v>
      </c>
      <c r="O216" s="660"/>
      <c r="P216" s="1092">
        <f t="shared" si="70"/>
        <v>0</v>
      </c>
      <c r="Q216" s="1093">
        <v>0</v>
      </c>
      <c r="R216" s="381">
        <f t="shared" si="76"/>
        <v>0</v>
      </c>
      <c r="S216" s="382"/>
      <c r="T216" s="381"/>
      <c r="U216" s="624"/>
      <c r="V216" s="569">
        <f t="shared" si="71"/>
        <v>0</v>
      </c>
      <c r="W216" s="607"/>
      <c r="X216" s="383"/>
      <c r="Y216" s="607"/>
      <c r="Z216" s="383"/>
      <c r="AA216" s="607"/>
      <c r="AB216" s="718"/>
      <c r="AC216" s="335"/>
      <c r="AD216" s="383">
        <f>SUMIF('Asesorías AG anterior'!$B$7:$B$239,B216,'Asesorías AG anterior'!$I$7:$I$239)</f>
        <v>1E-3</v>
      </c>
      <c r="AE216" s="383">
        <f>SUMIF('Asesorías AG anterior'!$B$7:$B$239,B216,'Asesorías AG anterior'!$J$7:$J$239)</f>
        <v>0</v>
      </c>
      <c r="AF216" s="383">
        <f>SUMIF('Asesorías AG anterior'!$B$7:$B$239,B216,'Asesorías AG anterior'!$K$7:$K$239)</f>
        <v>1E-3</v>
      </c>
      <c r="AG216" s="383">
        <f>SUMIF('Asesorías AG anterior'!$B$7:$B$239,B216,'Asesorías AG anterior'!$L$7:$L$239)</f>
        <v>0</v>
      </c>
      <c r="AH216" s="383">
        <f>SUMIF('Asesorías AG anterior'!$B$7:$B$239,B216,'Asesorías AG anterior'!$M$7:$M$239)</f>
        <v>0</v>
      </c>
      <c r="AI216" s="383">
        <f>SUMIF('Asesorías AG anterior'!$B$7:$B$239,B216,'Asesorías AG anterior'!$N$7:$N$239)</f>
        <v>0</v>
      </c>
      <c r="AJ216" s="383">
        <f>SUMIF('Asesorías AG anterior'!$B$7:$B$239,B216,'Asesorías AG anterior'!$O$7:$O$239)</f>
        <v>1E-3</v>
      </c>
      <c r="AK216" s="383">
        <f>SUMIF('Asesorías AG anterior'!$B$7:$B$239,B216,'Asesorías AG anterior'!$P$7:$P$239)</f>
        <v>0</v>
      </c>
      <c r="AL216" s="383">
        <f>SUMIF('Asesorías AG anterior'!$B$7:$B$239,B216,'Asesorías AG anterior'!$Q$7:$Q$239)</f>
        <v>0</v>
      </c>
      <c r="AM216" s="383">
        <f>SUMIF('Asesorías AG anterior'!$B$7:$B$239,B216,'Asesorías AG anterior'!$R$7:$R$239)</f>
        <v>0</v>
      </c>
      <c r="AN216" s="383"/>
      <c r="AO216" s="383">
        <f>SUMIF('Asesorías AG anterior'!$B$7:$B$239,B216,'Asesorías AG anterior'!$T$7:$T$239)</f>
        <v>0</v>
      </c>
      <c r="AP216" s="383">
        <f>SUMIF('Asesorías AG anterior'!$B$7:$B$239,B216,'Asesorías AG anterior'!$U$7:$U$239)</f>
        <v>0</v>
      </c>
      <c r="AQ216" s="383">
        <f>SUMIF('Asesorías AG anterior'!$B$7:$B$239,B216,'Asesorías AG anterior'!$V$7:$V$239)</f>
        <v>0</v>
      </c>
      <c r="AR216" s="383">
        <f>SUMIF('Asesorías AG anterior'!$B$7:$B$239,B216,'Asesorías AG anterior'!$W$7:$W$239)</f>
        <v>0</v>
      </c>
      <c r="AS216" s="383">
        <f>SUMIF('Asesorías AG anterior'!$B$7:$B$239,B216,'Asesorías AG anterior'!$X$7:$X$239)</f>
        <v>0</v>
      </c>
      <c r="AT216" s="383">
        <f>SUMIF('Asesorías AG anterior'!$B$7:$B$239,B216,'Asesorías AG anterior'!$Y$7:$Y$239)</f>
        <v>0</v>
      </c>
      <c r="AU216" s="383">
        <f>SUMIF('Asesorías AG anterior'!$B$7:$B$239,B216,'Asesorías AG anterior'!$Z$7:$Z$239)</f>
        <v>0</v>
      </c>
      <c r="AV216" s="383">
        <f>SUMIF('Asesorías AG anterior'!$B$7:$B$239,B216,'Asesorías AG anterior'!$AA$7:$AA$239)</f>
        <v>0</v>
      </c>
      <c r="AW216" s="383">
        <f>SUMIF('Asesorías AG anterior'!$B$7:$B$239,B216,'Asesorías AG anterior'!$AB$7:$AB$239)</f>
        <v>0</v>
      </c>
      <c r="AX216" s="335"/>
      <c r="AZ216" s="1097" t="s">
        <v>455</v>
      </c>
    </row>
    <row r="217" spans="1:52" x14ac:dyDescent="0.2">
      <c r="A217" s="1184">
        <f t="shared" si="73"/>
        <v>209</v>
      </c>
      <c r="B217" s="1097" t="s">
        <v>152</v>
      </c>
      <c r="C217" s="1185">
        <f>_xlfn.XLOOKUP(B217,Códigos!$B$8:$B$406,Códigos!$A$8:$A$406,"Verificar",0)</f>
        <v>193</v>
      </c>
      <c r="D217" s="1114">
        <f>_xlfn.XLOOKUP(B217,'Consolidado Cobros'!$B$10:$B$312,'Consolidado Cobros'!$C$10:$C$312,"Verificar",0)</f>
        <v>32326870</v>
      </c>
      <c r="E217" s="1520">
        <f t="shared" si="65"/>
        <v>8</v>
      </c>
      <c r="F217" s="1517">
        <f t="shared" si="66"/>
        <v>0</v>
      </c>
      <c r="G217" s="1251">
        <f t="shared" si="67"/>
        <v>0</v>
      </c>
      <c r="H217" s="1240">
        <f t="shared" si="75"/>
        <v>0</v>
      </c>
      <c r="I217" s="1148"/>
      <c r="J217" s="383">
        <f t="shared" si="68"/>
        <v>0</v>
      </c>
      <c r="K217" s="712"/>
      <c r="L217" s="487">
        <f t="shared" si="69"/>
        <v>0</v>
      </c>
      <c r="M217" s="927"/>
      <c r="N217" s="672">
        <v>0</v>
      </c>
      <c r="O217" s="660"/>
      <c r="P217" s="1092">
        <f t="shared" si="70"/>
        <v>0</v>
      </c>
      <c r="Q217" s="1093">
        <v>0</v>
      </c>
      <c r="R217" s="381">
        <f t="shared" si="76"/>
        <v>0</v>
      </c>
      <c r="S217" s="382"/>
      <c r="T217" s="381"/>
      <c r="U217" s="624"/>
      <c r="V217" s="569">
        <f t="shared" si="71"/>
        <v>0</v>
      </c>
      <c r="W217" s="607"/>
      <c r="X217" s="383"/>
      <c r="Y217" s="607"/>
      <c r="Z217" s="383"/>
      <c r="AA217" s="607"/>
      <c r="AB217" s="718"/>
      <c r="AC217" s="335"/>
      <c r="AD217" s="383">
        <f>SUMIF('Asesorías AG anterior'!$B$7:$B$239,B217,'Asesorías AG anterior'!$I$7:$I$239)</f>
        <v>1E-3</v>
      </c>
      <c r="AE217" s="383">
        <f>SUMIF('Asesorías AG anterior'!$B$7:$B$239,B217,'Asesorías AG anterior'!$J$7:$J$239)</f>
        <v>0</v>
      </c>
      <c r="AF217" s="383">
        <f>SUMIF('Asesorías AG anterior'!$B$7:$B$239,B217,'Asesorías AG anterior'!$K$7:$K$239)</f>
        <v>1E-3</v>
      </c>
      <c r="AG217" s="383">
        <f>SUMIF('Asesorías AG anterior'!$B$7:$B$239,B217,'Asesorías AG anterior'!$L$7:$L$239)</f>
        <v>0</v>
      </c>
      <c r="AH217" s="383">
        <f>SUMIF('Asesorías AG anterior'!$B$7:$B$239,B217,'Asesorías AG anterior'!$M$7:$M$239)</f>
        <v>0</v>
      </c>
      <c r="AI217" s="383">
        <f>SUMIF('Asesorías AG anterior'!$B$7:$B$239,B217,'Asesorías AG anterior'!$N$7:$N$239)</f>
        <v>0</v>
      </c>
      <c r="AJ217" s="383">
        <f>SUMIF('Asesorías AG anterior'!$B$7:$B$239,B217,'Asesorías AG anterior'!$O$7:$O$239)</f>
        <v>1E-3</v>
      </c>
      <c r="AK217" s="383">
        <f>SUMIF('Asesorías AG anterior'!$B$7:$B$239,B217,'Asesorías AG anterior'!$P$7:$P$239)</f>
        <v>0</v>
      </c>
      <c r="AL217" s="383">
        <f>SUMIF('Asesorías AG anterior'!$B$7:$B$239,B217,'Asesorías AG anterior'!$Q$7:$Q$239)</f>
        <v>0</v>
      </c>
      <c r="AM217" s="383">
        <f>SUMIF('Asesorías AG anterior'!$B$7:$B$239,B217,'Asesorías AG anterior'!$R$7:$R$239)</f>
        <v>0</v>
      </c>
      <c r="AN217" s="383"/>
      <c r="AO217" s="383">
        <f>SUMIF('Asesorías AG anterior'!$B$7:$B$239,B217,'Asesorías AG anterior'!$T$7:$T$239)</f>
        <v>0</v>
      </c>
      <c r="AP217" s="383">
        <f>SUMIF('Asesorías AG anterior'!$B$7:$B$239,B217,'Asesorías AG anterior'!$U$7:$U$239)</f>
        <v>0</v>
      </c>
      <c r="AQ217" s="383">
        <f>SUMIF('Asesorías AG anterior'!$B$7:$B$239,B217,'Asesorías AG anterior'!$V$7:$V$239)</f>
        <v>0</v>
      </c>
      <c r="AR217" s="383">
        <f>SUMIF('Asesorías AG anterior'!$B$7:$B$239,B217,'Asesorías AG anterior'!$W$7:$W$239)</f>
        <v>0</v>
      </c>
      <c r="AS217" s="383">
        <f>SUMIF('Asesorías AG anterior'!$B$7:$B$239,B217,'Asesorías AG anterior'!$X$7:$X$239)</f>
        <v>0</v>
      </c>
      <c r="AT217" s="383">
        <f>SUMIF('Asesorías AG anterior'!$B$7:$B$239,B217,'Asesorías AG anterior'!$Y$7:$Y$239)</f>
        <v>0</v>
      </c>
      <c r="AU217" s="383">
        <f>SUMIF('Asesorías AG anterior'!$B$7:$B$239,B217,'Asesorías AG anterior'!$Z$7:$Z$239)</f>
        <v>0</v>
      </c>
      <c r="AV217" s="383">
        <f>SUMIF('Asesorías AG anterior'!$B$7:$B$239,B217,'Asesorías AG anterior'!$AA$7:$AA$239)</f>
        <v>0</v>
      </c>
      <c r="AW217" s="383">
        <f>SUMIF('Asesorías AG anterior'!$B$7:$B$239,B217,'Asesorías AG anterior'!$AB$7:$AB$239)</f>
        <v>0</v>
      </c>
      <c r="AX217" s="335"/>
      <c r="AZ217" s="1097" t="s">
        <v>152</v>
      </c>
    </row>
    <row r="218" spans="1:52" x14ac:dyDescent="0.2">
      <c r="A218" s="1184">
        <f t="shared" si="73"/>
        <v>210</v>
      </c>
      <c r="B218" s="1097" t="s">
        <v>153</v>
      </c>
      <c r="C218" s="1185">
        <f>_xlfn.XLOOKUP(B218,Códigos!$B$8:$B$406,Códigos!$A$8:$A$406,"Verificar",0)</f>
        <v>194</v>
      </c>
      <c r="D218" s="1114">
        <f>_xlfn.XLOOKUP(B218,'Consolidado Cobros'!$B$10:$B$312,'Consolidado Cobros'!$C$10:$C$312,"Verificar",0)</f>
        <v>70562691</v>
      </c>
      <c r="E218" s="1520">
        <f t="shared" si="65"/>
        <v>5</v>
      </c>
      <c r="F218" s="1517">
        <f t="shared" si="66"/>
        <v>0</v>
      </c>
      <c r="G218" s="1251">
        <f t="shared" si="67"/>
        <v>0</v>
      </c>
      <c r="H218" s="1240">
        <f t="shared" si="75"/>
        <v>0</v>
      </c>
      <c r="I218" s="1148"/>
      <c r="J218" s="383">
        <f t="shared" si="68"/>
        <v>0</v>
      </c>
      <c r="K218" s="712"/>
      <c r="L218" s="487">
        <f t="shared" si="69"/>
        <v>0</v>
      </c>
      <c r="M218" s="927"/>
      <c r="N218" s="672">
        <v>0</v>
      </c>
      <c r="O218" s="660"/>
      <c r="P218" s="1092">
        <f t="shared" si="70"/>
        <v>0</v>
      </c>
      <c r="Q218" s="1093">
        <v>0</v>
      </c>
      <c r="R218" s="381">
        <f t="shared" si="76"/>
        <v>0</v>
      </c>
      <c r="S218" s="382"/>
      <c r="T218" s="381"/>
      <c r="U218" s="624"/>
      <c r="V218" s="569">
        <f t="shared" si="71"/>
        <v>0</v>
      </c>
      <c r="W218" s="607"/>
      <c r="X218" s="383"/>
      <c r="Y218" s="607"/>
      <c r="Z218" s="383"/>
      <c r="AA218" s="607"/>
      <c r="AB218" s="718"/>
      <c r="AC218" s="335"/>
      <c r="AD218" s="383">
        <f>SUMIF('Asesorías AG anterior'!$B$7:$B$239,B218,'Asesorías AG anterior'!$I$7:$I$239)</f>
        <v>1E-3</v>
      </c>
      <c r="AE218" s="383">
        <f>SUMIF('Asesorías AG anterior'!$B$7:$B$239,B218,'Asesorías AG anterior'!$J$7:$J$239)</f>
        <v>0</v>
      </c>
      <c r="AF218" s="383">
        <f>SUMIF('Asesorías AG anterior'!$B$7:$B$239,B218,'Asesorías AG anterior'!$K$7:$K$239)</f>
        <v>1E-3</v>
      </c>
      <c r="AG218" s="383">
        <f>SUMIF('Asesorías AG anterior'!$B$7:$B$239,B218,'Asesorías AG anterior'!$L$7:$L$239)</f>
        <v>0</v>
      </c>
      <c r="AH218" s="383">
        <f>SUMIF('Asesorías AG anterior'!$B$7:$B$239,B218,'Asesorías AG anterior'!$M$7:$M$239)</f>
        <v>0</v>
      </c>
      <c r="AI218" s="383">
        <f>SUMIF('Asesorías AG anterior'!$B$7:$B$239,B218,'Asesorías AG anterior'!$N$7:$N$239)</f>
        <v>0</v>
      </c>
      <c r="AJ218" s="383">
        <f>SUMIF('Asesorías AG anterior'!$B$7:$B$239,B218,'Asesorías AG anterior'!$O$7:$O$239)</f>
        <v>1E-3</v>
      </c>
      <c r="AK218" s="383">
        <f>SUMIF('Asesorías AG anterior'!$B$7:$B$239,B218,'Asesorías AG anterior'!$P$7:$P$239)</f>
        <v>0</v>
      </c>
      <c r="AL218" s="383">
        <f>SUMIF('Asesorías AG anterior'!$B$7:$B$239,B218,'Asesorías AG anterior'!$Q$7:$Q$239)</f>
        <v>0</v>
      </c>
      <c r="AM218" s="383">
        <f>SUMIF('Asesorías AG anterior'!$B$7:$B$239,B218,'Asesorías AG anterior'!$R$7:$R$239)</f>
        <v>0</v>
      </c>
      <c r="AN218" s="383"/>
      <c r="AO218" s="383">
        <f>SUMIF('Asesorías AG anterior'!$B$7:$B$239,B218,'Asesorías AG anterior'!$T$7:$T$239)</f>
        <v>0</v>
      </c>
      <c r="AP218" s="383">
        <f>SUMIF('Asesorías AG anterior'!$B$7:$B$239,B218,'Asesorías AG anterior'!$U$7:$U$239)</f>
        <v>0</v>
      </c>
      <c r="AQ218" s="383">
        <f>SUMIF('Asesorías AG anterior'!$B$7:$B$239,B218,'Asesorías AG anterior'!$V$7:$V$239)</f>
        <v>0</v>
      </c>
      <c r="AR218" s="383">
        <f>SUMIF('Asesorías AG anterior'!$B$7:$B$239,B218,'Asesorías AG anterior'!$W$7:$W$239)</f>
        <v>0</v>
      </c>
      <c r="AS218" s="383">
        <f>SUMIF('Asesorías AG anterior'!$B$7:$B$239,B218,'Asesorías AG anterior'!$X$7:$X$239)</f>
        <v>0</v>
      </c>
      <c r="AT218" s="383">
        <f>SUMIF('Asesorías AG anterior'!$B$7:$B$239,B218,'Asesorías AG anterior'!$Y$7:$Y$239)</f>
        <v>0</v>
      </c>
      <c r="AU218" s="383">
        <f>SUMIF('Asesorías AG anterior'!$B$7:$B$239,B218,'Asesorías AG anterior'!$Z$7:$Z$239)</f>
        <v>0</v>
      </c>
      <c r="AV218" s="383">
        <f>SUMIF('Asesorías AG anterior'!$B$7:$B$239,B218,'Asesorías AG anterior'!$AA$7:$AA$239)</f>
        <v>0</v>
      </c>
      <c r="AW218" s="383">
        <f>SUMIF('Asesorías AG anterior'!$B$7:$B$239,B218,'Asesorías AG anterior'!$AB$7:$AB$239)</f>
        <v>0</v>
      </c>
      <c r="AX218" s="335"/>
      <c r="AZ218" s="1097" t="s">
        <v>153</v>
      </c>
    </row>
    <row r="219" spans="1:52" x14ac:dyDescent="0.2">
      <c r="A219" s="1184">
        <f t="shared" si="73"/>
        <v>211</v>
      </c>
      <c r="B219" s="1097" t="s">
        <v>154</v>
      </c>
      <c r="C219" s="1185">
        <f>_xlfn.XLOOKUP(B219,Códigos!$B$8:$B$406,Códigos!$A$8:$A$406,"Verificar",0)</f>
        <v>197</v>
      </c>
      <c r="D219" s="1114">
        <f>_xlfn.XLOOKUP(B219,'Consolidado Cobros'!$B$10:$B$312,'Consolidado Cobros'!$C$10:$C$312,"Verificar",0)</f>
        <v>21354620</v>
      </c>
      <c r="E219" s="1520">
        <f t="shared" si="65"/>
        <v>2</v>
      </c>
      <c r="F219" s="1517">
        <f t="shared" si="66"/>
        <v>484582.99712041923</v>
      </c>
      <c r="G219" s="1251">
        <f t="shared" si="67"/>
        <v>0</v>
      </c>
      <c r="H219" s="1240">
        <f t="shared" si="75"/>
        <v>484582.99712041923</v>
      </c>
      <c r="I219" s="1148">
        <v>3</v>
      </c>
      <c r="J219" s="383">
        <f t="shared" si="68"/>
        <v>384582.99712041923</v>
      </c>
      <c r="K219" s="712"/>
      <c r="L219" s="487">
        <f t="shared" si="69"/>
        <v>0</v>
      </c>
      <c r="M219" s="927"/>
      <c r="N219" s="672">
        <v>0</v>
      </c>
      <c r="O219" s="660" t="s">
        <v>318</v>
      </c>
      <c r="P219" s="1092">
        <v>100000</v>
      </c>
      <c r="Q219" s="1093">
        <v>0</v>
      </c>
      <c r="R219" s="381">
        <f t="shared" si="76"/>
        <v>100000</v>
      </c>
      <c r="S219" s="382"/>
      <c r="T219" s="381"/>
      <c r="U219" s="624"/>
      <c r="V219" s="569">
        <f t="shared" si="71"/>
        <v>0</v>
      </c>
      <c r="W219" s="607"/>
      <c r="X219" s="383"/>
      <c r="Y219" s="607"/>
      <c r="Z219" s="383"/>
      <c r="AA219" s="607"/>
      <c r="AB219" s="718"/>
      <c r="AC219" s="335"/>
      <c r="AD219" s="383">
        <f>SUMIF('Asesorías AG anterior'!$B$7:$B$239,B219,'Asesorías AG anterior'!$I$7:$I$239)</f>
        <v>3</v>
      </c>
      <c r="AE219" s="383">
        <f>SUMIF('Asesorías AG anterior'!$B$7:$B$239,B219,'Asesorías AG anterior'!$J$7:$J$239)</f>
        <v>365921.02485292032</v>
      </c>
      <c r="AF219" s="383">
        <f>SUMIF('Asesorías AG anterior'!$B$7:$B$239,B219,'Asesorías AG anterior'!$K$7:$K$239)</f>
        <v>1E-3</v>
      </c>
      <c r="AG219" s="383">
        <f>SUMIF('Asesorías AG anterior'!$B$7:$B$239,B219,'Asesorías AG anterior'!$L$7:$L$239)</f>
        <v>0</v>
      </c>
      <c r="AH219" s="383">
        <f>SUMIF('Asesorías AG anterior'!$B$7:$B$239,B219,'Asesorías AG anterior'!$M$7:$M$239)</f>
        <v>0</v>
      </c>
      <c r="AI219" s="383">
        <f>SUMIF('Asesorías AG anterior'!$B$7:$B$239,B219,'Asesorías AG anterior'!$N$7:$N$239)</f>
        <v>0</v>
      </c>
      <c r="AJ219" s="383">
        <f>SUMIF('Asesorías AG anterior'!$B$7:$B$239,B219,'Asesorías AG anterior'!$O$7:$O$239)</f>
        <v>0</v>
      </c>
      <c r="AK219" s="383">
        <f>SUMIF('Asesorías AG anterior'!$B$7:$B$239,B219,'Asesorías AG anterior'!$P$7:$P$239)</f>
        <v>70000</v>
      </c>
      <c r="AL219" s="383">
        <f>SUMIF('Asesorías AG anterior'!$B$7:$B$239,B219,'Asesorías AG anterior'!$Q$7:$Q$239)</f>
        <v>0</v>
      </c>
      <c r="AM219" s="383">
        <f>SUMIF('Asesorías AG anterior'!$B$7:$B$239,B219,'Asesorías AG anterior'!$R$7:$R$239)</f>
        <v>0</v>
      </c>
      <c r="AN219" s="383"/>
      <c r="AO219" s="383">
        <f>SUMIF('Asesorías AG anterior'!$B$7:$B$239,B219,'Asesorías AG anterior'!$T$7:$T$239)</f>
        <v>0</v>
      </c>
      <c r="AP219" s="383">
        <f>SUMIF('Asesorías AG anterior'!$B$7:$B$239,B219,'Asesorías AG anterior'!$U$7:$U$239)</f>
        <v>0</v>
      </c>
      <c r="AQ219" s="383">
        <f>SUMIF('Asesorías AG anterior'!$B$7:$B$239,B219,'Asesorías AG anterior'!$V$7:$V$239)</f>
        <v>0</v>
      </c>
      <c r="AR219" s="383">
        <f>SUMIF('Asesorías AG anterior'!$B$7:$B$239,B219,'Asesorías AG anterior'!$W$7:$W$239)</f>
        <v>0</v>
      </c>
      <c r="AS219" s="383">
        <f>SUMIF('Asesorías AG anterior'!$B$7:$B$239,B219,'Asesorías AG anterior'!$X$7:$X$239)</f>
        <v>0</v>
      </c>
      <c r="AT219" s="383">
        <f>SUMIF('Asesorías AG anterior'!$B$7:$B$239,B219,'Asesorías AG anterior'!$Y$7:$Y$239)</f>
        <v>0</v>
      </c>
      <c r="AU219" s="383">
        <f>SUMIF('Asesorías AG anterior'!$B$7:$B$239,B219,'Asesorías AG anterior'!$Z$7:$Z$239)</f>
        <v>0</v>
      </c>
      <c r="AV219" s="383">
        <f>SUMIF('Asesorías AG anterior'!$B$7:$B$239,B219,'Asesorías AG anterior'!$AA$7:$AA$239)</f>
        <v>0</v>
      </c>
      <c r="AW219" s="383">
        <f>SUMIF('Asesorías AG anterior'!$B$7:$B$239,B219,'Asesorías AG anterior'!$AB$7:$AB$239)</f>
        <v>0</v>
      </c>
      <c r="AX219" s="335"/>
      <c r="AZ219" s="1097" t="s">
        <v>154</v>
      </c>
    </row>
    <row r="220" spans="1:52" x14ac:dyDescent="0.2">
      <c r="A220" s="1184">
        <f t="shared" si="73"/>
        <v>212</v>
      </c>
      <c r="B220" s="1097" t="s">
        <v>155</v>
      </c>
      <c r="C220" s="1185">
        <f>_xlfn.XLOOKUP(B220,Códigos!$B$8:$B$406,Códigos!$A$8:$A$406,"Verificar",0)</f>
        <v>198</v>
      </c>
      <c r="D220" s="1114">
        <f>_xlfn.XLOOKUP(B220,'Consolidado Cobros'!$B$10:$B$312,'Consolidado Cobros'!$C$10:$C$312,"Verificar",0)</f>
        <v>8291095</v>
      </c>
      <c r="E220" s="1520">
        <f t="shared" si="65"/>
        <v>6</v>
      </c>
      <c r="F220" s="1517">
        <f t="shared" si="66"/>
        <v>0</v>
      </c>
      <c r="G220" s="1251">
        <f t="shared" si="67"/>
        <v>0</v>
      </c>
      <c r="H220" s="1240">
        <f t="shared" si="75"/>
        <v>0</v>
      </c>
      <c r="I220" s="1148"/>
      <c r="J220" s="383">
        <f t="shared" si="68"/>
        <v>0</v>
      </c>
      <c r="K220" s="712"/>
      <c r="L220" s="487">
        <f t="shared" si="69"/>
        <v>0</v>
      </c>
      <c r="M220" s="927"/>
      <c r="N220" s="672">
        <v>0</v>
      </c>
      <c r="O220" s="660"/>
      <c r="P220" s="1092">
        <f t="shared" si="70"/>
        <v>0</v>
      </c>
      <c r="Q220" s="1093">
        <v>0</v>
      </c>
      <c r="R220" s="381">
        <f t="shared" si="76"/>
        <v>0</v>
      </c>
      <c r="S220" s="382"/>
      <c r="T220" s="381"/>
      <c r="U220" s="624"/>
      <c r="V220" s="569">
        <f t="shared" si="71"/>
        <v>0</v>
      </c>
      <c r="W220" s="607"/>
      <c r="X220" s="383"/>
      <c r="Y220" s="607"/>
      <c r="Z220" s="383"/>
      <c r="AA220" s="607"/>
      <c r="AB220" s="718"/>
      <c r="AC220" s="335"/>
      <c r="AD220" s="383">
        <f>SUMIF('Asesorías AG anterior'!$B$7:$B$239,B220,'Asesorías AG anterior'!$I$7:$I$239)</f>
        <v>1E-3</v>
      </c>
      <c r="AE220" s="383">
        <f>SUMIF('Asesorías AG anterior'!$B$7:$B$239,B220,'Asesorías AG anterior'!$J$7:$J$239)</f>
        <v>0</v>
      </c>
      <c r="AF220" s="383">
        <f>SUMIF('Asesorías AG anterior'!$B$7:$B$239,B220,'Asesorías AG anterior'!$K$7:$K$239)</f>
        <v>1E-3</v>
      </c>
      <c r="AG220" s="383">
        <f>SUMIF('Asesorías AG anterior'!$B$7:$B$239,B220,'Asesorías AG anterior'!$L$7:$L$239)</f>
        <v>0</v>
      </c>
      <c r="AH220" s="383">
        <f>SUMIF('Asesorías AG anterior'!$B$7:$B$239,B220,'Asesorías AG anterior'!$M$7:$M$239)</f>
        <v>0</v>
      </c>
      <c r="AI220" s="383">
        <f>SUMIF('Asesorías AG anterior'!$B$7:$B$239,B220,'Asesorías AG anterior'!$N$7:$N$239)</f>
        <v>0</v>
      </c>
      <c r="AJ220" s="383">
        <f>SUMIF('Asesorías AG anterior'!$B$7:$B$239,B220,'Asesorías AG anterior'!$O$7:$O$239)</f>
        <v>1E-3</v>
      </c>
      <c r="AK220" s="383">
        <f>SUMIF('Asesorías AG anterior'!$B$7:$B$239,B220,'Asesorías AG anterior'!$P$7:$P$239)</f>
        <v>0</v>
      </c>
      <c r="AL220" s="383">
        <f>SUMIF('Asesorías AG anterior'!$B$7:$B$239,B220,'Asesorías AG anterior'!$Q$7:$Q$239)</f>
        <v>0</v>
      </c>
      <c r="AM220" s="383">
        <f>SUMIF('Asesorías AG anterior'!$B$7:$B$239,B220,'Asesorías AG anterior'!$R$7:$R$239)</f>
        <v>0</v>
      </c>
      <c r="AN220" s="383"/>
      <c r="AO220" s="383">
        <f>SUMIF('Asesorías AG anterior'!$B$7:$B$239,B220,'Asesorías AG anterior'!$T$7:$T$239)</f>
        <v>0</v>
      </c>
      <c r="AP220" s="383">
        <f>SUMIF('Asesorías AG anterior'!$B$7:$B$239,B220,'Asesorías AG anterior'!$U$7:$U$239)</f>
        <v>0</v>
      </c>
      <c r="AQ220" s="383">
        <f>SUMIF('Asesorías AG anterior'!$B$7:$B$239,B220,'Asesorías AG anterior'!$V$7:$V$239)</f>
        <v>0</v>
      </c>
      <c r="AR220" s="383">
        <f>SUMIF('Asesorías AG anterior'!$B$7:$B$239,B220,'Asesorías AG anterior'!$W$7:$W$239)</f>
        <v>0</v>
      </c>
      <c r="AS220" s="383">
        <f>SUMIF('Asesorías AG anterior'!$B$7:$B$239,B220,'Asesorías AG anterior'!$X$7:$X$239)</f>
        <v>0</v>
      </c>
      <c r="AT220" s="383">
        <f>SUMIF('Asesorías AG anterior'!$B$7:$B$239,B220,'Asesorías AG anterior'!$Y$7:$Y$239)</f>
        <v>0</v>
      </c>
      <c r="AU220" s="383">
        <f>SUMIF('Asesorías AG anterior'!$B$7:$B$239,B220,'Asesorías AG anterior'!$Z$7:$Z$239)</f>
        <v>0</v>
      </c>
      <c r="AV220" s="383">
        <f>SUMIF('Asesorías AG anterior'!$B$7:$B$239,B220,'Asesorías AG anterior'!$AA$7:$AA$239)</f>
        <v>0</v>
      </c>
      <c r="AW220" s="383">
        <f>SUMIF('Asesorías AG anterior'!$B$7:$B$239,B220,'Asesorías AG anterior'!$AB$7:$AB$239)</f>
        <v>0</v>
      </c>
      <c r="AX220" s="335"/>
      <c r="AZ220" s="1097" t="s">
        <v>155</v>
      </c>
    </row>
    <row r="221" spans="1:52" x14ac:dyDescent="0.2">
      <c r="A221" s="1184">
        <f t="shared" si="73"/>
        <v>213</v>
      </c>
      <c r="B221" s="1097" t="s">
        <v>156</v>
      </c>
      <c r="C221" s="1185">
        <f>_xlfn.XLOOKUP(B221,Códigos!$B$8:$B$406,Códigos!$A$8:$A$406,"Verificar",0)</f>
        <v>199</v>
      </c>
      <c r="D221" s="1114">
        <f>_xlfn.XLOOKUP(B221,'Consolidado Cobros'!$B$10:$B$312,'Consolidado Cobros'!$C$10:$C$312,"Verificar",0)</f>
        <v>32403117</v>
      </c>
      <c r="E221" s="1520">
        <f t="shared" si="65"/>
        <v>1</v>
      </c>
      <c r="F221" s="1517">
        <f t="shared" si="66"/>
        <v>0</v>
      </c>
      <c r="G221" s="1251">
        <f t="shared" si="67"/>
        <v>0</v>
      </c>
      <c r="H221" s="1240">
        <f t="shared" si="75"/>
        <v>0</v>
      </c>
      <c r="I221" s="1148"/>
      <c r="J221" s="383">
        <f t="shared" si="68"/>
        <v>0</v>
      </c>
      <c r="K221" s="712"/>
      <c r="L221" s="487">
        <f t="shared" si="69"/>
        <v>0</v>
      </c>
      <c r="M221" s="927"/>
      <c r="N221" s="672">
        <v>0</v>
      </c>
      <c r="O221" s="660"/>
      <c r="P221" s="1092">
        <f t="shared" si="70"/>
        <v>0</v>
      </c>
      <c r="Q221" s="1093">
        <v>0</v>
      </c>
      <c r="R221" s="381">
        <f t="shared" si="76"/>
        <v>0</v>
      </c>
      <c r="S221" s="382"/>
      <c r="T221" s="381"/>
      <c r="U221" s="624"/>
      <c r="V221" s="569">
        <f t="shared" si="71"/>
        <v>0</v>
      </c>
      <c r="W221" s="607"/>
      <c r="X221" s="383"/>
      <c r="Y221" s="607"/>
      <c r="Z221" s="383"/>
      <c r="AA221" s="607"/>
      <c r="AB221" s="718"/>
      <c r="AC221" s="335"/>
      <c r="AD221" s="383">
        <f>SUMIF('Asesorías AG anterior'!$B$7:$B$239,B221,'Asesorías AG anterior'!$I$7:$I$239)</f>
        <v>1E-3</v>
      </c>
      <c r="AE221" s="383">
        <f>SUMIF('Asesorías AG anterior'!$B$7:$B$239,B221,'Asesorías AG anterior'!$J$7:$J$239)</f>
        <v>0</v>
      </c>
      <c r="AF221" s="383">
        <f>SUMIF('Asesorías AG anterior'!$B$7:$B$239,B221,'Asesorías AG anterior'!$K$7:$K$239)</f>
        <v>1E-3</v>
      </c>
      <c r="AG221" s="383">
        <f>SUMIF('Asesorías AG anterior'!$B$7:$B$239,B221,'Asesorías AG anterior'!$L$7:$L$239)</f>
        <v>0</v>
      </c>
      <c r="AH221" s="383">
        <f>SUMIF('Asesorías AG anterior'!$B$7:$B$239,B221,'Asesorías AG anterior'!$M$7:$M$239)</f>
        <v>0</v>
      </c>
      <c r="AI221" s="383">
        <f>SUMIF('Asesorías AG anterior'!$B$7:$B$239,B221,'Asesorías AG anterior'!$N$7:$N$239)</f>
        <v>0</v>
      </c>
      <c r="AJ221" s="383">
        <f>SUMIF('Asesorías AG anterior'!$B$7:$B$239,B221,'Asesorías AG anterior'!$O$7:$O$239)</f>
        <v>1E-3</v>
      </c>
      <c r="AK221" s="383">
        <f>SUMIF('Asesorías AG anterior'!$B$7:$B$239,B221,'Asesorías AG anterior'!$P$7:$P$239)</f>
        <v>0</v>
      </c>
      <c r="AL221" s="383">
        <f>SUMIF('Asesorías AG anterior'!$B$7:$B$239,B221,'Asesorías AG anterior'!$Q$7:$Q$239)</f>
        <v>0</v>
      </c>
      <c r="AM221" s="383">
        <f>SUMIF('Asesorías AG anterior'!$B$7:$B$239,B221,'Asesorías AG anterior'!$R$7:$R$239)</f>
        <v>0</v>
      </c>
      <c r="AN221" s="383"/>
      <c r="AO221" s="383">
        <f>SUMIF('Asesorías AG anterior'!$B$7:$B$239,B221,'Asesorías AG anterior'!$T$7:$T$239)</f>
        <v>0</v>
      </c>
      <c r="AP221" s="383">
        <f>SUMIF('Asesorías AG anterior'!$B$7:$B$239,B221,'Asesorías AG anterior'!$U$7:$U$239)</f>
        <v>0</v>
      </c>
      <c r="AQ221" s="383">
        <f>SUMIF('Asesorías AG anterior'!$B$7:$B$239,B221,'Asesorías AG anterior'!$V$7:$V$239)</f>
        <v>0</v>
      </c>
      <c r="AR221" s="383">
        <f>SUMIF('Asesorías AG anterior'!$B$7:$B$239,B221,'Asesorías AG anterior'!$W$7:$W$239)</f>
        <v>0</v>
      </c>
      <c r="AS221" s="383">
        <f>SUMIF('Asesorías AG anterior'!$B$7:$B$239,B221,'Asesorías AG anterior'!$X$7:$X$239)</f>
        <v>0</v>
      </c>
      <c r="AT221" s="383">
        <f>SUMIF('Asesorías AG anterior'!$B$7:$B$239,B221,'Asesorías AG anterior'!$Y$7:$Y$239)</f>
        <v>0</v>
      </c>
      <c r="AU221" s="383">
        <f>SUMIF('Asesorías AG anterior'!$B$7:$B$239,B221,'Asesorías AG anterior'!$Z$7:$Z$239)</f>
        <v>0</v>
      </c>
      <c r="AV221" s="383">
        <f>SUMIF('Asesorías AG anterior'!$B$7:$B$239,B221,'Asesorías AG anterior'!$AA$7:$AA$239)</f>
        <v>0</v>
      </c>
      <c r="AW221" s="383">
        <f>SUMIF('Asesorías AG anterior'!$B$7:$B$239,B221,'Asesorías AG anterior'!$AB$7:$AB$239)</f>
        <v>0</v>
      </c>
      <c r="AX221" s="335"/>
      <c r="AZ221" s="1097" t="s">
        <v>156</v>
      </c>
    </row>
    <row r="222" spans="1:52" x14ac:dyDescent="0.2">
      <c r="A222" s="1184">
        <f t="shared" si="73"/>
        <v>214</v>
      </c>
      <c r="B222" s="1097" t="s">
        <v>157</v>
      </c>
      <c r="C222" s="1185">
        <f>_xlfn.XLOOKUP(B222,Códigos!$B$8:$B$406,Códigos!$A$8:$A$406,"Verificar",0)</f>
        <v>200</v>
      </c>
      <c r="D222" s="1114">
        <f>_xlfn.XLOOKUP(B222,'Consolidado Cobros'!$B$10:$B$312,'Consolidado Cobros'!$C$10:$C$312,"Verificar",0)</f>
        <v>700004170</v>
      </c>
      <c r="E222" s="1520">
        <f t="shared" si="65"/>
        <v>1</v>
      </c>
      <c r="F222" s="1517">
        <f t="shared" si="66"/>
        <v>0</v>
      </c>
      <c r="G222" s="1251">
        <f t="shared" si="67"/>
        <v>0</v>
      </c>
      <c r="H222" s="1240">
        <f t="shared" si="75"/>
        <v>0</v>
      </c>
      <c r="I222" s="1148"/>
      <c r="J222" s="383">
        <f t="shared" si="68"/>
        <v>0</v>
      </c>
      <c r="K222" s="712"/>
      <c r="L222" s="487">
        <f t="shared" si="69"/>
        <v>0</v>
      </c>
      <c r="M222" s="927"/>
      <c r="N222" s="672">
        <v>0</v>
      </c>
      <c r="O222" s="660"/>
      <c r="P222" s="1092">
        <f t="shared" si="70"/>
        <v>0</v>
      </c>
      <c r="Q222" s="1093">
        <v>0</v>
      </c>
      <c r="R222" s="381">
        <f t="shared" si="76"/>
        <v>0</v>
      </c>
      <c r="S222" s="382"/>
      <c r="T222" s="381"/>
      <c r="U222" s="624"/>
      <c r="V222" s="569">
        <f t="shared" si="71"/>
        <v>0</v>
      </c>
      <c r="W222" s="607"/>
      <c r="X222" s="383"/>
      <c r="Y222" s="607"/>
      <c r="Z222" s="383"/>
      <c r="AA222" s="607"/>
      <c r="AB222" s="718"/>
      <c r="AC222" s="335"/>
      <c r="AD222" s="383">
        <f>SUMIF('Asesorías AG anterior'!$B$7:$B$239,B222,'Asesorías AG anterior'!$I$7:$I$239)</f>
        <v>1E-3</v>
      </c>
      <c r="AE222" s="383">
        <f>SUMIF('Asesorías AG anterior'!$B$7:$B$239,B222,'Asesorías AG anterior'!$J$7:$J$239)</f>
        <v>0</v>
      </c>
      <c r="AF222" s="383">
        <f>SUMIF('Asesorías AG anterior'!$B$7:$B$239,B222,'Asesorías AG anterior'!$K$7:$K$239)</f>
        <v>1E-3</v>
      </c>
      <c r="AG222" s="383">
        <f>SUMIF('Asesorías AG anterior'!$B$7:$B$239,B222,'Asesorías AG anterior'!$L$7:$L$239)</f>
        <v>0</v>
      </c>
      <c r="AH222" s="383">
        <f>SUMIF('Asesorías AG anterior'!$B$7:$B$239,B222,'Asesorías AG anterior'!$M$7:$M$239)</f>
        <v>0</v>
      </c>
      <c r="AI222" s="383">
        <f>SUMIF('Asesorías AG anterior'!$B$7:$B$239,B222,'Asesorías AG anterior'!$N$7:$N$239)</f>
        <v>0</v>
      </c>
      <c r="AJ222" s="383">
        <f>SUMIF('Asesorías AG anterior'!$B$7:$B$239,B222,'Asesorías AG anterior'!$O$7:$O$239)</f>
        <v>1E-3</v>
      </c>
      <c r="AK222" s="383">
        <f>SUMIF('Asesorías AG anterior'!$B$7:$B$239,B222,'Asesorías AG anterior'!$P$7:$P$239)</f>
        <v>0</v>
      </c>
      <c r="AL222" s="383">
        <f>SUMIF('Asesorías AG anterior'!$B$7:$B$239,B222,'Asesorías AG anterior'!$Q$7:$Q$239)</f>
        <v>0</v>
      </c>
      <c r="AM222" s="383">
        <f>SUMIF('Asesorías AG anterior'!$B$7:$B$239,B222,'Asesorías AG anterior'!$R$7:$R$239)</f>
        <v>0</v>
      </c>
      <c r="AN222" s="383"/>
      <c r="AO222" s="383">
        <f>SUMIF('Asesorías AG anterior'!$B$7:$B$239,B222,'Asesorías AG anterior'!$T$7:$T$239)</f>
        <v>0</v>
      </c>
      <c r="AP222" s="383">
        <f>SUMIF('Asesorías AG anterior'!$B$7:$B$239,B222,'Asesorías AG anterior'!$U$7:$U$239)</f>
        <v>0</v>
      </c>
      <c r="AQ222" s="383">
        <f>SUMIF('Asesorías AG anterior'!$B$7:$B$239,B222,'Asesorías AG anterior'!$V$7:$V$239)</f>
        <v>0</v>
      </c>
      <c r="AR222" s="383">
        <f>SUMIF('Asesorías AG anterior'!$B$7:$B$239,B222,'Asesorías AG anterior'!$W$7:$W$239)</f>
        <v>0</v>
      </c>
      <c r="AS222" s="383">
        <f>SUMIF('Asesorías AG anterior'!$B$7:$B$239,B222,'Asesorías AG anterior'!$X$7:$X$239)</f>
        <v>0</v>
      </c>
      <c r="AT222" s="383">
        <f>SUMIF('Asesorías AG anterior'!$B$7:$B$239,B222,'Asesorías AG anterior'!$Y$7:$Y$239)</f>
        <v>0</v>
      </c>
      <c r="AU222" s="383">
        <f>SUMIF('Asesorías AG anterior'!$B$7:$B$239,B222,'Asesorías AG anterior'!$Z$7:$Z$239)</f>
        <v>0</v>
      </c>
      <c r="AV222" s="383">
        <f>SUMIF('Asesorías AG anterior'!$B$7:$B$239,B222,'Asesorías AG anterior'!$AA$7:$AA$239)</f>
        <v>0</v>
      </c>
      <c r="AW222" s="383">
        <f>SUMIF('Asesorías AG anterior'!$B$7:$B$239,B222,'Asesorías AG anterior'!$AB$7:$AB$239)</f>
        <v>0</v>
      </c>
      <c r="AX222" s="335"/>
      <c r="AZ222" s="1097" t="s">
        <v>157</v>
      </c>
    </row>
    <row r="223" spans="1:52" x14ac:dyDescent="0.2">
      <c r="A223" s="1184">
        <f t="shared" si="73"/>
        <v>215</v>
      </c>
      <c r="B223" s="1097" t="s">
        <v>403</v>
      </c>
      <c r="C223" s="1185">
        <f>_xlfn.XLOOKUP(B223,Códigos!$B$8:$B$406,Códigos!$A$8:$A$406,"Verificar",0)</f>
        <v>117</v>
      </c>
      <c r="D223" s="1114">
        <f>_xlfn.XLOOKUP(B223,'Consolidado Cobros'!$B$10:$B$312,'Consolidado Cobros'!$C$10:$C$312,"Verificar",0)</f>
        <v>70875845</v>
      </c>
      <c r="E223" s="1520">
        <f t="shared" si="65"/>
        <v>6</v>
      </c>
      <c r="F223" s="1517">
        <f t="shared" si="66"/>
        <v>0</v>
      </c>
      <c r="G223" s="1251">
        <f t="shared" si="67"/>
        <v>0</v>
      </c>
      <c r="H223" s="1240">
        <f t="shared" si="75"/>
        <v>0</v>
      </c>
      <c r="I223" s="1148"/>
      <c r="J223" s="383">
        <f t="shared" si="68"/>
        <v>0</v>
      </c>
      <c r="K223" s="712"/>
      <c r="L223" s="487">
        <f t="shared" si="69"/>
        <v>0</v>
      </c>
      <c r="M223" s="927"/>
      <c r="N223" s="672">
        <v>0</v>
      </c>
      <c r="O223" s="660"/>
      <c r="P223" s="1092">
        <f t="shared" si="70"/>
        <v>0</v>
      </c>
      <c r="Q223" s="1093">
        <v>0</v>
      </c>
      <c r="R223" s="381">
        <f t="shared" si="76"/>
        <v>0</v>
      </c>
      <c r="S223" s="382"/>
      <c r="T223" s="381"/>
      <c r="U223" s="624"/>
      <c r="V223" s="569">
        <f t="shared" si="71"/>
        <v>0</v>
      </c>
      <c r="W223" s="607"/>
      <c r="X223" s="383"/>
      <c r="Y223" s="607"/>
      <c r="Z223" s="383"/>
      <c r="AA223" s="607"/>
      <c r="AB223" s="718"/>
      <c r="AC223" s="335"/>
      <c r="AD223" s="383">
        <f>SUMIF('Asesorías AG anterior'!$B$7:$B$239,B223,'Asesorías AG anterior'!$I$7:$I$239)</f>
        <v>1E-3</v>
      </c>
      <c r="AE223" s="383">
        <f>SUMIF('Asesorías AG anterior'!$B$7:$B$239,B223,'Asesorías AG anterior'!$J$7:$J$239)</f>
        <v>0</v>
      </c>
      <c r="AF223" s="383">
        <f>SUMIF('Asesorías AG anterior'!$B$7:$B$239,B223,'Asesorías AG anterior'!$K$7:$K$239)</f>
        <v>1E-3</v>
      </c>
      <c r="AG223" s="383">
        <f>SUMIF('Asesorías AG anterior'!$B$7:$B$239,B223,'Asesorías AG anterior'!$L$7:$L$239)</f>
        <v>0</v>
      </c>
      <c r="AH223" s="383">
        <f>SUMIF('Asesorías AG anterior'!$B$7:$B$239,B223,'Asesorías AG anterior'!$M$7:$M$239)</f>
        <v>0</v>
      </c>
      <c r="AI223" s="383">
        <f>SUMIF('Asesorías AG anterior'!$B$7:$B$239,B223,'Asesorías AG anterior'!$N$7:$N$239)</f>
        <v>0</v>
      </c>
      <c r="AJ223" s="383">
        <f>SUMIF('Asesorías AG anterior'!$B$7:$B$239,B223,'Asesorías AG anterior'!$O$7:$O$239)</f>
        <v>1E-3</v>
      </c>
      <c r="AK223" s="383">
        <f>SUMIF('Asesorías AG anterior'!$B$7:$B$239,B223,'Asesorías AG anterior'!$P$7:$P$239)</f>
        <v>0</v>
      </c>
      <c r="AL223" s="383">
        <f>SUMIF('Asesorías AG anterior'!$B$7:$B$239,B223,'Asesorías AG anterior'!$Q$7:$Q$239)</f>
        <v>0</v>
      </c>
      <c r="AM223" s="383">
        <f>SUMIF('Asesorías AG anterior'!$B$7:$B$239,B223,'Asesorías AG anterior'!$R$7:$R$239)</f>
        <v>0</v>
      </c>
      <c r="AN223" s="383"/>
      <c r="AO223" s="383">
        <f>SUMIF('Asesorías AG anterior'!$B$7:$B$239,B223,'Asesorías AG anterior'!$T$7:$T$239)</f>
        <v>0</v>
      </c>
      <c r="AP223" s="383">
        <f>SUMIF('Asesorías AG anterior'!$B$7:$B$239,B223,'Asesorías AG anterior'!$U$7:$U$239)</f>
        <v>0</v>
      </c>
      <c r="AQ223" s="383">
        <f>SUMIF('Asesorías AG anterior'!$B$7:$B$239,B223,'Asesorías AG anterior'!$V$7:$V$239)</f>
        <v>0</v>
      </c>
      <c r="AR223" s="383">
        <f>SUMIF('Asesorías AG anterior'!$B$7:$B$239,B223,'Asesorías AG anterior'!$W$7:$W$239)</f>
        <v>0</v>
      </c>
      <c r="AS223" s="383">
        <f>SUMIF('Asesorías AG anterior'!$B$7:$B$239,B223,'Asesorías AG anterior'!$X$7:$X$239)</f>
        <v>0</v>
      </c>
      <c r="AT223" s="383">
        <f>SUMIF('Asesorías AG anterior'!$B$7:$B$239,B223,'Asesorías AG anterior'!$Y$7:$Y$239)</f>
        <v>0</v>
      </c>
      <c r="AU223" s="383">
        <f>SUMIF('Asesorías AG anterior'!$B$7:$B$239,B223,'Asesorías AG anterior'!$Z$7:$Z$239)</f>
        <v>0</v>
      </c>
      <c r="AV223" s="383">
        <f>SUMIF('Asesorías AG anterior'!$B$7:$B$239,B223,'Asesorías AG anterior'!$AA$7:$AA$239)</f>
        <v>0</v>
      </c>
      <c r="AW223" s="383">
        <f>SUMIF('Asesorías AG anterior'!$B$7:$B$239,B223,'Asesorías AG anterior'!$AB$7:$AB$239)</f>
        <v>0</v>
      </c>
      <c r="AX223" s="335"/>
      <c r="AZ223" s="1097" t="s">
        <v>403</v>
      </c>
    </row>
    <row r="224" spans="1:52" x14ac:dyDescent="0.2">
      <c r="A224" s="1184">
        <f t="shared" si="73"/>
        <v>216</v>
      </c>
      <c r="B224" s="1097" t="s">
        <v>158</v>
      </c>
      <c r="C224" s="1185">
        <f>_xlfn.XLOOKUP(B224,Códigos!$B$8:$B$406,Códigos!$A$8:$A$406,"Verificar",0)</f>
        <v>240</v>
      </c>
      <c r="D224" s="1114">
        <f>_xlfn.XLOOKUP(B224,'Consolidado Cobros'!$B$10:$B$312,'Consolidado Cobros'!$C$10:$C$312,"Verificar",0)</f>
        <v>42795956</v>
      </c>
      <c r="E224" s="1520">
        <f t="shared" si="65"/>
        <v>1</v>
      </c>
      <c r="F224" s="1517">
        <f t="shared" si="66"/>
        <v>0</v>
      </c>
      <c r="G224" s="1251">
        <f t="shared" si="67"/>
        <v>0</v>
      </c>
      <c r="H224" s="1240">
        <f t="shared" si="75"/>
        <v>0</v>
      </c>
      <c r="I224" s="1148"/>
      <c r="J224" s="383">
        <f t="shared" si="68"/>
        <v>0</v>
      </c>
      <c r="K224" s="712"/>
      <c r="L224" s="487">
        <f t="shared" si="69"/>
        <v>0</v>
      </c>
      <c r="M224" s="927"/>
      <c r="N224" s="672">
        <v>0</v>
      </c>
      <c r="O224" s="660"/>
      <c r="P224" s="1092">
        <f t="shared" si="70"/>
        <v>0</v>
      </c>
      <c r="Q224" s="1093">
        <v>0</v>
      </c>
      <c r="R224" s="381">
        <f t="shared" si="76"/>
        <v>0</v>
      </c>
      <c r="S224" s="382"/>
      <c r="T224" s="381"/>
      <c r="U224" s="624"/>
      <c r="V224" s="569">
        <f t="shared" si="71"/>
        <v>0</v>
      </c>
      <c r="W224" s="607"/>
      <c r="X224" s="383"/>
      <c r="Y224" s="607"/>
      <c r="Z224" s="383"/>
      <c r="AA224" s="607"/>
      <c r="AB224" s="718"/>
      <c r="AC224" s="335"/>
      <c r="AD224" s="383">
        <f>SUMIF('Asesorías AG anterior'!$B$7:$B$239,B224,'Asesorías AG anterior'!$I$7:$I$239)</f>
        <v>1E-3</v>
      </c>
      <c r="AE224" s="383">
        <f>SUMIF('Asesorías AG anterior'!$B$7:$B$239,B224,'Asesorías AG anterior'!$J$7:$J$239)</f>
        <v>0</v>
      </c>
      <c r="AF224" s="383">
        <f>SUMIF('Asesorías AG anterior'!$B$7:$B$239,B224,'Asesorías AG anterior'!$K$7:$K$239)</f>
        <v>1E-3</v>
      </c>
      <c r="AG224" s="383">
        <f>SUMIF('Asesorías AG anterior'!$B$7:$B$239,B224,'Asesorías AG anterior'!$L$7:$L$239)</f>
        <v>0</v>
      </c>
      <c r="AH224" s="383">
        <f>SUMIF('Asesorías AG anterior'!$B$7:$B$239,B224,'Asesorías AG anterior'!$M$7:$M$239)</f>
        <v>0</v>
      </c>
      <c r="AI224" s="383">
        <f>SUMIF('Asesorías AG anterior'!$B$7:$B$239,B224,'Asesorías AG anterior'!$N$7:$N$239)</f>
        <v>0</v>
      </c>
      <c r="AJ224" s="383">
        <f>SUMIF('Asesorías AG anterior'!$B$7:$B$239,B224,'Asesorías AG anterior'!$O$7:$O$239)</f>
        <v>1E-3</v>
      </c>
      <c r="AK224" s="383">
        <f>SUMIF('Asesorías AG anterior'!$B$7:$B$239,B224,'Asesorías AG anterior'!$P$7:$P$239)</f>
        <v>0</v>
      </c>
      <c r="AL224" s="383">
        <f>SUMIF('Asesorías AG anterior'!$B$7:$B$239,B224,'Asesorías AG anterior'!$Q$7:$Q$239)</f>
        <v>0</v>
      </c>
      <c r="AM224" s="383">
        <f>SUMIF('Asesorías AG anterior'!$B$7:$B$239,B224,'Asesorías AG anterior'!$R$7:$R$239)</f>
        <v>0</v>
      </c>
      <c r="AN224" s="383"/>
      <c r="AO224" s="383">
        <f>SUMIF('Asesorías AG anterior'!$B$7:$B$239,B224,'Asesorías AG anterior'!$T$7:$T$239)</f>
        <v>0</v>
      </c>
      <c r="AP224" s="383">
        <f>SUMIF('Asesorías AG anterior'!$B$7:$B$239,B224,'Asesorías AG anterior'!$U$7:$U$239)</f>
        <v>0</v>
      </c>
      <c r="AQ224" s="383">
        <f>SUMIF('Asesorías AG anterior'!$B$7:$B$239,B224,'Asesorías AG anterior'!$V$7:$V$239)</f>
        <v>0</v>
      </c>
      <c r="AR224" s="383">
        <f>SUMIF('Asesorías AG anterior'!$B$7:$B$239,B224,'Asesorías AG anterior'!$W$7:$W$239)</f>
        <v>0</v>
      </c>
      <c r="AS224" s="383">
        <f>SUMIF('Asesorías AG anterior'!$B$7:$B$239,B224,'Asesorías AG anterior'!$X$7:$X$239)</f>
        <v>0</v>
      </c>
      <c r="AT224" s="383">
        <f>SUMIF('Asesorías AG anterior'!$B$7:$B$239,B224,'Asesorías AG anterior'!$Y$7:$Y$239)</f>
        <v>0</v>
      </c>
      <c r="AU224" s="383">
        <f>SUMIF('Asesorías AG anterior'!$B$7:$B$239,B224,'Asesorías AG anterior'!$Z$7:$Z$239)</f>
        <v>0</v>
      </c>
      <c r="AV224" s="383">
        <f>SUMIF('Asesorías AG anterior'!$B$7:$B$239,B224,'Asesorías AG anterior'!$AA$7:$AA$239)</f>
        <v>0</v>
      </c>
      <c r="AW224" s="383">
        <f>SUMIF('Asesorías AG anterior'!$B$7:$B$239,B224,'Asesorías AG anterior'!$AB$7:$AB$239)</f>
        <v>0</v>
      </c>
      <c r="AX224" s="335"/>
      <c r="AZ224" s="1097" t="s">
        <v>158</v>
      </c>
    </row>
    <row r="225" spans="1:52" x14ac:dyDescent="0.2">
      <c r="A225" s="1184">
        <f t="shared" si="73"/>
        <v>217</v>
      </c>
      <c r="B225" s="1097" t="s">
        <v>159</v>
      </c>
      <c r="C225" s="1185">
        <f>_xlfn.XLOOKUP(B225,Códigos!$B$8:$B$406,Códigos!$A$8:$A$406,"Verificar",0)</f>
        <v>202</v>
      </c>
      <c r="D225" s="1114">
        <f>_xlfn.XLOOKUP(B225,'Consolidado Cobros'!$B$10:$B$312,'Consolidado Cobros'!$C$10:$C$312,"Verificar",0)</f>
        <v>42795057</v>
      </c>
      <c r="E225" s="1520">
        <f t="shared" si="65"/>
        <v>3</v>
      </c>
      <c r="F225" s="1517">
        <f t="shared" si="66"/>
        <v>0</v>
      </c>
      <c r="G225" s="1251">
        <f t="shared" si="67"/>
        <v>0</v>
      </c>
      <c r="H225" s="1240">
        <f t="shared" si="75"/>
        <v>0</v>
      </c>
      <c r="I225" s="1148"/>
      <c r="J225" s="383">
        <f t="shared" si="68"/>
        <v>0</v>
      </c>
      <c r="K225" s="712"/>
      <c r="L225" s="487">
        <f t="shared" si="69"/>
        <v>0</v>
      </c>
      <c r="M225" s="927"/>
      <c r="N225" s="672">
        <v>0</v>
      </c>
      <c r="O225" s="660"/>
      <c r="P225" s="1092">
        <f t="shared" si="70"/>
        <v>0</v>
      </c>
      <c r="Q225" s="1093">
        <v>0</v>
      </c>
      <c r="R225" s="381">
        <f t="shared" si="76"/>
        <v>0</v>
      </c>
      <c r="S225" s="382"/>
      <c r="T225" s="381"/>
      <c r="U225" s="624"/>
      <c r="V225" s="569">
        <f t="shared" si="71"/>
        <v>0</v>
      </c>
      <c r="W225" s="607"/>
      <c r="X225" s="383"/>
      <c r="Y225" s="607"/>
      <c r="Z225" s="383"/>
      <c r="AA225" s="607"/>
      <c r="AB225" s="718"/>
      <c r="AC225" s="335"/>
      <c r="AD225" s="383">
        <f>SUMIF('Asesorías AG anterior'!$B$7:$B$239,B225,'Asesorías AG anterior'!$I$7:$I$239)</f>
        <v>1E-3</v>
      </c>
      <c r="AE225" s="383">
        <f>SUMIF('Asesorías AG anterior'!$B$7:$B$239,B225,'Asesorías AG anterior'!$J$7:$J$239)</f>
        <v>0</v>
      </c>
      <c r="AF225" s="383">
        <f>SUMIF('Asesorías AG anterior'!$B$7:$B$239,B225,'Asesorías AG anterior'!$K$7:$K$239)</f>
        <v>1E-3</v>
      </c>
      <c r="AG225" s="383">
        <f>SUMIF('Asesorías AG anterior'!$B$7:$B$239,B225,'Asesorías AG anterior'!$L$7:$L$239)</f>
        <v>0</v>
      </c>
      <c r="AH225" s="383">
        <f>SUMIF('Asesorías AG anterior'!$B$7:$B$239,B225,'Asesorías AG anterior'!$M$7:$M$239)</f>
        <v>0</v>
      </c>
      <c r="AI225" s="383">
        <f>SUMIF('Asesorías AG anterior'!$B$7:$B$239,B225,'Asesorías AG anterior'!$N$7:$N$239)</f>
        <v>0</v>
      </c>
      <c r="AJ225" s="383">
        <f>SUMIF('Asesorías AG anterior'!$B$7:$B$239,B225,'Asesorías AG anterior'!$O$7:$O$239)</f>
        <v>1E-3</v>
      </c>
      <c r="AK225" s="383">
        <f>SUMIF('Asesorías AG anterior'!$B$7:$B$239,B225,'Asesorías AG anterior'!$P$7:$P$239)</f>
        <v>0</v>
      </c>
      <c r="AL225" s="383">
        <f>SUMIF('Asesorías AG anterior'!$B$7:$B$239,B225,'Asesorías AG anterior'!$Q$7:$Q$239)</f>
        <v>0</v>
      </c>
      <c r="AM225" s="383">
        <f>SUMIF('Asesorías AG anterior'!$B$7:$B$239,B225,'Asesorías AG anterior'!$R$7:$R$239)</f>
        <v>0</v>
      </c>
      <c r="AN225" s="383"/>
      <c r="AO225" s="383">
        <f>SUMIF('Asesorías AG anterior'!$B$7:$B$239,B225,'Asesorías AG anterior'!$T$7:$T$239)</f>
        <v>0</v>
      </c>
      <c r="AP225" s="383">
        <f>SUMIF('Asesorías AG anterior'!$B$7:$B$239,B225,'Asesorías AG anterior'!$U$7:$U$239)</f>
        <v>0</v>
      </c>
      <c r="AQ225" s="383">
        <f>SUMIF('Asesorías AG anterior'!$B$7:$B$239,B225,'Asesorías AG anterior'!$V$7:$V$239)</f>
        <v>0</v>
      </c>
      <c r="AR225" s="383">
        <f>SUMIF('Asesorías AG anterior'!$B$7:$B$239,B225,'Asesorías AG anterior'!$W$7:$W$239)</f>
        <v>0</v>
      </c>
      <c r="AS225" s="383">
        <f>SUMIF('Asesorías AG anterior'!$B$7:$B$239,B225,'Asesorías AG anterior'!$X$7:$X$239)</f>
        <v>0</v>
      </c>
      <c r="AT225" s="383">
        <f>SUMIF('Asesorías AG anterior'!$B$7:$B$239,B225,'Asesorías AG anterior'!$Y$7:$Y$239)</f>
        <v>0</v>
      </c>
      <c r="AU225" s="383">
        <f>SUMIF('Asesorías AG anterior'!$B$7:$B$239,B225,'Asesorías AG anterior'!$Z$7:$Z$239)</f>
        <v>0</v>
      </c>
      <c r="AV225" s="383">
        <f>SUMIF('Asesorías AG anterior'!$B$7:$B$239,B225,'Asesorías AG anterior'!$AA$7:$AA$239)</f>
        <v>0</v>
      </c>
      <c r="AW225" s="383">
        <f>SUMIF('Asesorías AG anterior'!$B$7:$B$239,B225,'Asesorías AG anterior'!$AB$7:$AB$239)</f>
        <v>0</v>
      </c>
      <c r="AX225" s="335"/>
      <c r="AZ225" s="1097" t="s">
        <v>159</v>
      </c>
    </row>
    <row r="226" spans="1:52" x14ac:dyDescent="0.2">
      <c r="A226" s="1184">
        <f t="shared" si="73"/>
        <v>218</v>
      </c>
      <c r="B226" s="1097" t="s">
        <v>160</v>
      </c>
      <c r="C226" s="1185">
        <f>_xlfn.XLOOKUP(B226,Códigos!$B$8:$B$406,Códigos!$A$8:$A$406,"Verificar",0)</f>
        <v>203</v>
      </c>
      <c r="D226" s="1114">
        <f>_xlfn.XLOOKUP(B226,'Consolidado Cobros'!$B$10:$B$312,'Consolidado Cobros'!$C$10:$C$312,"Verificar",0)</f>
        <v>71641349</v>
      </c>
      <c r="E226" s="1520">
        <f t="shared" si="65"/>
        <v>3</v>
      </c>
      <c r="F226" s="1517">
        <f t="shared" si="66"/>
        <v>865332.9890388191</v>
      </c>
      <c r="G226" s="1251">
        <f t="shared" si="67"/>
        <v>0</v>
      </c>
      <c r="H226" s="1240">
        <f t="shared" si="75"/>
        <v>865332.9890388191</v>
      </c>
      <c r="I226" s="1148">
        <v>3</v>
      </c>
      <c r="J226" s="383">
        <f t="shared" si="68"/>
        <v>385332.9890388191</v>
      </c>
      <c r="K226" s="712"/>
      <c r="L226" s="487">
        <f t="shared" si="69"/>
        <v>0</v>
      </c>
      <c r="M226" s="927"/>
      <c r="N226" s="672">
        <v>0</v>
      </c>
      <c r="O226" s="660" t="s">
        <v>318</v>
      </c>
      <c r="P226" s="1092">
        <v>480000</v>
      </c>
      <c r="Q226" s="1093">
        <v>0</v>
      </c>
      <c r="R226" s="381">
        <f t="shared" si="76"/>
        <v>480000</v>
      </c>
      <c r="S226" s="382"/>
      <c r="T226" s="381"/>
      <c r="U226" s="624"/>
      <c r="V226" s="569">
        <f t="shared" si="71"/>
        <v>0</v>
      </c>
      <c r="W226" s="607"/>
      <c r="X226" s="383"/>
      <c r="Y226" s="607"/>
      <c r="Z226" s="383"/>
      <c r="AA226" s="607"/>
      <c r="AB226" s="718"/>
      <c r="AC226" s="335"/>
      <c r="AD226" s="383">
        <f>SUMIF('Asesorías AG anterior'!$B$7:$B$239,B226,'Asesorías AG anterior'!$I$7:$I$239)</f>
        <v>3</v>
      </c>
      <c r="AE226" s="383">
        <f>SUMIF('Asesorías AG anterior'!$B$7:$B$239,B226,'Asesorías AG anterior'!$J$7:$J$239)</f>
        <v>366634.62325292022</v>
      </c>
      <c r="AF226" s="383">
        <f>SUMIF('Asesorías AG anterior'!$B$7:$B$239,B226,'Asesorías AG anterior'!$K$7:$K$239)</f>
        <v>1E-3</v>
      </c>
      <c r="AG226" s="383">
        <f>SUMIF('Asesorías AG anterior'!$B$7:$B$239,B226,'Asesorías AG anterior'!$L$7:$L$239)</f>
        <v>0</v>
      </c>
      <c r="AH226" s="383">
        <f>SUMIF('Asesorías AG anterior'!$B$7:$B$239,B226,'Asesorías AG anterior'!$M$7:$M$239)</f>
        <v>0</v>
      </c>
      <c r="AI226" s="383">
        <f>SUMIF('Asesorías AG anterior'!$B$7:$B$239,B226,'Asesorías AG anterior'!$N$7:$N$239)</f>
        <v>0</v>
      </c>
      <c r="AJ226" s="383">
        <f>SUMIF('Asesorías AG anterior'!$B$7:$B$239,B226,'Asesorías AG anterior'!$O$7:$O$239)</f>
        <v>0</v>
      </c>
      <c r="AK226" s="383">
        <f>SUMIF('Asesorías AG anterior'!$B$7:$B$239,B226,'Asesorías AG anterior'!$P$7:$P$239)</f>
        <v>440000</v>
      </c>
      <c r="AL226" s="383">
        <f>SUMIF('Asesorías AG anterior'!$B$7:$B$239,B226,'Asesorías AG anterior'!$Q$7:$Q$239)</f>
        <v>0</v>
      </c>
      <c r="AM226" s="383">
        <f>SUMIF('Asesorías AG anterior'!$B$7:$B$239,B226,'Asesorías AG anterior'!$R$7:$R$239)</f>
        <v>0</v>
      </c>
      <c r="AN226" s="383"/>
      <c r="AO226" s="383">
        <f>SUMIF('Asesorías AG anterior'!$B$7:$B$239,B226,'Asesorías AG anterior'!$T$7:$T$239)</f>
        <v>0</v>
      </c>
      <c r="AP226" s="383">
        <f>SUMIF('Asesorías AG anterior'!$B$7:$B$239,B226,'Asesorías AG anterior'!$U$7:$U$239)</f>
        <v>0</v>
      </c>
      <c r="AQ226" s="383">
        <f>SUMIF('Asesorías AG anterior'!$B$7:$B$239,B226,'Asesorías AG anterior'!$V$7:$V$239)</f>
        <v>0</v>
      </c>
      <c r="AR226" s="383">
        <f>SUMIF('Asesorías AG anterior'!$B$7:$B$239,B226,'Asesorías AG anterior'!$W$7:$W$239)</f>
        <v>0</v>
      </c>
      <c r="AS226" s="383">
        <f>SUMIF('Asesorías AG anterior'!$B$7:$B$239,B226,'Asesorías AG anterior'!$X$7:$X$239)</f>
        <v>0</v>
      </c>
      <c r="AT226" s="383">
        <f>SUMIF('Asesorías AG anterior'!$B$7:$B$239,B226,'Asesorías AG anterior'!$Y$7:$Y$239)</f>
        <v>0</v>
      </c>
      <c r="AU226" s="383">
        <f>SUMIF('Asesorías AG anterior'!$B$7:$B$239,B226,'Asesorías AG anterior'!$Z$7:$Z$239)</f>
        <v>0</v>
      </c>
      <c r="AV226" s="383">
        <f>SUMIF('Asesorías AG anterior'!$B$7:$B$239,B226,'Asesorías AG anterior'!$AA$7:$AA$239)</f>
        <v>0</v>
      </c>
      <c r="AW226" s="383">
        <f>SUMIF('Asesorías AG anterior'!$B$7:$B$239,B226,'Asesorías AG anterior'!$AB$7:$AB$239)</f>
        <v>0</v>
      </c>
      <c r="AX226" s="335"/>
      <c r="AZ226" s="1097" t="s">
        <v>160</v>
      </c>
    </row>
    <row r="227" spans="1:52" x14ac:dyDescent="0.2">
      <c r="A227" s="1184">
        <f t="shared" si="73"/>
        <v>219</v>
      </c>
      <c r="B227" s="1097" t="s">
        <v>162</v>
      </c>
      <c r="C227" s="1185">
        <f>_xlfn.XLOOKUP(B227,Códigos!$B$8:$B$406,Códigos!$A$8:$A$406,"Verificar",0)</f>
        <v>220</v>
      </c>
      <c r="D227" s="1114">
        <f>_xlfn.XLOOKUP(B227,'Consolidado Cobros'!$B$10:$B$312,'Consolidado Cobros'!$C$10:$C$312,"Verificar",0)</f>
        <v>43976629</v>
      </c>
      <c r="E227" s="1520">
        <f t="shared" si="65"/>
        <v>7</v>
      </c>
      <c r="F227" s="1517">
        <f t="shared" si="66"/>
        <v>0</v>
      </c>
      <c r="G227" s="1251">
        <f t="shared" si="67"/>
        <v>0</v>
      </c>
      <c r="H227" s="1240">
        <f t="shared" si="75"/>
        <v>0</v>
      </c>
      <c r="I227" s="1148"/>
      <c r="J227" s="383">
        <f t="shared" si="68"/>
        <v>0</v>
      </c>
      <c r="K227" s="712"/>
      <c r="L227" s="487">
        <f t="shared" si="69"/>
        <v>0</v>
      </c>
      <c r="M227" s="927"/>
      <c r="N227" s="672">
        <v>0</v>
      </c>
      <c r="O227" s="660"/>
      <c r="P227" s="1092">
        <f t="shared" si="70"/>
        <v>0</v>
      </c>
      <c r="Q227" s="1093">
        <v>0</v>
      </c>
      <c r="R227" s="381">
        <f t="shared" si="76"/>
        <v>0</v>
      </c>
      <c r="S227" s="382"/>
      <c r="T227" s="381"/>
      <c r="U227" s="624"/>
      <c r="V227" s="569">
        <f t="shared" si="71"/>
        <v>0</v>
      </c>
      <c r="W227" s="607"/>
      <c r="X227" s="383"/>
      <c r="Y227" s="607"/>
      <c r="Z227" s="383"/>
      <c r="AA227" s="607"/>
      <c r="AB227" s="718"/>
      <c r="AC227" s="335"/>
      <c r="AD227" s="383">
        <f>SUMIF('Asesorías AG anterior'!$B$7:$B$239,B227,'Asesorías AG anterior'!$I$7:$I$239)</f>
        <v>1E-3</v>
      </c>
      <c r="AE227" s="383">
        <f>SUMIF('Asesorías AG anterior'!$B$7:$B$239,B227,'Asesorías AG anterior'!$J$7:$J$239)</f>
        <v>0</v>
      </c>
      <c r="AF227" s="383">
        <f>SUMIF('Asesorías AG anterior'!$B$7:$B$239,B227,'Asesorías AG anterior'!$K$7:$K$239)</f>
        <v>1E-3</v>
      </c>
      <c r="AG227" s="383">
        <f>SUMIF('Asesorías AG anterior'!$B$7:$B$239,B227,'Asesorías AG anterior'!$L$7:$L$239)</f>
        <v>0</v>
      </c>
      <c r="AH227" s="383">
        <f>SUMIF('Asesorías AG anterior'!$B$7:$B$239,B227,'Asesorías AG anterior'!$M$7:$M$239)</f>
        <v>0</v>
      </c>
      <c r="AI227" s="383">
        <f>SUMIF('Asesorías AG anterior'!$B$7:$B$239,B227,'Asesorías AG anterior'!$N$7:$N$239)</f>
        <v>0</v>
      </c>
      <c r="AJ227" s="383">
        <f>SUMIF('Asesorías AG anterior'!$B$7:$B$239,B227,'Asesorías AG anterior'!$O$7:$O$239)</f>
        <v>1E-3</v>
      </c>
      <c r="AK227" s="383">
        <f>SUMIF('Asesorías AG anterior'!$B$7:$B$239,B227,'Asesorías AG anterior'!$P$7:$P$239)</f>
        <v>0</v>
      </c>
      <c r="AL227" s="383">
        <f>SUMIF('Asesorías AG anterior'!$B$7:$B$239,B227,'Asesorías AG anterior'!$Q$7:$Q$239)</f>
        <v>0</v>
      </c>
      <c r="AM227" s="383">
        <f>SUMIF('Asesorías AG anterior'!$B$7:$B$239,B227,'Asesorías AG anterior'!$R$7:$R$239)</f>
        <v>0</v>
      </c>
      <c r="AN227" s="383"/>
      <c r="AO227" s="383">
        <f>SUMIF('Asesorías AG anterior'!$B$7:$B$239,B227,'Asesorías AG anterior'!$T$7:$T$239)</f>
        <v>0</v>
      </c>
      <c r="AP227" s="383">
        <f>SUMIF('Asesorías AG anterior'!$B$7:$B$239,B227,'Asesorías AG anterior'!$U$7:$U$239)</f>
        <v>0</v>
      </c>
      <c r="AQ227" s="383">
        <f>SUMIF('Asesorías AG anterior'!$B$7:$B$239,B227,'Asesorías AG anterior'!$V$7:$V$239)</f>
        <v>0</v>
      </c>
      <c r="AR227" s="383">
        <f>SUMIF('Asesorías AG anterior'!$B$7:$B$239,B227,'Asesorías AG anterior'!$W$7:$W$239)</f>
        <v>0</v>
      </c>
      <c r="AS227" s="383">
        <f>SUMIF('Asesorías AG anterior'!$B$7:$B$239,B227,'Asesorías AG anterior'!$X$7:$X$239)</f>
        <v>0</v>
      </c>
      <c r="AT227" s="383">
        <f>SUMIF('Asesorías AG anterior'!$B$7:$B$239,B227,'Asesorías AG anterior'!$Y$7:$Y$239)</f>
        <v>0</v>
      </c>
      <c r="AU227" s="383">
        <f>SUMIF('Asesorías AG anterior'!$B$7:$B$239,B227,'Asesorías AG anterior'!$Z$7:$Z$239)</f>
        <v>0</v>
      </c>
      <c r="AV227" s="383">
        <f>SUMIF('Asesorías AG anterior'!$B$7:$B$239,B227,'Asesorías AG anterior'!$AA$7:$AA$239)</f>
        <v>0</v>
      </c>
      <c r="AW227" s="383">
        <f>SUMIF('Asesorías AG anterior'!$B$7:$B$239,B227,'Asesorías AG anterior'!$AB$7:$AB$239)</f>
        <v>0</v>
      </c>
      <c r="AX227" s="335"/>
      <c r="AZ227" s="1097" t="s">
        <v>162</v>
      </c>
    </row>
    <row r="228" spans="1:52" x14ac:dyDescent="0.2">
      <c r="A228" s="1184">
        <f t="shared" si="73"/>
        <v>220</v>
      </c>
      <c r="B228" s="1097" t="s">
        <v>163</v>
      </c>
      <c r="C228" s="1185">
        <f>_xlfn.XLOOKUP(B228,Códigos!$B$8:$B$406,Códigos!$A$8:$A$406,"Verificar",0)</f>
        <v>206</v>
      </c>
      <c r="D228" s="1114">
        <f>_xlfn.XLOOKUP(B228,'Consolidado Cobros'!$B$10:$B$312,'Consolidado Cobros'!$C$10:$C$312,"Verificar",0)</f>
        <v>32469463</v>
      </c>
      <c r="E228" s="1520">
        <f t="shared" si="65"/>
        <v>7</v>
      </c>
      <c r="F228" s="1517">
        <f t="shared" si="66"/>
        <v>0</v>
      </c>
      <c r="G228" s="1251">
        <f t="shared" si="67"/>
        <v>0</v>
      </c>
      <c r="H228" s="1240">
        <f t="shared" si="75"/>
        <v>0</v>
      </c>
      <c r="I228" s="1148"/>
      <c r="J228" s="383">
        <f t="shared" si="68"/>
        <v>0</v>
      </c>
      <c r="K228" s="712"/>
      <c r="L228" s="487">
        <f t="shared" si="69"/>
        <v>0</v>
      </c>
      <c r="M228" s="927"/>
      <c r="N228" s="672">
        <v>0</v>
      </c>
      <c r="O228" s="660"/>
      <c r="P228" s="1092">
        <f t="shared" si="70"/>
        <v>0</v>
      </c>
      <c r="Q228" s="1093">
        <v>0</v>
      </c>
      <c r="R228" s="381">
        <f t="shared" si="76"/>
        <v>0</v>
      </c>
      <c r="S228" s="382"/>
      <c r="T228" s="381"/>
      <c r="U228" s="624"/>
      <c r="V228" s="569">
        <f t="shared" si="71"/>
        <v>0</v>
      </c>
      <c r="W228" s="607"/>
      <c r="X228" s="383"/>
      <c r="Y228" s="607"/>
      <c r="Z228" s="383"/>
      <c r="AA228" s="607"/>
      <c r="AB228" s="718"/>
      <c r="AC228" s="335"/>
      <c r="AD228" s="383">
        <f>SUMIF('Asesorías AG anterior'!$B$7:$B$239,B228,'Asesorías AG anterior'!$I$7:$I$239)</f>
        <v>1E-3</v>
      </c>
      <c r="AE228" s="383">
        <f>SUMIF('Asesorías AG anterior'!$B$7:$B$239,B228,'Asesorías AG anterior'!$J$7:$J$239)</f>
        <v>0</v>
      </c>
      <c r="AF228" s="383">
        <f>SUMIF('Asesorías AG anterior'!$B$7:$B$239,B228,'Asesorías AG anterior'!$K$7:$K$239)</f>
        <v>1E-3</v>
      </c>
      <c r="AG228" s="383">
        <f>SUMIF('Asesorías AG anterior'!$B$7:$B$239,B228,'Asesorías AG anterior'!$L$7:$L$239)</f>
        <v>0</v>
      </c>
      <c r="AH228" s="383">
        <f>SUMIF('Asesorías AG anterior'!$B$7:$B$239,B228,'Asesorías AG anterior'!$M$7:$M$239)</f>
        <v>0</v>
      </c>
      <c r="AI228" s="383">
        <f>SUMIF('Asesorías AG anterior'!$B$7:$B$239,B228,'Asesorías AG anterior'!$N$7:$N$239)</f>
        <v>0</v>
      </c>
      <c r="AJ228" s="383">
        <f>SUMIF('Asesorías AG anterior'!$B$7:$B$239,B228,'Asesorías AG anterior'!$O$7:$O$239)</f>
        <v>1E-3</v>
      </c>
      <c r="AK228" s="383">
        <f>SUMIF('Asesorías AG anterior'!$B$7:$B$239,B228,'Asesorías AG anterior'!$P$7:$P$239)</f>
        <v>0</v>
      </c>
      <c r="AL228" s="383">
        <f>SUMIF('Asesorías AG anterior'!$B$7:$B$239,B228,'Asesorías AG anterior'!$Q$7:$Q$239)</f>
        <v>0</v>
      </c>
      <c r="AM228" s="383">
        <f>SUMIF('Asesorías AG anterior'!$B$7:$B$239,B228,'Asesorías AG anterior'!$R$7:$R$239)</f>
        <v>0</v>
      </c>
      <c r="AN228" s="383"/>
      <c r="AO228" s="383">
        <f>SUMIF('Asesorías AG anterior'!$B$7:$B$239,B228,'Asesorías AG anterior'!$T$7:$T$239)</f>
        <v>0</v>
      </c>
      <c r="AP228" s="383">
        <f>SUMIF('Asesorías AG anterior'!$B$7:$B$239,B228,'Asesorías AG anterior'!$U$7:$U$239)</f>
        <v>0</v>
      </c>
      <c r="AQ228" s="383">
        <f>SUMIF('Asesorías AG anterior'!$B$7:$B$239,B228,'Asesorías AG anterior'!$V$7:$V$239)</f>
        <v>0</v>
      </c>
      <c r="AR228" s="383">
        <f>SUMIF('Asesorías AG anterior'!$B$7:$B$239,B228,'Asesorías AG anterior'!$W$7:$W$239)</f>
        <v>0</v>
      </c>
      <c r="AS228" s="383">
        <f>SUMIF('Asesorías AG anterior'!$B$7:$B$239,B228,'Asesorías AG anterior'!$X$7:$X$239)</f>
        <v>0</v>
      </c>
      <c r="AT228" s="383">
        <f>SUMIF('Asesorías AG anterior'!$B$7:$B$239,B228,'Asesorías AG anterior'!$Y$7:$Y$239)</f>
        <v>0</v>
      </c>
      <c r="AU228" s="383">
        <f>SUMIF('Asesorías AG anterior'!$B$7:$B$239,B228,'Asesorías AG anterior'!$Z$7:$Z$239)</f>
        <v>0</v>
      </c>
      <c r="AV228" s="383">
        <f>SUMIF('Asesorías AG anterior'!$B$7:$B$239,B228,'Asesorías AG anterior'!$AA$7:$AA$239)</f>
        <v>0</v>
      </c>
      <c r="AW228" s="383">
        <f>SUMIF('Asesorías AG anterior'!$B$7:$B$239,B228,'Asesorías AG anterior'!$AB$7:$AB$239)</f>
        <v>0</v>
      </c>
      <c r="AX228" s="335"/>
      <c r="AZ228" s="1137" t="s">
        <v>163</v>
      </c>
    </row>
    <row r="229" spans="1:52" x14ac:dyDescent="0.2">
      <c r="A229" s="1184">
        <f t="shared" si="73"/>
        <v>221</v>
      </c>
      <c r="B229" s="1137" t="s">
        <v>164</v>
      </c>
      <c r="C229" s="1185">
        <f>_xlfn.XLOOKUP(B229,Códigos!$B$8:$B$406,Códigos!$A$8:$A$406,"Verificar",0)</f>
        <v>207</v>
      </c>
      <c r="D229" s="1114">
        <f>_xlfn.XLOOKUP(B229,'Consolidado Cobros'!$B$10:$B$312,'Consolidado Cobros'!$C$10:$C$312,"Verificar",0)</f>
        <v>71720224</v>
      </c>
      <c r="E229" s="1520">
        <f t="shared" si="65"/>
        <v>0</v>
      </c>
      <c r="F229" s="1517">
        <f t="shared" si="66"/>
        <v>0</v>
      </c>
      <c r="G229" s="1251">
        <f t="shared" si="67"/>
        <v>0</v>
      </c>
      <c r="H229" s="1240">
        <f t="shared" si="75"/>
        <v>0</v>
      </c>
      <c r="I229" s="1148"/>
      <c r="J229" s="383">
        <f t="shared" si="68"/>
        <v>0</v>
      </c>
      <c r="K229" s="712"/>
      <c r="L229" s="487">
        <f t="shared" si="69"/>
        <v>0</v>
      </c>
      <c r="M229" s="927"/>
      <c r="N229" s="672">
        <v>0</v>
      </c>
      <c r="O229" s="660"/>
      <c r="P229" s="1092">
        <f t="shared" si="70"/>
        <v>0</v>
      </c>
      <c r="Q229" s="1093">
        <v>0</v>
      </c>
      <c r="R229" s="381">
        <f t="shared" si="76"/>
        <v>0</v>
      </c>
      <c r="S229" s="382"/>
      <c r="T229" s="381"/>
      <c r="U229" s="624"/>
      <c r="V229" s="569">
        <f t="shared" si="71"/>
        <v>0</v>
      </c>
      <c r="W229" s="607"/>
      <c r="X229" s="383"/>
      <c r="Y229" s="607"/>
      <c r="Z229" s="383"/>
      <c r="AA229" s="607"/>
      <c r="AB229" s="718"/>
      <c r="AC229" s="335"/>
      <c r="AD229" s="383">
        <f>SUMIF('Asesorías AG anterior'!$B$7:$B$239,B229,'Asesorías AG anterior'!$I$7:$I$239)</f>
        <v>1E-3</v>
      </c>
      <c r="AE229" s="383">
        <f>SUMIF('Asesorías AG anterior'!$B$7:$B$239,B229,'Asesorías AG anterior'!$J$7:$J$239)</f>
        <v>0</v>
      </c>
      <c r="AF229" s="383">
        <f>SUMIF('Asesorías AG anterior'!$B$7:$B$239,B229,'Asesorías AG anterior'!$K$7:$K$239)</f>
        <v>1E-3</v>
      </c>
      <c r="AG229" s="383">
        <f>SUMIF('Asesorías AG anterior'!$B$7:$B$239,B229,'Asesorías AG anterior'!$L$7:$L$239)</f>
        <v>0</v>
      </c>
      <c r="AH229" s="383">
        <f>SUMIF('Asesorías AG anterior'!$B$7:$B$239,B229,'Asesorías AG anterior'!$M$7:$M$239)</f>
        <v>0</v>
      </c>
      <c r="AI229" s="383">
        <f>SUMIF('Asesorías AG anterior'!$B$7:$B$239,B229,'Asesorías AG anterior'!$N$7:$N$239)</f>
        <v>0</v>
      </c>
      <c r="AJ229" s="383">
        <f>SUMIF('Asesorías AG anterior'!$B$7:$B$239,B229,'Asesorías AG anterior'!$O$7:$O$239)</f>
        <v>1E-3</v>
      </c>
      <c r="AK229" s="383">
        <f>SUMIF('Asesorías AG anterior'!$B$7:$B$239,B229,'Asesorías AG anterior'!$P$7:$P$239)</f>
        <v>0</v>
      </c>
      <c r="AL229" s="383">
        <f>SUMIF('Asesorías AG anterior'!$B$7:$B$239,B229,'Asesorías AG anterior'!$Q$7:$Q$239)</f>
        <v>0</v>
      </c>
      <c r="AM229" s="383">
        <f>SUMIF('Asesorías AG anterior'!$B$7:$B$239,B229,'Asesorías AG anterior'!$R$7:$R$239)</f>
        <v>0</v>
      </c>
      <c r="AN229" s="383"/>
      <c r="AO229" s="383">
        <f>SUMIF('Asesorías AG anterior'!$B$7:$B$239,B229,'Asesorías AG anterior'!$T$7:$T$239)</f>
        <v>0</v>
      </c>
      <c r="AP229" s="383">
        <f>SUMIF('Asesorías AG anterior'!$B$7:$B$239,B229,'Asesorías AG anterior'!$U$7:$U$239)</f>
        <v>0</v>
      </c>
      <c r="AQ229" s="383">
        <f>SUMIF('Asesorías AG anterior'!$B$7:$B$239,B229,'Asesorías AG anterior'!$V$7:$V$239)</f>
        <v>0</v>
      </c>
      <c r="AR229" s="383">
        <f>SUMIF('Asesorías AG anterior'!$B$7:$B$239,B229,'Asesorías AG anterior'!$W$7:$W$239)</f>
        <v>0</v>
      </c>
      <c r="AS229" s="383">
        <f>SUMIF('Asesorías AG anterior'!$B$7:$B$239,B229,'Asesorías AG anterior'!$X$7:$X$239)</f>
        <v>0</v>
      </c>
      <c r="AT229" s="383">
        <f>SUMIF('Asesorías AG anterior'!$B$7:$B$239,B229,'Asesorías AG anterior'!$Y$7:$Y$239)</f>
        <v>0</v>
      </c>
      <c r="AU229" s="383">
        <f>SUMIF('Asesorías AG anterior'!$B$7:$B$239,B229,'Asesorías AG anterior'!$Z$7:$Z$239)</f>
        <v>0</v>
      </c>
      <c r="AV229" s="383">
        <f>SUMIF('Asesorías AG anterior'!$B$7:$B$239,B229,'Asesorías AG anterior'!$AA$7:$AA$239)</f>
        <v>0</v>
      </c>
      <c r="AW229" s="383">
        <f>SUMIF('Asesorías AG anterior'!$B$7:$B$239,B229,'Asesorías AG anterior'!$AB$7:$AB$239)</f>
        <v>0</v>
      </c>
      <c r="AX229" s="335"/>
      <c r="AZ229" s="1137" t="s">
        <v>164</v>
      </c>
    </row>
    <row r="230" spans="1:52" x14ac:dyDescent="0.2">
      <c r="A230" s="1184">
        <f t="shared" si="73"/>
        <v>222</v>
      </c>
      <c r="B230" s="1097" t="s">
        <v>165</v>
      </c>
      <c r="C230" s="1185">
        <f>_xlfn.XLOOKUP(B230,Códigos!$B$8:$B$406,Códigos!$A$8:$A$406,"Verificar",0)</f>
        <v>208</v>
      </c>
      <c r="D230" s="1114">
        <f>_xlfn.XLOOKUP(B230,'Consolidado Cobros'!$B$10:$B$312,'Consolidado Cobros'!$C$10:$C$312,"Verificar",0)</f>
        <v>70569069</v>
      </c>
      <c r="E230" s="1520">
        <f t="shared" si="65"/>
        <v>5</v>
      </c>
      <c r="F230" s="1517">
        <f t="shared" si="66"/>
        <v>0</v>
      </c>
      <c r="G230" s="1251">
        <f t="shared" si="67"/>
        <v>0</v>
      </c>
      <c r="H230" s="1240">
        <f t="shared" si="75"/>
        <v>0</v>
      </c>
      <c r="I230" s="1148"/>
      <c r="J230" s="383">
        <f t="shared" si="68"/>
        <v>0</v>
      </c>
      <c r="K230" s="712"/>
      <c r="L230" s="487">
        <f t="shared" si="69"/>
        <v>0</v>
      </c>
      <c r="M230" s="927"/>
      <c r="N230" s="672">
        <v>0</v>
      </c>
      <c r="O230" s="660"/>
      <c r="P230" s="1092">
        <f t="shared" si="70"/>
        <v>0</v>
      </c>
      <c r="Q230" s="1093">
        <v>0</v>
      </c>
      <c r="R230" s="381">
        <f t="shared" si="76"/>
        <v>0</v>
      </c>
      <c r="S230" s="382"/>
      <c r="T230" s="381"/>
      <c r="U230" s="624"/>
      <c r="V230" s="569">
        <f t="shared" si="71"/>
        <v>0</v>
      </c>
      <c r="W230" s="607"/>
      <c r="X230" s="383"/>
      <c r="Y230" s="607"/>
      <c r="Z230" s="383"/>
      <c r="AA230" s="607"/>
      <c r="AB230" s="718"/>
      <c r="AC230" s="335"/>
      <c r="AD230" s="383">
        <f>SUMIF('Asesorías AG anterior'!$B$7:$B$239,B230,'Asesorías AG anterior'!$I$7:$I$239)</f>
        <v>1E-3</v>
      </c>
      <c r="AE230" s="383">
        <f>SUMIF('Asesorías AG anterior'!$B$7:$B$239,B230,'Asesorías AG anterior'!$J$7:$J$239)</f>
        <v>0</v>
      </c>
      <c r="AF230" s="383">
        <f>SUMIF('Asesorías AG anterior'!$B$7:$B$239,B230,'Asesorías AG anterior'!$K$7:$K$239)</f>
        <v>1E-3</v>
      </c>
      <c r="AG230" s="383">
        <f>SUMIF('Asesorías AG anterior'!$B$7:$B$239,B230,'Asesorías AG anterior'!$L$7:$L$239)</f>
        <v>0</v>
      </c>
      <c r="AH230" s="383">
        <f>SUMIF('Asesorías AG anterior'!$B$7:$B$239,B230,'Asesorías AG anterior'!$M$7:$M$239)</f>
        <v>0</v>
      </c>
      <c r="AI230" s="383">
        <f>SUMIF('Asesorías AG anterior'!$B$7:$B$239,B230,'Asesorías AG anterior'!$N$7:$N$239)</f>
        <v>0</v>
      </c>
      <c r="AJ230" s="383">
        <f>SUMIF('Asesorías AG anterior'!$B$7:$B$239,B230,'Asesorías AG anterior'!$O$7:$O$239)</f>
        <v>1E-3</v>
      </c>
      <c r="AK230" s="383">
        <f>SUMIF('Asesorías AG anterior'!$B$7:$B$239,B230,'Asesorías AG anterior'!$P$7:$P$239)</f>
        <v>0</v>
      </c>
      <c r="AL230" s="383">
        <f>SUMIF('Asesorías AG anterior'!$B$7:$B$239,B230,'Asesorías AG anterior'!$Q$7:$Q$239)</f>
        <v>0</v>
      </c>
      <c r="AM230" s="383">
        <f>SUMIF('Asesorías AG anterior'!$B$7:$B$239,B230,'Asesorías AG anterior'!$R$7:$R$239)</f>
        <v>0</v>
      </c>
      <c r="AN230" s="383"/>
      <c r="AO230" s="383">
        <f>SUMIF('Asesorías AG anterior'!$B$7:$B$239,B230,'Asesorías AG anterior'!$T$7:$T$239)</f>
        <v>0</v>
      </c>
      <c r="AP230" s="383">
        <f>SUMIF('Asesorías AG anterior'!$B$7:$B$239,B230,'Asesorías AG anterior'!$U$7:$U$239)</f>
        <v>0</v>
      </c>
      <c r="AQ230" s="383">
        <f>SUMIF('Asesorías AG anterior'!$B$7:$B$239,B230,'Asesorías AG anterior'!$V$7:$V$239)</f>
        <v>0</v>
      </c>
      <c r="AR230" s="383">
        <f>SUMIF('Asesorías AG anterior'!$B$7:$B$239,B230,'Asesorías AG anterior'!$W$7:$W$239)</f>
        <v>0</v>
      </c>
      <c r="AS230" s="383">
        <f>SUMIF('Asesorías AG anterior'!$B$7:$B$239,B230,'Asesorías AG anterior'!$X$7:$X$239)</f>
        <v>0</v>
      </c>
      <c r="AT230" s="383">
        <f>SUMIF('Asesorías AG anterior'!$B$7:$B$239,B230,'Asesorías AG anterior'!$Y$7:$Y$239)</f>
        <v>0</v>
      </c>
      <c r="AU230" s="383">
        <f>SUMIF('Asesorías AG anterior'!$B$7:$B$239,B230,'Asesorías AG anterior'!$Z$7:$Z$239)</f>
        <v>0</v>
      </c>
      <c r="AV230" s="383">
        <f>SUMIF('Asesorías AG anterior'!$B$7:$B$239,B230,'Asesorías AG anterior'!$AA$7:$AA$239)</f>
        <v>0</v>
      </c>
      <c r="AW230" s="383">
        <f>SUMIF('Asesorías AG anterior'!$B$7:$B$239,B230,'Asesorías AG anterior'!$AB$7:$AB$239)</f>
        <v>0</v>
      </c>
      <c r="AX230" s="335"/>
      <c r="AZ230" s="1393" t="s">
        <v>165</v>
      </c>
    </row>
    <row r="231" spans="1:52" x14ac:dyDescent="0.2">
      <c r="A231" s="1184">
        <f t="shared" si="73"/>
        <v>223</v>
      </c>
      <c r="B231" s="1097" t="s">
        <v>168</v>
      </c>
      <c r="C231" s="1185">
        <f>_xlfn.XLOOKUP(B231,Códigos!$B$8:$B$406,Códigos!$A$8:$A$406,"Verificar",0)</f>
        <v>211</v>
      </c>
      <c r="D231" s="1114">
        <f>_xlfn.XLOOKUP(B231,'Consolidado Cobros'!$B$10:$B$312,'Consolidado Cobros'!$C$10:$C$312,"Verificar",0)</f>
        <v>8252575</v>
      </c>
      <c r="E231" s="1520">
        <f t="shared" si="65"/>
        <v>3</v>
      </c>
      <c r="F231" s="1517">
        <f t="shared" si="66"/>
        <v>0</v>
      </c>
      <c r="G231" s="1251">
        <f t="shared" si="67"/>
        <v>0</v>
      </c>
      <c r="H231" s="1240">
        <f t="shared" si="75"/>
        <v>0</v>
      </c>
      <c r="I231" s="1148"/>
      <c r="J231" s="383">
        <f t="shared" si="68"/>
        <v>0</v>
      </c>
      <c r="K231" s="712"/>
      <c r="L231" s="487">
        <f t="shared" si="69"/>
        <v>0</v>
      </c>
      <c r="M231" s="927"/>
      <c r="N231" s="672">
        <v>0</v>
      </c>
      <c r="O231" s="660"/>
      <c r="P231" s="1092">
        <f t="shared" si="70"/>
        <v>0</v>
      </c>
      <c r="Q231" s="1093">
        <v>0</v>
      </c>
      <c r="R231" s="381">
        <f t="shared" si="76"/>
        <v>0</v>
      </c>
      <c r="S231" s="382"/>
      <c r="T231" s="381"/>
      <c r="U231" s="624"/>
      <c r="V231" s="569">
        <f t="shared" si="71"/>
        <v>0</v>
      </c>
      <c r="W231" s="607"/>
      <c r="X231" s="383"/>
      <c r="Y231" s="607"/>
      <c r="Z231" s="383"/>
      <c r="AA231" s="607"/>
      <c r="AB231" s="718"/>
      <c r="AC231" s="335"/>
      <c r="AD231" s="383">
        <f>SUMIF('Asesorías AG anterior'!$B$7:$B$239,B231,'Asesorías AG anterior'!$I$7:$I$239)</f>
        <v>1E-3</v>
      </c>
      <c r="AE231" s="383">
        <f>SUMIF('Asesorías AG anterior'!$B$7:$B$239,B231,'Asesorías AG anterior'!$J$7:$J$239)</f>
        <v>0</v>
      </c>
      <c r="AF231" s="383">
        <f>SUMIF('Asesorías AG anterior'!$B$7:$B$239,B231,'Asesorías AG anterior'!$K$7:$K$239)</f>
        <v>1E-3</v>
      </c>
      <c r="AG231" s="383">
        <f>SUMIF('Asesorías AG anterior'!$B$7:$B$239,B231,'Asesorías AG anterior'!$L$7:$L$239)</f>
        <v>0</v>
      </c>
      <c r="AH231" s="383">
        <f>SUMIF('Asesorías AG anterior'!$B$7:$B$239,B231,'Asesorías AG anterior'!$M$7:$M$239)</f>
        <v>0</v>
      </c>
      <c r="AI231" s="383">
        <f>SUMIF('Asesorías AG anterior'!$B$7:$B$239,B231,'Asesorías AG anterior'!$N$7:$N$239)</f>
        <v>0</v>
      </c>
      <c r="AJ231" s="383">
        <f>SUMIF('Asesorías AG anterior'!$B$7:$B$239,B231,'Asesorías AG anterior'!$O$7:$O$239)</f>
        <v>1E-3</v>
      </c>
      <c r="AK231" s="383">
        <f>SUMIF('Asesorías AG anterior'!$B$7:$B$239,B231,'Asesorías AG anterior'!$P$7:$P$239)</f>
        <v>0</v>
      </c>
      <c r="AL231" s="383">
        <f>SUMIF('Asesorías AG anterior'!$B$7:$B$239,B231,'Asesorías AG anterior'!$Q$7:$Q$239)</f>
        <v>0</v>
      </c>
      <c r="AM231" s="383">
        <f>SUMIF('Asesorías AG anterior'!$B$7:$B$239,B231,'Asesorías AG anterior'!$R$7:$R$239)</f>
        <v>0</v>
      </c>
      <c r="AN231" s="383"/>
      <c r="AO231" s="383">
        <f>SUMIF('Asesorías AG anterior'!$B$7:$B$239,B231,'Asesorías AG anterior'!$T$7:$T$239)</f>
        <v>0</v>
      </c>
      <c r="AP231" s="383">
        <f>SUMIF('Asesorías AG anterior'!$B$7:$B$239,B231,'Asesorías AG anterior'!$U$7:$U$239)</f>
        <v>0</v>
      </c>
      <c r="AQ231" s="383">
        <f>SUMIF('Asesorías AG anterior'!$B$7:$B$239,B231,'Asesorías AG anterior'!$V$7:$V$239)</f>
        <v>0</v>
      </c>
      <c r="AR231" s="383">
        <f>SUMIF('Asesorías AG anterior'!$B$7:$B$239,B231,'Asesorías AG anterior'!$W$7:$W$239)</f>
        <v>0</v>
      </c>
      <c r="AS231" s="383">
        <f>SUMIF('Asesorías AG anterior'!$B$7:$B$239,B231,'Asesorías AG anterior'!$X$7:$X$239)</f>
        <v>0</v>
      </c>
      <c r="AT231" s="383">
        <f>SUMIF('Asesorías AG anterior'!$B$7:$B$239,B231,'Asesorías AG anterior'!$Y$7:$Y$239)</f>
        <v>0</v>
      </c>
      <c r="AU231" s="383">
        <f>SUMIF('Asesorías AG anterior'!$B$7:$B$239,B231,'Asesorías AG anterior'!$Z$7:$Z$239)</f>
        <v>0</v>
      </c>
      <c r="AV231" s="383">
        <f>SUMIF('Asesorías AG anterior'!$B$7:$B$239,B231,'Asesorías AG anterior'!$AA$7:$AA$239)</f>
        <v>0</v>
      </c>
      <c r="AW231" s="383">
        <f>SUMIF('Asesorías AG anterior'!$B$7:$B$239,B231,'Asesorías AG anterior'!$AB$7:$AB$239)</f>
        <v>0</v>
      </c>
      <c r="AX231" s="335"/>
      <c r="AZ231" s="1393" t="s">
        <v>168</v>
      </c>
    </row>
    <row r="232" spans="1:52" x14ac:dyDescent="0.2">
      <c r="A232" s="1184">
        <f t="shared" si="73"/>
        <v>224</v>
      </c>
      <c r="B232" s="1097" t="s">
        <v>316</v>
      </c>
      <c r="C232" s="1185">
        <f>_xlfn.XLOOKUP(B232,Códigos!$B$8:$B$406,Códigos!$A$8:$A$406,"Verificar",0)</f>
        <v>335</v>
      </c>
      <c r="D232" s="1114">
        <f>_xlfn.XLOOKUP(B232,'Consolidado Cobros'!$B$10:$B$312,'Consolidado Cobros'!$C$10:$C$312,"Verificar",0)</f>
        <v>98496653</v>
      </c>
      <c r="E232" s="1520">
        <f t="shared" si="65"/>
        <v>4</v>
      </c>
      <c r="F232" s="1517">
        <f t="shared" si="66"/>
        <v>0</v>
      </c>
      <c r="G232" s="1251">
        <f t="shared" si="67"/>
        <v>0</v>
      </c>
      <c r="H232" s="1240">
        <f t="shared" si="75"/>
        <v>0</v>
      </c>
      <c r="I232" s="1148"/>
      <c r="J232" s="383">
        <f t="shared" si="68"/>
        <v>0</v>
      </c>
      <c r="K232" s="712"/>
      <c r="L232" s="487">
        <f t="shared" si="69"/>
        <v>0</v>
      </c>
      <c r="M232" s="927"/>
      <c r="N232" s="672">
        <v>0</v>
      </c>
      <c r="O232" s="660"/>
      <c r="P232" s="1092">
        <f t="shared" si="70"/>
        <v>0</v>
      </c>
      <c r="Q232" s="1093">
        <v>0</v>
      </c>
      <c r="R232" s="381">
        <v>0</v>
      </c>
      <c r="S232" s="382"/>
      <c r="T232" s="381"/>
      <c r="U232" s="624"/>
      <c r="V232" s="569">
        <f t="shared" si="71"/>
        <v>0</v>
      </c>
      <c r="W232" s="607"/>
      <c r="X232" s="383"/>
      <c r="Y232" s="607"/>
      <c r="Z232" s="383"/>
      <c r="AA232" s="607"/>
      <c r="AB232" s="718"/>
      <c r="AC232" s="335"/>
      <c r="AD232" s="383">
        <f>SUMIF('Asesorías AG anterior'!$B$7:$B$239,B232,'Asesorías AG anterior'!$I$7:$I$239)</f>
        <v>1E-3</v>
      </c>
      <c r="AE232" s="383">
        <f>SUMIF('Asesorías AG anterior'!$B$7:$B$239,B232,'Asesorías AG anterior'!$J$7:$J$239)</f>
        <v>0</v>
      </c>
      <c r="AF232" s="383">
        <f>SUMIF('Asesorías AG anterior'!$B$7:$B$239,B232,'Asesorías AG anterior'!$K$7:$K$239)</f>
        <v>1E-3</v>
      </c>
      <c r="AG232" s="383">
        <f>SUMIF('Asesorías AG anterior'!$B$7:$B$239,B232,'Asesorías AG anterior'!$L$7:$L$239)</f>
        <v>0</v>
      </c>
      <c r="AH232" s="383">
        <f>SUMIF('Asesorías AG anterior'!$B$7:$B$239,B232,'Asesorías AG anterior'!$M$7:$M$239)</f>
        <v>0</v>
      </c>
      <c r="AI232" s="383">
        <f>SUMIF('Asesorías AG anterior'!$B$7:$B$239,B232,'Asesorías AG anterior'!$N$7:$N$239)</f>
        <v>0</v>
      </c>
      <c r="AJ232" s="383">
        <f>SUMIF('Asesorías AG anterior'!$B$7:$B$239,B232,'Asesorías AG anterior'!$O$7:$O$239)</f>
        <v>1E-3</v>
      </c>
      <c r="AK232" s="383">
        <f>SUMIF('Asesorías AG anterior'!$B$7:$B$239,B232,'Asesorías AG anterior'!$P$7:$P$239)</f>
        <v>0</v>
      </c>
      <c r="AL232" s="383">
        <f>SUMIF('Asesorías AG anterior'!$B$7:$B$239,B232,'Asesorías AG anterior'!$Q$7:$Q$239)</f>
        <v>0</v>
      </c>
      <c r="AM232" s="383">
        <f>SUMIF('Asesorías AG anterior'!$B$7:$B$239,B232,'Asesorías AG anterior'!$R$7:$R$239)</f>
        <v>0</v>
      </c>
      <c r="AN232" s="383"/>
      <c r="AO232" s="383">
        <f>SUMIF('Asesorías AG anterior'!$B$7:$B$239,B232,'Asesorías AG anterior'!$T$7:$T$239)</f>
        <v>0</v>
      </c>
      <c r="AP232" s="383">
        <f>SUMIF('Asesorías AG anterior'!$B$7:$B$239,B232,'Asesorías AG anterior'!$U$7:$U$239)</f>
        <v>0</v>
      </c>
      <c r="AQ232" s="383">
        <f>SUMIF('Asesorías AG anterior'!$B$7:$B$239,B232,'Asesorías AG anterior'!$V$7:$V$239)</f>
        <v>0</v>
      </c>
      <c r="AR232" s="383">
        <f>SUMIF('Asesorías AG anterior'!$B$7:$B$239,B232,'Asesorías AG anterior'!$W$7:$W$239)</f>
        <v>0</v>
      </c>
      <c r="AS232" s="383">
        <f>SUMIF('Asesorías AG anterior'!$B$7:$B$239,B232,'Asesorías AG anterior'!$X$7:$X$239)</f>
        <v>0</v>
      </c>
      <c r="AT232" s="383">
        <f>SUMIF('Asesorías AG anterior'!$B$7:$B$239,B232,'Asesorías AG anterior'!$Y$7:$Y$239)</f>
        <v>0</v>
      </c>
      <c r="AU232" s="383">
        <f>SUMIF('Asesorías AG anterior'!$B$7:$B$239,B232,'Asesorías AG anterior'!$Z$7:$Z$239)</f>
        <v>0</v>
      </c>
      <c r="AV232" s="383">
        <f>SUMIF('Asesorías AG anterior'!$B$7:$B$239,B232,'Asesorías AG anterior'!$AA$7:$AA$239)</f>
        <v>0</v>
      </c>
      <c r="AW232" s="383">
        <f>SUMIF('Asesorías AG anterior'!$B$7:$B$239,B232,'Asesorías AG anterior'!$AB$7:$AB$239)</f>
        <v>0</v>
      </c>
      <c r="AX232" s="335"/>
      <c r="AZ232" s="1494" t="s">
        <v>316</v>
      </c>
    </row>
    <row r="233" spans="1:52" x14ac:dyDescent="0.2">
      <c r="A233" s="1184">
        <f t="shared" si="73"/>
        <v>225</v>
      </c>
      <c r="B233" s="1097" t="s">
        <v>169</v>
      </c>
      <c r="C233" s="1185">
        <f>_xlfn.XLOOKUP(B233,Códigos!$B$8:$B$406,Códigos!$A$8:$A$406,"Verificar",0)</f>
        <v>278</v>
      </c>
      <c r="D233" s="1114">
        <f>_xlfn.XLOOKUP(B233,'Consolidado Cobros'!$B$10:$B$312,'Consolidado Cobros'!$C$10:$C$312,"Verificar",0)</f>
        <v>71629287</v>
      </c>
      <c r="E233" s="1520">
        <f t="shared" si="65"/>
        <v>6</v>
      </c>
      <c r="F233" s="1517">
        <f t="shared" si="66"/>
        <v>0</v>
      </c>
      <c r="G233" s="1251">
        <f t="shared" si="67"/>
        <v>0</v>
      </c>
      <c r="H233" s="1240">
        <f t="shared" si="75"/>
        <v>0</v>
      </c>
      <c r="I233" s="1148"/>
      <c r="J233" s="383">
        <f t="shared" si="68"/>
        <v>0</v>
      </c>
      <c r="K233" s="712"/>
      <c r="L233" s="487">
        <f t="shared" si="69"/>
        <v>0</v>
      </c>
      <c r="M233" s="927"/>
      <c r="N233" s="672">
        <v>0</v>
      </c>
      <c r="O233" s="660"/>
      <c r="P233" s="1092">
        <f t="shared" si="70"/>
        <v>0</v>
      </c>
      <c r="Q233" s="1093">
        <v>0</v>
      </c>
      <c r="R233" s="381">
        <v>0</v>
      </c>
      <c r="S233" s="382"/>
      <c r="T233" s="381"/>
      <c r="U233" s="624"/>
      <c r="V233" s="569">
        <f t="shared" si="71"/>
        <v>0</v>
      </c>
      <c r="W233" s="607"/>
      <c r="X233" s="383"/>
      <c r="Y233" s="607"/>
      <c r="Z233" s="383"/>
      <c r="AA233" s="607"/>
      <c r="AB233" s="718"/>
      <c r="AC233" s="335"/>
      <c r="AD233" s="383">
        <f>SUMIF('Asesorías AG anterior'!$B$7:$B$239,B233,'Asesorías AG anterior'!$I$7:$I$239)</f>
        <v>1E-3</v>
      </c>
      <c r="AE233" s="383">
        <f>SUMIF('Asesorías AG anterior'!$B$7:$B$239,B233,'Asesorías AG anterior'!$J$7:$J$239)</f>
        <v>0</v>
      </c>
      <c r="AF233" s="383">
        <f>SUMIF('Asesorías AG anterior'!$B$7:$B$239,B233,'Asesorías AG anterior'!$K$7:$K$239)</f>
        <v>1E-3</v>
      </c>
      <c r="AG233" s="383">
        <f>SUMIF('Asesorías AG anterior'!$B$7:$B$239,B233,'Asesorías AG anterior'!$L$7:$L$239)</f>
        <v>0</v>
      </c>
      <c r="AH233" s="383">
        <f>SUMIF('Asesorías AG anterior'!$B$7:$B$239,B233,'Asesorías AG anterior'!$M$7:$M$239)</f>
        <v>0</v>
      </c>
      <c r="AI233" s="383">
        <f>SUMIF('Asesorías AG anterior'!$B$7:$B$239,B233,'Asesorías AG anterior'!$N$7:$N$239)</f>
        <v>0</v>
      </c>
      <c r="AJ233" s="383">
        <f>SUMIF('Asesorías AG anterior'!$B$7:$B$239,B233,'Asesorías AG anterior'!$O$7:$O$239)</f>
        <v>1E-3</v>
      </c>
      <c r="AK233" s="383">
        <f>SUMIF('Asesorías AG anterior'!$B$7:$B$239,B233,'Asesorías AG anterior'!$P$7:$P$239)</f>
        <v>0</v>
      </c>
      <c r="AL233" s="383">
        <f>SUMIF('Asesorías AG anterior'!$B$7:$B$239,B233,'Asesorías AG anterior'!$Q$7:$Q$239)</f>
        <v>0</v>
      </c>
      <c r="AM233" s="383">
        <f>SUMIF('Asesorías AG anterior'!$B$7:$B$239,B233,'Asesorías AG anterior'!$R$7:$R$239)</f>
        <v>0</v>
      </c>
      <c r="AN233" s="383"/>
      <c r="AO233" s="383">
        <f>SUMIF('Asesorías AG anterior'!$B$7:$B$239,B233,'Asesorías AG anterior'!$T$7:$T$239)</f>
        <v>0</v>
      </c>
      <c r="AP233" s="383">
        <f>SUMIF('Asesorías AG anterior'!$B$7:$B$239,B233,'Asesorías AG anterior'!$U$7:$U$239)</f>
        <v>0</v>
      </c>
      <c r="AQ233" s="383">
        <f>SUMIF('Asesorías AG anterior'!$B$7:$B$239,B233,'Asesorías AG anterior'!$V$7:$V$239)</f>
        <v>0</v>
      </c>
      <c r="AR233" s="383">
        <f>SUMIF('Asesorías AG anterior'!$B$7:$B$239,B233,'Asesorías AG anterior'!$W$7:$W$239)</f>
        <v>0</v>
      </c>
      <c r="AS233" s="383">
        <f>SUMIF('Asesorías AG anterior'!$B$7:$B$239,B233,'Asesorías AG anterior'!$X$7:$X$239)</f>
        <v>0</v>
      </c>
      <c r="AT233" s="383">
        <f>SUMIF('Asesorías AG anterior'!$B$7:$B$239,B233,'Asesorías AG anterior'!$Y$7:$Y$239)</f>
        <v>0</v>
      </c>
      <c r="AU233" s="383">
        <f>SUMIF('Asesorías AG anterior'!$B$7:$B$239,B233,'Asesorías AG anterior'!$Z$7:$Z$239)</f>
        <v>0</v>
      </c>
      <c r="AV233" s="383">
        <f>SUMIF('Asesorías AG anterior'!$B$7:$B$239,B233,'Asesorías AG anterior'!$AA$7:$AA$239)</f>
        <v>0</v>
      </c>
      <c r="AW233" s="383">
        <f>SUMIF('Asesorías AG anterior'!$B$7:$B$239,B233,'Asesorías AG anterior'!$AB$7:$AB$239)</f>
        <v>0</v>
      </c>
      <c r="AX233" s="335"/>
      <c r="AZ233" s="1097" t="s">
        <v>169</v>
      </c>
    </row>
    <row r="234" spans="1:52" x14ac:dyDescent="0.2">
      <c r="A234" s="1184">
        <f t="shared" si="73"/>
        <v>226</v>
      </c>
      <c r="B234" s="1097" t="s">
        <v>778</v>
      </c>
      <c r="C234" s="1185">
        <f>_xlfn.XLOOKUP(B234,Códigos!$B$8:$B$406,Códigos!$A$8:$A$406,"Verificar",0)</f>
        <v>363</v>
      </c>
      <c r="D234" s="1114">
        <f>_xlfn.XLOOKUP(B234,'Consolidado Cobros'!$B$10:$B$312,'Consolidado Cobros'!$C$10:$C$312,"Verificar",0)</f>
        <v>43903734</v>
      </c>
      <c r="E234" s="1520">
        <f t="shared" ref="E234" si="77">IF((MOD((VALUE(MID(TEXT(D234,"000000000000000"),15,1))*3+VALUE(MID(TEXT(D234,"000000000000000"),14,1))*7+VALUE(MID(TEXT(D234,"000000000000000"),13,1))*13+VALUE(MID(TEXT(D234,"000000000000000"),12,1))*17+VALUE(MID(TEXT(D234,"000000000000000"),11,1))*19+VALUE(MID(TEXT(D234,"000000000000000"),10,1))*23+VALUE(MID(TEXT(D234,"000000000000000"),9,1))*29+VALUE(MID(TEXT(D234,"000000000000000"),8,1))*37+VALUE(MID(TEXT(D234,"000000000000000"),7,1))*41+VALUE(MID(TEXT(D234,"000000000000000"),6,1))*43+VALUE(MID(TEXT(D234,"000000000000000"),5,1))*47+VALUE(MID(TEXT(D234,"000000000000000"),4,1))*53+VALUE(MID(TEXT(D234,"000000000000000"),3,1))*59+VALUE(MID(TEXT(D234,"000000000000000"),2,1))*67+VALUE(MID(TEXT(D234,"000000000000000"),1,1))*71),11))=0,0,IF((MOD((VALUE(MID(TEXT(D234,"000000000000000"),15,1))*3+VALUE(MID(TEXT(D234,"000000000000000"),14,1))*7+VALUE(MID(TEXT(D234,"000000000000000"),13,1))*13+VALUE(MID(TEXT(D234,"000000000000000"),12,1))*17+VALUE(MID(TEXT(D234,"000000000000000"),11,1))*19+VALUE(MID(TEXT(D234,"000000000000000"),10,1))*23+VALUE(MID(TEXT(D234,"000000000000000"),9,1))*29+VALUE(MID(TEXT(D234,"000000000000000"),8,1))*37+VALUE(MID(TEXT(D234,"000000000000000"),7,1))*41+VALUE(MID(TEXT(D234,"000000000000000"),6,1))*43+VALUE(MID(TEXT(D234,"000000000000000"),5,1))*47+VALUE(MID(TEXT(D234,"000000000000000"),4,1))*53+VALUE(MID(TEXT(D234,"000000000000000"),3,1))*59+VALUE(MID(TEXT(D234,"000000000000000"),2,1))*67+VALUE(MID(TEXT(D234,"000000000000000"),1,1))*71),11))=1,1,11-(MOD((VALUE(MID(TEXT(D234,"000000000000000"),15,1))*3+VALUE(MID(TEXT(D234,"000000000000000"),14,1))*7+VALUE(MID(TEXT(D234,"000000000000000"),13,1))*13+VALUE(MID(TEXT(D234,"000000000000000"),12,1))*17+VALUE(MID(TEXT(D234,"000000000000000"),11,1))*19+VALUE(MID(TEXT(D234,"000000000000000"),10,1))*23+VALUE(MID(TEXT(D234,"000000000000000"),9,1))*29+VALUE(MID(TEXT(D234,"000000000000000"),8,1))*37+VALUE(MID(TEXT(D234,"000000000000000"),7,1))*41+VALUE(MID(TEXT(D234,"000000000000000"),6,1))*43+VALUE(MID(TEXT(D234,"000000000000000"),5,1))*47+VALUE(MID(TEXT(D234,"000000000000000"),4,1))*53+VALUE(MID(TEXT(D234,"000000000000000"),3,1))*59+VALUE(MID(TEXT(D234,"000000000000000"),2,1))*67+VALUE(MID(TEXT(D234,"000000000000000"),1,1))*71),11))))</f>
        <v>1</v>
      </c>
      <c r="F234" s="1517">
        <f t="shared" si="66"/>
        <v>0</v>
      </c>
      <c r="G234" s="1251">
        <f t="shared" si="67"/>
        <v>0</v>
      </c>
      <c r="H234" s="1240">
        <f t="shared" si="75"/>
        <v>0</v>
      </c>
      <c r="I234" s="1148"/>
      <c r="J234" s="383">
        <f t="shared" si="68"/>
        <v>0</v>
      </c>
      <c r="K234" s="712"/>
      <c r="L234" s="487">
        <f t="shared" si="69"/>
        <v>0</v>
      </c>
      <c r="M234" s="927"/>
      <c r="N234" s="672">
        <v>0</v>
      </c>
      <c r="O234" s="660"/>
      <c r="P234" s="1092">
        <f t="shared" si="70"/>
        <v>0</v>
      </c>
      <c r="Q234" s="1093">
        <v>0</v>
      </c>
      <c r="R234" s="381">
        <v>0</v>
      </c>
      <c r="S234" s="382"/>
      <c r="T234" s="381"/>
      <c r="U234" s="624"/>
      <c r="V234" s="569">
        <f t="shared" si="71"/>
        <v>0</v>
      </c>
      <c r="W234" s="607"/>
      <c r="X234" s="383"/>
      <c r="Y234" s="607"/>
      <c r="Z234" s="383"/>
      <c r="AA234" s="607"/>
      <c r="AB234" s="718"/>
      <c r="AC234" s="335"/>
      <c r="AD234" s="383">
        <f>SUMIF('Asesorías AG anterior'!$B$7:$B$239,B234,'Asesorías AG anterior'!$I$7:$I$239)</f>
        <v>1E-3</v>
      </c>
      <c r="AE234" s="383">
        <f>SUMIF('Asesorías AG anterior'!$B$7:$B$239,B234,'Asesorías AG anterior'!$J$7:$J$239)</f>
        <v>0</v>
      </c>
      <c r="AF234" s="383">
        <f>SUMIF('Asesorías AG anterior'!$B$7:$B$239,B234,'Asesorías AG anterior'!$K$7:$K$239)</f>
        <v>1E-3</v>
      </c>
      <c r="AG234" s="383">
        <f>SUMIF('Asesorías AG anterior'!$B$7:$B$239,B234,'Asesorías AG anterior'!$L$7:$L$239)</f>
        <v>0</v>
      </c>
      <c r="AH234" s="383">
        <f>SUMIF('Asesorías AG anterior'!$B$7:$B$239,B234,'Asesorías AG anterior'!$M$7:$M$239)</f>
        <v>0</v>
      </c>
      <c r="AI234" s="383">
        <f>SUMIF('Asesorías AG anterior'!$B$7:$B$239,B234,'Asesorías AG anterior'!$N$7:$N$239)</f>
        <v>0</v>
      </c>
      <c r="AJ234" s="383">
        <f>SUMIF('Asesorías AG anterior'!$B$7:$B$239,B234,'Asesorías AG anterior'!$O$7:$O$239)</f>
        <v>1E-3</v>
      </c>
      <c r="AK234" s="383">
        <f>SUMIF('Asesorías AG anterior'!$B$7:$B$239,B234,'Asesorías AG anterior'!$P$7:$P$239)</f>
        <v>0</v>
      </c>
      <c r="AL234" s="383">
        <f>SUMIF('Asesorías AG anterior'!$B$7:$B$239,B234,'Asesorías AG anterior'!$Q$7:$Q$239)</f>
        <v>0</v>
      </c>
      <c r="AM234" s="383">
        <f>SUMIF('Asesorías AG anterior'!$B$7:$B$239,B234,'Asesorías AG anterior'!$R$7:$R$239)</f>
        <v>0</v>
      </c>
      <c r="AN234" s="383"/>
      <c r="AO234" s="383">
        <f>SUMIF('Asesorías AG anterior'!$B$7:$B$239,B234,'Asesorías AG anterior'!$T$7:$T$239)</f>
        <v>0</v>
      </c>
      <c r="AP234" s="383">
        <f>SUMIF('Asesorías AG anterior'!$B$7:$B$239,B234,'Asesorías AG anterior'!$U$7:$U$239)</f>
        <v>0</v>
      </c>
      <c r="AQ234" s="383">
        <f>SUMIF('Asesorías AG anterior'!$B$7:$B$239,B234,'Asesorías AG anterior'!$V$7:$V$239)</f>
        <v>0</v>
      </c>
      <c r="AR234" s="383">
        <f>SUMIF('Asesorías AG anterior'!$B$7:$B$239,B234,'Asesorías AG anterior'!$W$7:$W$239)</f>
        <v>0</v>
      </c>
      <c r="AS234" s="383">
        <f>SUMIF('Asesorías AG anterior'!$B$7:$B$239,B234,'Asesorías AG anterior'!$X$7:$X$239)</f>
        <v>0</v>
      </c>
      <c r="AT234" s="383">
        <f>SUMIF('Asesorías AG anterior'!$B$7:$B$239,B234,'Asesorías AG anterior'!$Y$7:$Y$239)</f>
        <v>0</v>
      </c>
      <c r="AU234" s="383">
        <f>SUMIF('Asesorías AG anterior'!$B$7:$B$239,B234,'Asesorías AG anterior'!$Z$7:$Z$239)</f>
        <v>0</v>
      </c>
      <c r="AV234" s="383">
        <f>SUMIF('Asesorías AG anterior'!$B$7:$B$239,B234,'Asesorías AG anterior'!$AA$7:$AA$239)</f>
        <v>0</v>
      </c>
      <c r="AW234" s="383">
        <f>SUMIF('Asesorías AG anterior'!$B$7:$B$239,B234,'Asesorías AG anterior'!$AB$7:$AB$239)</f>
        <v>0</v>
      </c>
      <c r="AX234" s="335"/>
      <c r="AZ234" s="1097" t="s">
        <v>778</v>
      </c>
    </row>
    <row r="235" spans="1:52" x14ac:dyDescent="0.2">
      <c r="A235" s="1184"/>
      <c r="B235" s="1097"/>
      <c r="C235" s="1097"/>
      <c r="D235" s="1097"/>
      <c r="E235" s="1521"/>
      <c r="F235" s="1517"/>
      <c r="G235" s="1251"/>
      <c r="H235" s="1240"/>
      <c r="I235" s="1148"/>
      <c r="J235" s="383"/>
      <c r="K235" s="712"/>
      <c r="L235" s="487"/>
      <c r="M235" s="927"/>
      <c r="N235" s="672">
        <v>0</v>
      </c>
      <c r="O235" s="713"/>
      <c r="P235" s="1092">
        <f t="shared" ref="P235:P236" si="78">ROUND(IF(O235="SI",AK235*(100%+$P$4),0),-4)</f>
        <v>0</v>
      </c>
      <c r="Q235" s="1093">
        <v>0</v>
      </c>
      <c r="R235" s="381">
        <v>0</v>
      </c>
      <c r="S235" s="382"/>
      <c r="T235" s="381"/>
      <c r="U235" s="624"/>
      <c r="V235" s="569">
        <f t="shared" ref="V235" si="79">+X235+Z235+AB235</f>
        <v>0</v>
      </c>
      <c r="W235" s="607"/>
      <c r="X235" s="383"/>
      <c r="Y235" s="607"/>
      <c r="Z235" s="383"/>
      <c r="AA235" s="607"/>
      <c r="AB235" s="718"/>
      <c r="AC235" s="335"/>
      <c r="AD235" s="383">
        <f>SUMIF('Asesorías AG anterior'!$B$7:$B$239,B235,'Asesorías AG anterior'!$I$7:$I$239)</f>
        <v>0</v>
      </c>
      <c r="AE235" s="383">
        <f>SUMIF('Asesorías AG anterior'!$B$7:$B$239,B235,'Asesorías AG anterior'!$J$7:$J$239)</f>
        <v>0</v>
      </c>
      <c r="AF235" s="383">
        <f>SUMIF('Asesorías AG anterior'!$B$7:$B$239,B235,'Asesorías AG anterior'!$K$7:$K$239)</f>
        <v>0</v>
      </c>
      <c r="AG235" s="383">
        <f>SUMIF('Asesorías AG anterior'!$B$7:$B$239,B235,'Asesorías AG anterior'!$L$7:$L$239)</f>
        <v>0</v>
      </c>
      <c r="AH235" s="383">
        <f>SUMIF('Asesorías AG anterior'!$B$7:$B$239,B235,'Asesorías AG anterior'!$M$7:$M$239)</f>
        <v>0</v>
      </c>
      <c r="AI235" s="383">
        <f>SUMIF('Asesorías AG anterior'!$B$7:$B$239,B235,'Asesorías AG anterior'!$N$7:$N$239)</f>
        <v>0</v>
      </c>
      <c r="AJ235" s="383">
        <f>SUMIF('Asesorías AG anterior'!$B$7:$B$239,B235,'Asesorías AG anterior'!$O$7:$O$239)</f>
        <v>0</v>
      </c>
      <c r="AK235" s="383">
        <f>SUMIF('Asesorías AG anterior'!$B$7:$B$239,B235,'Asesorías AG anterior'!$P$7:$P$239)</f>
        <v>0</v>
      </c>
      <c r="AL235" s="383">
        <f>SUMIF('Asesorías AG anterior'!$B$7:$B$239,B235,'Asesorías AG anterior'!$Q$7:$Q$239)</f>
        <v>0</v>
      </c>
      <c r="AM235" s="383">
        <f>SUMIF('Asesorías AG anterior'!$B$7:$B$239,B235,'Asesorías AG anterior'!$R$7:$R$239)</f>
        <v>0</v>
      </c>
      <c r="AN235" s="383"/>
      <c r="AO235" s="383">
        <f>SUMIF('Asesorías AG anterior'!$B$7:$B$239,B235,'Asesorías AG anterior'!$T$7:$T$239)</f>
        <v>0</v>
      </c>
      <c r="AP235" s="383">
        <f>SUMIF('Asesorías AG anterior'!$B$7:$B$239,B235,'Asesorías AG anterior'!$U$7:$U$239)</f>
        <v>0</v>
      </c>
      <c r="AQ235" s="383">
        <f>SUMIF('Asesorías AG anterior'!$B$7:$B$239,B235,'Asesorías AG anterior'!$V$7:$V$239)</f>
        <v>0</v>
      </c>
      <c r="AR235" s="383">
        <f>SUMIF('Asesorías AG anterior'!$B$7:$B$239,B235,'Asesorías AG anterior'!$W$7:$W$239)</f>
        <v>0</v>
      </c>
      <c r="AS235" s="383">
        <f>SUMIF('Asesorías AG anterior'!$B$7:$B$239,B235,'Asesorías AG anterior'!$X$7:$X$239)</f>
        <v>0</v>
      </c>
      <c r="AT235" s="383">
        <f>SUMIF('Asesorías AG anterior'!$B$7:$B$239,B235,'Asesorías AG anterior'!$Y$7:$Y$239)</f>
        <v>0</v>
      </c>
      <c r="AU235" s="383">
        <f>SUMIF('Asesorías AG anterior'!$B$7:$B$239,B235,'Asesorías AG anterior'!$Z$7:$Z$239)</f>
        <v>0</v>
      </c>
      <c r="AV235" s="383">
        <f>SUMIF('Asesorías AG anterior'!$B$7:$B$239,B235,'Asesorías AG anterior'!$AA$7:$AA$239)</f>
        <v>0</v>
      </c>
      <c r="AW235" s="383">
        <f>SUMIF('Asesorías AG anterior'!$B$7:$B$239,B235,'Asesorías AG anterior'!$AB$7:$AB$239)</f>
        <v>0</v>
      </c>
      <c r="AX235" s="335"/>
    </row>
    <row r="236" spans="1:52" x14ac:dyDescent="0.2">
      <c r="A236" s="1184"/>
      <c r="B236" s="1097"/>
      <c r="C236" s="1097"/>
      <c r="D236" s="1097"/>
      <c r="E236" s="1521"/>
      <c r="F236" s="1517"/>
      <c r="G236" s="1251"/>
      <c r="H236" s="1240"/>
      <c r="I236" s="1148"/>
      <c r="J236" s="383"/>
      <c r="K236" s="712"/>
      <c r="L236" s="487"/>
      <c r="M236" s="927"/>
      <c r="N236" s="672">
        <v>0</v>
      </c>
      <c r="O236" s="713"/>
      <c r="P236" s="1092">
        <f t="shared" si="78"/>
        <v>0</v>
      </c>
      <c r="Q236" s="1093">
        <v>0</v>
      </c>
      <c r="R236" s="381">
        <v>0</v>
      </c>
      <c r="S236" s="382"/>
      <c r="T236" s="381"/>
      <c r="U236" s="624"/>
      <c r="V236" s="569">
        <f t="shared" ref="V236:V238" si="80">+X236+Z236+AB236</f>
        <v>0</v>
      </c>
      <c r="W236" s="607"/>
      <c r="X236" s="383"/>
      <c r="Y236" s="607"/>
      <c r="Z236" s="383"/>
      <c r="AA236" s="607"/>
      <c r="AB236" s="718"/>
      <c r="AC236" s="335"/>
      <c r="AD236" s="383">
        <f>SUMIF('Asesorías AG anterior'!$B$7:$B$239,B236,'Asesorías AG anterior'!$I$7:$I$239)</f>
        <v>0</v>
      </c>
      <c r="AE236" s="383">
        <f>SUMIF('Asesorías AG anterior'!$B$7:$B$239,B236,'Asesorías AG anterior'!$J$7:$J$239)</f>
        <v>0</v>
      </c>
      <c r="AF236" s="383">
        <f>SUMIF('Asesorías AG anterior'!$B$7:$B$239,B236,'Asesorías AG anterior'!$K$7:$K$239)</f>
        <v>0</v>
      </c>
      <c r="AG236" s="383">
        <f>SUMIF('Asesorías AG anterior'!$B$7:$B$239,B236,'Asesorías AG anterior'!$L$7:$L$239)</f>
        <v>0</v>
      </c>
      <c r="AH236" s="383">
        <f>SUMIF('Asesorías AG anterior'!$B$7:$B$239,B236,'Asesorías AG anterior'!$M$7:$M$239)</f>
        <v>0</v>
      </c>
      <c r="AI236" s="383">
        <f>SUMIF('Asesorías AG anterior'!$B$7:$B$239,B236,'Asesorías AG anterior'!$N$7:$N$239)</f>
        <v>0</v>
      </c>
      <c r="AJ236" s="383">
        <f>SUMIF('Asesorías AG anterior'!$B$7:$B$239,B236,'Asesorías AG anterior'!$O$7:$O$239)</f>
        <v>0</v>
      </c>
      <c r="AK236" s="383">
        <f>SUMIF('Asesorías AG anterior'!$B$7:$B$239,B236,'Asesorías AG anterior'!$P$7:$P$239)</f>
        <v>0</v>
      </c>
      <c r="AL236" s="383">
        <f>SUMIF('Asesorías AG anterior'!$B$7:$B$239,B236,'Asesorías AG anterior'!$Q$7:$Q$239)</f>
        <v>0</v>
      </c>
      <c r="AM236" s="383">
        <f>SUMIF('Asesorías AG anterior'!$B$7:$B$239,B236,'Asesorías AG anterior'!$R$7:$R$239)</f>
        <v>0</v>
      </c>
      <c r="AN236" s="383"/>
      <c r="AO236" s="383">
        <f>SUMIF('Asesorías AG anterior'!$B$7:$B$239,B236,'Asesorías AG anterior'!$T$7:$T$239)</f>
        <v>0</v>
      </c>
      <c r="AP236" s="383">
        <f>SUMIF('Asesorías AG anterior'!$B$7:$B$239,B236,'Asesorías AG anterior'!$U$7:$U$239)</f>
        <v>0</v>
      </c>
      <c r="AQ236" s="383">
        <f>SUMIF('Asesorías AG anterior'!$B$7:$B$239,B236,'Asesorías AG anterior'!$V$7:$V$239)</f>
        <v>0</v>
      </c>
      <c r="AR236" s="383">
        <f>SUMIF('Asesorías AG anterior'!$B$7:$B$239,B236,'Asesorías AG anterior'!$W$7:$W$239)</f>
        <v>0</v>
      </c>
      <c r="AS236" s="383">
        <f>SUMIF('Asesorías AG anterior'!$B$7:$B$239,B236,'Asesorías AG anterior'!$X$7:$X$239)</f>
        <v>0</v>
      </c>
      <c r="AT236" s="383">
        <f>SUMIF('Asesorías AG anterior'!$B$7:$B$239,B236,'Asesorías AG anterior'!$Y$7:$Y$239)</f>
        <v>0</v>
      </c>
      <c r="AU236" s="383">
        <f>SUMIF('Asesorías AG anterior'!$B$7:$B$239,B236,'Asesorías AG anterior'!$Z$7:$Z$239)</f>
        <v>0</v>
      </c>
      <c r="AV236" s="383">
        <f>SUMIF('Asesorías AG anterior'!$B$7:$B$239,B236,'Asesorías AG anterior'!$AA$7:$AA$239)</f>
        <v>0</v>
      </c>
      <c r="AW236" s="383">
        <f>SUMIF('Asesorías AG anterior'!$B$7:$B$239,B236,'Asesorías AG anterior'!$AB$7:$AB$239)</f>
        <v>0</v>
      </c>
      <c r="AX236" s="335"/>
      <c r="AZ236" s="352"/>
    </row>
    <row r="237" spans="1:52" x14ac:dyDescent="0.2">
      <c r="A237" s="1184"/>
      <c r="B237" s="1097"/>
      <c r="C237" s="1097"/>
      <c r="D237" s="1097"/>
      <c r="E237" s="1521"/>
      <c r="F237" s="1517"/>
      <c r="G237" s="1251"/>
      <c r="H237" s="1240"/>
      <c r="I237" s="1148"/>
      <c r="J237" s="383"/>
      <c r="K237" s="712"/>
      <c r="L237" s="487"/>
      <c r="M237" s="927"/>
      <c r="N237" s="672">
        <v>0</v>
      </c>
      <c r="O237" s="713"/>
      <c r="P237" s="1092">
        <f t="shared" ref="P237:P238" si="81">ROUND(IF(O237="SI",AK237*(100%+$P$4),0),-4)</f>
        <v>0</v>
      </c>
      <c r="Q237" s="1093">
        <v>0</v>
      </c>
      <c r="R237" s="381">
        <v>0</v>
      </c>
      <c r="S237" s="382"/>
      <c r="T237" s="381"/>
      <c r="U237" s="624"/>
      <c r="V237" s="569">
        <f t="shared" si="80"/>
        <v>0</v>
      </c>
      <c r="W237" s="607"/>
      <c r="X237" s="383"/>
      <c r="Y237" s="607"/>
      <c r="Z237" s="383"/>
      <c r="AA237" s="607"/>
      <c r="AB237" s="718"/>
      <c r="AC237" s="335"/>
      <c r="AD237" s="383">
        <f>SUMIF('Asesorías AG anterior'!$B$7:$B$239,B237,'Asesorías AG anterior'!$I$7:$I$239)</f>
        <v>0</v>
      </c>
      <c r="AE237" s="383">
        <f>SUMIF('Asesorías AG anterior'!$B$7:$B$239,B237,'Asesorías AG anterior'!$J$7:$J$239)</f>
        <v>0</v>
      </c>
      <c r="AF237" s="383">
        <f>SUMIF('Asesorías AG anterior'!$B$7:$B$239,B237,'Asesorías AG anterior'!$K$7:$K$239)</f>
        <v>0</v>
      </c>
      <c r="AG237" s="383">
        <f>SUMIF('Asesorías AG anterior'!$B$7:$B$239,B237,'Asesorías AG anterior'!$L$7:$L$239)</f>
        <v>0</v>
      </c>
      <c r="AH237" s="383">
        <f>SUMIF('Asesorías AG anterior'!$B$7:$B$239,B237,'Asesorías AG anterior'!$M$7:$M$239)</f>
        <v>0</v>
      </c>
      <c r="AI237" s="383">
        <f>SUMIF('Asesorías AG anterior'!$B$7:$B$239,B237,'Asesorías AG anterior'!$N$7:$N$239)</f>
        <v>0</v>
      </c>
      <c r="AJ237" s="383">
        <f>SUMIF('Asesorías AG anterior'!$B$7:$B$239,B237,'Asesorías AG anterior'!$O$7:$O$239)</f>
        <v>0</v>
      </c>
      <c r="AK237" s="383">
        <f>SUMIF('Asesorías AG anterior'!$B$7:$B$239,B237,'Asesorías AG anterior'!$P$7:$P$239)</f>
        <v>0</v>
      </c>
      <c r="AL237" s="383">
        <f>SUMIF('Asesorías AG anterior'!$B$7:$B$239,B237,'Asesorías AG anterior'!$Q$7:$Q$239)</f>
        <v>0</v>
      </c>
      <c r="AM237" s="383">
        <f>SUMIF('Asesorías AG anterior'!$B$7:$B$239,B237,'Asesorías AG anterior'!$R$7:$R$239)</f>
        <v>0</v>
      </c>
      <c r="AN237" s="383"/>
      <c r="AO237" s="383">
        <f>SUMIF('Asesorías AG anterior'!$B$7:$B$239,B237,'Asesorías AG anterior'!$T$7:$T$239)</f>
        <v>0</v>
      </c>
      <c r="AP237" s="383">
        <f>SUMIF('Asesorías AG anterior'!$B$7:$B$239,B237,'Asesorías AG anterior'!$U$7:$U$239)</f>
        <v>0</v>
      </c>
      <c r="AQ237" s="383">
        <f>SUMIF('Asesorías AG anterior'!$B$7:$B$239,B237,'Asesorías AG anterior'!$V$7:$V$239)</f>
        <v>0</v>
      </c>
      <c r="AR237" s="383">
        <f>SUMIF('Asesorías AG anterior'!$B$7:$B$239,B237,'Asesorías AG anterior'!$W$7:$W$239)</f>
        <v>0</v>
      </c>
      <c r="AS237" s="383">
        <f>SUMIF('Asesorías AG anterior'!$B$7:$B$239,B237,'Asesorías AG anterior'!$X$7:$X$239)</f>
        <v>0</v>
      </c>
      <c r="AT237" s="383">
        <f>SUMIF('Asesorías AG anterior'!$B$7:$B$239,B237,'Asesorías AG anterior'!$Y$7:$Y$239)</f>
        <v>0</v>
      </c>
      <c r="AU237" s="383">
        <f>SUMIF('Asesorías AG anterior'!$B$7:$B$239,B237,'Asesorías AG anterior'!$Z$7:$Z$239)</f>
        <v>0</v>
      </c>
      <c r="AV237" s="383">
        <f>SUMIF('Asesorías AG anterior'!$B$7:$B$239,B237,'Asesorías AG anterior'!$AA$7:$AA$239)</f>
        <v>0</v>
      </c>
      <c r="AW237" s="383">
        <f>SUMIF('Asesorías AG anterior'!$B$7:$B$239,B237,'Asesorías AG anterior'!$AB$7:$AB$239)</f>
        <v>0</v>
      </c>
      <c r="AX237" s="335"/>
      <c r="AZ237" s="352"/>
    </row>
    <row r="238" spans="1:52" x14ac:dyDescent="0.2">
      <c r="A238" s="1184"/>
      <c r="B238" s="1097"/>
      <c r="C238" s="1097"/>
      <c r="D238" s="1097"/>
      <c r="E238" s="1521"/>
      <c r="F238" s="1517"/>
      <c r="G238" s="1251"/>
      <c r="H238" s="1240"/>
      <c r="I238" s="1148"/>
      <c r="J238" s="383"/>
      <c r="K238" s="712"/>
      <c r="L238" s="487"/>
      <c r="M238" s="927"/>
      <c r="N238" s="672">
        <v>0</v>
      </c>
      <c r="O238" s="713"/>
      <c r="P238" s="1092">
        <f t="shared" si="81"/>
        <v>0</v>
      </c>
      <c r="Q238" s="1093">
        <v>0</v>
      </c>
      <c r="R238" s="381">
        <v>0</v>
      </c>
      <c r="S238" s="382"/>
      <c r="T238" s="381"/>
      <c r="U238" s="624"/>
      <c r="V238" s="569">
        <f t="shared" si="80"/>
        <v>0</v>
      </c>
      <c r="W238" s="607"/>
      <c r="X238" s="383"/>
      <c r="Y238" s="607"/>
      <c r="Z238" s="383"/>
      <c r="AA238" s="607"/>
      <c r="AB238" s="718"/>
      <c r="AC238" s="335"/>
      <c r="AD238" s="383">
        <f>SUMIF('Asesorías AG anterior'!$B$7:$B$239,B238,'Asesorías AG anterior'!$I$7:$I$239)</f>
        <v>0</v>
      </c>
      <c r="AE238" s="383">
        <f>SUMIF('Asesorías AG anterior'!$B$7:$B$239,B238,'Asesorías AG anterior'!$J$7:$J$239)</f>
        <v>0</v>
      </c>
      <c r="AF238" s="383">
        <f>SUMIF('Asesorías AG anterior'!$B$7:$B$239,B238,'Asesorías AG anterior'!$K$7:$K$239)</f>
        <v>0</v>
      </c>
      <c r="AG238" s="383">
        <f>SUMIF('Asesorías AG anterior'!$B$7:$B$239,B238,'Asesorías AG anterior'!$L$7:$L$239)</f>
        <v>0</v>
      </c>
      <c r="AH238" s="383">
        <f>SUMIF('Asesorías AG anterior'!$B$7:$B$239,B238,'Asesorías AG anterior'!$M$7:$M$239)</f>
        <v>0</v>
      </c>
      <c r="AI238" s="383">
        <f>SUMIF('Asesorías AG anterior'!$B$7:$B$239,B238,'Asesorías AG anterior'!$N$7:$N$239)</f>
        <v>0</v>
      </c>
      <c r="AJ238" s="383">
        <f>SUMIF('Asesorías AG anterior'!$B$7:$B$239,B238,'Asesorías AG anterior'!$O$7:$O$239)</f>
        <v>0</v>
      </c>
      <c r="AK238" s="383">
        <f>SUMIF('Asesorías AG anterior'!$B$7:$B$239,B238,'Asesorías AG anterior'!$P$7:$P$239)</f>
        <v>0</v>
      </c>
      <c r="AL238" s="383">
        <f>SUMIF('Asesorías AG anterior'!$B$7:$B$239,B238,'Asesorías AG anterior'!$Q$7:$Q$239)</f>
        <v>0</v>
      </c>
      <c r="AM238" s="383">
        <f>SUMIF('Asesorías AG anterior'!$B$7:$B$239,B238,'Asesorías AG anterior'!$R$7:$R$239)</f>
        <v>0</v>
      </c>
      <c r="AN238" s="383"/>
      <c r="AO238" s="383">
        <f>SUMIF('Asesorías AG anterior'!$B$7:$B$239,B238,'Asesorías AG anterior'!$T$7:$T$239)</f>
        <v>0</v>
      </c>
      <c r="AP238" s="383">
        <f>SUMIF('Asesorías AG anterior'!$B$7:$B$239,B238,'Asesorías AG anterior'!$U$7:$U$239)</f>
        <v>0</v>
      </c>
      <c r="AQ238" s="383">
        <f>SUMIF('Asesorías AG anterior'!$B$7:$B$239,B238,'Asesorías AG anterior'!$V$7:$V$239)</f>
        <v>0</v>
      </c>
      <c r="AR238" s="383">
        <f>SUMIF('Asesorías AG anterior'!$B$7:$B$239,B238,'Asesorías AG anterior'!$W$7:$W$239)</f>
        <v>0</v>
      </c>
      <c r="AS238" s="383">
        <f>SUMIF('Asesorías AG anterior'!$B$7:$B$239,B238,'Asesorías AG anterior'!$X$7:$X$239)</f>
        <v>0</v>
      </c>
      <c r="AT238" s="383">
        <f>SUMIF('Asesorías AG anterior'!$B$7:$B$239,B238,'Asesorías AG anterior'!$Y$7:$Y$239)</f>
        <v>0</v>
      </c>
      <c r="AU238" s="383">
        <f>SUMIF('Asesorías AG anterior'!$B$7:$B$239,B238,'Asesorías AG anterior'!$Z$7:$Z$239)</f>
        <v>0</v>
      </c>
      <c r="AV238" s="383">
        <f>SUMIF('Asesorías AG anterior'!$B$7:$B$239,B238,'Asesorías AG anterior'!$AA$7:$AA$239)</f>
        <v>0</v>
      </c>
      <c r="AW238" s="383">
        <f>SUMIF('Asesorías AG anterior'!$B$7:$B$239,B238,'Asesorías AG anterior'!$AB$7:$AB$239)</f>
        <v>0</v>
      </c>
      <c r="AX238" s="335"/>
      <c r="AZ238" s="352"/>
    </row>
    <row r="239" spans="1:52" ht="13.5" thickBot="1" x14ac:dyDescent="0.25">
      <c r="A239" s="393"/>
      <c r="B239" s="742"/>
      <c r="C239" s="830"/>
      <c r="D239" s="830"/>
      <c r="E239" s="1522"/>
      <c r="F239" s="1518"/>
      <c r="G239" s="1252"/>
      <c r="H239" s="1241"/>
      <c r="I239" s="1242"/>
      <c r="J239" s="743"/>
      <c r="K239" s="714"/>
      <c r="L239" s="517"/>
      <c r="M239" s="928"/>
      <c r="N239" s="715"/>
      <c r="O239" s="716"/>
      <c r="P239" s="744"/>
      <c r="Q239" s="745"/>
      <c r="R239" s="392"/>
      <c r="S239" s="746"/>
      <c r="T239" s="392"/>
      <c r="U239" s="747"/>
      <c r="V239" s="622"/>
      <c r="W239" s="623"/>
      <c r="X239" s="743"/>
      <c r="Y239" s="623"/>
      <c r="Z239" s="743"/>
      <c r="AA239" s="623"/>
      <c r="AB239" s="748"/>
      <c r="AC239" s="335"/>
      <c r="AD239" s="381"/>
      <c r="AE239" s="381"/>
      <c r="AF239" s="381"/>
      <c r="AG239" s="381"/>
      <c r="AH239" s="381"/>
      <c r="AI239" s="381"/>
      <c r="AJ239" s="381"/>
      <c r="AK239" s="381"/>
      <c r="AL239" s="381"/>
      <c r="AM239" s="381"/>
      <c r="AN239" s="382"/>
      <c r="AO239" s="381"/>
      <c r="AP239" s="381"/>
      <c r="AQ239" s="383"/>
      <c r="AR239" s="383"/>
      <c r="AS239" s="383"/>
      <c r="AT239" s="383"/>
      <c r="AU239" s="383"/>
      <c r="AV239" s="383"/>
      <c r="AW239" s="383"/>
      <c r="AX239" s="335"/>
      <c r="AZ239" s="352"/>
    </row>
    <row r="240" spans="1:52" ht="13.5" thickBot="1" x14ac:dyDescent="0.25">
      <c r="A240" s="727"/>
      <c r="B240" s="728" t="s">
        <v>385</v>
      </c>
      <c r="C240" s="831"/>
      <c r="D240" s="831"/>
      <c r="E240" s="831"/>
      <c r="F240" s="729">
        <f>SUM(F6:F239)</f>
        <v>16641878.05131256</v>
      </c>
      <c r="G240" s="1253"/>
      <c r="H240" s="1243"/>
      <c r="I240" s="1244"/>
      <c r="J240" s="730">
        <f>SUM(J6:J239)</f>
        <v>7732733.6388634546</v>
      </c>
      <c r="K240" s="731"/>
      <c r="L240" s="732">
        <f>SUM(L6:L239)</f>
        <v>4273144.4124491038</v>
      </c>
      <c r="M240" s="929"/>
      <c r="N240" s="733">
        <f>SUM(N6:N239)</f>
        <v>0</v>
      </c>
      <c r="O240" s="734"/>
      <c r="P240" s="735">
        <f>SUM(P6:P239)</f>
        <v>2400000</v>
      </c>
      <c r="Q240" s="736">
        <f>SUM(Q6:Q239)</f>
        <v>0</v>
      </c>
      <c r="R240" s="737">
        <f>SUM(R6:R239)</f>
        <v>3366000</v>
      </c>
      <c r="S240" s="738"/>
      <c r="T240" s="233"/>
      <c r="U240" s="729">
        <f>SUM(U7:U239)</f>
        <v>900000</v>
      </c>
      <c r="V240" s="739">
        <f>SUM(V7:V239)</f>
        <v>0</v>
      </c>
      <c r="W240" s="740"/>
      <c r="X240" s="730">
        <f>SUM(X7:X239)</f>
        <v>0</v>
      </c>
      <c r="Y240" s="740"/>
      <c r="Z240" s="730">
        <f>SUM(Z7:Z239)</f>
        <v>0</v>
      </c>
      <c r="AA240" s="740"/>
      <c r="AB240" s="741">
        <f>SUM(AB7:AB239)</f>
        <v>0</v>
      </c>
      <c r="AC240" s="335"/>
      <c r="AD240" s="389"/>
      <c r="AE240" s="684">
        <f>SUM(AE7:AE239)</f>
        <v>19357501.083599865</v>
      </c>
      <c r="AF240" s="381"/>
      <c r="AG240" s="684">
        <f>SUM(AG7:AG239)</f>
        <v>17295789.16503245</v>
      </c>
      <c r="AH240" s="381"/>
      <c r="AI240" s="684">
        <f>SUM(AI7:AI239)</f>
        <v>14586075</v>
      </c>
      <c r="AJ240" s="389"/>
      <c r="AK240" s="684">
        <f>SUM(AK7:AK239)</f>
        <v>2400000</v>
      </c>
      <c r="AL240" s="684">
        <f>SUM(AL7:AL239)</f>
        <v>15600000</v>
      </c>
      <c r="AM240" s="684">
        <f>SUM(AM7:AM239)</f>
        <v>31050000</v>
      </c>
      <c r="AN240" s="684">
        <f>SUM(AN7:AN239)</f>
        <v>0</v>
      </c>
      <c r="AO240" s="381"/>
      <c r="AP240" s="684">
        <f t="shared" ref="AP240:AW240" si="82">SUM(AP7:AP239)</f>
        <v>0</v>
      </c>
      <c r="AQ240" s="684">
        <f t="shared" si="82"/>
        <v>0</v>
      </c>
      <c r="AR240" s="684">
        <f t="shared" si="82"/>
        <v>0</v>
      </c>
      <c r="AS240" s="684">
        <f t="shared" si="82"/>
        <v>0</v>
      </c>
      <c r="AT240" s="684">
        <f t="shared" si="82"/>
        <v>0</v>
      </c>
      <c r="AU240" s="684">
        <f t="shared" si="82"/>
        <v>0</v>
      </c>
      <c r="AV240" s="684">
        <f t="shared" si="82"/>
        <v>0</v>
      </c>
      <c r="AW240" s="684">
        <f t="shared" si="82"/>
        <v>0</v>
      </c>
      <c r="AX240" s="335"/>
      <c r="AZ240" s="352"/>
    </row>
    <row r="241" spans="1:52" x14ac:dyDescent="0.2">
      <c r="A241" s="694"/>
      <c r="B241" s="337"/>
      <c r="C241" s="337"/>
      <c r="D241" s="337"/>
      <c r="E241" s="337"/>
      <c r="F241" s="336"/>
      <c r="G241" s="1250"/>
      <c r="H241" s="336"/>
      <c r="AC241" s="335"/>
      <c r="AD241" s="687"/>
      <c r="AE241" s="688"/>
      <c r="AF241" s="689"/>
      <c r="AG241" s="688"/>
      <c r="AH241" s="689"/>
      <c r="AI241" s="689"/>
      <c r="AJ241" s="689"/>
      <c r="AK241" s="689"/>
      <c r="AL241" s="689"/>
      <c r="AM241" s="690"/>
      <c r="AN241" s="688"/>
      <c r="AO241" s="689"/>
      <c r="AP241" s="691"/>
      <c r="AX241" s="335"/>
      <c r="AZ241" s="923"/>
    </row>
    <row r="242" spans="1:52" x14ac:dyDescent="0.2">
      <c r="A242" s="338"/>
      <c r="B242" s="339"/>
      <c r="C242" s="339"/>
      <c r="D242" s="339"/>
      <c r="E242" s="339"/>
      <c r="F242" s="340"/>
      <c r="G242" s="711"/>
      <c r="H242" s="340"/>
      <c r="I242" s="675"/>
      <c r="J242" s="344"/>
      <c r="K242" s="340"/>
      <c r="L242" s="335"/>
      <c r="M242" s="930"/>
      <c r="N242" s="673"/>
      <c r="O242" s="679"/>
      <c r="P242" s="680"/>
      <c r="Q242" s="683"/>
      <c r="R242" s="685"/>
      <c r="S242" s="346"/>
      <c r="T242" s="335"/>
      <c r="U242" s="335"/>
      <c r="V242" s="711"/>
      <c r="W242" s="711"/>
      <c r="X242" s="344"/>
      <c r="Y242" s="711"/>
      <c r="Z242" s="344"/>
      <c r="AA242" s="711"/>
      <c r="AB242" s="344"/>
      <c r="AC242" s="335"/>
      <c r="AD242" s="335"/>
      <c r="AE242" s="335"/>
      <c r="AF242" s="335"/>
      <c r="AG242" s="335"/>
      <c r="AH242" s="335"/>
      <c r="AI242" s="335"/>
      <c r="AJ242" s="335"/>
      <c r="AK242" s="335"/>
      <c r="AL242" s="335"/>
      <c r="AM242" s="335"/>
      <c r="AN242" s="335"/>
      <c r="AO242" s="335"/>
      <c r="AP242" s="335"/>
      <c r="AQ242" s="335"/>
      <c r="AR242" s="335"/>
      <c r="AS242" s="335"/>
      <c r="AT242" s="335"/>
      <c r="AU242" s="335"/>
      <c r="AV242" s="335"/>
      <c r="AW242" s="335"/>
      <c r="AX242" s="335"/>
      <c r="AZ242" s="352"/>
    </row>
    <row r="243" spans="1:52" x14ac:dyDescent="0.2">
      <c r="A243" s="921">
        <f>+Facturas!D82+'Cuentas de Cobro'!D217</f>
        <v>223</v>
      </c>
      <c r="C243" s="710"/>
      <c r="D243" s="710"/>
      <c r="E243" s="710"/>
      <c r="F243" s="336"/>
      <c r="G243" s="1250"/>
      <c r="H243" s="336"/>
    </row>
    <row r="244" spans="1:52" x14ac:dyDescent="0.2">
      <c r="A244" s="922">
        <f>+A234-A243</f>
        <v>3</v>
      </c>
      <c r="B244" s="710"/>
      <c r="C244" s="710"/>
      <c r="D244" s="710"/>
      <c r="E244" s="710"/>
      <c r="F244" s="336"/>
      <c r="G244" s="1250"/>
      <c r="H244" s="336"/>
    </row>
    <row r="246" spans="1:52" x14ac:dyDescent="0.2">
      <c r="AZ246" s="65"/>
    </row>
    <row r="248" spans="1:52" x14ac:dyDescent="0.2">
      <c r="A248" s="1515" t="s">
        <v>897</v>
      </c>
      <c r="B248" s="149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FCA3-1316-4A15-B32F-587711932475}">
  <sheetPr codeName="Hoja6">
    <tabColor rgb="FFFF0000"/>
  </sheetPr>
  <dimension ref="A1:IT93"/>
  <sheetViews>
    <sheetView showGridLines="0"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12" sqref="A12"/>
    </sheetView>
  </sheetViews>
  <sheetFormatPr baseColWidth="10" defaultColWidth="9.6640625" defaultRowHeight="12.75" x14ac:dyDescent="0.2"/>
  <cols>
    <col min="1" max="1" width="4.6640625" style="172" customWidth="1"/>
    <col min="2" max="2" width="41.5546875" style="22" customWidth="1"/>
    <col min="3" max="3" width="7.6640625" style="492" bestFit="1" customWidth="1"/>
    <col min="4" max="4" width="13.77734375" style="215" customWidth="1"/>
    <col min="5" max="5" width="2.77734375" style="28" customWidth="1"/>
    <col min="6" max="7" width="12.77734375" style="22" customWidth="1"/>
    <col min="8" max="8" width="12.77734375" style="1534" customWidth="1"/>
    <col min="9" max="9" width="13.88671875" style="499" customWidth="1"/>
    <col min="10" max="10" width="12.77734375" style="486" customWidth="1"/>
    <col min="11" max="11" width="12.77734375" style="22" customWidth="1"/>
    <col min="12" max="12" width="10.33203125" style="1058" customWidth="1"/>
    <col min="13" max="13" width="10.44140625" style="1063" customWidth="1"/>
    <col min="14" max="14" width="20.33203125" style="1063" customWidth="1"/>
    <col min="15" max="15" width="16.33203125" style="1063" customWidth="1"/>
    <col min="16" max="16" width="12.5546875" style="1063" customWidth="1"/>
    <col min="17" max="17" width="13.44140625" style="110" bestFit="1" customWidth="1"/>
    <col min="18" max="18" width="7.77734375" style="110" customWidth="1"/>
    <col min="19" max="19" width="35.77734375" style="329" bestFit="1" customWidth="1"/>
    <col min="20" max="20" width="4.77734375" style="22" customWidth="1"/>
    <col min="21" max="21" width="4.77734375" style="52" customWidth="1"/>
    <col min="22" max="22" width="13.77734375" style="51" customWidth="1"/>
    <col min="23" max="23" width="4.77734375" style="52" customWidth="1"/>
    <col min="24" max="24" width="13.77734375" style="51" customWidth="1"/>
    <col min="25" max="25" width="4.77734375" style="52" customWidth="1"/>
    <col min="26" max="26" width="13.77734375" style="51" customWidth="1"/>
    <col min="27" max="27" width="4.77734375" style="901" customWidth="1"/>
    <col min="28" max="28" width="13.77734375" style="341" customWidth="1"/>
    <col min="29" max="29" width="4.77734375" style="901" customWidth="1"/>
    <col min="30" max="30" width="13.77734375" style="341" customWidth="1"/>
    <col min="31" max="31" width="4.77734375" style="53" customWidth="1"/>
    <col min="32" max="32" width="13.77734375" style="51" customWidth="1"/>
    <col min="33" max="33" width="4.77734375" style="53" customWidth="1"/>
    <col min="34" max="34" width="13.77734375" style="51" customWidth="1"/>
    <col min="35" max="35" width="4.77734375" style="54" customWidth="1"/>
    <col min="36" max="36" width="13.77734375" style="51" customWidth="1"/>
    <col min="37" max="37" width="14.109375" style="499" customWidth="1"/>
    <col min="38" max="38" width="13.77734375" style="51" customWidth="1"/>
    <col min="39" max="39" width="14.88671875" style="55" customWidth="1"/>
    <col min="40" max="40" width="1.6640625" style="22" customWidth="1"/>
    <col min="41" max="41" width="15" style="352" customWidth="1"/>
    <col min="42" max="42" width="11.6640625" style="352" bestFit="1" customWidth="1"/>
    <col min="43" max="43" width="12.77734375" style="352" customWidth="1"/>
    <col min="44" max="64" width="9.6640625" style="352"/>
    <col min="65" max="94" width="9.6640625" style="341"/>
    <col min="95" max="254" width="9.6640625" style="22"/>
    <col min="255" max="16384" width="9.6640625" style="949"/>
  </cols>
  <sheetData>
    <row r="1" spans="1:254" ht="20.100000000000001" customHeight="1" x14ac:dyDescent="0.2">
      <c r="A1" s="165" t="s">
        <v>352</v>
      </c>
      <c r="T1" s="24"/>
    </row>
    <row r="2" spans="1:254" ht="25.5" x14ac:dyDescent="0.2">
      <c r="A2" s="165" t="s">
        <v>619</v>
      </c>
      <c r="B2" s="18"/>
      <c r="C2" s="489"/>
      <c r="D2" s="945"/>
      <c r="E2" s="18"/>
      <c r="F2" s="18"/>
      <c r="G2" s="18"/>
      <c r="H2" s="1535"/>
      <c r="I2" s="173"/>
      <c r="J2" s="480"/>
      <c r="K2" s="18"/>
      <c r="L2" s="1057"/>
      <c r="M2" s="896"/>
      <c r="N2" s="896"/>
      <c r="O2" s="896"/>
      <c r="P2" s="896"/>
      <c r="Q2" s="840" t="s">
        <v>637</v>
      </c>
      <c r="S2" s="566" t="s">
        <v>638</v>
      </c>
      <c r="T2" s="24"/>
      <c r="U2" s="18" t="s">
        <v>347</v>
      </c>
      <c r="V2" s="18"/>
      <c r="W2" s="18"/>
      <c r="X2" s="18"/>
      <c r="Y2" s="18"/>
      <c r="Z2" s="18"/>
      <c r="AA2" s="900"/>
      <c r="AB2" s="896"/>
      <c r="AC2" s="900"/>
      <c r="AD2" s="896"/>
      <c r="AE2" s="18"/>
      <c r="AF2" s="18"/>
      <c r="AG2" s="18"/>
      <c r="AH2" s="18"/>
      <c r="AI2" s="18"/>
      <c r="AJ2" s="18"/>
      <c r="AK2" s="173"/>
      <c r="AL2" s="18"/>
      <c r="AM2" s="18"/>
      <c r="AN2" s="649"/>
      <c r="AO2" s="560" t="s">
        <v>719</v>
      </c>
      <c r="AP2" s="1617" t="s">
        <v>640</v>
      </c>
      <c r="AQ2" s="843" t="s">
        <v>639</v>
      </c>
    </row>
    <row r="3" spans="1:254" ht="15" x14ac:dyDescent="0.2">
      <c r="A3" s="265" t="s">
        <v>720</v>
      </c>
      <c r="B3" s="20"/>
      <c r="C3" s="481"/>
      <c r="D3" s="946"/>
      <c r="E3" s="1618"/>
      <c r="Q3" s="1619">
        <v>220000</v>
      </c>
      <c r="R3" s="937"/>
      <c r="S3" s="1619">
        <v>350000</v>
      </c>
      <c r="T3" s="24"/>
      <c r="V3" s="558"/>
      <c r="X3" s="558"/>
      <c r="Z3" s="558"/>
      <c r="AE3" s="559"/>
      <c r="AF3" s="558"/>
      <c r="AG3" s="559"/>
      <c r="AH3" s="558"/>
      <c r="AJ3" s="558"/>
      <c r="AL3" s="558"/>
      <c r="AN3" s="649"/>
      <c r="AO3" s="561">
        <v>9.2799999999999994E-2</v>
      </c>
      <c r="AP3" s="1620">
        <v>200000</v>
      </c>
      <c r="AQ3" s="1620">
        <v>320000</v>
      </c>
      <c r="AS3" s="561"/>
    </row>
    <row r="4" spans="1:254" x14ac:dyDescent="0.2">
      <c r="A4" s="61" t="s">
        <v>350</v>
      </c>
      <c r="B4" s="26"/>
      <c r="C4" s="482"/>
      <c r="D4" s="168"/>
      <c r="E4" s="58"/>
      <c r="F4" s="1624" t="s">
        <v>864</v>
      </c>
      <c r="G4" s="1625"/>
      <c r="H4" s="1626"/>
      <c r="I4" s="1625"/>
      <c r="J4" s="1625"/>
      <c r="K4" s="1625"/>
      <c r="L4" s="1625"/>
      <c r="M4" s="1625"/>
      <c r="N4" s="1626"/>
      <c r="O4" s="1626"/>
      <c r="P4" s="1626"/>
      <c r="Q4" s="1625"/>
      <c r="R4" s="1627"/>
      <c r="S4" s="1621"/>
      <c r="T4" s="24"/>
      <c r="U4" s="887" t="s">
        <v>865</v>
      </c>
      <c r="V4" s="888"/>
      <c r="W4" s="888"/>
      <c r="X4" s="888"/>
      <c r="Y4" s="888"/>
      <c r="Z4" s="888"/>
      <c r="AA4" s="902"/>
      <c r="AB4" s="897"/>
      <c r="AC4" s="902"/>
      <c r="AD4" s="897"/>
      <c r="AE4" s="888"/>
      <c r="AF4" s="888"/>
      <c r="AG4" s="888"/>
      <c r="AH4" s="888"/>
      <c r="AI4" s="888"/>
      <c r="AJ4" s="888"/>
      <c r="AK4" s="888"/>
      <c r="AL4" s="888"/>
      <c r="AM4" s="889"/>
      <c r="AN4" s="649"/>
      <c r="AO4" s="908" t="s">
        <v>641</v>
      </c>
      <c r="AP4" s="844">
        <v>218560</v>
      </c>
      <c r="AQ4" s="844">
        <v>349696</v>
      </c>
    </row>
    <row r="5" spans="1:254" ht="13.5" thickBot="1" x14ac:dyDescent="0.25">
      <c r="A5" s="166"/>
      <c r="B5" s="26"/>
      <c r="C5" s="482"/>
      <c r="D5" s="168"/>
      <c r="E5" s="58"/>
      <c r="F5" s="306"/>
      <c r="G5" s="307">
        <v>0.19</v>
      </c>
      <c r="H5" s="1536"/>
      <c r="I5" s="1536">
        <v>0.11</v>
      </c>
      <c r="J5" s="522"/>
      <c r="K5" s="307"/>
      <c r="L5" s="1059"/>
      <c r="M5" s="1064"/>
      <c r="N5" s="1064"/>
      <c r="O5" s="1064"/>
      <c r="P5" s="1064"/>
      <c r="Q5" s="308"/>
      <c r="R5" s="309"/>
      <c r="S5" s="1621"/>
      <c r="T5" s="24"/>
      <c r="U5" s="1221" t="s">
        <v>721</v>
      </c>
      <c r="V5" s="1222">
        <v>9.2799999999999994E-2</v>
      </c>
      <c r="W5" s="281"/>
      <c r="X5" s="282">
        <v>0.5</v>
      </c>
      <c r="Y5" s="281"/>
      <c r="Z5" s="281">
        <v>0.75</v>
      </c>
      <c r="AA5" s="871"/>
      <c r="AB5" s="871">
        <v>0.15</v>
      </c>
      <c r="AC5" s="871"/>
      <c r="AD5" s="871">
        <v>0.2</v>
      </c>
      <c r="AE5" s="282"/>
      <c r="AF5" s="283">
        <v>0.1</v>
      </c>
      <c r="AG5" s="283"/>
      <c r="AH5" s="283">
        <v>0.2</v>
      </c>
      <c r="AI5" s="284"/>
      <c r="AJ5" s="284">
        <v>0.3</v>
      </c>
      <c r="AK5" s="285"/>
      <c r="AL5" s="284"/>
      <c r="AM5" s="878"/>
      <c r="AN5" s="24"/>
    </row>
    <row r="6" spans="1:254" s="950" customFormat="1" ht="42.75" thickBot="1" x14ac:dyDescent="0.25">
      <c r="A6" s="167" t="s">
        <v>2</v>
      </c>
      <c r="B6" s="127" t="s">
        <v>279</v>
      </c>
      <c r="C6" s="483" t="s">
        <v>419</v>
      </c>
      <c r="D6" s="213" t="s">
        <v>280</v>
      </c>
      <c r="E6" s="310" t="s">
        <v>333</v>
      </c>
      <c r="F6" s="138" t="s">
        <v>866</v>
      </c>
      <c r="G6" s="139" t="s">
        <v>276</v>
      </c>
      <c r="H6" s="997" t="s">
        <v>469</v>
      </c>
      <c r="I6" s="1545" t="s">
        <v>459</v>
      </c>
      <c r="J6" s="523" t="s">
        <v>460</v>
      </c>
      <c r="K6" s="139" t="s">
        <v>867</v>
      </c>
      <c r="L6" s="1080" t="s">
        <v>714</v>
      </c>
      <c r="M6" s="311" t="s">
        <v>278</v>
      </c>
      <c r="N6" s="311" t="s">
        <v>836</v>
      </c>
      <c r="O6" s="311" t="s">
        <v>288</v>
      </c>
      <c r="P6" s="311" t="s">
        <v>837</v>
      </c>
      <c r="Q6" s="890" t="s">
        <v>381</v>
      </c>
      <c r="R6" s="893" t="s">
        <v>292</v>
      </c>
      <c r="S6" s="125" t="s">
        <v>201</v>
      </c>
      <c r="T6" s="1622"/>
      <c r="U6" s="300" t="s">
        <v>285</v>
      </c>
      <c r="V6" s="132" t="s">
        <v>281</v>
      </c>
      <c r="W6" s="133" t="s">
        <v>285</v>
      </c>
      <c r="X6" s="133" t="s">
        <v>868</v>
      </c>
      <c r="Y6" s="134" t="s">
        <v>285</v>
      </c>
      <c r="Z6" s="134" t="s">
        <v>282</v>
      </c>
      <c r="AA6" s="635" t="s">
        <v>285</v>
      </c>
      <c r="AB6" s="635" t="s">
        <v>643</v>
      </c>
      <c r="AC6" s="635" t="s">
        <v>285</v>
      </c>
      <c r="AD6" s="635" t="s">
        <v>644</v>
      </c>
      <c r="AE6" s="135" t="s">
        <v>285</v>
      </c>
      <c r="AF6" s="135" t="s">
        <v>869</v>
      </c>
      <c r="AG6" s="135" t="s">
        <v>285</v>
      </c>
      <c r="AH6" s="135" t="s">
        <v>870</v>
      </c>
      <c r="AI6" s="136" t="s">
        <v>285</v>
      </c>
      <c r="AJ6" s="136" t="s">
        <v>283</v>
      </c>
      <c r="AK6" s="203" t="s">
        <v>284</v>
      </c>
      <c r="AL6" s="203" t="s">
        <v>380</v>
      </c>
      <c r="AM6" s="299" t="s">
        <v>286</v>
      </c>
      <c r="AN6" s="1622"/>
      <c r="AO6" s="630" t="s">
        <v>506</v>
      </c>
      <c r="AP6" s="337"/>
      <c r="AQ6" s="337"/>
      <c r="AR6" s="337"/>
      <c r="AS6" s="337"/>
      <c r="AT6" s="337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337"/>
      <c r="BG6" s="337"/>
      <c r="BH6" s="337"/>
      <c r="BI6" s="337"/>
      <c r="BJ6" s="337"/>
      <c r="BK6" s="337"/>
      <c r="BL6" s="337"/>
      <c r="BM6" s="342"/>
      <c r="BN6" s="342"/>
      <c r="BO6" s="342"/>
      <c r="BP6" s="342"/>
      <c r="BQ6" s="342"/>
      <c r="BR6" s="342"/>
      <c r="BS6" s="342"/>
      <c r="BT6" s="342"/>
      <c r="BU6" s="342"/>
      <c r="BV6" s="342"/>
      <c r="BW6" s="342"/>
      <c r="BX6" s="342"/>
      <c r="BY6" s="342"/>
      <c r="BZ6" s="342"/>
      <c r="CA6" s="342"/>
      <c r="CB6" s="342"/>
      <c r="CC6" s="342"/>
      <c r="CD6" s="342"/>
      <c r="CE6" s="342"/>
      <c r="CF6" s="342"/>
      <c r="CG6" s="342"/>
      <c r="CH6" s="342"/>
      <c r="CI6" s="342"/>
      <c r="CJ6" s="342"/>
      <c r="CK6" s="342"/>
      <c r="CL6" s="342"/>
      <c r="CM6" s="342"/>
      <c r="CN6" s="342"/>
      <c r="CO6" s="342"/>
      <c r="CP6" s="342"/>
      <c r="CQ6" s="122"/>
      <c r="CR6" s="122"/>
      <c r="CS6" s="122"/>
      <c r="CT6" s="122"/>
      <c r="CU6" s="122"/>
      <c r="CV6" s="122"/>
      <c r="CW6" s="122"/>
      <c r="CX6" s="122"/>
      <c r="CY6" s="122"/>
      <c r="CZ6" s="122"/>
      <c r="DA6" s="122"/>
      <c r="DB6" s="122"/>
      <c r="DC6" s="122"/>
      <c r="DD6" s="122"/>
      <c r="DE6" s="122"/>
      <c r="DF6" s="122"/>
      <c r="DG6" s="122"/>
      <c r="DH6" s="122"/>
      <c r="DI6" s="122"/>
      <c r="DJ6" s="122"/>
      <c r="DK6" s="122"/>
      <c r="DL6" s="122"/>
      <c r="DM6" s="122"/>
      <c r="DN6" s="122"/>
      <c r="DO6" s="122"/>
      <c r="DP6" s="122"/>
      <c r="DQ6" s="122"/>
      <c r="DR6" s="122"/>
      <c r="DS6" s="122"/>
      <c r="DT6" s="122"/>
      <c r="DU6" s="122"/>
      <c r="DV6" s="122"/>
      <c r="DW6" s="122"/>
      <c r="DX6" s="122"/>
      <c r="DY6" s="122"/>
      <c r="DZ6" s="122"/>
      <c r="EA6" s="122"/>
      <c r="EB6" s="122"/>
      <c r="EC6" s="122"/>
      <c r="ED6" s="122"/>
      <c r="EE6" s="122"/>
      <c r="EF6" s="122"/>
      <c r="EG6" s="122"/>
      <c r="EH6" s="122"/>
      <c r="EI6" s="122"/>
      <c r="EJ6" s="122"/>
      <c r="EK6" s="122"/>
      <c r="EL6" s="122"/>
      <c r="EM6" s="122"/>
      <c r="EN6" s="122"/>
      <c r="EO6" s="122"/>
      <c r="EP6" s="122"/>
      <c r="EQ6" s="122"/>
      <c r="ER6" s="122"/>
      <c r="ES6" s="122"/>
      <c r="ET6" s="122"/>
      <c r="EU6" s="122"/>
      <c r="EV6" s="122"/>
      <c r="EW6" s="122"/>
      <c r="EX6" s="122"/>
      <c r="EY6" s="122"/>
      <c r="EZ6" s="122"/>
      <c r="FA6" s="122"/>
      <c r="FB6" s="122"/>
      <c r="FC6" s="122"/>
      <c r="FD6" s="122"/>
      <c r="FE6" s="122"/>
      <c r="FF6" s="122"/>
      <c r="FG6" s="122"/>
      <c r="FH6" s="122"/>
      <c r="FI6" s="122"/>
      <c r="FJ6" s="122"/>
      <c r="FK6" s="122"/>
      <c r="FL6" s="122"/>
      <c r="FM6" s="122"/>
      <c r="FN6" s="122"/>
      <c r="FO6" s="122"/>
      <c r="FP6" s="122"/>
      <c r="FQ6" s="122"/>
      <c r="FR6" s="122"/>
      <c r="FS6" s="122"/>
      <c r="FT6" s="122"/>
      <c r="FU6" s="122"/>
      <c r="FV6" s="122"/>
      <c r="FW6" s="122"/>
      <c r="FX6" s="122"/>
      <c r="FY6" s="122"/>
      <c r="FZ6" s="122"/>
      <c r="GA6" s="122"/>
      <c r="GB6" s="122"/>
      <c r="GC6" s="122"/>
      <c r="GD6" s="122"/>
      <c r="GE6" s="122"/>
      <c r="GF6" s="122"/>
      <c r="GG6" s="122"/>
      <c r="GH6" s="122"/>
      <c r="GI6" s="122"/>
      <c r="GJ6" s="122"/>
      <c r="GK6" s="122"/>
      <c r="GL6" s="122"/>
      <c r="GM6" s="122"/>
      <c r="GN6" s="122"/>
      <c r="GO6" s="122"/>
      <c r="GP6" s="122"/>
      <c r="GQ6" s="122"/>
      <c r="GR6" s="122"/>
      <c r="GS6" s="122"/>
      <c r="GT6" s="122"/>
      <c r="GU6" s="122"/>
      <c r="GV6" s="122"/>
      <c r="GW6" s="122"/>
      <c r="GX6" s="122"/>
      <c r="GY6" s="122"/>
      <c r="GZ6" s="122"/>
      <c r="HA6" s="122"/>
      <c r="HB6" s="122"/>
      <c r="HC6" s="122"/>
      <c r="HD6" s="122"/>
      <c r="HE6" s="122"/>
      <c r="HF6" s="122"/>
      <c r="HG6" s="122"/>
      <c r="HH6" s="122"/>
      <c r="HI6" s="122"/>
      <c r="HJ6" s="122"/>
      <c r="HK6" s="122"/>
      <c r="HL6" s="122"/>
      <c r="HM6" s="122"/>
      <c r="HN6" s="122"/>
      <c r="HO6" s="122"/>
      <c r="HP6" s="122"/>
      <c r="HQ6" s="122"/>
      <c r="HR6" s="122"/>
      <c r="HS6" s="122"/>
      <c r="HT6" s="122"/>
      <c r="HU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</row>
    <row r="7" spans="1:254" x14ac:dyDescent="0.2">
      <c r="A7" s="168"/>
      <c r="B7" s="25"/>
      <c r="C7" s="482"/>
      <c r="D7" s="168"/>
      <c r="E7" s="58"/>
      <c r="F7" s="312"/>
      <c r="G7" s="58"/>
      <c r="H7" s="174"/>
      <c r="I7" s="174"/>
      <c r="J7" s="496"/>
      <c r="K7" s="58"/>
      <c r="L7" s="1060"/>
      <c r="M7" s="1065"/>
      <c r="N7" s="1070"/>
      <c r="O7" s="1070"/>
      <c r="P7" s="1070"/>
      <c r="Q7" s="891"/>
      <c r="R7" s="894"/>
      <c r="S7" s="197"/>
      <c r="T7" s="24"/>
      <c r="U7" s="58"/>
      <c r="V7" s="58"/>
      <c r="W7" s="58"/>
      <c r="X7" s="58"/>
      <c r="Y7" s="58"/>
      <c r="Z7" s="58"/>
      <c r="AA7" s="763"/>
      <c r="AB7" s="771"/>
      <c r="AC7" s="763"/>
      <c r="AD7" s="771"/>
      <c r="AE7" s="58"/>
      <c r="AF7" s="58"/>
      <c r="AG7" s="58"/>
      <c r="AH7" s="58"/>
      <c r="AI7" s="58"/>
      <c r="AJ7" s="58"/>
      <c r="AK7" s="174"/>
      <c r="AL7" s="58"/>
      <c r="AM7" s="118"/>
      <c r="AN7" s="24"/>
    </row>
    <row r="8" spans="1:254" ht="15.75" thickBot="1" x14ac:dyDescent="0.25">
      <c r="A8" s="112" t="s">
        <v>1</v>
      </c>
      <c r="B8" s="26"/>
      <c r="C8" s="482"/>
      <c r="D8" s="168"/>
      <c r="E8" s="58"/>
      <c r="F8" s="312"/>
      <c r="G8" s="58"/>
      <c r="H8" s="174"/>
      <c r="I8" s="174"/>
      <c r="J8" s="496"/>
      <c r="K8" s="58"/>
      <c r="L8" s="1060"/>
      <c r="M8" s="1065"/>
      <c r="N8" s="1070"/>
      <c r="O8" s="1070"/>
      <c r="P8" s="1070"/>
      <c r="Q8" s="891"/>
      <c r="R8" s="894"/>
      <c r="S8" s="197"/>
      <c r="T8" s="24"/>
      <c r="U8" s="58"/>
      <c r="V8" s="58"/>
      <c r="W8" s="58"/>
      <c r="X8" s="58"/>
      <c r="Y8" s="58"/>
      <c r="Z8" s="58"/>
      <c r="AA8" s="763"/>
      <c r="AB8" s="771"/>
      <c r="AC8" s="763"/>
      <c r="AD8" s="771"/>
      <c r="AE8" s="58"/>
      <c r="AF8" s="58"/>
      <c r="AG8" s="58"/>
      <c r="AH8" s="58"/>
      <c r="AI8" s="58"/>
      <c r="AJ8" s="58"/>
      <c r="AK8" s="174"/>
      <c r="AL8" s="58"/>
      <c r="AM8" s="118"/>
      <c r="AN8" s="24"/>
    </row>
    <row r="9" spans="1:254" x14ac:dyDescent="0.2">
      <c r="A9" s="613">
        <v>1</v>
      </c>
      <c r="B9" s="1483" t="s">
        <v>13</v>
      </c>
      <c r="C9" s="614">
        <v>52</v>
      </c>
      <c r="D9" s="1484">
        <v>43431768</v>
      </c>
      <c r="E9" s="614">
        <v>3</v>
      </c>
      <c r="F9" s="615">
        <v>490000</v>
      </c>
      <c r="G9" s="1485">
        <v>93100</v>
      </c>
      <c r="H9" s="1533" t="s">
        <v>471</v>
      </c>
      <c r="I9" s="1546">
        <v>-53900</v>
      </c>
      <c r="J9" s="1458">
        <v>583100</v>
      </c>
      <c r="K9" s="519">
        <v>529200</v>
      </c>
      <c r="L9" s="1218"/>
      <c r="M9" s="1613" t="s">
        <v>843</v>
      </c>
      <c r="N9" s="1593" t="s">
        <v>761</v>
      </c>
      <c r="O9" s="1597">
        <v>45614</v>
      </c>
      <c r="P9" s="1612" t="s">
        <v>453</v>
      </c>
      <c r="Q9" s="1459">
        <v>0</v>
      </c>
      <c r="R9" s="1460"/>
      <c r="S9" s="1461" t="s">
        <v>871</v>
      </c>
      <c r="T9" s="24"/>
      <c r="U9" s="1230" t="s">
        <v>318</v>
      </c>
      <c r="V9" s="119">
        <v>488000</v>
      </c>
      <c r="W9" s="239"/>
      <c r="X9" s="114">
        <v>0</v>
      </c>
      <c r="Y9" s="240"/>
      <c r="Z9" s="115">
        <v>0</v>
      </c>
      <c r="AA9" s="884"/>
      <c r="AB9" s="874">
        <v>0</v>
      </c>
      <c r="AC9" s="884"/>
      <c r="AD9" s="874">
        <v>0</v>
      </c>
      <c r="AE9" s="241"/>
      <c r="AF9" s="116">
        <v>0</v>
      </c>
      <c r="AG9" s="239"/>
      <c r="AH9" s="116">
        <v>0</v>
      </c>
      <c r="AI9" s="242"/>
      <c r="AJ9" s="117">
        <v>0</v>
      </c>
      <c r="AK9" s="1228">
        <v>0</v>
      </c>
      <c r="AL9" s="1228">
        <v>0</v>
      </c>
      <c r="AM9" s="1231">
        <v>490000</v>
      </c>
      <c r="AN9" s="24"/>
    </row>
    <row r="10" spans="1:254" x14ac:dyDescent="0.2">
      <c r="A10" s="1462">
        <v>2</v>
      </c>
      <c r="B10" s="1393" t="s">
        <v>15</v>
      </c>
      <c r="C10" s="1202">
        <v>56</v>
      </c>
      <c r="D10" s="1114">
        <v>87082052990</v>
      </c>
      <c r="E10" s="1202">
        <v>2</v>
      </c>
      <c r="F10" s="1463">
        <v>1830000</v>
      </c>
      <c r="G10" s="1464">
        <v>347700</v>
      </c>
      <c r="H10" s="1162" t="s">
        <v>266</v>
      </c>
      <c r="I10" s="1553" t="s">
        <v>872</v>
      </c>
      <c r="J10" s="1465">
        <v>2177700</v>
      </c>
      <c r="K10" s="1466">
        <v>2177700</v>
      </c>
      <c r="L10" s="1188"/>
      <c r="M10" s="1615"/>
      <c r="N10" s="1594"/>
      <c r="O10" s="1598"/>
      <c r="P10" s="1594"/>
      <c r="Q10" s="1468">
        <v>0</v>
      </c>
      <c r="R10" s="1469"/>
      <c r="S10" s="327" t="s">
        <v>15</v>
      </c>
      <c r="T10" s="24"/>
      <c r="U10" s="1230" t="s">
        <v>318</v>
      </c>
      <c r="V10" s="119">
        <v>582000</v>
      </c>
      <c r="W10" s="239"/>
      <c r="X10" s="114">
        <v>0</v>
      </c>
      <c r="Y10" s="240" t="s">
        <v>318</v>
      </c>
      <c r="Z10" s="115">
        <v>437000</v>
      </c>
      <c r="AA10" s="884"/>
      <c r="AB10" s="874">
        <v>0</v>
      </c>
      <c r="AC10" s="884"/>
      <c r="AD10" s="874">
        <v>0</v>
      </c>
      <c r="AE10" s="241"/>
      <c r="AF10" s="116">
        <v>0</v>
      </c>
      <c r="AG10" s="239"/>
      <c r="AH10" s="116">
        <v>0</v>
      </c>
      <c r="AI10" s="242" t="s">
        <v>318</v>
      </c>
      <c r="AJ10" s="117">
        <v>174600</v>
      </c>
      <c r="AK10" s="1228">
        <v>631552</v>
      </c>
      <c r="AL10" s="1228">
        <v>0</v>
      </c>
      <c r="AM10" s="1231">
        <v>1830000</v>
      </c>
      <c r="AN10" s="24"/>
    </row>
    <row r="11" spans="1:254" x14ac:dyDescent="0.2">
      <c r="A11" s="1462">
        <v>3</v>
      </c>
      <c r="B11" s="1393" t="s">
        <v>17</v>
      </c>
      <c r="C11" s="1202">
        <v>59</v>
      </c>
      <c r="D11" s="1114">
        <v>43255512</v>
      </c>
      <c r="E11" s="1202">
        <v>0</v>
      </c>
      <c r="F11" s="1463">
        <v>580000</v>
      </c>
      <c r="G11" s="1464">
        <v>110200</v>
      </c>
      <c r="H11" s="1537" t="s">
        <v>471</v>
      </c>
      <c r="I11" s="1547">
        <v>-63800</v>
      </c>
      <c r="J11" s="1465">
        <v>690200</v>
      </c>
      <c r="K11" s="1466">
        <v>626400</v>
      </c>
      <c r="L11" s="1188"/>
      <c r="M11" s="1467" t="s">
        <v>846</v>
      </c>
      <c r="N11" s="1594" t="s">
        <v>761</v>
      </c>
      <c r="O11" s="1598">
        <v>45615</v>
      </c>
      <c r="P11" s="1594"/>
      <c r="Q11" s="1468">
        <v>0</v>
      </c>
      <c r="R11" s="1469"/>
      <c r="S11" s="297" t="s">
        <v>873</v>
      </c>
      <c r="T11" s="24"/>
      <c r="U11" s="1230" t="s">
        <v>318</v>
      </c>
      <c r="V11" s="119">
        <v>582000</v>
      </c>
      <c r="W11" s="239"/>
      <c r="X11" s="114">
        <v>0</v>
      </c>
      <c r="Y11" s="240"/>
      <c r="Z11" s="115">
        <v>0</v>
      </c>
      <c r="AA11" s="884"/>
      <c r="AB11" s="874">
        <v>0</v>
      </c>
      <c r="AC11" s="884"/>
      <c r="AD11" s="874">
        <v>0</v>
      </c>
      <c r="AE11" s="241"/>
      <c r="AF11" s="116">
        <v>0</v>
      </c>
      <c r="AG11" s="239"/>
      <c r="AH11" s="116">
        <v>0</v>
      </c>
      <c r="AI11" s="242"/>
      <c r="AJ11" s="117">
        <v>0</v>
      </c>
      <c r="AK11" s="1228">
        <v>0</v>
      </c>
      <c r="AL11" s="1228">
        <v>0</v>
      </c>
      <c r="AM11" s="1231">
        <v>580000</v>
      </c>
      <c r="AN11" s="24"/>
    </row>
    <row r="12" spans="1:254" x14ac:dyDescent="0.2">
      <c r="A12" s="1462">
        <v>4</v>
      </c>
      <c r="B12" s="1470" t="s">
        <v>33</v>
      </c>
      <c r="C12" s="1202">
        <v>75</v>
      </c>
      <c r="D12" s="1114">
        <v>21829209</v>
      </c>
      <c r="E12" s="1202">
        <v>8</v>
      </c>
      <c r="F12" s="1463">
        <v>1420000</v>
      </c>
      <c r="G12" s="1464">
        <v>269800</v>
      </c>
      <c r="H12" s="1537" t="s">
        <v>471</v>
      </c>
      <c r="I12" s="1547">
        <v>-156200</v>
      </c>
      <c r="J12" s="1465">
        <v>1689800</v>
      </c>
      <c r="K12" s="1466">
        <v>1533600</v>
      </c>
      <c r="L12" s="1188"/>
      <c r="M12" s="1467" t="s">
        <v>860</v>
      </c>
      <c r="N12" s="1594" t="s">
        <v>761</v>
      </c>
      <c r="O12" s="1598">
        <v>45621</v>
      </c>
      <c r="P12" s="1594"/>
      <c r="Q12" s="1468">
        <v>0</v>
      </c>
      <c r="R12" s="1469"/>
      <c r="S12" s="297" t="s">
        <v>874</v>
      </c>
      <c r="T12" s="24"/>
      <c r="U12" s="1230" t="s">
        <v>318</v>
      </c>
      <c r="V12" s="1488">
        <v>946000</v>
      </c>
      <c r="W12" s="239" t="s">
        <v>318</v>
      </c>
      <c r="X12" s="1489">
        <v>473000</v>
      </c>
      <c r="Y12" s="240"/>
      <c r="Z12" s="115">
        <v>0</v>
      </c>
      <c r="AA12" s="884"/>
      <c r="AB12" s="874">
        <v>0</v>
      </c>
      <c r="AC12" s="884"/>
      <c r="AD12" s="874">
        <v>0</v>
      </c>
      <c r="AE12" s="241"/>
      <c r="AF12" s="116">
        <v>0</v>
      </c>
      <c r="AG12" s="239"/>
      <c r="AH12" s="116">
        <v>0</v>
      </c>
      <c r="AI12" s="242"/>
      <c r="AJ12" s="117">
        <v>0</v>
      </c>
      <c r="AK12" s="1228">
        <v>0</v>
      </c>
      <c r="AL12" s="1228">
        <v>0</v>
      </c>
      <c r="AM12" s="1231">
        <v>1420000</v>
      </c>
      <c r="AN12" s="24"/>
    </row>
    <row r="13" spans="1:254" x14ac:dyDescent="0.2">
      <c r="A13" s="1462">
        <v>5</v>
      </c>
      <c r="B13" s="1393" t="s">
        <v>41</v>
      </c>
      <c r="C13" s="1202">
        <v>81</v>
      </c>
      <c r="D13" s="1114">
        <v>21378780</v>
      </c>
      <c r="E13" s="1202">
        <v>6</v>
      </c>
      <c r="F13" s="1463">
        <v>1810000</v>
      </c>
      <c r="G13" s="1464">
        <v>343900</v>
      </c>
      <c r="H13" s="1537" t="s">
        <v>471</v>
      </c>
      <c r="I13" s="1547">
        <v>-199100</v>
      </c>
      <c r="J13" s="1465">
        <v>2153900</v>
      </c>
      <c r="K13" s="1466">
        <v>1954800</v>
      </c>
      <c r="L13" s="1471" t="s">
        <v>318</v>
      </c>
      <c r="M13" s="1615" t="s">
        <v>861</v>
      </c>
      <c r="N13" s="1594"/>
      <c r="O13" s="1598"/>
      <c r="P13" s="1594"/>
      <c r="Q13" s="1468">
        <v>0</v>
      </c>
      <c r="R13" s="1469"/>
      <c r="S13" s="297" t="s">
        <v>875</v>
      </c>
      <c r="T13" s="24"/>
      <c r="U13" s="1230" t="s">
        <v>318</v>
      </c>
      <c r="V13" s="119">
        <v>1812000</v>
      </c>
      <c r="W13" s="239"/>
      <c r="X13" s="114">
        <v>0</v>
      </c>
      <c r="Y13" s="240"/>
      <c r="Z13" s="115">
        <v>0</v>
      </c>
      <c r="AA13" s="884"/>
      <c r="AB13" s="874">
        <v>0</v>
      </c>
      <c r="AC13" s="884"/>
      <c r="AD13" s="874">
        <v>0</v>
      </c>
      <c r="AE13" s="241"/>
      <c r="AF13" s="116">
        <v>0</v>
      </c>
      <c r="AG13" s="239"/>
      <c r="AH13" s="116">
        <v>0</v>
      </c>
      <c r="AI13" s="242"/>
      <c r="AJ13" s="117">
        <v>0</v>
      </c>
      <c r="AK13" s="1228">
        <v>0</v>
      </c>
      <c r="AL13" s="1228">
        <v>0</v>
      </c>
      <c r="AM13" s="1231">
        <v>1810000</v>
      </c>
      <c r="AN13" s="24"/>
    </row>
    <row r="14" spans="1:254" x14ac:dyDescent="0.2">
      <c r="A14" s="1462">
        <v>6</v>
      </c>
      <c r="B14" s="1393" t="s">
        <v>390</v>
      </c>
      <c r="C14" s="1202">
        <v>54</v>
      </c>
      <c r="D14" s="1114">
        <v>43422834</v>
      </c>
      <c r="E14" s="1202">
        <v>3</v>
      </c>
      <c r="F14" s="1463">
        <v>580000</v>
      </c>
      <c r="G14" s="1464">
        <v>110200</v>
      </c>
      <c r="H14" s="1537" t="s">
        <v>471</v>
      </c>
      <c r="I14" s="1547">
        <v>-63800</v>
      </c>
      <c r="J14" s="1465">
        <v>690200</v>
      </c>
      <c r="K14" s="1466">
        <v>626400</v>
      </c>
      <c r="L14" s="1188"/>
      <c r="M14" s="1467" t="s">
        <v>846</v>
      </c>
      <c r="N14" s="1594" t="s">
        <v>761</v>
      </c>
      <c r="O14" s="1598">
        <v>45615</v>
      </c>
      <c r="P14" s="1594"/>
      <c r="Q14" s="1468">
        <v>0</v>
      </c>
      <c r="R14" s="1469"/>
      <c r="S14" s="297" t="s">
        <v>873</v>
      </c>
      <c r="T14" s="24"/>
      <c r="U14" s="1230" t="s">
        <v>318</v>
      </c>
      <c r="V14" s="119">
        <v>582000</v>
      </c>
      <c r="W14" s="239"/>
      <c r="X14" s="114">
        <v>0</v>
      </c>
      <c r="Y14" s="240"/>
      <c r="Z14" s="115">
        <v>0</v>
      </c>
      <c r="AA14" s="884"/>
      <c r="AB14" s="874">
        <v>0</v>
      </c>
      <c r="AC14" s="884"/>
      <c r="AD14" s="874">
        <v>0</v>
      </c>
      <c r="AE14" s="241"/>
      <c r="AF14" s="116">
        <v>0</v>
      </c>
      <c r="AG14" s="239"/>
      <c r="AH14" s="116">
        <v>0</v>
      </c>
      <c r="AI14" s="242"/>
      <c r="AJ14" s="117">
        <v>0</v>
      </c>
      <c r="AK14" s="1228">
        <v>0</v>
      </c>
      <c r="AL14" s="1228">
        <v>0</v>
      </c>
      <c r="AM14" s="1231">
        <v>580000</v>
      </c>
      <c r="AN14" s="24"/>
    </row>
    <row r="15" spans="1:254" x14ac:dyDescent="0.2">
      <c r="A15" s="1462">
        <v>7</v>
      </c>
      <c r="B15" s="1393" t="s">
        <v>59</v>
      </c>
      <c r="C15" s="1202">
        <v>99</v>
      </c>
      <c r="D15" s="1114">
        <v>43422711</v>
      </c>
      <c r="E15" s="1202">
        <v>6</v>
      </c>
      <c r="F15" s="1463">
        <v>1340000</v>
      </c>
      <c r="G15" s="1464">
        <v>254600</v>
      </c>
      <c r="H15" s="1537" t="s">
        <v>471</v>
      </c>
      <c r="I15" s="1547">
        <v>-147400</v>
      </c>
      <c r="J15" s="1465">
        <v>1594600</v>
      </c>
      <c r="K15" s="1466">
        <v>1447200</v>
      </c>
      <c r="L15" s="1188"/>
      <c r="M15" s="1467" t="s">
        <v>846</v>
      </c>
      <c r="N15" s="1594" t="s">
        <v>761</v>
      </c>
      <c r="O15" s="1598">
        <v>45615</v>
      </c>
      <c r="P15" s="1594"/>
      <c r="Q15" s="1468">
        <v>0</v>
      </c>
      <c r="R15" s="1469"/>
      <c r="S15" s="297" t="s">
        <v>873</v>
      </c>
      <c r="T15" s="24"/>
      <c r="U15" s="1230" t="s">
        <v>318</v>
      </c>
      <c r="V15" s="119">
        <v>1342000</v>
      </c>
      <c r="W15" s="239"/>
      <c r="X15" s="114">
        <v>0</v>
      </c>
      <c r="Y15" s="240"/>
      <c r="Z15" s="115">
        <v>0</v>
      </c>
      <c r="AA15" s="884"/>
      <c r="AB15" s="874">
        <v>0</v>
      </c>
      <c r="AC15" s="884"/>
      <c r="AD15" s="874">
        <v>0</v>
      </c>
      <c r="AE15" s="241"/>
      <c r="AF15" s="116">
        <v>0</v>
      </c>
      <c r="AG15" s="239"/>
      <c r="AH15" s="116">
        <v>0</v>
      </c>
      <c r="AI15" s="242"/>
      <c r="AJ15" s="117">
        <v>0</v>
      </c>
      <c r="AK15" s="1228">
        <v>0</v>
      </c>
      <c r="AL15" s="1228">
        <v>0</v>
      </c>
      <c r="AM15" s="1231">
        <v>1340000</v>
      </c>
      <c r="AN15" s="24"/>
    </row>
    <row r="16" spans="1:254" x14ac:dyDescent="0.2">
      <c r="A16" s="1462">
        <v>8</v>
      </c>
      <c r="B16" s="1393" t="s">
        <v>397</v>
      </c>
      <c r="C16" s="1202">
        <v>80</v>
      </c>
      <c r="D16" s="1114">
        <v>1037630601</v>
      </c>
      <c r="E16" s="1202">
        <v>5</v>
      </c>
      <c r="F16" s="1463">
        <v>210000</v>
      </c>
      <c r="G16" s="1464">
        <v>39900</v>
      </c>
      <c r="H16" s="1537" t="s">
        <v>471</v>
      </c>
      <c r="I16" s="1547">
        <v>-23100</v>
      </c>
      <c r="J16" s="1465">
        <v>249900</v>
      </c>
      <c r="K16" s="1466">
        <v>226800</v>
      </c>
      <c r="L16" s="1188"/>
      <c r="M16" s="1614" t="s">
        <v>843</v>
      </c>
      <c r="N16" s="1594" t="s">
        <v>761</v>
      </c>
      <c r="O16" s="1598">
        <v>45614</v>
      </c>
      <c r="P16" s="1594" t="s">
        <v>839</v>
      </c>
      <c r="Q16" s="1468">
        <v>0</v>
      </c>
      <c r="R16" s="1469"/>
      <c r="S16" s="297" t="s">
        <v>871</v>
      </c>
      <c r="T16" s="24"/>
      <c r="U16" s="1230" t="s">
        <v>318</v>
      </c>
      <c r="V16" s="119">
        <v>210000</v>
      </c>
      <c r="W16" s="239"/>
      <c r="X16" s="114">
        <v>0</v>
      </c>
      <c r="Y16" s="240"/>
      <c r="Z16" s="115">
        <v>0</v>
      </c>
      <c r="AA16" s="884"/>
      <c r="AB16" s="874">
        <v>0</v>
      </c>
      <c r="AC16" s="884"/>
      <c r="AD16" s="874">
        <v>0</v>
      </c>
      <c r="AE16" s="241"/>
      <c r="AF16" s="116">
        <v>0</v>
      </c>
      <c r="AG16" s="239"/>
      <c r="AH16" s="116">
        <v>0</v>
      </c>
      <c r="AI16" s="242"/>
      <c r="AJ16" s="117">
        <v>0</v>
      </c>
      <c r="AK16" s="1228">
        <v>0</v>
      </c>
      <c r="AL16" s="1228">
        <v>0</v>
      </c>
      <c r="AM16" s="1231">
        <v>210000</v>
      </c>
      <c r="AN16" s="24"/>
    </row>
    <row r="17" spans="1:40" x14ac:dyDescent="0.2">
      <c r="A17" s="1462">
        <v>9</v>
      </c>
      <c r="B17" s="1393" t="s">
        <v>89</v>
      </c>
      <c r="C17" s="1202">
        <v>216</v>
      </c>
      <c r="D17" s="1114">
        <v>32523581</v>
      </c>
      <c r="E17" s="1202">
        <v>9</v>
      </c>
      <c r="F17" s="1463">
        <v>1410000</v>
      </c>
      <c r="G17" s="1464">
        <v>267900</v>
      </c>
      <c r="H17" s="1537" t="s">
        <v>471</v>
      </c>
      <c r="I17" s="1547">
        <v>-155100</v>
      </c>
      <c r="J17" s="1465">
        <v>1677900</v>
      </c>
      <c r="K17" s="1466">
        <v>1522800</v>
      </c>
      <c r="L17" s="1188"/>
      <c r="M17" s="1615" t="s">
        <v>862</v>
      </c>
      <c r="N17" s="1594"/>
      <c r="O17" s="1598"/>
      <c r="P17" s="1594"/>
      <c r="Q17" s="1468">
        <v>0</v>
      </c>
      <c r="R17" s="1469"/>
      <c r="S17" s="1487" t="s">
        <v>876</v>
      </c>
      <c r="T17" s="24"/>
      <c r="U17" s="1230" t="s">
        <v>318</v>
      </c>
      <c r="V17" s="119">
        <v>1411000</v>
      </c>
      <c r="W17" s="239"/>
      <c r="X17" s="114">
        <v>0</v>
      </c>
      <c r="Y17" s="240"/>
      <c r="Z17" s="115">
        <v>0</v>
      </c>
      <c r="AA17" s="884"/>
      <c r="AB17" s="874">
        <v>0</v>
      </c>
      <c r="AC17" s="884"/>
      <c r="AD17" s="874">
        <v>0</v>
      </c>
      <c r="AE17" s="241"/>
      <c r="AF17" s="116">
        <v>0</v>
      </c>
      <c r="AG17" s="239"/>
      <c r="AH17" s="116">
        <v>0</v>
      </c>
      <c r="AI17" s="242"/>
      <c r="AJ17" s="117">
        <v>0</v>
      </c>
      <c r="AK17" s="1228">
        <v>0</v>
      </c>
      <c r="AL17" s="1228">
        <v>0</v>
      </c>
      <c r="AM17" s="1231">
        <v>1410000</v>
      </c>
      <c r="AN17" s="24"/>
    </row>
    <row r="18" spans="1:40" x14ac:dyDescent="0.2">
      <c r="A18" s="1462">
        <v>10</v>
      </c>
      <c r="B18" s="1393" t="s">
        <v>117</v>
      </c>
      <c r="C18" s="1202">
        <v>155</v>
      </c>
      <c r="D18" s="1114">
        <v>92102300043</v>
      </c>
      <c r="E18" s="1202">
        <v>1</v>
      </c>
      <c r="F18" s="1463">
        <v>580000</v>
      </c>
      <c r="G18" s="1464">
        <v>110200</v>
      </c>
      <c r="H18" s="1537" t="s">
        <v>471</v>
      </c>
      <c r="I18" s="1547">
        <v>-63800</v>
      </c>
      <c r="J18" s="1465">
        <v>690200</v>
      </c>
      <c r="K18" s="1466">
        <v>626400</v>
      </c>
      <c r="L18" s="1188"/>
      <c r="M18" s="1615"/>
      <c r="N18" s="1594"/>
      <c r="O18" s="1598"/>
      <c r="P18" s="1594"/>
      <c r="Q18" s="1468">
        <v>0</v>
      </c>
      <c r="R18" s="1469"/>
      <c r="S18" s="297" t="s">
        <v>877</v>
      </c>
      <c r="T18" s="24"/>
      <c r="U18" s="1230" t="s">
        <v>318</v>
      </c>
      <c r="V18" s="119">
        <v>582000</v>
      </c>
      <c r="W18" s="239"/>
      <c r="X18" s="114">
        <v>0</v>
      </c>
      <c r="Y18" s="240"/>
      <c r="Z18" s="115">
        <v>0</v>
      </c>
      <c r="AA18" s="884"/>
      <c r="AB18" s="874">
        <v>0</v>
      </c>
      <c r="AC18" s="884"/>
      <c r="AD18" s="874">
        <v>0</v>
      </c>
      <c r="AE18" s="241"/>
      <c r="AF18" s="116">
        <v>0</v>
      </c>
      <c r="AG18" s="239"/>
      <c r="AH18" s="116">
        <v>0</v>
      </c>
      <c r="AI18" s="242"/>
      <c r="AJ18" s="117">
        <v>0</v>
      </c>
      <c r="AK18" s="1228">
        <v>0</v>
      </c>
      <c r="AL18" s="1228">
        <v>0</v>
      </c>
      <c r="AM18" s="1231">
        <v>580000</v>
      </c>
      <c r="AN18" s="24"/>
    </row>
    <row r="19" spans="1:40" x14ac:dyDescent="0.2">
      <c r="A19" s="1462">
        <v>11</v>
      </c>
      <c r="B19" s="1393" t="s">
        <v>120</v>
      </c>
      <c r="C19" s="1202">
        <v>158</v>
      </c>
      <c r="D19" s="1114">
        <v>21356663</v>
      </c>
      <c r="E19" s="1202">
        <v>8</v>
      </c>
      <c r="F19" s="1463">
        <v>1710000</v>
      </c>
      <c r="G19" s="1464">
        <v>324900</v>
      </c>
      <c r="H19" s="1162" t="s">
        <v>266</v>
      </c>
      <c r="I19" s="1553" t="s">
        <v>872</v>
      </c>
      <c r="J19" s="1465">
        <v>2034900</v>
      </c>
      <c r="K19" s="1466">
        <v>2034900</v>
      </c>
      <c r="L19" s="1188"/>
      <c r="M19" s="1615"/>
      <c r="N19" s="1594"/>
      <c r="O19" s="1598"/>
      <c r="P19" s="1594"/>
      <c r="Q19" s="1468">
        <v>0</v>
      </c>
      <c r="R19" s="1469"/>
      <c r="S19" s="297" t="s">
        <v>878</v>
      </c>
      <c r="T19" s="24"/>
      <c r="U19" s="1230" t="s">
        <v>318</v>
      </c>
      <c r="V19" s="119">
        <v>1342000</v>
      </c>
      <c r="W19" s="239"/>
      <c r="X19" s="114">
        <v>0</v>
      </c>
      <c r="Y19" s="240"/>
      <c r="Z19" s="115">
        <v>0</v>
      </c>
      <c r="AA19" s="884"/>
      <c r="AB19" s="874">
        <v>0</v>
      </c>
      <c r="AC19" s="884"/>
      <c r="AD19" s="874">
        <v>0</v>
      </c>
      <c r="AE19" s="241"/>
      <c r="AF19" s="116">
        <v>0</v>
      </c>
      <c r="AG19" s="239"/>
      <c r="AH19" s="116">
        <v>0</v>
      </c>
      <c r="AI19" s="242"/>
      <c r="AJ19" s="117">
        <v>0</v>
      </c>
      <c r="AK19" s="1228">
        <v>365921.02485292027</v>
      </c>
      <c r="AL19" s="1228">
        <v>0</v>
      </c>
      <c r="AM19" s="1231">
        <v>1710000</v>
      </c>
      <c r="AN19" s="24"/>
    </row>
    <row r="20" spans="1:40" x14ac:dyDescent="0.2">
      <c r="A20" s="1462">
        <v>12</v>
      </c>
      <c r="B20" s="1393" t="s">
        <v>121</v>
      </c>
      <c r="C20" s="1202">
        <v>159</v>
      </c>
      <c r="D20" s="1114">
        <v>87101474230</v>
      </c>
      <c r="E20" s="1202">
        <v>2</v>
      </c>
      <c r="F20" s="1463">
        <v>580000</v>
      </c>
      <c r="G20" s="1464">
        <v>110200</v>
      </c>
      <c r="H20" s="1537" t="s">
        <v>471</v>
      </c>
      <c r="I20" s="1547">
        <v>-63800</v>
      </c>
      <c r="J20" s="1465">
        <v>690200</v>
      </c>
      <c r="K20" s="1466">
        <v>626400</v>
      </c>
      <c r="L20" s="1188"/>
      <c r="M20" s="1067" t="s">
        <v>845</v>
      </c>
      <c r="N20" s="1594" t="s">
        <v>761</v>
      </c>
      <c r="O20" s="1598">
        <v>45615</v>
      </c>
      <c r="P20" s="1594" t="s">
        <v>839</v>
      </c>
      <c r="Q20" s="1468">
        <v>0</v>
      </c>
      <c r="R20" s="1469"/>
      <c r="S20" s="297" t="s">
        <v>879</v>
      </c>
      <c r="T20" s="24"/>
      <c r="U20" s="1230" t="s">
        <v>318</v>
      </c>
      <c r="V20" s="119">
        <v>582000</v>
      </c>
      <c r="W20" s="239"/>
      <c r="X20" s="114">
        <v>0</v>
      </c>
      <c r="Y20" s="240"/>
      <c r="Z20" s="115">
        <v>0</v>
      </c>
      <c r="AA20" s="884"/>
      <c r="AB20" s="874">
        <v>0</v>
      </c>
      <c r="AC20" s="884"/>
      <c r="AD20" s="874">
        <v>0</v>
      </c>
      <c r="AE20" s="241"/>
      <c r="AF20" s="116">
        <v>0</v>
      </c>
      <c r="AG20" s="239"/>
      <c r="AH20" s="116">
        <v>0</v>
      </c>
      <c r="AI20" s="242"/>
      <c r="AJ20" s="117">
        <v>0</v>
      </c>
      <c r="AK20" s="1228">
        <v>0</v>
      </c>
      <c r="AL20" s="1228">
        <v>0</v>
      </c>
      <c r="AM20" s="1231">
        <v>580000</v>
      </c>
      <c r="AN20" s="24"/>
    </row>
    <row r="21" spans="1:40" x14ac:dyDescent="0.2">
      <c r="A21" s="1462">
        <v>13</v>
      </c>
      <c r="B21" s="1393" t="s">
        <v>122</v>
      </c>
      <c r="C21" s="1202">
        <v>160</v>
      </c>
      <c r="D21" s="1114">
        <v>71368472</v>
      </c>
      <c r="E21" s="1202">
        <v>1</v>
      </c>
      <c r="F21" s="1463">
        <v>1220000</v>
      </c>
      <c r="G21" s="1464">
        <v>231800</v>
      </c>
      <c r="H21" s="1537" t="s">
        <v>471</v>
      </c>
      <c r="I21" s="1547">
        <v>-134200</v>
      </c>
      <c r="J21" s="1465">
        <v>1451800</v>
      </c>
      <c r="K21" s="1466">
        <v>1317600</v>
      </c>
      <c r="L21" s="1188"/>
      <c r="M21" s="1067" t="s">
        <v>845</v>
      </c>
      <c r="N21" s="1594" t="s">
        <v>761</v>
      </c>
      <c r="O21" s="1598">
        <v>45615</v>
      </c>
      <c r="P21" s="1594" t="s">
        <v>839</v>
      </c>
      <c r="Q21" s="1468">
        <v>0</v>
      </c>
      <c r="R21" s="1469"/>
      <c r="S21" s="297" t="s">
        <v>879</v>
      </c>
      <c r="T21" s="24"/>
      <c r="U21" s="1230" t="s">
        <v>318</v>
      </c>
      <c r="V21" s="119">
        <v>939000</v>
      </c>
      <c r="W21" s="239"/>
      <c r="X21" s="114">
        <v>0</v>
      </c>
      <c r="Y21" s="240"/>
      <c r="Z21" s="115">
        <v>0</v>
      </c>
      <c r="AA21" s="884"/>
      <c r="AB21" s="874">
        <v>0</v>
      </c>
      <c r="AC21" s="884"/>
      <c r="AD21" s="874">
        <v>0</v>
      </c>
      <c r="AE21" s="241"/>
      <c r="AF21" s="116">
        <v>0</v>
      </c>
      <c r="AG21" s="239"/>
      <c r="AH21" s="116">
        <v>0</v>
      </c>
      <c r="AI21" s="242" t="s">
        <v>318</v>
      </c>
      <c r="AJ21" s="117">
        <v>281700</v>
      </c>
      <c r="AK21" s="1228">
        <v>0</v>
      </c>
      <c r="AL21" s="1228">
        <v>0</v>
      </c>
      <c r="AM21" s="1231">
        <v>1220000</v>
      </c>
      <c r="AN21" s="24"/>
    </row>
    <row r="22" spans="1:40" x14ac:dyDescent="0.2">
      <c r="A22" s="1462">
        <v>14</v>
      </c>
      <c r="B22" s="1393" t="s">
        <v>125</v>
      </c>
      <c r="C22" s="1202">
        <v>165</v>
      </c>
      <c r="D22" s="1114">
        <v>32404117</v>
      </c>
      <c r="E22" s="1202">
        <v>4</v>
      </c>
      <c r="F22" s="1463">
        <v>1340000</v>
      </c>
      <c r="G22" s="1464">
        <v>254600</v>
      </c>
      <c r="H22" s="1537" t="s">
        <v>471</v>
      </c>
      <c r="I22" s="1547">
        <v>-147400</v>
      </c>
      <c r="J22" s="1465">
        <v>1594600</v>
      </c>
      <c r="K22" s="1466">
        <v>1447200</v>
      </c>
      <c r="L22" s="1188"/>
      <c r="M22" s="1615"/>
      <c r="N22" s="1594"/>
      <c r="O22" s="1598"/>
      <c r="P22" s="1594"/>
      <c r="Q22" s="1468">
        <v>0</v>
      </c>
      <c r="R22" s="1469"/>
      <c r="S22" s="327" t="s">
        <v>880</v>
      </c>
      <c r="T22" s="24"/>
      <c r="U22" s="1230" t="s">
        <v>318</v>
      </c>
      <c r="V22" s="119">
        <v>1342000</v>
      </c>
      <c r="W22" s="239"/>
      <c r="X22" s="114">
        <v>0</v>
      </c>
      <c r="Y22" s="240"/>
      <c r="Z22" s="115">
        <v>0</v>
      </c>
      <c r="AA22" s="884"/>
      <c r="AB22" s="874">
        <v>0</v>
      </c>
      <c r="AC22" s="884"/>
      <c r="AD22" s="874">
        <v>0</v>
      </c>
      <c r="AE22" s="241"/>
      <c r="AF22" s="116">
        <v>0</v>
      </c>
      <c r="AG22" s="239"/>
      <c r="AH22" s="116">
        <v>0</v>
      </c>
      <c r="AI22" s="242"/>
      <c r="AJ22" s="117">
        <v>0</v>
      </c>
      <c r="AK22" s="1228">
        <v>0</v>
      </c>
      <c r="AL22" s="1228">
        <v>0</v>
      </c>
      <c r="AM22" s="1231">
        <v>1340000</v>
      </c>
      <c r="AN22" s="24"/>
    </row>
    <row r="23" spans="1:40" x14ac:dyDescent="0.2">
      <c r="A23" s="1462">
        <v>15</v>
      </c>
      <c r="B23" s="1393" t="s">
        <v>126</v>
      </c>
      <c r="C23" s="1202">
        <v>166</v>
      </c>
      <c r="D23" s="1114">
        <v>8248980</v>
      </c>
      <c r="E23" s="1202">
        <v>8</v>
      </c>
      <c r="F23" s="1463">
        <v>2240000</v>
      </c>
      <c r="G23" s="1464">
        <v>425600</v>
      </c>
      <c r="H23" s="1537" t="s">
        <v>471</v>
      </c>
      <c r="I23" s="1547">
        <v>-246400</v>
      </c>
      <c r="J23" s="1465">
        <v>2665600</v>
      </c>
      <c r="K23" s="1466">
        <v>2419200</v>
      </c>
      <c r="L23" s="1188"/>
      <c r="M23" s="1467" t="s">
        <v>846</v>
      </c>
      <c r="N23" s="1594" t="s">
        <v>761</v>
      </c>
      <c r="O23" s="1598">
        <v>45615</v>
      </c>
      <c r="P23" s="1594"/>
      <c r="Q23" s="1468">
        <v>0</v>
      </c>
      <c r="R23" s="1469"/>
      <c r="S23" s="297" t="s">
        <v>873</v>
      </c>
      <c r="T23" s="24"/>
      <c r="U23" s="1230" t="s">
        <v>318</v>
      </c>
      <c r="V23" s="119">
        <v>1342000</v>
      </c>
      <c r="W23" s="239"/>
      <c r="X23" s="114">
        <v>0</v>
      </c>
      <c r="Y23" s="240"/>
      <c r="Z23" s="115">
        <v>0</v>
      </c>
      <c r="AA23" s="884"/>
      <c r="AB23" s="874">
        <v>0</v>
      </c>
      <c r="AC23" s="884"/>
      <c r="AD23" s="874">
        <v>0</v>
      </c>
      <c r="AE23" s="241"/>
      <c r="AF23" s="116">
        <v>0</v>
      </c>
      <c r="AG23" s="239"/>
      <c r="AH23" s="116">
        <v>0</v>
      </c>
      <c r="AI23" s="242" t="s">
        <v>318</v>
      </c>
      <c r="AJ23" s="117">
        <v>402600</v>
      </c>
      <c r="AK23" s="1228">
        <v>500000</v>
      </c>
      <c r="AL23" s="1228">
        <v>0</v>
      </c>
      <c r="AM23" s="1231">
        <v>2240000</v>
      </c>
      <c r="AN23" s="24"/>
    </row>
    <row r="24" spans="1:40" x14ac:dyDescent="0.2">
      <c r="A24" s="1462">
        <v>16</v>
      </c>
      <c r="B24" s="1393" t="s">
        <v>127</v>
      </c>
      <c r="C24" s="1202">
        <v>167</v>
      </c>
      <c r="D24" s="1114">
        <v>8290656</v>
      </c>
      <c r="E24" s="1202">
        <v>3</v>
      </c>
      <c r="F24" s="1463">
        <v>1340000</v>
      </c>
      <c r="G24" s="1464">
        <v>254600</v>
      </c>
      <c r="H24" s="1537" t="s">
        <v>471</v>
      </c>
      <c r="I24" s="1547">
        <v>-147400</v>
      </c>
      <c r="J24" s="1465">
        <v>1594600</v>
      </c>
      <c r="K24" s="1466">
        <v>1447200</v>
      </c>
      <c r="L24" s="1188"/>
      <c r="M24" s="1067" t="s">
        <v>845</v>
      </c>
      <c r="N24" s="1594" t="s">
        <v>761</v>
      </c>
      <c r="O24" s="1598">
        <v>45615</v>
      </c>
      <c r="P24" s="1594" t="s">
        <v>839</v>
      </c>
      <c r="Q24" s="1468">
        <v>0</v>
      </c>
      <c r="R24" s="1469"/>
      <c r="S24" s="297" t="s">
        <v>879</v>
      </c>
      <c r="T24" s="24"/>
      <c r="U24" s="1230" t="s">
        <v>318</v>
      </c>
      <c r="V24" s="119">
        <v>1342000</v>
      </c>
      <c r="W24" s="239"/>
      <c r="X24" s="114">
        <v>0</v>
      </c>
      <c r="Y24" s="240"/>
      <c r="Z24" s="115">
        <v>0</v>
      </c>
      <c r="AA24" s="884"/>
      <c r="AB24" s="874">
        <v>0</v>
      </c>
      <c r="AC24" s="884"/>
      <c r="AD24" s="874">
        <v>0</v>
      </c>
      <c r="AE24" s="241"/>
      <c r="AF24" s="116">
        <v>0</v>
      </c>
      <c r="AG24" s="239"/>
      <c r="AH24" s="116">
        <v>0</v>
      </c>
      <c r="AI24" s="242"/>
      <c r="AJ24" s="117">
        <v>0</v>
      </c>
      <c r="AK24" s="1228">
        <v>0</v>
      </c>
      <c r="AL24" s="1228">
        <v>0</v>
      </c>
      <c r="AM24" s="1231">
        <v>1340000</v>
      </c>
      <c r="AN24" s="24"/>
    </row>
    <row r="25" spans="1:40" x14ac:dyDescent="0.2">
      <c r="A25" s="1462">
        <v>17</v>
      </c>
      <c r="B25" s="1393" t="s">
        <v>128</v>
      </c>
      <c r="C25" s="1202">
        <v>168</v>
      </c>
      <c r="D25" s="1114">
        <v>32524963</v>
      </c>
      <c r="E25" s="1202">
        <v>3</v>
      </c>
      <c r="F25" s="1463">
        <v>2380000</v>
      </c>
      <c r="G25" s="1464">
        <v>452200</v>
      </c>
      <c r="H25" s="1162" t="s">
        <v>266</v>
      </c>
      <c r="I25" s="1553" t="s">
        <v>872</v>
      </c>
      <c r="J25" s="1465">
        <v>2832200</v>
      </c>
      <c r="K25" s="1466">
        <v>2832200</v>
      </c>
      <c r="L25" s="1188"/>
      <c r="M25" s="1615"/>
      <c r="N25" s="1594"/>
      <c r="O25" s="1598"/>
      <c r="P25" s="1594"/>
      <c r="Q25" s="1468">
        <v>0</v>
      </c>
      <c r="R25" s="1469"/>
      <c r="S25" s="327" t="s">
        <v>128</v>
      </c>
      <c r="T25" s="24"/>
      <c r="U25" s="1230" t="s">
        <v>318</v>
      </c>
      <c r="V25" s="119">
        <v>1342000</v>
      </c>
      <c r="W25" s="239"/>
      <c r="X25" s="114">
        <v>0</v>
      </c>
      <c r="Y25" s="240"/>
      <c r="Z25" s="115">
        <v>0</v>
      </c>
      <c r="AA25" s="884"/>
      <c r="AB25" s="874">
        <v>0</v>
      </c>
      <c r="AC25" s="884"/>
      <c r="AD25" s="874">
        <v>0</v>
      </c>
      <c r="AE25" s="241"/>
      <c r="AF25" s="116">
        <v>0</v>
      </c>
      <c r="AG25" s="239"/>
      <c r="AH25" s="116">
        <v>0</v>
      </c>
      <c r="AI25" s="242" t="s">
        <v>318</v>
      </c>
      <c r="AJ25" s="117">
        <v>402600</v>
      </c>
      <c r="AK25" s="1228">
        <v>631552</v>
      </c>
      <c r="AL25" s="1228">
        <v>0</v>
      </c>
      <c r="AM25" s="1231">
        <v>2380000</v>
      </c>
      <c r="AN25" s="24"/>
    </row>
    <row r="26" spans="1:40" x14ac:dyDescent="0.2">
      <c r="A26" s="1462">
        <v>18</v>
      </c>
      <c r="B26" s="1470" t="s">
        <v>131</v>
      </c>
      <c r="C26" s="1202">
        <v>169</v>
      </c>
      <c r="D26" s="1114">
        <v>675024</v>
      </c>
      <c r="E26" s="1202">
        <v>3</v>
      </c>
      <c r="F26" s="1463">
        <v>950000</v>
      </c>
      <c r="G26" s="1464">
        <v>180500</v>
      </c>
      <c r="H26" s="1537" t="s">
        <v>471</v>
      </c>
      <c r="I26" s="1547">
        <v>-104500</v>
      </c>
      <c r="J26" s="1465">
        <v>1130500</v>
      </c>
      <c r="K26" s="1466">
        <v>1026000</v>
      </c>
      <c r="L26" s="1188"/>
      <c r="M26" s="1467" t="s">
        <v>860</v>
      </c>
      <c r="N26" s="1594" t="s">
        <v>761</v>
      </c>
      <c r="O26" s="1598">
        <v>45621</v>
      </c>
      <c r="P26" s="1594"/>
      <c r="Q26" s="1468">
        <v>0</v>
      </c>
      <c r="R26" s="1469"/>
      <c r="S26" s="297" t="s">
        <v>874</v>
      </c>
      <c r="T26" s="24"/>
      <c r="U26" s="1230" t="s">
        <v>318</v>
      </c>
      <c r="V26" s="1488">
        <v>946000</v>
      </c>
      <c r="W26" s="239"/>
      <c r="X26" s="114">
        <v>0</v>
      </c>
      <c r="Y26" s="240"/>
      <c r="Z26" s="115">
        <v>0</v>
      </c>
      <c r="AA26" s="884"/>
      <c r="AB26" s="874">
        <v>0</v>
      </c>
      <c r="AC26" s="884"/>
      <c r="AD26" s="874">
        <v>0</v>
      </c>
      <c r="AE26" s="241"/>
      <c r="AF26" s="116">
        <v>0</v>
      </c>
      <c r="AG26" s="239"/>
      <c r="AH26" s="116">
        <v>0</v>
      </c>
      <c r="AI26" s="242"/>
      <c r="AJ26" s="117">
        <v>0</v>
      </c>
      <c r="AK26" s="1228">
        <v>0</v>
      </c>
      <c r="AL26" s="1228">
        <v>0</v>
      </c>
      <c r="AM26" s="1231">
        <v>950000</v>
      </c>
      <c r="AN26" s="24"/>
    </row>
    <row r="27" spans="1:40" x14ac:dyDescent="0.2">
      <c r="A27" s="1462">
        <v>19</v>
      </c>
      <c r="B27" s="1393" t="s">
        <v>401</v>
      </c>
      <c r="C27" s="1202">
        <v>107</v>
      </c>
      <c r="D27" s="1114">
        <v>1152437125</v>
      </c>
      <c r="E27" s="1202">
        <v>1</v>
      </c>
      <c r="F27" s="1463">
        <v>210000</v>
      </c>
      <c r="G27" s="1464">
        <v>39900</v>
      </c>
      <c r="H27" s="1537" t="s">
        <v>471</v>
      </c>
      <c r="I27" s="1547">
        <v>-23100</v>
      </c>
      <c r="J27" s="1465">
        <v>249900</v>
      </c>
      <c r="K27" s="1466">
        <v>226800</v>
      </c>
      <c r="L27" s="1188"/>
      <c r="M27" s="1614" t="s">
        <v>843</v>
      </c>
      <c r="N27" s="1594" t="s">
        <v>761</v>
      </c>
      <c r="O27" s="1598">
        <v>45614</v>
      </c>
      <c r="P27" s="1594" t="s">
        <v>839</v>
      </c>
      <c r="Q27" s="1468">
        <v>0</v>
      </c>
      <c r="R27" s="1469"/>
      <c r="S27" s="297" t="s">
        <v>871</v>
      </c>
      <c r="T27" s="24"/>
      <c r="U27" s="1230" t="s">
        <v>318</v>
      </c>
      <c r="V27" s="119">
        <v>210000</v>
      </c>
      <c r="W27" s="239"/>
      <c r="X27" s="114">
        <v>0</v>
      </c>
      <c r="Y27" s="240"/>
      <c r="Z27" s="115">
        <v>0</v>
      </c>
      <c r="AA27" s="884"/>
      <c r="AB27" s="874">
        <v>0</v>
      </c>
      <c r="AC27" s="884"/>
      <c r="AD27" s="874">
        <v>0</v>
      </c>
      <c r="AE27" s="241"/>
      <c r="AF27" s="116">
        <v>0</v>
      </c>
      <c r="AG27" s="239"/>
      <c r="AH27" s="116">
        <v>0</v>
      </c>
      <c r="AI27" s="242"/>
      <c r="AJ27" s="117">
        <v>0</v>
      </c>
      <c r="AK27" s="1228">
        <v>0</v>
      </c>
      <c r="AL27" s="1228">
        <v>0</v>
      </c>
      <c r="AM27" s="1231">
        <v>210000</v>
      </c>
      <c r="AN27" s="24"/>
    </row>
    <row r="28" spans="1:40" x14ac:dyDescent="0.2">
      <c r="A28" s="1462">
        <v>20</v>
      </c>
      <c r="B28" s="1486" t="s">
        <v>648</v>
      </c>
      <c r="C28" s="1202">
        <v>229</v>
      </c>
      <c r="D28" s="1114">
        <v>1037624491</v>
      </c>
      <c r="E28" s="1202">
        <v>7</v>
      </c>
      <c r="F28" s="1463">
        <v>210000</v>
      </c>
      <c r="G28" s="1464">
        <v>39900</v>
      </c>
      <c r="H28" s="1537" t="s">
        <v>471</v>
      </c>
      <c r="I28" s="1547">
        <v>-23100</v>
      </c>
      <c r="J28" s="1465">
        <v>249900</v>
      </c>
      <c r="K28" s="1466">
        <v>226800</v>
      </c>
      <c r="L28" s="1188"/>
      <c r="M28" s="1614" t="s">
        <v>843</v>
      </c>
      <c r="N28" s="1594" t="s">
        <v>761</v>
      </c>
      <c r="O28" s="1598">
        <v>45614</v>
      </c>
      <c r="P28" s="1594" t="s">
        <v>839</v>
      </c>
      <c r="Q28" s="1468">
        <v>0</v>
      </c>
      <c r="R28" s="1469"/>
      <c r="S28" s="297" t="s">
        <v>871</v>
      </c>
      <c r="T28" s="24"/>
      <c r="U28" s="1230" t="s">
        <v>318</v>
      </c>
      <c r="V28" s="1489">
        <v>210000</v>
      </c>
      <c r="W28" s="239"/>
      <c r="X28" s="114">
        <v>0</v>
      </c>
      <c r="Y28" s="240"/>
      <c r="Z28" s="115">
        <v>0</v>
      </c>
      <c r="AA28" s="884"/>
      <c r="AB28" s="874">
        <v>0</v>
      </c>
      <c r="AC28" s="884"/>
      <c r="AD28" s="874">
        <v>0</v>
      </c>
      <c r="AE28" s="241"/>
      <c r="AF28" s="116">
        <v>0</v>
      </c>
      <c r="AG28" s="239"/>
      <c r="AH28" s="116">
        <v>0</v>
      </c>
      <c r="AI28" s="242"/>
      <c r="AJ28" s="117">
        <v>0</v>
      </c>
      <c r="AK28" s="1228">
        <v>0</v>
      </c>
      <c r="AL28" s="1228">
        <v>0</v>
      </c>
      <c r="AM28" s="1231">
        <v>210000</v>
      </c>
      <c r="AN28" s="24"/>
    </row>
    <row r="29" spans="1:40" x14ac:dyDescent="0.2">
      <c r="A29" s="1462">
        <v>21</v>
      </c>
      <c r="B29" s="1097" t="s">
        <v>267</v>
      </c>
      <c r="C29" s="1202">
        <v>171</v>
      </c>
      <c r="D29" s="1114">
        <v>71660993</v>
      </c>
      <c r="E29" s="1202">
        <v>8</v>
      </c>
      <c r="F29" s="1463">
        <v>2170000</v>
      </c>
      <c r="G29" s="1464">
        <v>412300</v>
      </c>
      <c r="H29" s="1537" t="s">
        <v>471</v>
      </c>
      <c r="I29" s="1547">
        <v>-238700</v>
      </c>
      <c r="J29" s="1465">
        <v>2582300</v>
      </c>
      <c r="K29" s="1466">
        <v>2343600</v>
      </c>
      <c r="L29" s="1188"/>
      <c r="M29" s="1614" t="s">
        <v>843</v>
      </c>
      <c r="N29" s="1594" t="s">
        <v>761</v>
      </c>
      <c r="O29" s="1598">
        <v>45614</v>
      </c>
      <c r="P29" s="1594" t="s">
        <v>839</v>
      </c>
      <c r="Q29" s="1468">
        <v>0</v>
      </c>
      <c r="R29" s="1469"/>
      <c r="S29" s="297" t="s">
        <v>871</v>
      </c>
      <c r="T29" s="24"/>
      <c r="U29" s="1230" t="s">
        <v>318</v>
      </c>
      <c r="V29" s="119">
        <v>1111000</v>
      </c>
      <c r="W29" s="239"/>
      <c r="X29" s="114">
        <v>0</v>
      </c>
      <c r="Y29" s="240" t="s">
        <v>318</v>
      </c>
      <c r="Z29" s="115">
        <v>833000</v>
      </c>
      <c r="AA29" s="884"/>
      <c r="AB29" s="874">
        <v>0</v>
      </c>
      <c r="AC29" s="884"/>
      <c r="AD29" s="874">
        <v>0</v>
      </c>
      <c r="AE29" s="241"/>
      <c r="AF29" s="116">
        <v>0</v>
      </c>
      <c r="AG29" s="239" t="s">
        <v>318</v>
      </c>
      <c r="AH29" s="116">
        <v>222000</v>
      </c>
      <c r="AI29" s="242"/>
      <c r="AJ29" s="117">
        <v>0</v>
      </c>
      <c r="AK29" s="1228">
        <v>0</v>
      </c>
      <c r="AL29" s="1228">
        <v>0</v>
      </c>
      <c r="AM29" s="1231">
        <v>2170000</v>
      </c>
      <c r="AN29" s="24"/>
    </row>
    <row r="30" spans="1:40" x14ac:dyDescent="0.2">
      <c r="A30" s="1462">
        <v>22</v>
      </c>
      <c r="B30" s="1603" t="s">
        <v>137</v>
      </c>
      <c r="C30" s="1202">
        <v>175</v>
      </c>
      <c r="D30" s="1114">
        <v>71315509</v>
      </c>
      <c r="E30" s="1202">
        <v>8</v>
      </c>
      <c r="F30" s="1463">
        <v>760000</v>
      </c>
      <c r="G30" s="1464">
        <v>144400</v>
      </c>
      <c r="H30" s="1162" t="s">
        <v>266</v>
      </c>
      <c r="I30" s="1553" t="s">
        <v>872</v>
      </c>
      <c r="J30" s="1465">
        <v>904400</v>
      </c>
      <c r="K30" s="1466">
        <v>904400</v>
      </c>
      <c r="L30" s="1188"/>
      <c r="M30" s="1615"/>
      <c r="N30" s="1594"/>
      <c r="O30" s="1598"/>
      <c r="P30" s="1594"/>
      <c r="Q30" s="1468">
        <v>0</v>
      </c>
      <c r="R30" s="1469"/>
      <c r="S30" s="297" t="s">
        <v>878</v>
      </c>
      <c r="T30" s="24"/>
      <c r="U30" s="1230" t="s">
        <v>318</v>
      </c>
      <c r="V30" s="119">
        <v>582000</v>
      </c>
      <c r="W30" s="239"/>
      <c r="X30" s="114">
        <v>0</v>
      </c>
      <c r="Y30" s="240"/>
      <c r="Z30" s="115">
        <v>0</v>
      </c>
      <c r="AA30" s="884"/>
      <c r="AB30" s="874">
        <v>0</v>
      </c>
      <c r="AC30" s="884"/>
      <c r="AD30" s="874">
        <v>0</v>
      </c>
      <c r="AE30" s="241"/>
      <c r="AF30" s="116">
        <v>0</v>
      </c>
      <c r="AG30" s="239"/>
      <c r="AH30" s="116">
        <v>0</v>
      </c>
      <c r="AI30" s="242" t="s">
        <v>318</v>
      </c>
      <c r="AJ30" s="117">
        <v>174600</v>
      </c>
      <c r="AK30" s="1228">
        <v>0</v>
      </c>
      <c r="AL30" s="1228">
        <v>0</v>
      </c>
      <c r="AM30" s="1231">
        <v>760000</v>
      </c>
      <c r="AN30" s="24"/>
    </row>
    <row r="31" spans="1:40" x14ac:dyDescent="0.2">
      <c r="A31" s="1462">
        <v>23</v>
      </c>
      <c r="B31" s="1603" t="s">
        <v>138</v>
      </c>
      <c r="C31" s="1202">
        <v>296</v>
      </c>
      <c r="D31" s="1114">
        <v>43628444</v>
      </c>
      <c r="E31" s="1202">
        <v>1</v>
      </c>
      <c r="F31" s="1463">
        <v>950000</v>
      </c>
      <c r="G31" s="1464">
        <v>180500</v>
      </c>
      <c r="H31" s="1162" t="s">
        <v>266</v>
      </c>
      <c r="I31" s="1553" t="s">
        <v>872</v>
      </c>
      <c r="J31" s="1465">
        <v>1130500</v>
      </c>
      <c r="K31" s="1466">
        <v>1130500</v>
      </c>
      <c r="L31" s="1188"/>
      <c r="M31" s="1615"/>
      <c r="N31" s="1594"/>
      <c r="O31" s="1598"/>
      <c r="P31" s="1594"/>
      <c r="Q31" s="1468">
        <v>0</v>
      </c>
      <c r="R31" s="1469"/>
      <c r="S31" s="297" t="s">
        <v>138</v>
      </c>
      <c r="T31" s="24"/>
      <c r="U31" s="1230" t="s">
        <v>318</v>
      </c>
      <c r="V31" s="119">
        <v>582000</v>
      </c>
      <c r="W31" s="239"/>
      <c r="X31" s="114">
        <v>0</v>
      </c>
      <c r="Y31" s="240"/>
      <c r="Z31" s="115">
        <v>0</v>
      </c>
      <c r="AA31" s="884"/>
      <c r="AB31" s="874">
        <v>0</v>
      </c>
      <c r="AC31" s="884"/>
      <c r="AD31" s="874">
        <v>0</v>
      </c>
      <c r="AE31" s="241"/>
      <c r="AF31" s="116">
        <v>0</v>
      </c>
      <c r="AG31" s="239"/>
      <c r="AH31" s="116">
        <v>0</v>
      </c>
      <c r="AI31" s="242"/>
      <c r="AJ31" s="117">
        <v>0</v>
      </c>
      <c r="AK31" s="1228">
        <v>365921.02485292027</v>
      </c>
      <c r="AL31" s="1228">
        <v>0</v>
      </c>
      <c r="AM31" s="1231">
        <v>950000</v>
      </c>
      <c r="AN31" s="24"/>
    </row>
    <row r="32" spans="1:40" x14ac:dyDescent="0.2">
      <c r="A32" s="1462">
        <v>24</v>
      </c>
      <c r="B32" s="1393" t="s">
        <v>139</v>
      </c>
      <c r="C32" s="1202">
        <v>176</v>
      </c>
      <c r="D32" s="1114">
        <v>1138258</v>
      </c>
      <c r="E32" s="1202">
        <v>0</v>
      </c>
      <c r="F32" s="1463">
        <v>580000</v>
      </c>
      <c r="G32" s="1464">
        <v>110200</v>
      </c>
      <c r="H32" s="1162" t="s">
        <v>266</v>
      </c>
      <c r="I32" s="1553" t="s">
        <v>872</v>
      </c>
      <c r="J32" s="1465">
        <v>690200</v>
      </c>
      <c r="K32" s="1466">
        <v>690200</v>
      </c>
      <c r="L32" s="1188"/>
      <c r="M32" s="1615"/>
      <c r="N32" s="1594"/>
      <c r="O32" s="1598"/>
      <c r="P32" s="1594"/>
      <c r="Q32" s="1468">
        <v>0</v>
      </c>
      <c r="R32" s="1469"/>
      <c r="S32" s="297" t="s">
        <v>878</v>
      </c>
      <c r="T32" s="24"/>
      <c r="U32" s="1230" t="s">
        <v>318</v>
      </c>
      <c r="V32" s="119">
        <v>582000</v>
      </c>
      <c r="W32" s="239"/>
      <c r="X32" s="114">
        <v>0</v>
      </c>
      <c r="Y32" s="240"/>
      <c r="Z32" s="115">
        <v>0</v>
      </c>
      <c r="AA32" s="884"/>
      <c r="AB32" s="874">
        <v>0</v>
      </c>
      <c r="AC32" s="884"/>
      <c r="AD32" s="874">
        <v>0</v>
      </c>
      <c r="AE32" s="241"/>
      <c r="AF32" s="116">
        <v>0</v>
      </c>
      <c r="AG32" s="239"/>
      <c r="AH32" s="116">
        <v>0</v>
      </c>
      <c r="AI32" s="242"/>
      <c r="AJ32" s="117">
        <v>0</v>
      </c>
      <c r="AK32" s="1228">
        <v>0</v>
      </c>
      <c r="AL32" s="1228">
        <v>0</v>
      </c>
      <c r="AM32" s="1231">
        <v>580000</v>
      </c>
      <c r="AN32" s="24"/>
    </row>
    <row r="33" spans="1:40" x14ac:dyDescent="0.2">
      <c r="A33" s="1462">
        <v>25</v>
      </c>
      <c r="B33" s="1470" t="s">
        <v>148</v>
      </c>
      <c r="C33" s="1202">
        <v>187</v>
      </c>
      <c r="D33" s="1114">
        <v>71595523</v>
      </c>
      <c r="E33" s="1202">
        <v>1</v>
      </c>
      <c r="F33" s="1463">
        <v>470000</v>
      </c>
      <c r="G33" s="1464">
        <v>89300</v>
      </c>
      <c r="H33" s="1537" t="s">
        <v>471</v>
      </c>
      <c r="I33" s="1547">
        <v>-51700</v>
      </c>
      <c r="J33" s="1465">
        <v>559300</v>
      </c>
      <c r="K33" s="1466">
        <v>507600</v>
      </c>
      <c r="L33" s="1471" t="s">
        <v>318</v>
      </c>
      <c r="M33" s="1467" t="s">
        <v>835</v>
      </c>
      <c r="N33" s="1594" t="s">
        <v>838</v>
      </c>
      <c r="O33" s="1598">
        <v>45611</v>
      </c>
      <c r="P33" s="1594" t="s">
        <v>839</v>
      </c>
      <c r="Q33" s="1468">
        <v>0</v>
      </c>
      <c r="R33" s="1469"/>
      <c r="S33" s="297" t="s">
        <v>881</v>
      </c>
      <c r="T33" s="24"/>
      <c r="U33" s="1230" t="s">
        <v>318</v>
      </c>
      <c r="V33" s="119">
        <v>473000</v>
      </c>
      <c r="W33" s="239"/>
      <c r="X33" s="114">
        <v>0</v>
      </c>
      <c r="Y33" s="240"/>
      <c r="Z33" s="115">
        <v>0</v>
      </c>
      <c r="AA33" s="884"/>
      <c r="AB33" s="874">
        <v>0</v>
      </c>
      <c r="AC33" s="884"/>
      <c r="AD33" s="874">
        <v>0</v>
      </c>
      <c r="AE33" s="241"/>
      <c r="AF33" s="116">
        <v>0</v>
      </c>
      <c r="AG33" s="239"/>
      <c r="AH33" s="116">
        <v>0</v>
      </c>
      <c r="AI33" s="242"/>
      <c r="AJ33" s="117">
        <v>0</v>
      </c>
      <c r="AK33" s="1228">
        <v>0</v>
      </c>
      <c r="AL33" s="1228">
        <v>0</v>
      </c>
      <c r="AM33" s="1231">
        <v>470000</v>
      </c>
      <c r="AN33" s="24"/>
    </row>
    <row r="34" spans="1:40" x14ac:dyDescent="0.2">
      <c r="A34" s="1472">
        <v>26</v>
      </c>
      <c r="B34" s="1090" t="s">
        <v>163</v>
      </c>
      <c r="C34" s="1209">
        <v>206</v>
      </c>
      <c r="D34" s="1473">
        <v>32469463</v>
      </c>
      <c r="E34" s="1209">
        <v>7</v>
      </c>
      <c r="F34" s="1407">
        <v>2500000</v>
      </c>
      <c r="G34" s="1408">
        <v>475000</v>
      </c>
      <c r="H34" s="1538" t="s">
        <v>471</v>
      </c>
      <c r="I34" s="1548">
        <v>-275000</v>
      </c>
      <c r="J34" s="1409">
        <v>2975000</v>
      </c>
      <c r="K34" s="1410">
        <v>2700000</v>
      </c>
      <c r="L34" s="1411"/>
      <c r="M34" s="1412" t="s">
        <v>863</v>
      </c>
      <c r="N34" s="1595"/>
      <c r="O34" s="1604"/>
      <c r="P34" s="1595"/>
      <c r="Q34" s="1413"/>
      <c r="R34" s="1414"/>
      <c r="S34" s="1487" t="s">
        <v>882</v>
      </c>
      <c r="T34" s="24"/>
      <c r="U34" s="1230" t="s">
        <v>318</v>
      </c>
      <c r="V34" s="119">
        <v>1668000</v>
      </c>
      <c r="W34" s="239" t="s">
        <v>318</v>
      </c>
      <c r="X34" s="114">
        <v>834000</v>
      </c>
      <c r="Y34" s="240"/>
      <c r="Z34" s="115">
        <v>0</v>
      </c>
      <c r="AA34" s="884"/>
      <c r="AB34" s="874">
        <v>0</v>
      </c>
      <c r="AC34" s="884"/>
      <c r="AD34" s="874">
        <v>0</v>
      </c>
      <c r="AE34" s="241"/>
      <c r="AF34" s="116">
        <v>0</v>
      </c>
      <c r="AG34" s="239"/>
      <c r="AH34" s="116">
        <v>0</v>
      </c>
      <c r="AI34" s="242"/>
      <c r="AJ34" s="117">
        <v>0</v>
      </c>
      <c r="AK34" s="1228">
        <v>0</v>
      </c>
      <c r="AL34" s="1228">
        <v>0</v>
      </c>
      <c r="AM34" s="1231">
        <v>2500000</v>
      </c>
      <c r="AN34" s="24"/>
    </row>
    <row r="35" spans="1:40" x14ac:dyDescent="0.2">
      <c r="A35" s="1462">
        <v>27</v>
      </c>
      <c r="B35" s="1137" t="s">
        <v>164</v>
      </c>
      <c r="C35" s="1202">
        <v>207</v>
      </c>
      <c r="D35" s="1114">
        <v>71720224</v>
      </c>
      <c r="E35" s="1202">
        <v>0</v>
      </c>
      <c r="F35" s="1463">
        <v>1810000</v>
      </c>
      <c r="G35" s="1464">
        <v>343900</v>
      </c>
      <c r="H35" s="1537" t="s">
        <v>471</v>
      </c>
      <c r="I35" s="1547">
        <v>-199100</v>
      </c>
      <c r="J35" s="1465">
        <v>2153900</v>
      </c>
      <c r="K35" s="1466">
        <v>1954800</v>
      </c>
      <c r="L35" s="1471" t="s">
        <v>318</v>
      </c>
      <c r="M35" s="1615" t="s">
        <v>861</v>
      </c>
      <c r="N35" s="1594"/>
      <c r="O35" s="1598"/>
      <c r="P35" s="1594"/>
      <c r="Q35" s="1468">
        <v>0</v>
      </c>
      <c r="R35" s="1469"/>
      <c r="S35" s="297" t="s">
        <v>875</v>
      </c>
      <c r="T35" s="24"/>
      <c r="U35" s="1230" t="s">
        <v>318</v>
      </c>
      <c r="V35" s="119">
        <v>1812000</v>
      </c>
      <c r="W35" s="239"/>
      <c r="X35" s="114">
        <v>0</v>
      </c>
      <c r="Y35" s="240"/>
      <c r="Z35" s="115">
        <v>0</v>
      </c>
      <c r="AA35" s="884"/>
      <c r="AB35" s="874">
        <v>0</v>
      </c>
      <c r="AC35" s="884"/>
      <c r="AD35" s="874">
        <v>0</v>
      </c>
      <c r="AE35" s="241"/>
      <c r="AF35" s="116">
        <v>0</v>
      </c>
      <c r="AG35" s="239"/>
      <c r="AH35" s="116">
        <v>0</v>
      </c>
      <c r="AI35" s="242"/>
      <c r="AJ35" s="117">
        <v>0</v>
      </c>
      <c r="AK35" s="1228">
        <v>0</v>
      </c>
      <c r="AL35" s="1228">
        <v>0</v>
      </c>
      <c r="AM35" s="1231">
        <v>1810000</v>
      </c>
      <c r="AN35" s="24"/>
    </row>
    <row r="36" spans="1:40" x14ac:dyDescent="0.2">
      <c r="A36" s="1462">
        <v>28</v>
      </c>
      <c r="B36" s="1393" t="s">
        <v>165</v>
      </c>
      <c r="C36" s="1202">
        <v>208</v>
      </c>
      <c r="D36" s="1114">
        <v>70569069</v>
      </c>
      <c r="E36" s="1202">
        <v>5</v>
      </c>
      <c r="F36" s="1463">
        <v>1810000</v>
      </c>
      <c r="G36" s="1464">
        <v>343900</v>
      </c>
      <c r="H36" s="1537" t="s">
        <v>471</v>
      </c>
      <c r="I36" s="1547">
        <v>-199100</v>
      </c>
      <c r="J36" s="1465">
        <v>2153900</v>
      </c>
      <c r="K36" s="1466">
        <v>1954800</v>
      </c>
      <c r="L36" s="1471" t="s">
        <v>318</v>
      </c>
      <c r="M36" s="1615" t="s">
        <v>861</v>
      </c>
      <c r="N36" s="1594"/>
      <c r="O36" s="1598"/>
      <c r="P36" s="1594"/>
      <c r="Q36" s="1468">
        <v>0</v>
      </c>
      <c r="R36" s="1469"/>
      <c r="S36" s="297" t="s">
        <v>875</v>
      </c>
      <c r="T36" s="24"/>
      <c r="U36" s="1230" t="s">
        <v>318</v>
      </c>
      <c r="V36" s="119">
        <v>1812000</v>
      </c>
      <c r="W36" s="239"/>
      <c r="X36" s="114">
        <v>0</v>
      </c>
      <c r="Y36" s="240"/>
      <c r="Z36" s="115">
        <v>0</v>
      </c>
      <c r="AA36" s="884"/>
      <c r="AB36" s="874">
        <v>0</v>
      </c>
      <c r="AC36" s="884"/>
      <c r="AD36" s="874">
        <v>0</v>
      </c>
      <c r="AE36" s="241"/>
      <c r="AF36" s="116">
        <v>0</v>
      </c>
      <c r="AG36" s="239"/>
      <c r="AH36" s="116">
        <v>0</v>
      </c>
      <c r="AI36" s="242"/>
      <c r="AJ36" s="117">
        <v>0</v>
      </c>
      <c r="AK36" s="1228">
        <v>0</v>
      </c>
      <c r="AL36" s="1228">
        <v>0</v>
      </c>
      <c r="AM36" s="1231">
        <v>1810000</v>
      </c>
      <c r="AN36" s="24"/>
    </row>
    <row r="37" spans="1:40" x14ac:dyDescent="0.2">
      <c r="A37" s="1462">
        <v>29</v>
      </c>
      <c r="B37" s="1393" t="s">
        <v>168</v>
      </c>
      <c r="C37" s="1202">
        <v>211</v>
      </c>
      <c r="D37" s="1114">
        <v>8252575</v>
      </c>
      <c r="E37" s="1202">
        <v>3</v>
      </c>
      <c r="F37" s="1463">
        <v>1810000</v>
      </c>
      <c r="G37" s="1464">
        <v>343900</v>
      </c>
      <c r="H37" s="1537" t="s">
        <v>471</v>
      </c>
      <c r="I37" s="1547">
        <v>-199100</v>
      </c>
      <c r="J37" s="1465">
        <v>2153900</v>
      </c>
      <c r="K37" s="1466">
        <v>1954800</v>
      </c>
      <c r="L37" s="1471" t="s">
        <v>318</v>
      </c>
      <c r="M37" s="1615" t="s">
        <v>861</v>
      </c>
      <c r="N37" s="1594"/>
      <c r="O37" s="1598"/>
      <c r="P37" s="1594"/>
      <c r="Q37" s="1468">
        <v>0</v>
      </c>
      <c r="R37" s="1469"/>
      <c r="S37" s="297" t="s">
        <v>875</v>
      </c>
      <c r="T37" s="24"/>
      <c r="U37" s="1230" t="s">
        <v>318</v>
      </c>
      <c r="V37" s="119">
        <v>1812000</v>
      </c>
      <c r="W37" s="239"/>
      <c r="X37" s="114">
        <v>0</v>
      </c>
      <c r="Y37" s="240"/>
      <c r="Z37" s="115">
        <v>0</v>
      </c>
      <c r="AA37" s="884"/>
      <c r="AB37" s="874">
        <v>0</v>
      </c>
      <c r="AC37" s="884"/>
      <c r="AD37" s="874">
        <v>0</v>
      </c>
      <c r="AE37" s="241"/>
      <c r="AF37" s="116">
        <v>0</v>
      </c>
      <c r="AG37" s="239"/>
      <c r="AH37" s="116">
        <v>0</v>
      </c>
      <c r="AI37" s="242"/>
      <c r="AJ37" s="117">
        <v>0</v>
      </c>
      <c r="AK37" s="1228">
        <v>0</v>
      </c>
      <c r="AL37" s="1228">
        <v>0</v>
      </c>
      <c r="AM37" s="1231">
        <v>1810000</v>
      </c>
      <c r="AN37" s="24"/>
    </row>
    <row r="38" spans="1:40" x14ac:dyDescent="0.2">
      <c r="A38" s="1462"/>
      <c r="B38" s="1474"/>
      <c r="C38" s="1202"/>
      <c r="D38" s="1475"/>
      <c r="E38" s="1202"/>
      <c r="F38" s="1463"/>
      <c r="G38" s="1464"/>
      <c r="H38" s="1537"/>
      <c r="I38" s="1547"/>
      <c r="J38" s="1465"/>
      <c r="K38" s="1466"/>
      <c r="L38" s="1188"/>
      <c r="M38" s="1467"/>
      <c r="N38" s="1594"/>
      <c r="O38" s="1598"/>
      <c r="P38" s="1594"/>
      <c r="Q38" s="1468"/>
      <c r="R38" s="1469"/>
      <c r="S38" s="297"/>
      <c r="T38" s="24"/>
      <c r="U38" s="1230"/>
      <c r="V38" s="119">
        <v>0</v>
      </c>
      <c r="W38" s="239"/>
      <c r="X38" s="114">
        <v>0</v>
      </c>
      <c r="Y38" s="240"/>
      <c r="Z38" s="115">
        <v>0</v>
      </c>
      <c r="AA38" s="884"/>
      <c r="AB38" s="874">
        <v>0</v>
      </c>
      <c r="AC38" s="884"/>
      <c r="AD38" s="874">
        <v>0</v>
      </c>
      <c r="AE38" s="241"/>
      <c r="AF38" s="116">
        <v>0</v>
      </c>
      <c r="AG38" s="239"/>
      <c r="AH38" s="116">
        <v>0</v>
      </c>
      <c r="AI38" s="242"/>
      <c r="AJ38" s="117">
        <v>0</v>
      </c>
      <c r="AK38" s="1228">
        <v>0</v>
      </c>
      <c r="AL38" s="1228">
        <v>0</v>
      </c>
      <c r="AM38" s="1231">
        <v>0</v>
      </c>
      <c r="AN38" s="24"/>
    </row>
    <row r="39" spans="1:40" x14ac:dyDescent="0.2">
      <c r="A39" s="1462"/>
      <c r="B39" s="1474"/>
      <c r="C39" s="1202"/>
      <c r="D39" s="1475"/>
      <c r="E39" s="1202"/>
      <c r="F39" s="1463"/>
      <c r="G39" s="1464"/>
      <c r="H39" s="1537"/>
      <c r="I39" s="1547"/>
      <c r="J39" s="1465"/>
      <c r="K39" s="1466"/>
      <c r="L39" s="1188"/>
      <c r="M39" s="1467"/>
      <c r="N39" s="1594"/>
      <c r="O39" s="1598"/>
      <c r="P39" s="1594"/>
      <c r="Q39" s="1468"/>
      <c r="R39" s="1469"/>
      <c r="S39" s="297"/>
      <c r="T39" s="24"/>
      <c r="U39" s="1230"/>
      <c r="V39" s="119">
        <v>0</v>
      </c>
      <c r="W39" s="239"/>
      <c r="X39" s="114">
        <v>0</v>
      </c>
      <c r="Y39" s="240"/>
      <c r="Z39" s="115">
        <v>0</v>
      </c>
      <c r="AA39" s="884"/>
      <c r="AB39" s="874">
        <v>0</v>
      </c>
      <c r="AC39" s="884"/>
      <c r="AD39" s="874">
        <v>0</v>
      </c>
      <c r="AE39" s="241"/>
      <c r="AF39" s="116">
        <v>0</v>
      </c>
      <c r="AG39" s="239"/>
      <c r="AH39" s="116">
        <v>0</v>
      </c>
      <c r="AI39" s="242"/>
      <c r="AJ39" s="117">
        <v>0</v>
      </c>
      <c r="AK39" s="1228">
        <v>0</v>
      </c>
      <c r="AL39" s="1228">
        <v>0</v>
      </c>
      <c r="AM39" s="1231">
        <v>0</v>
      </c>
      <c r="AN39" s="24"/>
    </row>
    <row r="40" spans="1:40" x14ac:dyDescent="0.2">
      <c r="A40" s="1462"/>
      <c r="B40" s="1474"/>
      <c r="C40" s="1202"/>
      <c r="D40" s="1475"/>
      <c r="E40" s="1202"/>
      <c r="F40" s="1463"/>
      <c r="G40" s="1464"/>
      <c r="H40" s="1537"/>
      <c r="I40" s="1547"/>
      <c r="J40" s="1465"/>
      <c r="K40" s="1466"/>
      <c r="L40" s="1188"/>
      <c r="M40" s="1467"/>
      <c r="N40" s="1594"/>
      <c r="O40" s="1598"/>
      <c r="P40" s="1594"/>
      <c r="Q40" s="1468"/>
      <c r="R40" s="1469"/>
      <c r="S40" s="297"/>
      <c r="T40" s="24"/>
      <c r="U40" s="1230"/>
      <c r="V40" s="119">
        <v>0</v>
      </c>
      <c r="W40" s="239"/>
      <c r="X40" s="114">
        <v>0</v>
      </c>
      <c r="Y40" s="240"/>
      <c r="Z40" s="115">
        <v>0</v>
      </c>
      <c r="AA40" s="884"/>
      <c r="AB40" s="874">
        <v>0</v>
      </c>
      <c r="AC40" s="884"/>
      <c r="AD40" s="874">
        <v>0</v>
      </c>
      <c r="AE40" s="241"/>
      <c r="AF40" s="116">
        <v>0</v>
      </c>
      <c r="AG40" s="239"/>
      <c r="AH40" s="116">
        <v>0</v>
      </c>
      <c r="AI40" s="242"/>
      <c r="AJ40" s="117">
        <v>0</v>
      </c>
      <c r="AK40" s="1228">
        <v>0</v>
      </c>
      <c r="AL40" s="1228">
        <v>0</v>
      </c>
      <c r="AM40" s="1231">
        <v>0</v>
      </c>
      <c r="AN40" s="24"/>
    </row>
    <row r="41" spans="1:40" x14ac:dyDescent="0.2">
      <c r="A41" s="1462"/>
      <c r="B41" s="1474"/>
      <c r="C41" s="1202"/>
      <c r="D41" s="1475"/>
      <c r="E41" s="1202"/>
      <c r="F41" s="1463"/>
      <c r="G41" s="1464"/>
      <c r="H41" s="1537"/>
      <c r="I41" s="1547"/>
      <c r="J41" s="1465"/>
      <c r="K41" s="1466"/>
      <c r="L41" s="1188"/>
      <c r="M41" s="1467"/>
      <c r="N41" s="1594"/>
      <c r="O41" s="1598"/>
      <c r="P41" s="1594"/>
      <c r="Q41" s="1468"/>
      <c r="R41" s="1469"/>
      <c r="S41" s="297"/>
      <c r="T41" s="24"/>
      <c r="U41" s="1230"/>
      <c r="V41" s="119">
        <v>0</v>
      </c>
      <c r="W41" s="239"/>
      <c r="X41" s="114">
        <v>0</v>
      </c>
      <c r="Y41" s="240"/>
      <c r="Z41" s="115">
        <v>0</v>
      </c>
      <c r="AA41" s="884"/>
      <c r="AB41" s="874">
        <v>0</v>
      </c>
      <c r="AC41" s="884"/>
      <c r="AD41" s="874">
        <v>0</v>
      </c>
      <c r="AE41" s="241"/>
      <c r="AF41" s="116">
        <v>0</v>
      </c>
      <c r="AG41" s="239"/>
      <c r="AH41" s="116">
        <v>0</v>
      </c>
      <c r="AI41" s="242"/>
      <c r="AJ41" s="117">
        <v>0</v>
      </c>
      <c r="AK41" s="1228">
        <v>0</v>
      </c>
      <c r="AL41" s="1228">
        <v>0</v>
      </c>
      <c r="AM41" s="1231">
        <v>0</v>
      </c>
      <c r="AN41" s="24"/>
    </row>
    <row r="42" spans="1:40" x14ac:dyDescent="0.2">
      <c r="A42" s="1462"/>
      <c r="B42" s="1474"/>
      <c r="C42" s="1202"/>
      <c r="D42" s="1475"/>
      <c r="E42" s="1202"/>
      <c r="F42" s="1463"/>
      <c r="G42" s="1464"/>
      <c r="H42" s="1537"/>
      <c r="I42" s="1547"/>
      <c r="J42" s="1465"/>
      <c r="K42" s="1466"/>
      <c r="L42" s="1188"/>
      <c r="M42" s="1467"/>
      <c r="N42" s="1594"/>
      <c r="O42" s="1598"/>
      <c r="P42" s="1594"/>
      <c r="Q42" s="1468"/>
      <c r="R42" s="1469"/>
      <c r="S42" s="297"/>
      <c r="T42" s="24"/>
      <c r="U42" s="1230"/>
      <c r="V42" s="119">
        <v>0</v>
      </c>
      <c r="W42" s="239"/>
      <c r="X42" s="114">
        <v>0</v>
      </c>
      <c r="Y42" s="240"/>
      <c r="Z42" s="115">
        <v>0</v>
      </c>
      <c r="AA42" s="884"/>
      <c r="AB42" s="874">
        <v>0</v>
      </c>
      <c r="AC42" s="884"/>
      <c r="AD42" s="874">
        <v>0</v>
      </c>
      <c r="AE42" s="241"/>
      <c r="AF42" s="116">
        <v>0</v>
      </c>
      <c r="AG42" s="239"/>
      <c r="AH42" s="116">
        <v>0</v>
      </c>
      <c r="AI42" s="242"/>
      <c r="AJ42" s="117">
        <v>0</v>
      </c>
      <c r="AK42" s="1228">
        <v>0</v>
      </c>
      <c r="AL42" s="1228">
        <v>0</v>
      </c>
      <c r="AM42" s="1231">
        <v>0</v>
      </c>
      <c r="AN42" s="24"/>
    </row>
    <row r="43" spans="1:40" x14ac:dyDescent="0.2">
      <c r="A43" s="1462"/>
      <c r="B43" s="1474"/>
      <c r="C43" s="1202"/>
      <c r="D43" s="1475"/>
      <c r="E43" s="1202"/>
      <c r="F43" s="1463"/>
      <c r="G43" s="1464"/>
      <c r="H43" s="1537"/>
      <c r="I43" s="1547"/>
      <c r="J43" s="1465"/>
      <c r="K43" s="1466"/>
      <c r="L43" s="1188"/>
      <c r="M43" s="1467"/>
      <c r="N43" s="1594"/>
      <c r="O43" s="1598"/>
      <c r="P43" s="1594"/>
      <c r="Q43" s="1468"/>
      <c r="R43" s="1469"/>
      <c r="S43" s="297"/>
      <c r="T43" s="24"/>
      <c r="U43" s="1230"/>
      <c r="V43" s="119">
        <v>0</v>
      </c>
      <c r="W43" s="239"/>
      <c r="X43" s="114">
        <v>0</v>
      </c>
      <c r="Y43" s="240"/>
      <c r="Z43" s="115">
        <v>0</v>
      </c>
      <c r="AA43" s="884"/>
      <c r="AB43" s="874">
        <v>0</v>
      </c>
      <c r="AC43" s="884"/>
      <c r="AD43" s="874">
        <v>0</v>
      </c>
      <c r="AE43" s="241"/>
      <c r="AF43" s="116">
        <v>0</v>
      </c>
      <c r="AG43" s="239"/>
      <c r="AH43" s="116">
        <v>0</v>
      </c>
      <c r="AI43" s="242"/>
      <c r="AJ43" s="117">
        <v>0</v>
      </c>
      <c r="AK43" s="1228">
        <v>0</v>
      </c>
      <c r="AL43" s="1228">
        <v>0</v>
      </c>
      <c r="AM43" s="1231">
        <v>0</v>
      </c>
      <c r="AN43" s="24"/>
    </row>
    <row r="44" spans="1:40" x14ac:dyDescent="0.2">
      <c r="A44" s="1462"/>
      <c r="B44" s="1474"/>
      <c r="C44" s="1202"/>
      <c r="D44" s="1475"/>
      <c r="E44" s="1202"/>
      <c r="F44" s="1463"/>
      <c r="G44" s="1464"/>
      <c r="H44" s="1537"/>
      <c r="I44" s="1547"/>
      <c r="J44" s="1465"/>
      <c r="K44" s="1466"/>
      <c r="L44" s="1188"/>
      <c r="M44" s="1467"/>
      <c r="N44" s="1594"/>
      <c r="O44" s="1598"/>
      <c r="P44" s="1594"/>
      <c r="Q44" s="1468"/>
      <c r="R44" s="1469"/>
      <c r="S44" s="297"/>
      <c r="T44" s="24"/>
      <c r="U44" s="1230"/>
      <c r="V44" s="119">
        <v>0</v>
      </c>
      <c r="W44" s="239"/>
      <c r="X44" s="114">
        <v>0</v>
      </c>
      <c r="Y44" s="240"/>
      <c r="Z44" s="115">
        <v>0</v>
      </c>
      <c r="AA44" s="884"/>
      <c r="AB44" s="874">
        <v>0</v>
      </c>
      <c r="AC44" s="884"/>
      <c r="AD44" s="874">
        <v>0</v>
      </c>
      <c r="AE44" s="241"/>
      <c r="AF44" s="116">
        <v>0</v>
      </c>
      <c r="AG44" s="239"/>
      <c r="AH44" s="116">
        <v>0</v>
      </c>
      <c r="AI44" s="242"/>
      <c r="AJ44" s="117">
        <v>0</v>
      </c>
      <c r="AK44" s="1228">
        <v>0</v>
      </c>
      <c r="AL44" s="1228">
        <v>0</v>
      </c>
      <c r="AM44" s="1231">
        <v>0</v>
      </c>
      <c r="AN44" s="24"/>
    </row>
    <row r="45" spans="1:40" x14ac:dyDescent="0.2">
      <c r="A45" s="1462"/>
      <c r="B45" s="1474"/>
      <c r="C45" s="1202"/>
      <c r="D45" s="1475"/>
      <c r="E45" s="1202"/>
      <c r="F45" s="1463"/>
      <c r="G45" s="1464"/>
      <c r="H45" s="1537"/>
      <c r="I45" s="1547"/>
      <c r="J45" s="1465"/>
      <c r="K45" s="1466"/>
      <c r="L45" s="1188"/>
      <c r="M45" s="1467"/>
      <c r="N45" s="1594"/>
      <c r="O45" s="1598"/>
      <c r="P45" s="1594"/>
      <c r="Q45" s="1468"/>
      <c r="R45" s="1469"/>
      <c r="S45" s="297"/>
      <c r="T45" s="24"/>
      <c r="U45" s="1230"/>
      <c r="V45" s="119">
        <v>0</v>
      </c>
      <c r="W45" s="239"/>
      <c r="X45" s="114">
        <v>0</v>
      </c>
      <c r="Y45" s="240"/>
      <c r="Z45" s="115">
        <v>0</v>
      </c>
      <c r="AA45" s="884"/>
      <c r="AB45" s="874">
        <v>0</v>
      </c>
      <c r="AC45" s="884"/>
      <c r="AD45" s="874">
        <v>0</v>
      </c>
      <c r="AE45" s="241"/>
      <c r="AF45" s="116">
        <v>0</v>
      </c>
      <c r="AG45" s="239"/>
      <c r="AH45" s="116">
        <v>0</v>
      </c>
      <c r="AI45" s="242"/>
      <c r="AJ45" s="117">
        <v>0</v>
      </c>
      <c r="AK45" s="1228">
        <v>0</v>
      </c>
      <c r="AL45" s="1228">
        <v>0</v>
      </c>
      <c r="AM45" s="1231">
        <v>0</v>
      </c>
      <c r="AN45" s="24"/>
    </row>
    <row r="46" spans="1:40" x14ac:dyDescent="0.2">
      <c r="A46" s="1462"/>
      <c r="B46" s="1474"/>
      <c r="C46" s="1202"/>
      <c r="D46" s="1475"/>
      <c r="E46" s="1202"/>
      <c r="F46" s="1463"/>
      <c r="G46" s="1464"/>
      <c r="H46" s="1537"/>
      <c r="I46" s="1547"/>
      <c r="J46" s="1465"/>
      <c r="K46" s="1466"/>
      <c r="L46" s="1188"/>
      <c r="M46" s="1467"/>
      <c r="N46" s="1594"/>
      <c r="O46" s="1598"/>
      <c r="P46" s="1594"/>
      <c r="Q46" s="1468"/>
      <c r="R46" s="1469"/>
      <c r="S46" s="297"/>
      <c r="T46" s="24"/>
      <c r="U46" s="1230"/>
      <c r="V46" s="119">
        <v>0</v>
      </c>
      <c r="W46" s="239"/>
      <c r="X46" s="114">
        <v>0</v>
      </c>
      <c r="Y46" s="240"/>
      <c r="Z46" s="115">
        <v>0</v>
      </c>
      <c r="AA46" s="884"/>
      <c r="AB46" s="874">
        <v>0</v>
      </c>
      <c r="AC46" s="884"/>
      <c r="AD46" s="874">
        <v>0</v>
      </c>
      <c r="AE46" s="241"/>
      <c r="AF46" s="116">
        <v>0</v>
      </c>
      <c r="AG46" s="239"/>
      <c r="AH46" s="116">
        <v>0</v>
      </c>
      <c r="AI46" s="242"/>
      <c r="AJ46" s="117">
        <v>0</v>
      </c>
      <c r="AK46" s="1228">
        <v>0</v>
      </c>
      <c r="AL46" s="1228">
        <v>0</v>
      </c>
      <c r="AM46" s="1231">
        <v>0</v>
      </c>
      <c r="AN46" s="24"/>
    </row>
    <row r="47" spans="1:40" ht="13.5" thickBot="1" x14ac:dyDescent="0.25">
      <c r="A47" s="280"/>
      <c r="B47" s="625"/>
      <c r="C47" s="491"/>
      <c r="D47" s="626"/>
      <c r="E47" s="1476"/>
      <c r="F47" s="314"/>
      <c r="G47" s="627"/>
      <c r="H47" s="1539"/>
      <c r="I47" s="1549"/>
      <c r="J47" s="530"/>
      <c r="K47" s="521"/>
      <c r="L47" s="928"/>
      <c r="M47" s="1068"/>
      <c r="N47" s="1600"/>
      <c r="O47" s="1605"/>
      <c r="P47" s="1600"/>
      <c r="Q47" s="317"/>
      <c r="R47" s="316"/>
      <c r="S47" s="328"/>
      <c r="T47" s="24"/>
      <c r="U47" s="303"/>
      <c r="V47" s="129"/>
      <c r="W47" s="247"/>
      <c r="X47" s="248"/>
      <c r="Y47" s="249"/>
      <c r="Z47" s="250"/>
      <c r="AA47" s="886"/>
      <c r="AB47" s="876"/>
      <c r="AC47" s="886"/>
      <c r="AD47" s="876"/>
      <c r="AE47" s="251"/>
      <c r="AF47" s="252"/>
      <c r="AG47" s="251"/>
      <c r="AH47" s="129"/>
      <c r="AI47" s="253"/>
      <c r="AJ47" s="254"/>
      <c r="AK47" s="326"/>
      <c r="AL47" s="209"/>
      <c r="AM47" s="267"/>
      <c r="AN47" s="24"/>
    </row>
    <row r="48" spans="1:40" ht="13.5" thickBot="1" x14ac:dyDescent="0.25">
      <c r="A48" s="169"/>
      <c r="B48" s="28"/>
      <c r="D48" s="169"/>
      <c r="E48" s="29"/>
      <c r="F48" s="257"/>
      <c r="G48" s="257"/>
      <c r="H48" s="91"/>
      <c r="I48" s="206"/>
      <c r="J48" s="498"/>
      <c r="K48" s="257"/>
      <c r="L48" s="47"/>
      <c r="M48" s="216"/>
      <c r="N48" s="216"/>
      <c r="O48" s="216"/>
      <c r="P48" s="216"/>
      <c r="Q48" s="258"/>
      <c r="R48" s="258"/>
      <c r="T48" s="24"/>
      <c r="U48" s="83"/>
      <c r="V48" s="255"/>
      <c r="W48" s="83"/>
      <c r="X48" s="84"/>
      <c r="Y48" s="47"/>
      <c r="Z48" s="85"/>
      <c r="AA48" s="216"/>
      <c r="AB48" s="90"/>
      <c r="AC48" s="216"/>
      <c r="AD48" s="90"/>
      <c r="AE48" s="86"/>
      <c r="AF48" s="87"/>
      <c r="AG48" s="86"/>
      <c r="AH48" s="256"/>
      <c r="AI48" s="48"/>
      <c r="AJ48" s="256"/>
      <c r="AK48" s="206"/>
      <c r="AL48" s="256"/>
      <c r="AM48" s="89"/>
      <c r="AN48" s="24"/>
    </row>
    <row r="49" spans="1:254" s="951" customFormat="1" ht="13.5" thickBot="1" x14ac:dyDescent="0.25">
      <c r="A49" s="162" t="s">
        <v>289</v>
      </c>
      <c r="B49" s="131"/>
      <c r="C49" s="493"/>
      <c r="D49" s="266"/>
      <c r="E49" s="276"/>
      <c r="F49" s="229">
        <v>35290000</v>
      </c>
      <c r="G49" s="229">
        <v>6705100</v>
      </c>
      <c r="H49" s="1540"/>
      <c r="I49" s="507">
        <v>-2978800</v>
      </c>
      <c r="J49" s="230">
        <v>41995100</v>
      </c>
      <c r="K49" s="229">
        <v>39016300</v>
      </c>
      <c r="L49" s="1061"/>
      <c r="M49" s="90"/>
      <c r="N49" s="90"/>
      <c r="O49" s="90"/>
      <c r="P49" s="90"/>
      <c r="Q49" s="90"/>
      <c r="R49" s="90"/>
      <c r="S49" s="62"/>
      <c r="T49" s="64"/>
      <c r="U49" s="243"/>
      <c r="V49" s="244">
        <v>28568000</v>
      </c>
      <c r="W49" s="243"/>
      <c r="X49" s="244">
        <v>1307000</v>
      </c>
      <c r="Y49" s="243"/>
      <c r="Z49" s="244">
        <v>1270000</v>
      </c>
      <c r="AA49" s="266"/>
      <c r="AB49" s="244">
        <v>0</v>
      </c>
      <c r="AC49" s="266"/>
      <c r="AD49" s="244">
        <v>0</v>
      </c>
      <c r="AE49" s="243"/>
      <c r="AF49" s="244">
        <v>0</v>
      </c>
      <c r="AG49" s="243"/>
      <c r="AH49" s="244">
        <v>222000</v>
      </c>
      <c r="AI49" s="243"/>
      <c r="AJ49" s="244">
        <v>1436100</v>
      </c>
      <c r="AK49" s="500">
        <v>2494946.0497058406</v>
      </c>
      <c r="AL49" s="244">
        <v>0</v>
      </c>
      <c r="AM49" s="229">
        <v>35290000</v>
      </c>
      <c r="AN49" s="64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  <c r="FK49" s="62"/>
      <c r="FL49" s="62"/>
      <c r="FM49" s="62"/>
      <c r="FN49" s="62"/>
      <c r="FO49" s="62"/>
      <c r="FP49" s="62"/>
      <c r="FQ49" s="62"/>
      <c r="FR49" s="62"/>
      <c r="FS49" s="62"/>
      <c r="FT49" s="62"/>
      <c r="FU49" s="62"/>
      <c r="FV49" s="62"/>
      <c r="FW49" s="62"/>
      <c r="FX49" s="62"/>
      <c r="FY49" s="62"/>
      <c r="FZ49" s="62"/>
      <c r="GA49" s="62"/>
      <c r="GB49" s="62"/>
      <c r="GC49" s="62"/>
      <c r="GD49" s="62"/>
      <c r="GE49" s="62"/>
      <c r="GF49" s="62"/>
      <c r="GG49" s="62"/>
      <c r="GH49" s="62"/>
      <c r="GI49" s="62"/>
      <c r="GJ49" s="62"/>
      <c r="GK49" s="62"/>
      <c r="GL49" s="62"/>
      <c r="GM49" s="62"/>
      <c r="GN49" s="62"/>
      <c r="GO49" s="62"/>
      <c r="GP49" s="62"/>
      <c r="GQ49" s="62"/>
      <c r="GR49" s="62"/>
      <c r="GS49" s="62"/>
      <c r="GT49" s="62"/>
      <c r="GU49" s="62"/>
      <c r="GV49" s="62"/>
      <c r="GW49" s="62"/>
      <c r="GX49" s="62"/>
      <c r="GY49" s="62"/>
      <c r="GZ49" s="62"/>
      <c r="HA49" s="62"/>
      <c r="HB49" s="62"/>
      <c r="HC49" s="62"/>
      <c r="HD49" s="62"/>
      <c r="HE49" s="62"/>
      <c r="HF49" s="62"/>
      <c r="HG49" s="62"/>
      <c r="HH49" s="62"/>
      <c r="HI49" s="62"/>
      <c r="HJ49" s="62"/>
      <c r="HK49" s="62"/>
      <c r="HL49" s="62"/>
      <c r="HM49" s="62"/>
      <c r="HN49" s="62"/>
      <c r="HO49" s="62"/>
      <c r="HP49" s="62"/>
      <c r="HQ49" s="62"/>
      <c r="HR49" s="62"/>
      <c r="HS49" s="62"/>
      <c r="HT49" s="62"/>
      <c r="HU49" s="62"/>
      <c r="HV49" s="62"/>
      <c r="HW49" s="62"/>
      <c r="HX49" s="62"/>
      <c r="HY49" s="62"/>
      <c r="HZ49" s="62"/>
      <c r="IA49" s="62"/>
      <c r="IB49" s="62"/>
      <c r="IC49" s="62"/>
      <c r="ID49" s="62"/>
      <c r="IE49" s="62"/>
      <c r="IF49" s="62"/>
      <c r="IG49" s="62"/>
      <c r="IH49" s="62"/>
      <c r="II49" s="62"/>
      <c r="IJ49" s="62"/>
      <c r="IK49" s="62"/>
      <c r="IL49" s="62"/>
      <c r="IM49" s="62"/>
      <c r="IN49" s="62"/>
      <c r="IO49" s="62"/>
      <c r="IP49" s="62"/>
      <c r="IQ49" s="62"/>
      <c r="IR49" s="62"/>
      <c r="IS49" s="62"/>
      <c r="IT49" s="62"/>
    </row>
    <row r="50" spans="1:254" s="951" customFormat="1" x14ac:dyDescent="0.2">
      <c r="A50" s="90"/>
      <c r="B50" s="62"/>
      <c r="C50" s="494"/>
      <c r="D50" s="216"/>
      <c r="E50" s="111"/>
      <c r="F50" s="90"/>
      <c r="G50" s="90"/>
      <c r="H50" s="91"/>
      <c r="I50" s="206"/>
      <c r="J50" s="498"/>
      <c r="K50" s="90"/>
      <c r="L50" s="47"/>
      <c r="M50" s="90"/>
      <c r="N50" s="90"/>
      <c r="O50" s="90"/>
      <c r="P50" s="90"/>
      <c r="Q50" s="90"/>
      <c r="R50" s="90"/>
      <c r="S50" s="62"/>
      <c r="T50" s="64"/>
      <c r="U50" s="216"/>
      <c r="V50" s="90"/>
      <c r="W50" s="216"/>
      <c r="X50" s="90"/>
      <c r="Y50" s="216"/>
      <c r="Z50" s="90"/>
      <c r="AA50" s="216"/>
      <c r="AB50" s="90"/>
      <c r="AC50" s="216"/>
      <c r="AD50" s="90"/>
      <c r="AE50" s="216"/>
      <c r="AF50" s="90"/>
      <c r="AG50" s="216"/>
      <c r="AH50" s="90"/>
      <c r="AI50" s="216"/>
      <c r="AJ50" s="216"/>
      <c r="AK50" s="206"/>
      <c r="AL50" s="216"/>
      <c r="AM50" s="90"/>
      <c r="AN50" s="64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  <c r="FK50" s="62"/>
      <c r="FL50" s="62"/>
      <c r="FM50" s="62"/>
      <c r="FN50" s="62"/>
      <c r="FO50" s="62"/>
      <c r="FP50" s="62"/>
      <c r="FQ50" s="62"/>
      <c r="FR50" s="62"/>
      <c r="FS50" s="62"/>
      <c r="FT50" s="62"/>
      <c r="FU50" s="62"/>
      <c r="FV50" s="62"/>
      <c r="FW50" s="62"/>
      <c r="FX50" s="62"/>
      <c r="FY50" s="62"/>
      <c r="FZ50" s="62"/>
      <c r="GA50" s="62"/>
      <c r="GB50" s="62"/>
      <c r="GC50" s="62"/>
      <c r="GD50" s="62"/>
      <c r="GE50" s="62"/>
      <c r="GF50" s="62"/>
      <c r="GG50" s="62"/>
      <c r="GH50" s="62"/>
      <c r="GI50" s="62"/>
      <c r="GJ50" s="62"/>
      <c r="GK50" s="62"/>
      <c r="GL50" s="62"/>
      <c r="GM50" s="62"/>
      <c r="GN50" s="62"/>
      <c r="GO50" s="62"/>
      <c r="GP50" s="62"/>
      <c r="GQ50" s="62"/>
      <c r="GR50" s="62"/>
      <c r="GS50" s="62"/>
      <c r="GT50" s="62"/>
      <c r="GU50" s="62"/>
      <c r="GV50" s="62"/>
      <c r="GW50" s="62"/>
      <c r="GX50" s="62"/>
      <c r="GY50" s="62"/>
      <c r="GZ50" s="62"/>
      <c r="HA50" s="62"/>
      <c r="HB50" s="62"/>
      <c r="HC50" s="62"/>
      <c r="HD50" s="62"/>
      <c r="HE50" s="62"/>
      <c r="HF50" s="62"/>
      <c r="HG50" s="62"/>
      <c r="HH50" s="62"/>
      <c r="HI50" s="62"/>
      <c r="HJ50" s="62"/>
      <c r="HK50" s="62"/>
      <c r="HL50" s="62"/>
      <c r="HM50" s="62"/>
      <c r="HN50" s="62"/>
      <c r="HO50" s="62"/>
      <c r="HP50" s="62"/>
      <c r="HQ50" s="62"/>
      <c r="HR50" s="62"/>
      <c r="HS50" s="62"/>
      <c r="HT50" s="62"/>
      <c r="HU50" s="62"/>
      <c r="HV50" s="62"/>
      <c r="HW50" s="62"/>
      <c r="HX50" s="62"/>
      <c r="HY50" s="62"/>
      <c r="HZ50" s="62"/>
      <c r="IA50" s="62"/>
      <c r="IB50" s="62"/>
      <c r="IC50" s="62"/>
      <c r="ID50" s="62"/>
      <c r="IE50" s="62"/>
      <c r="IF50" s="62"/>
      <c r="IG50" s="62"/>
      <c r="IH50" s="62"/>
      <c r="II50" s="62"/>
      <c r="IJ50" s="62"/>
      <c r="IK50" s="62"/>
      <c r="IL50" s="62"/>
      <c r="IM50" s="62"/>
      <c r="IN50" s="62"/>
      <c r="IO50" s="62"/>
      <c r="IP50" s="62"/>
      <c r="IQ50" s="62"/>
      <c r="IR50" s="62"/>
      <c r="IS50" s="62"/>
      <c r="IT50" s="62"/>
    </row>
    <row r="51" spans="1:254" x14ac:dyDescent="0.2">
      <c r="A51" s="170"/>
      <c r="B51" s="30"/>
      <c r="C51" s="654">
        <v>29</v>
      </c>
      <c r="D51" s="654"/>
      <c r="E51" s="31"/>
      <c r="F51" s="32"/>
      <c r="G51" s="32"/>
      <c r="H51" s="1541"/>
      <c r="I51" s="1550"/>
      <c r="J51" s="528"/>
      <c r="K51" s="32"/>
      <c r="L51" s="1062"/>
      <c r="M51" s="1069"/>
      <c r="N51" s="1069"/>
      <c r="O51" s="1069"/>
      <c r="P51" s="1069"/>
      <c r="Q51" s="108"/>
      <c r="R51" s="108"/>
      <c r="S51" s="330"/>
      <c r="T51" s="24"/>
      <c r="U51" s="34"/>
      <c r="V51" s="377"/>
      <c r="W51" s="34"/>
      <c r="X51" s="35"/>
      <c r="Y51" s="34"/>
      <c r="Z51" s="35"/>
      <c r="AA51" s="903"/>
      <c r="AB51" s="898"/>
      <c r="AC51" s="903"/>
      <c r="AD51" s="898"/>
      <c r="AE51" s="33"/>
      <c r="AF51" s="35"/>
      <c r="AG51" s="33"/>
      <c r="AH51" s="35"/>
      <c r="AI51" s="36"/>
      <c r="AJ51" s="35"/>
      <c r="AK51" s="501"/>
      <c r="AL51" s="35"/>
      <c r="AM51" s="35"/>
      <c r="AN51" s="24"/>
    </row>
    <row r="52" spans="1:254" x14ac:dyDescent="0.2">
      <c r="A52" s="171"/>
      <c r="B52" s="38"/>
      <c r="C52" s="482"/>
      <c r="D52" s="166"/>
      <c r="E52" s="25"/>
      <c r="F52" s="39"/>
      <c r="G52" s="39"/>
      <c r="H52" s="1542"/>
      <c r="I52" s="1542"/>
      <c r="J52" s="481"/>
      <c r="K52" s="39"/>
      <c r="L52" s="41"/>
      <c r="M52" s="1070"/>
      <c r="N52" s="1070"/>
      <c r="O52" s="1070"/>
      <c r="P52" s="1070"/>
      <c r="Q52" s="109"/>
      <c r="R52" s="109"/>
      <c r="S52" s="197"/>
      <c r="T52" s="24"/>
      <c r="U52" s="41"/>
      <c r="V52" s="40"/>
      <c r="W52" s="41"/>
      <c r="X52" s="42"/>
      <c r="Y52" s="41"/>
      <c r="Z52" s="42"/>
      <c r="AA52" s="904"/>
      <c r="AB52" s="5"/>
      <c r="AC52" s="904"/>
      <c r="AD52" s="5"/>
      <c r="AE52" s="40"/>
      <c r="AF52" s="42"/>
      <c r="AG52" s="40"/>
      <c r="AH52" s="42"/>
      <c r="AI52" s="43"/>
      <c r="AJ52" s="42"/>
      <c r="AK52" s="502"/>
      <c r="AL52" s="42"/>
      <c r="AM52" s="42"/>
      <c r="AN52" s="24"/>
    </row>
    <row r="53" spans="1:254" ht="15.75" thickBot="1" x14ac:dyDescent="0.25">
      <c r="A53" s="113" t="s">
        <v>3</v>
      </c>
      <c r="B53" s="28"/>
      <c r="D53" s="169"/>
      <c r="E53" s="1623"/>
      <c r="F53" s="38"/>
      <c r="G53" s="38"/>
      <c r="H53" s="1543"/>
      <c r="I53" s="503"/>
      <c r="J53" s="484"/>
      <c r="K53" s="38"/>
      <c r="L53" s="1219"/>
      <c r="M53" s="1220"/>
      <c r="N53" s="1070"/>
      <c r="O53" s="1070"/>
      <c r="P53" s="1070"/>
      <c r="Q53" s="109"/>
      <c r="R53" s="109"/>
      <c r="S53" s="197"/>
      <c r="T53" s="24"/>
      <c r="U53" s="41"/>
      <c r="V53" s="41"/>
      <c r="W53" s="41"/>
      <c r="X53" s="46"/>
      <c r="Y53" s="41"/>
      <c r="Z53" s="46"/>
      <c r="AA53" s="904"/>
      <c r="AB53" s="16"/>
      <c r="AC53" s="904"/>
      <c r="AD53" s="16"/>
      <c r="AE53" s="40"/>
      <c r="AF53" s="46"/>
      <c r="AG53" s="40"/>
      <c r="AH53" s="46"/>
      <c r="AI53" s="43"/>
      <c r="AJ53" s="46"/>
      <c r="AK53" s="503"/>
      <c r="AL53" s="46"/>
      <c r="AM53" s="46"/>
      <c r="AN53" s="24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</row>
    <row r="54" spans="1:254" ht="26.25" thickBot="1" x14ac:dyDescent="0.25">
      <c r="A54" s="557">
        <v>1</v>
      </c>
      <c r="B54" s="1609" t="s">
        <v>251</v>
      </c>
      <c r="C54" s="508">
        <v>1</v>
      </c>
      <c r="D54" s="1111">
        <v>811032632</v>
      </c>
      <c r="E54" s="508">
        <v>4</v>
      </c>
      <c r="F54" s="245">
        <v>2130000</v>
      </c>
      <c r="G54" s="246">
        <v>404700</v>
      </c>
      <c r="H54" s="1533" t="s">
        <v>471</v>
      </c>
      <c r="I54" s="1551">
        <v>-234300</v>
      </c>
      <c r="J54" s="525">
        <v>2534700</v>
      </c>
      <c r="K54" s="519">
        <v>2300400</v>
      </c>
      <c r="L54" s="1218"/>
      <c r="M54" s="1095" t="s">
        <v>835</v>
      </c>
      <c r="N54" s="1593" t="s">
        <v>838</v>
      </c>
      <c r="O54" s="1597">
        <v>45611</v>
      </c>
      <c r="P54" s="1593" t="s">
        <v>839</v>
      </c>
      <c r="Q54" s="245">
        <v>0</v>
      </c>
      <c r="R54" s="275"/>
      <c r="S54" s="933" t="s">
        <v>883</v>
      </c>
      <c r="T54" s="944"/>
      <c r="U54" s="304" t="s">
        <v>318</v>
      </c>
      <c r="V54" s="182">
        <v>1111000</v>
      </c>
      <c r="W54" s="235"/>
      <c r="X54" s="183">
        <v>0</v>
      </c>
      <c r="Y54" s="236" t="s">
        <v>318</v>
      </c>
      <c r="Z54" s="184">
        <v>833000</v>
      </c>
      <c r="AA54" s="883"/>
      <c r="AB54" s="873">
        <v>0</v>
      </c>
      <c r="AC54" s="883"/>
      <c r="AD54" s="873">
        <v>0</v>
      </c>
      <c r="AE54" s="237" t="s">
        <v>318</v>
      </c>
      <c r="AF54" s="185">
        <v>111000</v>
      </c>
      <c r="AG54" s="235"/>
      <c r="AH54" s="185">
        <v>0</v>
      </c>
      <c r="AI54" s="238"/>
      <c r="AJ54" s="264">
        <v>0</v>
      </c>
      <c r="AK54" s="504">
        <v>70000</v>
      </c>
      <c r="AL54" s="205">
        <v>0</v>
      </c>
      <c r="AM54" s="270">
        <v>2130000</v>
      </c>
      <c r="AN54" s="24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</row>
    <row r="55" spans="1:254" ht="13.5" thickBot="1" x14ac:dyDescent="0.25">
      <c r="A55" s="289">
        <v>2</v>
      </c>
      <c r="B55" s="356" t="s">
        <v>173</v>
      </c>
      <c r="C55" s="387">
        <v>246</v>
      </c>
      <c r="D55" s="487">
        <v>900650238</v>
      </c>
      <c r="E55" s="387">
        <v>9</v>
      </c>
      <c r="F55" s="290">
        <v>2820000</v>
      </c>
      <c r="G55" s="287">
        <v>535800</v>
      </c>
      <c r="H55" s="1537" t="s">
        <v>471</v>
      </c>
      <c r="I55" s="1552">
        <v>-310200</v>
      </c>
      <c r="J55" s="526">
        <v>3355800</v>
      </c>
      <c r="K55" s="520">
        <v>3045600</v>
      </c>
      <c r="L55" s="927"/>
      <c r="M55" s="1067" t="s">
        <v>848</v>
      </c>
      <c r="N55" s="1593" t="s">
        <v>838</v>
      </c>
      <c r="O55" s="1598">
        <v>45615</v>
      </c>
      <c r="P55" s="1594"/>
      <c r="Q55" s="290">
        <v>0</v>
      </c>
      <c r="R55" s="288"/>
      <c r="S55" s="298"/>
      <c r="T55" s="24"/>
      <c r="U55" s="301" t="s">
        <v>318</v>
      </c>
      <c r="V55" s="119">
        <v>1355000</v>
      </c>
      <c r="W55" s="239"/>
      <c r="X55" s="114">
        <v>0</v>
      </c>
      <c r="Y55" s="240" t="s">
        <v>318</v>
      </c>
      <c r="Z55" s="115">
        <v>1016000</v>
      </c>
      <c r="AA55" s="884"/>
      <c r="AB55" s="874">
        <v>0</v>
      </c>
      <c r="AC55" s="884"/>
      <c r="AD55" s="874">
        <v>0</v>
      </c>
      <c r="AE55" s="241" t="s">
        <v>318</v>
      </c>
      <c r="AF55" s="116">
        <v>136000</v>
      </c>
      <c r="AG55" s="239"/>
      <c r="AH55" s="116">
        <v>0</v>
      </c>
      <c r="AI55" s="242"/>
      <c r="AJ55" s="117">
        <v>0</v>
      </c>
      <c r="AK55" s="505">
        <v>310000</v>
      </c>
      <c r="AL55" s="269">
        <v>0</v>
      </c>
      <c r="AM55" s="271">
        <v>2820000</v>
      </c>
      <c r="AN55" s="24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</row>
    <row r="56" spans="1:254" x14ac:dyDescent="0.2">
      <c r="A56" s="289">
        <v>3</v>
      </c>
      <c r="B56" s="356" t="s">
        <v>673</v>
      </c>
      <c r="C56" s="387">
        <v>8</v>
      </c>
      <c r="D56" s="487">
        <v>811028472</v>
      </c>
      <c r="E56" s="387">
        <v>7</v>
      </c>
      <c r="F56" s="290">
        <v>1630000</v>
      </c>
      <c r="G56" s="287">
        <v>309700</v>
      </c>
      <c r="H56" s="1537" t="s">
        <v>471</v>
      </c>
      <c r="I56" s="1552">
        <v>-179300</v>
      </c>
      <c r="J56" s="526">
        <v>1939700</v>
      </c>
      <c r="K56" s="520">
        <v>1760400</v>
      </c>
      <c r="L56" s="927"/>
      <c r="M56" s="1067" t="s">
        <v>844</v>
      </c>
      <c r="N56" s="1593" t="s">
        <v>838</v>
      </c>
      <c r="O56" s="1597">
        <v>45611</v>
      </c>
      <c r="P56" s="1593" t="s">
        <v>839</v>
      </c>
      <c r="Q56" s="290">
        <v>0</v>
      </c>
      <c r="R56" s="288"/>
      <c r="S56" s="298"/>
      <c r="T56" s="944"/>
      <c r="U56" s="301" t="s">
        <v>318</v>
      </c>
      <c r="V56" s="119">
        <v>878000</v>
      </c>
      <c r="W56" s="239"/>
      <c r="X56" s="114">
        <v>0</v>
      </c>
      <c r="Y56" s="240" t="s">
        <v>318</v>
      </c>
      <c r="Z56" s="115">
        <v>659000</v>
      </c>
      <c r="AA56" s="884"/>
      <c r="AB56" s="874">
        <v>0</v>
      </c>
      <c r="AC56" s="884"/>
      <c r="AD56" s="874">
        <v>0</v>
      </c>
      <c r="AE56" s="241" t="s">
        <v>318</v>
      </c>
      <c r="AF56" s="116">
        <v>88000</v>
      </c>
      <c r="AG56" s="239"/>
      <c r="AH56" s="116">
        <v>0</v>
      </c>
      <c r="AI56" s="242"/>
      <c r="AJ56" s="117">
        <v>0</v>
      </c>
      <c r="AK56" s="505">
        <v>0</v>
      </c>
      <c r="AL56" s="269">
        <v>0</v>
      </c>
      <c r="AM56" s="271">
        <v>1630000</v>
      </c>
      <c r="AN56" s="24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</row>
    <row r="57" spans="1:254" ht="26.25" thickBot="1" x14ac:dyDescent="0.25">
      <c r="A57" s="1601">
        <v>4</v>
      </c>
      <c r="B57" s="375" t="s">
        <v>317</v>
      </c>
      <c r="C57" s="387">
        <v>9</v>
      </c>
      <c r="D57" s="487">
        <v>811017889</v>
      </c>
      <c r="E57" s="387">
        <v>7</v>
      </c>
      <c r="F57" s="290">
        <v>4880000</v>
      </c>
      <c r="G57" s="287">
        <v>927200</v>
      </c>
      <c r="H57" s="1537" t="s">
        <v>471</v>
      </c>
      <c r="I57" s="1552">
        <v>-536800</v>
      </c>
      <c r="J57" s="526">
        <v>5807200</v>
      </c>
      <c r="K57" s="520">
        <v>5270400</v>
      </c>
      <c r="L57" s="927"/>
      <c r="M57" s="1067" t="s">
        <v>845</v>
      </c>
      <c r="N57" s="1594" t="s">
        <v>761</v>
      </c>
      <c r="O57" s="1598">
        <v>45615</v>
      </c>
      <c r="P57" s="1594" t="s">
        <v>839</v>
      </c>
      <c r="Q57" s="290">
        <v>0</v>
      </c>
      <c r="R57" s="288"/>
      <c r="S57" s="1089" t="s">
        <v>884</v>
      </c>
      <c r="T57" s="24"/>
      <c r="U57" s="301" t="s">
        <v>318</v>
      </c>
      <c r="V57" s="119">
        <v>1735000</v>
      </c>
      <c r="W57" s="239"/>
      <c r="X57" s="114">
        <v>0</v>
      </c>
      <c r="Y57" s="240" t="s">
        <v>318</v>
      </c>
      <c r="Z57" s="115">
        <v>1301000</v>
      </c>
      <c r="AA57" s="884"/>
      <c r="AB57" s="874">
        <v>0</v>
      </c>
      <c r="AC57" s="884"/>
      <c r="AD57" s="874">
        <v>0</v>
      </c>
      <c r="AE57" s="241" t="s">
        <v>318</v>
      </c>
      <c r="AF57" s="116">
        <v>174000</v>
      </c>
      <c r="AG57" s="239"/>
      <c r="AH57" s="116">
        <v>0</v>
      </c>
      <c r="AI57" s="242"/>
      <c r="AJ57" s="117">
        <v>0</v>
      </c>
      <c r="AK57" s="505">
        <v>1674999.8827123302</v>
      </c>
      <c r="AL57" s="269">
        <v>0</v>
      </c>
      <c r="AM57" s="271">
        <v>4880000</v>
      </c>
      <c r="AN57" s="24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</row>
    <row r="58" spans="1:254" ht="13.5" thickBot="1" x14ac:dyDescent="0.25">
      <c r="A58" s="1601">
        <v>5</v>
      </c>
      <c r="B58" s="356" t="s">
        <v>269</v>
      </c>
      <c r="C58" s="387">
        <v>10</v>
      </c>
      <c r="D58" s="487">
        <v>890911921</v>
      </c>
      <c r="E58" s="387">
        <v>7</v>
      </c>
      <c r="F58" s="290">
        <v>7180000</v>
      </c>
      <c r="G58" s="287">
        <v>1364200</v>
      </c>
      <c r="H58" s="1537" t="s">
        <v>471</v>
      </c>
      <c r="I58" s="1552">
        <v>-789800</v>
      </c>
      <c r="J58" s="526">
        <v>8544200</v>
      </c>
      <c r="K58" s="520">
        <v>7754400</v>
      </c>
      <c r="L58" s="927"/>
      <c r="M58" s="1067" t="s">
        <v>840</v>
      </c>
      <c r="N58" s="1593" t="s">
        <v>838</v>
      </c>
      <c r="O58" s="1598">
        <v>45502</v>
      </c>
      <c r="P58" s="1602" t="s">
        <v>453</v>
      </c>
      <c r="Q58" s="290">
        <v>0</v>
      </c>
      <c r="R58" s="288"/>
      <c r="S58" s="297"/>
      <c r="T58" s="24"/>
      <c r="U58" s="926" t="s">
        <v>318</v>
      </c>
      <c r="V58" s="345">
        <v>7180000</v>
      </c>
      <c r="W58" s="854"/>
      <c r="X58" s="855">
        <v>0</v>
      </c>
      <c r="Y58" s="856"/>
      <c r="Z58" s="857">
        <v>0</v>
      </c>
      <c r="AA58" s="905"/>
      <c r="AB58" s="899">
        <v>0</v>
      </c>
      <c r="AC58" s="905"/>
      <c r="AD58" s="899">
        <v>0</v>
      </c>
      <c r="AE58" s="858"/>
      <c r="AF58" s="859">
        <v>0</v>
      </c>
      <c r="AG58" s="854"/>
      <c r="AH58" s="859">
        <v>0</v>
      </c>
      <c r="AI58" s="860"/>
      <c r="AJ58" s="861">
        <v>0</v>
      </c>
      <c r="AK58" s="862">
        <v>0</v>
      </c>
      <c r="AL58" s="863">
        <v>0</v>
      </c>
      <c r="AM58" s="839">
        <v>7180000</v>
      </c>
      <c r="AN58" s="24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</row>
    <row r="59" spans="1:254" ht="13.5" thickBot="1" x14ac:dyDescent="0.25">
      <c r="A59" s="1601">
        <v>6</v>
      </c>
      <c r="B59" s="356" t="s">
        <v>363</v>
      </c>
      <c r="C59" s="387">
        <v>245</v>
      </c>
      <c r="D59" s="487">
        <v>900666782</v>
      </c>
      <c r="E59" s="387">
        <v>4</v>
      </c>
      <c r="F59" s="290">
        <v>1430000</v>
      </c>
      <c r="G59" s="287">
        <v>271700</v>
      </c>
      <c r="H59" s="1537" t="s">
        <v>471</v>
      </c>
      <c r="I59" s="1552">
        <v>-157300</v>
      </c>
      <c r="J59" s="526">
        <v>1701700</v>
      </c>
      <c r="K59" s="520">
        <v>1544400</v>
      </c>
      <c r="L59" s="927"/>
      <c r="M59" s="1067" t="s">
        <v>849</v>
      </c>
      <c r="N59" s="1593" t="s">
        <v>838</v>
      </c>
      <c r="O59" s="1598">
        <v>45615</v>
      </c>
      <c r="P59" s="1594"/>
      <c r="Q59" s="290">
        <v>0</v>
      </c>
      <c r="R59" s="288"/>
      <c r="S59" s="838"/>
      <c r="T59" s="24"/>
      <c r="U59" s="301" t="s">
        <v>318</v>
      </c>
      <c r="V59" s="119">
        <v>775000</v>
      </c>
      <c r="W59" s="239"/>
      <c r="X59" s="114">
        <v>0</v>
      </c>
      <c r="Y59" s="240" t="s">
        <v>318</v>
      </c>
      <c r="Z59" s="115">
        <v>581000</v>
      </c>
      <c r="AA59" s="884"/>
      <c r="AB59" s="874">
        <v>0</v>
      </c>
      <c r="AC59" s="884"/>
      <c r="AD59" s="874">
        <v>0</v>
      </c>
      <c r="AE59" s="241" t="s">
        <v>318</v>
      </c>
      <c r="AF59" s="116">
        <v>78000</v>
      </c>
      <c r="AG59" s="239"/>
      <c r="AH59" s="116">
        <v>0</v>
      </c>
      <c r="AI59" s="242"/>
      <c r="AJ59" s="117">
        <v>0</v>
      </c>
      <c r="AK59" s="505">
        <v>0</v>
      </c>
      <c r="AL59" s="269">
        <v>0</v>
      </c>
      <c r="AM59" s="271">
        <v>1430000</v>
      </c>
      <c r="AN59" s="24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  <c r="EN59" s="38"/>
      <c r="EO59" s="38"/>
      <c r="EP59" s="38"/>
      <c r="EQ59" s="38"/>
      <c r="ER59" s="38"/>
      <c r="ES59" s="38"/>
      <c r="ET59" s="38"/>
      <c r="EU59" s="38"/>
      <c r="EV59" s="38"/>
      <c r="EW59" s="38"/>
      <c r="EX59" s="38"/>
      <c r="EY59" s="38"/>
      <c r="EZ59" s="38"/>
      <c r="FA59" s="38"/>
      <c r="FB59" s="38"/>
      <c r="FC59" s="38"/>
      <c r="FD59" s="38"/>
      <c r="FE59" s="38"/>
      <c r="FF59" s="38"/>
      <c r="FG59" s="38"/>
      <c r="FH59" s="38"/>
      <c r="FI59" s="38"/>
      <c r="FJ59" s="38"/>
      <c r="FK59" s="38"/>
      <c r="FL59" s="38"/>
      <c r="FM59" s="38"/>
      <c r="FN59" s="38"/>
      <c r="FO59" s="38"/>
      <c r="FP59" s="38"/>
      <c r="FQ59" s="38"/>
      <c r="FR59" s="38"/>
      <c r="FS59" s="38"/>
      <c r="FT59" s="38"/>
      <c r="FU59" s="38"/>
      <c r="FV59" s="38"/>
      <c r="FW59" s="38"/>
      <c r="FX59" s="38"/>
      <c r="FY59" s="38"/>
      <c r="FZ59" s="38"/>
      <c r="GA59" s="38"/>
      <c r="GB59" s="38"/>
      <c r="GC59" s="38"/>
      <c r="GD59" s="38"/>
      <c r="GE59" s="38"/>
      <c r="GF59" s="38"/>
      <c r="GG59" s="38"/>
      <c r="GH59" s="38"/>
      <c r="GI59" s="38"/>
      <c r="GJ59" s="38"/>
      <c r="GK59" s="38"/>
      <c r="GL59" s="38"/>
      <c r="GM59" s="38"/>
      <c r="GN59" s="38"/>
      <c r="GO59" s="38"/>
      <c r="GP59" s="38"/>
      <c r="GQ59" s="38"/>
      <c r="GR59" s="38"/>
      <c r="GS59" s="38"/>
      <c r="GT59" s="38"/>
      <c r="GU59" s="38"/>
      <c r="GV59" s="38"/>
      <c r="GW59" s="38"/>
      <c r="GX59" s="38"/>
      <c r="GY59" s="38"/>
      <c r="GZ59" s="38"/>
      <c r="HA59" s="38"/>
      <c r="HB59" s="38"/>
      <c r="HC59" s="38"/>
      <c r="HD59" s="38"/>
      <c r="HE59" s="38"/>
      <c r="HF59" s="38"/>
      <c r="HG59" s="38"/>
      <c r="HH59" s="38"/>
      <c r="HI59" s="38"/>
      <c r="HJ59" s="38"/>
      <c r="HK59" s="38"/>
      <c r="HL59" s="38"/>
      <c r="HM59" s="38"/>
      <c r="HN59" s="38"/>
      <c r="HO59" s="38"/>
      <c r="HP59" s="38"/>
      <c r="HQ59" s="38"/>
      <c r="HR59" s="38"/>
      <c r="HS59" s="38"/>
      <c r="HT59" s="38"/>
      <c r="HU59" s="38"/>
      <c r="HV59" s="38"/>
      <c r="HW59" s="38"/>
      <c r="HX59" s="38"/>
      <c r="HY59" s="38"/>
      <c r="HZ59" s="38"/>
      <c r="IA59" s="38"/>
      <c r="IB59" s="38"/>
      <c r="IC59" s="38"/>
      <c r="ID59" s="38"/>
      <c r="IE59" s="38"/>
      <c r="IF59" s="38"/>
      <c r="IG59" s="38"/>
      <c r="IH59" s="38"/>
      <c r="II59" s="38"/>
      <c r="IJ59" s="38"/>
      <c r="IK59" s="38"/>
      <c r="IL59" s="38"/>
      <c r="IM59" s="38"/>
      <c r="IN59" s="38"/>
      <c r="IO59" s="38"/>
      <c r="IP59" s="38"/>
      <c r="IQ59" s="38"/>
      <c r="IR59" s="38"/>
      <c r="IS59" s="38"/>
      <c r="IT59" s="38"/>
    </row>
    <row r="60" spans="1:254" ht="13.5" thickBot="1" x14ac:dyDescent="0.25">
      <c r="A60" s="1601">
        <v>7</v>
      </c>
      <c r="B60" s="1610" t="s">
        <v>672</v>
      </c>
      <c r="C60" s="387">
        <v>196</v>
      </c>
      <c r="D60" s="487">
        <v>901445237</v>
      </c>
      <c r="E60" s="387">
        <v>7</v>
      </c>
      <c r="F60" s="290">
        <v>2330000</v>
      </c>
      <c r="G60" s="287">
        <v>442700</v>
      </c>
      <c r="H60" s="1537" t="s">
        <v>471</v>
      </c>
      <c r="I60" s="1552">
        <v>-256300</v>
      </c>
      <c r="J60" s="526">
        <v>2772700</v>
      </c>
      <c r="K60" s="520">
        <v>2516400</v>
      </c>
      <c r="L60" s="927"/>
      <c r="M60" s="1067" t="s">
        <v>851</v>
      </c>
      <c r="N60" s="1593" t="s">
        <v>838</v>
      </c>
      <c r="O60" s="1598">
        <v>45615</v>
      </c>
      <c r="P60" s="1594"/>
      <c r="Q60" s="290">
        <v>0</v>
      </c>
      <c r="R60" s="288"/>
      <c r="S60" s="935"/>
      <c r="T60" s="24"/>
      <c r="U60" s="301" t="s">
        <v>318</v>
      </c>
      <c r="V60" s="119">
        <v>868000</v>
      </c>
      <c r="W60" s="239"/>
      <c r="X60" s="114">
        <v>0</v>
      </c>
      <c r="Y60" s="240" t="s">
        <v>318</v>
      </c>
      <c r="Z60" s="115">
        <v>1302000</v>
      </c>
      <c r="AA60" s="884"/>
      <c r="AB60" s="874">
        <v>0</v>
      </c>
      <c r="AC60" s="884"/>
      <c r="AD60" s="874">
        <v>0</v>
      </c>
      <c r="AE60" s="241" t="s">
        <v>318</v>
      </c>
      <c r="AF60" s="116">
        <v>87000</v>
      </c>
      <c r="AG60" s="239"/>
      <c r="AH60" s="116">
        <v>0</v>
      </c>
      <c r="AI60" s="242"/>
      <c r="AJ60" s="117">
        <v>0</v>
      </c>
      <c r="AK60" s="505">
        <v>70000</v>
      </c>
      <c r="AL60" s="269">
        <v>0</v>
      </c>
      <c r="AM60" s="271">
        <v>2330000</v>
      </c>
      <c r="AN60" s="24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</row>
    <row r="61" spans="1:254" x14ac:dyDescent="0.2">
      <c r="A61" s="1601">
        <v>8</v>
      </c>
      <c r="B61" s="356" t="s">
        <v>738</v>
      </c>
      <c r="C61" s="387">
        <v>19</v>
      </c>
      <c r="D61" s="487">
        <v>900478289</v>
      </c>
      <c r="E61" s="387">
        <v>8</v>
      </c>
      <c r="F61" s="290">
        <v>10480000</v>
      </c>
      <c r="G61" s="287">
        <v>1991200</v>
      </c>
      <c r="H61" s="1537" t="s">
        <v>471</v>
      </c>
      <c r="I61" s="1552">
        <v>-1152800</v>
      </c>
      <c r="J61" s="526">
        <v>12471200</v>
      </c>
      <c r="K61" s="520">
        <v>11318400</v>
      </c>
      <c r="L61" s="927"/>
      <c r="M61" s="1067" t="s">
        <v>841</v>
      </c>
      <c r="N61" s="1593" t="s">
        <v>838</v>
      </c>
      <c r="O61" s="1598">
        <v>45502</v>
      </c>
      <c r="P61" s="1602" t="s">
        <v>453</v>
      </c>
      <c r="Q61" s="290">
        <v>0</v>
      </c>
      <c r="R61" s="288"/>
      <c r="S61" s="297"/>
      <c r="T61" s="24"/>
      <c r="U61" s="926" t="s">
        <v>318</v>
      </c>
      <c r="V61" s="345">
        <v>10480000</v>
      </c>
      <c r="W61" s="854"/>
      <c r="X61" s="855">
        <v>0</v>
      </c>
      <c r="Y61" s="856"/>
      <c r="Z61" s="857">
        <v>0</v>
      </c>
      <c r="AA61" s="905"/>
      <c r="AB61" s="899">
        <v>0</v>
      </c>
      <c r="AC61" s="905"/>
      <c r="AD61" s="899">
        <v>0</v>
      </c>
      <c r="AE61" s="858"/>
      <c r="AF61" s="859">
        <v>0</v>
      </c>
      <c r="AG61" s="854"/>
      <c r="AH61" s="859">
        <v>0</v>
      </c>
      <c r="AI61" s="860"/>
      <c r="AJ61" s="861">
        <v>0</v>
      </c>
      <c r="AK61" s="862">
        <v>0</v>
      </c>
      <c r="AL61" s="863">
        <v>0</v>
      </c>
      <c r="AM61" s="839">
        <v>10480000</v>
      </c>
      <c r="AN61" s="24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</row>
    <row r="62" spans="1:254" ht="25.5" x14ac:dyDescent="0.2">
      <c r="A62" s="1601">
        <v>9</v>
      </c>
      <c r="B62" s="1611" t="s">
        <v>366</v>
      </c>
      <c r="C62" s="387">
        <v>290</v>
      </c>
      <c r="D62" s="487">
        <v>900792746</v>
      </c>
      <c r="E62" s="387">
        <v>8</v>
      </c>
      <c r="F62" s="290">
        <v>3690000</v>
      </c>
      <c r="G62" s="287">
        <v>701100</v>
      </c>
      <c r="H62" s="1537" t="s">
        <v>471</v>
      </c>
      <c r="I62" s="1552">
        <v>-405900</v>
      </c>
      <c r="J62" s="526">
        <v>4391100</v>
      </c>
      <c r="K62" s="520">
        <v>3985200</v>
      </c>
      <c r="L62" s="927"/>
      <c r="M62" s="1067"/>
      <c r="N62" s="1594"/>
      <c r="O62" s="1598"/>
      <c r="P62" s="1594"/>
      <c r="Q62" s="290">
        <v>0</v>
      </c>
      <c r="R62" s="288"/>
      <c r="S62" s="1089" t="s">
        <v>885</v>
      </c>
      <c r="T62" s="24"/>
      <c r="U62" s="301" t="s">
        <v>318</v>
      </c>
      <c r="V62" s="119">
        <v>1355000</v>
      </c>
      <c r="W62" s="239"/>
      <c r="X62" s="114">
        <v>0</v>
      </c>
      <c r="Y62" s="240" t="s">
        <v>318</v>
      </c>
      <c r="Z62" s="115">
        <v>1016000</v>
      </c>
      <c r="AA62" s="884"/>
      <c r="AB62" s="874">
        <v>0</v>
      </c>
      <c r="AC62" s="884"/>
      <c r="AD62" s="874">
        <v>0</v>
      </c>
      <c r="AE62" s="241" t="s">
        <v>318</v>
      </c>
      <c r="AF62" s="116">
        <v>136000</v>
      </c>
      <c r="AG62" s="239"/>
      <c r="AH62" s="116">
        <v>0</v>
      </c>
      <c r="AI62" s="242"/>
      <c r="AJ62" s="117">
        <v>0</v>
      </c>
      <c r="AK62" s="505">
        <v>1179078.8578594101</v>
      </c>
      <c r="AL62" s="269">
        <v>0</v>
      </c>
      <c r="AM62" s="271">
        <v>3690000</v>
      </c>
      <c r="AN62" s="24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</row>
    <row r="63" spans="1:254" ht="13.5" thickBot="1" x14ac:dyDescent="0.25">
      <c r="A63" s="1601">
        <v>10</v>
      </c>
      <c r="B63" s="589" t="s">
        <v>349</v>
      </c>
      <c r="C63" s="387">
        <v>33</v>
      </c>
      <c r="D63" s="487">
        <v>901241763</v>
      </c>
      <c r="E63" s="387">
        <v>3</v>
      </c>
      <c r="F63" s="290">
        <v>3210000</v>
      </c>
      <c r="G63" s="287">
        <v>609900</v>
      </c>
      <c r="H63" s="1537" t="s">
        <v>471</v>
      </c>
      <c r="I63" s="1552">
        <v>-353100</v>
      </c>
      <c r="J63" s="526">
        <v>3819900</v>
      </c>
      <c r="K63" s="520">
        <v>3466800</v>
      </c>
      <c r="L63" s="927"/>
      <c r="M63" s="1067"/>
      <c r="N63" s="1594"/>
      <c r="O63" s="1598"/>
      <c r="P63" s="1594"/>
      <c r="Q63" s="290">
        <v>0</v>
      </c>
      <c r="R63" s="288"/>
      <c r="S63" s="297"/>
      <c r="T63" s="944"/>
      <c r="U63" s="301" t="s">
        <v>318</v>
      </c>
      <c r="V63" s="119">
        <v>1735000</v>
      </c>
      <c r="W63" s="239"/>
      <c r="X63" s="114">
        <v>0</v>
      </c>
      <c r="Y63" s="240" t="s">
        <v>318</v>
      </c>
      <c r="Z63" s="115">
        <v>1301000</v>
      </c>
      <c r="AA63" s="884"/>
      <c r="AB63" s="874">
        <v>0</v>
      </c>
      <c r="AC63" s="884"/>
      <c r="AD63" s="874">
        <v>0</v>
      </c>
      <c r="AE63" s="241" t="s">
        <v>318</v>
      </c>
      <c r="AF63" s="116">
        <v>174000</v>
      </c>
      <c r="AG63" s="239"/>
      <c r="AH63" s="116">
        <v>0</v>
      </c>
      <c r="AI63" s="242"/>
      <c r="AJ63" s="117">
        <v>0</v>
      </c>
      <c r="AK63" s="505">
        <v>0</v>
      </c>
      <c r="AL63" s="269">
        <v>0</v>
      </c>
      <c r="AM63" s="271">
        <v>3210000</v>
      </c>
      <c r="AN63" s="24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</row>
    <row r="64" spans="1:254" ht="13.5" thickBot="1" x14ac:dyDescent="0.25">
      <c r="A64" s="1601">
        <v>11</v>
      </c>
      <c r="B64" s="356" t="s">
        <v>731</v>
      </c>
      <c r="C64" s="387">
        <v>291</v>
      </c>
      <c r="D64" s="487">
        <v>900797164</v>
      </c>
      <c r="E64" s="387">
        <v>4</v>
      </c>
      <c r="F64" s="290">
        <v>2510000</v>
      </c>
      <c r="G64" s="287">
        <v>476900</v>
      </c>
      <c r="H64" s="1537" t="s">
        <v>471</v>
      </c>
      <c r="I64" s="1552">
        <v>-276100</v>
      </c>
      <c r="J64" s="526">
        <v>2986900</v>
      </c>
      <c r="K64" s="520">
        <v>2710800</v>
      </c>
      <c r="L64" s="927"/>
      <c r="M64" s="1067" t="s">
        <v>850</v>
      </c>
      <c r="N64" s="1593" t="s">
        <v>838</v>
      </c>
      <c r="O64" s="1598">
        <v>45615</v>
      </c>
      <c r="P64" s="1594"/>
      <c r="Q64" s="290">
        <v>0</v>
      </c>
      <c r="R64" s="288"/>
      <c r="S64" s="297"/>
      <c r="T64" s="24"/>
      <c r="U64" s="301" t="s">
        <v>318</v>
      </c>
      <c r="V64" s="119">
        <v>1355000</v>
      </c>
      <c r="W64" s="239"/>
      <c r="X64" s="114">
        <v>0</v>
      </c>
      <c r="Y64" s="240" t="s">
        <v>318</v>
      </c>
      <c r="Z64" s="115">
        <v>1016000</v>
      </c>
      <c r="AA64" s="884"/>
      <c r="AB64" s="874">
        <v>0</v>
      </c>
      <c r="AC64" s="884"/>
      <c r="AD64" s="874">
        <v>0</v>
      </c>
      <c r="AE64" s="241" t="s">
        <v>318</v>
      </c>
      <c r="AF64" s="116">
        <v>136000</v>
      </c>
      <c r="AG64" s="239"/>
      <c r="AH64" s="116">
        <v>0</v>
      </c>
      <c r="AI64" s="242"/>
      <c r="AJ64" s="117">
        <v>0</v>
      </c>
      <c r="AK64" s="505">
        <v>0</v>
      </c>
      <c r="AL64" s="269">
        <v>0</v>
      </c>
      <c r="AM64" s="271">
        <v>2510000</v>
      </c>
      <c r="AN64" s="24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  <c r="EN64" s="38"/>
      <c r="EO64" s="38"/>
      <c r="EP64" s="38"/>
      <c r="EQ64" s="38"/>
      <c r="ER64" s="38"/>
      <c r="ES64" s="38"/>
      <c r="ET64" s="38"/>
      <c r="EU64" s="38"/>
      <c r="EV64" s="38"/>
      <c r="EW64" s="38"/>
      <c r="EX64" s="38"/>
      <c r="EY64" s="38"/>
      <c r="EZ64" s="38"/>
      <c r="FA64" s="38"/>
      <c r="FB64" s="38"/>
      <c r="FC64" s="38"/>
      <c r="FD64" s="38"/>
      <c r="FE64" s="38"/>
      <c r="FF64" s="38"/>
      <c r="FG64" s="38"/>
      <c r="FH64" s="38"/>
      <c r="FI64" s="38"/>
      <c r="FJ64" s="38"/>
      <c r="FK64" s="38"/>
      <c r="FL64" s="38"/>
      <c r="FM64" s="38"/>
      <c r="FN64" s="38"/>
      <c r="FO64" s="38"/>
      <c r="FP64" s="38"/>
      <c r="FQ64" s="38"/>
      <c r="FR64" s="38"/>
      <c r="FS64" s="38"/>
      <c r="FT64" s="38"/>
      <c r="FU64" s="38"/>
      <c r="FV64" s="38"/>
      <c r="FW64" s="38"/>
      <c r="FX64" s="38"/>
      <c r="FY64" s="38"/>
      <c r="FZ64" s="38"/>
      <c r="GA64" s="38"/>
      <c r="GB64" s="38"/>
      <c r="GC64" s="38"/>
      <c r="GD64" s="38"/>
      <c r="GE64" s="38"/>
      <c r="GF64" s="38"/>
      <c r="GG64" s="38"/>
      <c r="GH64" s="38"/>
      <c r="GI64" s="38"/>
      <c r="GJ64" s="38"/>
      <c r="GK64" s="38"/>
      <c r="GL64" s="38"/>
      <c r="GM64" s="38"/>
      <c r="GN64" s="38"/>
      <c r="GO64" s="38"/>
      <c r="GP64" s="38"/>
      <c r="GQ64" s="38"/>
      <c r="GR64" s="38"/>
      <c r="GS64" s="38"/>
      <c r="GT64" s="38"/>
      <c r="GU64" s="38"/>
      <c r="GV64" s="38"/>
      <c r="GW64" s="38"/>
      <c r="GX64" s="38"/>
      <c r="GY64" s="38"/>
      <c r="GZ64" s="38"/>
      <c r="HA64" s="38"/>
      <c r="HB64" s="38"/>
      <c r="HC64" s="38"/>
      <c r="HD64" s="38"/>
      <c r="HE64" s="38"/>
      <c r="HF64" s="38"/>
      <c r="HG64" s="38"/>
      <c r="HH64" s="38"/>
      <c r="HI64" s="38"/>
      <c r="HJ64" s="38"/>
      <c r="HK64" s="38"/>
      <c r="HL64" s="38"/>
      <c r="HM64" s="38"/>
      <c r="HN64" s="38"/>
      <c r="HO64" s="38"/>
      <c r="HP64" s="38"/>
      <c r="HQ64" s="38"/>
      <c r="HR64" s="38"/>
      <c r="HS64" s="38"/>
      <c r="HT64" s="38"/>
      <c r="HU64" s="38"/>
      <c r="HV64" s="38"/>
      <c r="HW64" s="38"/>
      <c r="HX64" s="38"/>
      <c r="HY64" s="38"/>
      <c r="HZ64" s="38"/>
      <c r="IA64" s="38"/>
      <c r="IB64" s="38"/>
      <c r="IC64" s="38"/>
      <c r="ID64" s="38"/>
      <c r="IE64" s="38"/>
      <c r="IF64" s="38"/>
      <c r="IG64" s="38"/>
      <c r="IH64" s="38"/>
      <c r="II64" s="38"/>
      <c r="IJ64" s="38"/>
      <c r="IK64" s="38"/>
      <c r="IL64" s="38"/>
      <c r="IM64" s="38"/>
      <c r="IN64" s="38"/>
      <c r="IO64" s="38"/>
      <c r="IP64" s="38"/>
      <c r="IQ64" s="38"/>
      <c r="IR64" s="38"/>
      <c r="IS64" s="38"/>
      <c r="IT64" s="38"/>
    </row>
    <row r="65" spans="1:254" ht="13.5" thickBot="1" x14ac:dyDescent="0.25">
      <c r="A65" s="1601">
        <v>12</v>
      </c>
      <c r="B65" s="356" t="s">
        <v>184</v>
      </c>
      <c r="C65" s="387">
        <v>292</v>
      </c>
      <c r="D65" s="487">
        <v>900474585</v>
      </c>
      <c r="E65" s="387">
        <v>5</v>
      </c>
      <c r="F65" s="290">
        <v>3690000</v>
      </c>
      <c r="G65" s="287">
        <v>701100</v>
      </c>
      <c r="H65" s="1537" t="s">
        <v>471</v>
      </c>
      <c r="I65" s="1552">
        <v>-405900</v>
      </c>
      <c r="J65" s="526">
        <v>4391100</v>
      </c>
      <c r="K65" s="520">
        <v>3985200</v>
      </c>
      <c r="L65" s="927"/>
      <c r="M65" s="1067" t="s">
        <v>852</v>
      </c>
      <c r="N65" s="1593" t="s">
        <v>838</v>
      </c>
      <c r="O65" s="1598">
        <v>45615</v>
      </c>
      <c r="P65" s="1594"/>
      <c r="Q65" s="290">
        <v>0</v>
      </c>
      <c r="R65" s="288"/>
      <c r="S65" s="297"/>
      <c r="T65" s="24"/>
      <c r="U65" s="301" t="s">
        <v>318</v>
      </c>
      <c r="V65" s="119">
        <v>1735000</v>
      </c>
      <c r="W65" s="239"/>
      <c r="X65" s="114">
        <v>0</v>
      </c>
      <c r="Y65" s="240" t="s">
        <v>318</v>
      </c>
      <c r="Z65" s="115">
        <v>1301000</v>
      </c>
      <c r="AA65" s="884"/>
      <c r="AB65" s="874">
        <v>0</v>
      </c>
      <c r="AC65" s="884"/>
      <c r="AD65" s="874">
        <v>0</v>
      </c>
      <c r="AE65" s="241" t="s">
        <v>266</v>
      </c>
      <c r="AF65" s="116">
        <v>0</v>
      </c>
      <c r="AG65" s="239" t="s">
        <v>318</v>
      </c>
      <c r="AH65" s="116">
        <v>347000</v>
      </c>
      <c r="AI65" s="242"/>
      <c r="AJ65" s="117">
        <v>0</v>
      </c>
      <c r="AK65" s="505">
        <v>310000</v>
      </c>
      <c r="AL65" s="269">
        <v>0</v>
      </c>
      <c r="AM65" s="271">
        <v>3690000</v>
      </c>
      <c r="AN65" s="24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  <c r="EN65" s="38"/>
      <c r="EO65" s="38"/>
      <c r="EP65" s="38"/>
      <c r="EQ65" s="38"/>
      <c r="ER65" s="38"/>
      <c r="ES65" s="38"/>
      <c r="ET65" s="38"/>
      <c r="EU65" s="38"/>
      <c r="EV65" s="38"/>
      <c r="EW65" s="38"/>
      <c r="EX65" s="38"/>
      <c r="EY65" s="38"/>
      <c r="EZ65" s="38"/>
      <c r="FA65" s="38"/>
      <c r="FB65" s="38"/>
      <c r="FC65" s="38"/>
      <c r="FD65" s="38"/>
      <c r="FE65" s="38"/>
      <c r="FF65" s="38"/>
      <c r="FG65" s="38"/>
      <c r="FH65" s="38"/>
      <c r="FI65" s="38"/>
      <c r="FJ65" s="38"/>
      <c r="FK65" s="38"/>
      <c r="FL65" s="38"/>
      <c r="FM65" s="38"/>
      <c r="FN65" s="38"/>
      <c r="FO65" s="38"/>
      <c r="FP65" s="38"/>
      <c r="FQ65" s="38"/>
      <c r="FR65" s="38"/>
      <c r="FS65" s="38"/>
      <c r="FT65" s="38"/>
      <c r="FU65" s="38"/>
      <c r="FV65" s="38"/>
      <c r="FW65" s="38"/>
      <c r="FX65" s="38"/>
      <c r="FY65" s="38"/>
      <c r="FZ65" s="38"/>
      <c r="GA65" s="38"/>
      <c r="GB65" s="38"/>
      <c r="GC65" s="38"/>
      <c r="GD65" s="38"/>
      <c r="GE65" s="38"/>
      <c r="GF65" s="38"/>
      <c r="GG65" s="38"/>
      <c r="GH65" s="38"/>
      <c r="GI65" s="38"/>
      <c r="GJ65" s="38"/>
      <c r="GK65" s="38"/>
      <c r="GL65" s="38"/>
      <c r="GM65" s="38"/>
      <c r="GN65" s="38"/>
      <c r="GO65" s="38"/>
      <c r="GP65" s="38"/>
      <c r="GQ65" s="38"/>
      <c r="GR65" s="38"/>
      <c r="GS65" s="38"/>
      <c r="GT65" s="38"/>
      <c r="GU65" s="38"/>
      <c r="GV65" s="38"/>
      <c r="GW65" s="38"/>
      <c r="GX65" s="38"/>
      <c r="GY65" s="38"/>
      <c r="GZ65" s="38"/>
      <c r="HA65" s="38"/>
      <c r="HB65" s="38"/>
      <c r="HC65" s="38"/>
      <c r="HD65" s="38"/>
      <c r="HE65" s="38"/>
      <c r="HF65" s="38"/>
      <c r="HG65" s="38"/>
      <c r="HH65" s="38"/>
      <c r="HI65" s="38"/>
      <c r="HJ65" s="38"/>
      <c r="HK65" s="38"/>
      <c r="HL65" s="38"/>
      <c r="HM65" s="38"/>
      <c r="HN65" s="38"/>
      <c r="HO65" s="38"/>
      <c r="HP65" s="38"/>
      <c r="HQ65" s="38"/>
      <c r="HR65" s="38"/>
      <c r="HS65" s="38"/>
      <c r="HT65" s="38"/>
      <c r="HU65" s="38"/>
      <c r="HV65" s="38"/>
      <c r="HW65" s="38"/>
      <c r="HX65" s="38"/>
      <c r="HY65" s="38"/>
      <c r="HZ65" s="38"/>
      <c r="IA65" s="38"/>
      <c r="IB65" s="38"/>
      <c r="IC65" s="38"/>
      <c r="ID65" s="38"/>
      <c r="IE65" s="38"/>
      <c r="IF65" s="38"/>
      <c r="IG65" s="38"/>
      <c r="IH65" s="38"/>
      <c r="II65" s="38"/>
      <c r="IJ65" s="38"/>
      <c r="IK65" s="38"/>
      <c r="IL65" s="38"/>
      <c r="IM65" s="38"/>
      <c r="IN65" s="38"/>
      <c r="IO65" s="38"/>
      <c r="IP65" s="38"/>
      <c r="IQ65" s="38"/>
      <c r="IR65" s="38"/>
      <c r="IS65" s="38"/>
      <c r="IT65" s="38"/>
    </row>
    <row r="66" spans="1:254" x14ac:dyDescent="0.2">
      <c r="A66" s="1601">
        <v>13</v>
      </c>
      <c r="B66" s="356" t="s">
        <v>185</v>
      </c>
      <c r="C66" s="387">
        <v>293</v>
      </c>
      <c r="D66" s="487">
        <v>900620247</v>
      </c>
      <c r="E66" s="387">
        <v>7</v>
      </c>
      <c r="F66" s="290">
        <v>2820000</v>
      </c>
      <c r="G66" s="287">
        <v>535800</v>
      </c>
      <c r="H66" s="1537" t="s">
        <v>471</v>
      </c>
      <c r="I66" s="1552">
        <v>-310200</v>
      </c>
      <c r="J66" s="526">
        <v>3355800</v>
      </c>
      <c r="K66" s="520">
        <v>3045600</v>
      </c>
      <c r="L66" s="927"/>
      <c r="M66" s="1067" t="s">
        <v>847</v>
      </c>
      <c r="N66" s="1593" t="s">
        <v>838</v>
      </c>
      <c r="O66" s="1598">
        <v>45615</v>
      </c>
      <c r="P66" s="1594"/>
      <c r="Q66" s="290">
        <v>0</v>
      </c>
      <c r="R66" s="288"/>
      <c r="S66" s="297"/>
      <c r="T66" s="24"/>
      <c r="U66" s="301" t="s">
        <v>318</v>
      </c>
      <c r="V66" s="119">
        <v>1355000</v>
      </c>
      <c r="W66" s="239"/>
      <c r="X66" s="114">
        <v>0</v>
      </c>
      <c r="Y66" s="240" t="s">
        <v>318</v>
      </c>
      <c r="Z66" s="115">
        <v>1016000</v>
      </c>
      <c r="AA66" s="884"/>
      <c r="AB66" s="874">
        <v>0</v>
      </c>
      <c r="AC66" s="884"/>
      <c r="AD66" s="874">
        <v>0</v>
      </c>
      <c r="AE66" s="241" t="s">
        <v>318</v>
      </c>
      <c r="AF66" s="116">
        <v>136000</v>
      </c>
      <c r="AG66" s="239"/>
      <c r="AH66" s="116">
        <v>0</v>
      </c>
      <c r="AI66" s="242"/>
      <c r="AJ66" s="117">
        <v>0</v>
      </c>
      <c r="AK66" s="505">
        <v>310000</v>
      </c>
      <c r="AL66" s="269">
        <v>0</v>
      </c>
      <c r="AM66" s="271">
        <v>2820000</v>
      </c>
      <c r="AN66" s="24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</row>
    <row r="67" spans="1:254" ht="26.25" thickBot="1" x14ac:dyDescent="0.25">
      <c r="A67" s="1601">
        <v>14</v>
      </c>
      <c r="B67" s="589" t="s">
        <v>187</v>
      </c>
      <c r="C67" s="387">
        <v>25</v>
      </c>
      <c r="D67" s="487">
        <v>900103304</v>
      </c>
      <c r="E67" s="387">
        <v>1</v>
      </c>
      <c r="F67" s="290">
        <v>3690000</v>
      </c>
      <c r="G67" s="287">
        <v>701100</v>
      </c>
      <c r="H67" s="1537" t="s">
        <v>471</v>
      </c>
      <c r="I67" s="1552">
        <v>-405900</v>
      </c>
      <c r="J67" s="526">
        <v>4391100</v>
      </c>
      <c r="K67" s="520">
        <v>3985200</v>
      </c>
      <c r="L67" s="927"/>
      <c r="M67" s="1067"/>
      <c r="N67" s="1594"/>
      <c r="O67" s="1598"/>
      <c r="P67" s="1594"/>
      <c r="Q67" s="290">
        <v>0</v>
      </c>
      <c r="R67" s="288"/>
      <c r="S67" s="1089" t="s">
        <v>886</v>
      </c>
      <c r="T67" s="24"/>
      <c r="U67" s="301" t="s">
        <v>318</v>
      </c>
      <c r="V67" s="119">
        <v>1355000</v>
      </c>
      <c r="W67" s="239"/>
      <c r="X67" s="114">
        <v>0</v>
      </c>
      <c r="Y67" s="240" t="s">
        <v>318</v>
      </c>
      <c r="Z67" s="115">
        <v>1016000</v>
      </c>
      <c r="AA67" s="884"/>
      <c r="AB67" s="874">
        <v>0</v>
      </c>
      <c r="AC67" s="884"/>
      <c r="AD67" s="874">
        <v>0</v>
      </c>
      <c r="AE67" s="241" t="s">
        <v>318</v>
      </c>
      <c r="AF67" s="116">
        <v>136000</v>
      </c>
      <c r="AG67" s="239"/>
      <c r="AH67" s="116">
        <v>0</v>
      </c>
      <c r="AI67" s="242"/>
      <c r="AJ67" s="117">
        <v>0</v>
      </c>
      <c r="AK67" s="505">
        <v>1179078.8578594101</v>
      </c>
      <c r="AL67" s="269">
        <v>0</v>
      </c>
      <c r="AM67" s="271">
        <v>3690000</v>
      </c>
      <c r="AN67" s="24"/>
      <c r="AO67" s="65"/>
      <c r="AP67" s="65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</row>
    <row r="68" spans="1:254" x14ac:dyDescent="0.2">
      <c r="A68" s="1601">
        <v>15</v>
      </c>
      <c r="B68" s="356" t="s">
        <v>188</v>
      </c>
      <c r="C68" s="387">
        <v>28</v>
      </c>
      <c r="D68" s="487">
        <v>890910546</v>
      </c>
      <c r="E68" s="387">
        <v>3</v>
      </c>
      <c r="F68" s="290">
        <v>10480000</v>
      </c>
      <c r="G68" s="287">
        <v>1991200</v>
      </c>
      <c r="H68" s="1537" t="s">
        <v>471</v>
      </c>
      <c r="I68" s="1552">
        <v>-1152800</v>
      </c>
      <c r="J68" s="526">
        <v>12471200</v>
      </c>
      <c r="K68" s="520">
        <v>11318400</v>
      </c>
      <c r="L68" s="927"/>
      <c r="M68" s="1067" t="s">
        <v>842</v>
      </c>
      <c r="N68" s="1593" t="s">
        <v>838</v>
      </c>
      <c r="O68" s="1598">
        <v>45502</v>
      </c>
      <c r="P68" s="1602" t="s">
        <v>453</v>
      </c>
      <c r="Q68" s="290">
        <v>0</v>
      </c>
      <c r="R68" s="288"/>
      <c r="S68" s="297"/>
      <c r="T68" s="24"/>
      <c r="U68" s="926" t="s">
        <v>318</v>
      </c>
      <c r="V68" s="345">
        <v>10480000</v>
      </c>
      <c r="W68" s="854"/>
      <c r="X68" s="855">
        <v>0</v>
      </c>
      <c r="Y68" s="856"/>
      <c r="Z68" s="857">
        <v>0</v>
      </c>
      <c r="AA68" s="905"/>
      <c r="AB68" s="899">
        <v>0</v>
      </c>
      <c r="AC68" s="905"/>
      <c r="AD68" s="899">
        <v>0</v>
      </c>
      <c r="AE68" s="858"/>
      <c r="AF68" s="859">
        <v>0</v>
      </c>
      <c r="AG68" s="854"/>
      <c r="AH68" s="859">
        <v>0</v>
      </c>
      <c r="AI68" s="860"/>
      <c r="AJ68" s="861">
        <v>0</v>
      </c>
      <c r="AK68" s="862">
        <v>0</v>
      </c>
      <c r="AL68" s="863">
        <v>0</v>
      </c>
      <c r="AM68" s="839">
        <v>10480000</v>
      </c>
      <c r="AN68" s="24"/>
      <c r="AO68" s="65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  <c r="EN68" s="38"/>
      <c r="EO68" s="38"/>
      <c r="EP68" s="38"/>
      <c r="EQ68" s="38"/>
      <c r="ER68" s="38"/>
      <c r="ES68" s="38"/>
      <c r="ET68" s="38"/>
      <c r="EU68" s="38"/>
      <c r="EV68" s="38"/>
      <c r="EW68" s="38"/>
      <c r="EX68" s="38"/>
      <c r="EY68" s="38"/>
      <c r="EZ68" s="38"/>
      <c r="FA68" s="38"/>
      <c r="FB68" s="38"/>
      <c r="FC68" s="38"/>
      <c r="FD68" s="38"/>
      <c r="FE68" s="38"/>
      <c r="FF68" s="38"/>
      <c r="FG68" s="38"/>
      <c r="FH68" s="38"/>
      <c r="FI68" s="38"/>
      <c r="FJ68" s="38"/>
      <c r="FK68" s="38"/>
      <c r="FL68" s="38"/>
      <c r="FM68" s="38"/>
      <c r="FN68" s="38"/>
      <c r="FO68" s="38"/>
      <c r="FP68" s="38"/>
      <c r="FQ68" s="38"/>
      <c r="FR68" s="38"/>
      <c r="FS68" s="38"/>
      <c r="FT68" s="38"/>
      <c r="FU68" s="38"/>
      <c r="FV68" s="38"/>
      <c r="FW68" s="38"/>
      <c r="FX68" s="38"/>
      <c r="FY68" s="38"/>
      <c r="FZ68" s="38"/>
      <c r="GA68" s="38"/>
      <c r="GB68" s="38"/>
      <c r="GC68" s="38"/>
      <c r="GD68" s="38"/>
      <c r="GE68" s="38"/>
      <c r="GF68" s="38"/>
      <c r="GG68" s="38"/>
      <c r="GH68" s="38"/>
      <c r="GI68" s="38"/>
      <c r="GJ68" s="38"/>
      <c r="GK68" s="38"/>
      <c r="GL68" s="38"/>
      <c r="GM68" s="38"/>
      <c r="GN68" s="38"/>
      <c r="GO68" s="38"/>
      <c r="GP68" s="38"/>
      <c r="GQ68" s="38"/>
      <c r="GR68" s="38"/>
      <c r="GS68" s="38"/>
      <c r="GT68" s="38"/>
      <c r="GU68" s="38"/>
      <c r="GV68" s="38"/>
      <c r="GW68" s="38"/>
      <c r="GX68" s="38"/>
      <c r="GY68" s="38"/>
      <c r="GZ68" s="38"/>
      <c r="HA68" s="38"/>
      <c r="HB68" s="38"/>
      <c r="HC68" s="38"/>
      <c r="HD68" s="38"/>
      <c r="HE68" s="38"/>
      <c r="HF68" s="38"/>
      <c r="HG68" s="38"/>
      <c r="HH68" s="38"/>
      <c r="HI68" s="38"/>
      <c r="HJ68" s="38"/>
      <c r="HK68" s="38"/>
      <c r="HL68" s="38"/>
      <c r="HM68" s="38"/>
      <c r="HN68" s="38"/>
      <c r="HO68" s="38"/>
      <c r="HP68" s="38"/>
      <c r="HQ68" s="38"/>
      <c r="HR68" s="38"/>
      <c r="HS68" s="38"/>
      <c r="HT68" s="38"/>
      <c r="HU68" s="38"/>
      <c r="HV68" s="38"/>
      <c r="HW68" s="38"/>
      <c r="HX68" s="38"/>
      <c r="HY68" s="38"/>
      <c r="HZ68" s="38"/>
      <c r="IA68" s="38"/>
      <c r="IB68" s="38"/>
      <c r="IC68" s="38"/>
      <c r="ID68" s="38"/>
      <c r="IE68" s="38"/>
      <c r="IF68" s="38"/>
      <c r="IG68" s="38"/>
      <c r="IH68" s="38"/>
      <c r="II68" s="38"/>
      <c r="IJ68" s="38"/>
      <c r="IK68" s="38"/>
      <c r="IL68" s="38"/>
      <c r="IM68" s="38"/>
      <c r="IN68" s="38"/>
      <c r="IO68" s="38"/>
      <c r="IP68" s="38"/>
      <c r="IQ68" s="38"/>
      <c r="IR68" s="38"/>
      <c r="IS68" s="38"/>
      <c r="IT68" s="38"/>
    </row>
    <row r="69" spans="1:254" ht="38.25" x14ac:dyDescent="0.2">
      <c r="A69" s="1601">
        <v>16</v>
      </c>
      <c r="B69" s="356" t="s">
        <v>735</v>
      </c>
      <c r="C69" s="387">
        <v>29</v>
      </c>
      <c r="D69" s="487">
        <v>890924327</v>
      </c>
      <c r="E69" s="387">
        <v>8</v>
      </c>
      <c r="F69" s="290">
        <v>130230000</v>
      </c>
      <c r="G69" s="287">
        <v>24743700</v>
      </c>
      <c r="H69" s="1537" t="s">
        <v>471</v>
      </c>
      <c r="I69" s="1552">
        <v>-14325300</v>
      </c>
      <c r="J69" s="526">
        <v>154973700</v>
      </c>
      <c r="K69" s="520">
        <v>140648400</v>
      </c>
      <c r="L69" s="927"/>
      <c r="M69" s="1067" t="s">
        <v>859</v>
      </c>
      <c r="N69" s="1594" t="s">
        <v>761</v>
      </c>
      <c r="O69" s="1598">
        <v>45621</v>
      </c>
      <c r="P69" s="1594"/>
      <c r="Q69" s="290">
        <v>0</v>
      </c>
      <c r="R69" s="288"/>
      <c r="S69" s="1089" t="s">
        <v>887</v>
      </c>
      <c r="T69" s="24"/>
      <c r="U69" s="301" t="s">
        <v>318</v>
      </c>
      <c r="V69" s="119">
        <v>4329000</v>
      </c>
      <c r="W69" s="239"/>
      <c r="X69" s="114">
        <v>0</v>
      </c>
      <c r="Y69" s="240" t="s">
        <v>318</v>
      </c>
      <c r="Z69" s="115">
        <v>3247000</v>
      </c>
      <c r="AA69" s="884"/>
      <c r="AB69" s="874">
        <v>0</v>
      </c>
      <c r="AC69" s="884"/>
      <c r="AD69" s="874">
        <v>0</v>
      </c>
      <c r="AE69" s="241" t="s">
        <v>318</v>
      </c>
      <c r="AF69" s="116">
        <v>433000</v>
      </c>
      <c r="AG69" s="239"/>
      <c r="AH69" s="116">
        <v>0</v>
      </c>
      <c r="AI69" s="242"/>
      <c r="AJ69" s="117">
        <v>0</v>
      </c>
      <c r="AK69" s="505">
        <v>122222953.75</v>
      </c>
      <c r="AL69" s="269">
        <v>0</v>
      </c>
      <c r="AM69" s="271">
        <v>130230000</v>
      </c>
      <c r="AN69" s="24"/>
      <c r="AO69" s="291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/>
      <c r="EX69" s="38"/>
      <c r="EY69" s="38"/>
      <c r="EZ69" s="38"/>
      <c r="FA69" s="38"/>
      <c r="FB69" s="38"/>
      <c r="FC69" s="38"/>
      <c r="FD69" s="38"/>
      <c r="FE69" s="38"/>
      <c r="FF69" s="38"/>
      <c r="FG69" s="38"/>
      <c r="FH69" s="38"/>
      <c r="FI69" s="38"/>
      <c r="FJ69" s="38"/>
      <c r="FK69" s="38"/>
      <c r="FL69" s="38"/>
      <c r="FM69" s="38"/>
      <c r="FN69" s="38"/>
      <c r="FO69" s="38"/>
      <c r="FP69" s="38"/>
      <c r="FQ69" s="38"/>
      <c r="FR69" s="38"/>
      <c r="FS69" s="38"/>
      <c r="FT69" s="38"/>
      <c r="FU69" s="38"/>
      <c r="FV69" s="38"/>
      <c r="FW69" s="38"/>
      <c r="FX69" s="38"/>
      <c r="FY69" s="38"/>
      <c r="FZ69" s="38"/>
      <c r="GA69" s="38"/>
      <c r="GB69" s="38"/>
      <c r="GC69" s="38"/>
      <c r="GD69" s="38"/>
      <c r="GE69" s="38"/>
      <c r="GF69" s="38"/>
      <c r="GG69" s="38"/>
      <c r="GH69" s="38"/>
      <c r="GI69" s="38"/>
      <c r="GJ69" s="38"/>
      <c r="GK69" s="38"/>
      <c r="GL69" s="38"/>
      <c r="GM69" s="38"/>
      <c r="GN69" s="38"/>
      <c r="GO69" s="38"/>
      <c r="GP69" s="38"/>
      <c r="GQ69" s="38"/>
      <c r="GR69" s="38"/>
      <c r="GS69" s="38"/>
      <c r="GT69" s="38"/>
      <c r="GU69" s="38"/>
      <c r="GV69" s="38"/>
      <c r="GW69" s="38"/>
      <c r="GX69" s="38"/>
      <c r="GY69" s="38"/>
      <c r="GZ69" s="38"/>
      <c r="HA69" s="38"/>
      <c r="HB69" s="38"/>
      <c r="HC69" s="38"/>
      <c r="HD69" s="38"/>
      <c r="HE69" s="38"/>
      <c r="HF69" s="38"/>
      <c r="HG69" s="38"/>
      <c r="HH69" s="38"/>
      <c r="HI69" s="38"/>
      <c r="HJ69" s="38"/>
      <c r="HK69" s="38"/>
      <c r="HL69" s="38"/>
      <c r="HM69" s="38"/>
      <c r="HN69" s="38"/>
      <c r="HO69" s="38"/>
      <c r="HP69" s="38"/>
      <c r="HQ69" s="38"/>
      <c r="HR69" s="38"/>
      <c r="HS69" s="38"/>
      <c r="HT69" s="38"/>
      <c r="HU69" s="38"/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</row>
    <row r="70" spans="1:254" ht="24.75" customHeight="1" thickBot="1" x14ac:dyDescent="0.25">
      <c r="A70" s="289">
        <v>17</v>
      </c>
      <c r="B70" s="589" t="s">
        <v>368</v>
      </c>
      <c r="C70" s="387">
        <v>35</v>
      </c>
      <c r="D70" s="487">
        <v>800178231</v>
      </c>
      <c r="E70" s="387">
        <v>1</v>
      </c>
      <c r="F70" s="290">
        <v>3230000</v>
      </c>
      <c r="G70" s="287">
        <v>613700</v>
      </c>
      <c r="H70" s="1537" t="s">
        <v>471</v>
      </c>
      <c r="I70" s="1552">
        <v>-355300</v>
      </c>
      <c r="J70" s="526">
        <v>3843700</v>
      </c>
      <c r="K70" s="520">
        <v>3488400</v>
      </c>
      <c r="L70" s="927"/>
      <c r="M70" s="1067"/>
      <c r="N70" s="1594"/>
      <c r="O70" s="1598"/>
      <c r="P70" s="1594"/>
      <c r="Q70" s="290">
        <v>0</v>
      </c>
      <c r="R70" s="288"/>
      <c r="S70" s="1217" t="s">
        <v>888</v>
      </c>
      <c r="T70" s="24"/>
      <c r="U70" s="301" t="s">
        <v>318</v>
      </c>
      <c r="V70" s="119">
        <v>1744000</v>
      </c>
      <c r="W70" s="239"/>
      <c r="X70" s="114">
        <v>0</v>
      </c>
      <c r="Y70" s="240" t="s">
        <v>318</v>
      </c>
      <c r="Z70" s="115">
        <v>1308000</v>
      </c>
      <c r="AA70" s="884"/>
      <c r="AB70" s="874">
        <v>0</v>
      </c>
      <c r="AC70" s="884"/>
      <c r="AD70" s="874">
        <v>0</v>
      </c>
      <c r="AE70" s="241" t="s">
        <v>318</v>
      </c>
      <c r="AF70" s="116">
        <v>174000</v>
      </c>
      <c r="AG70" s="239"/>
      <c r="AH70" s="116">
        <v>0</v>
      </c>
      <c r="AI70" s="242"/>
      <c r="AJ70" s="117">
        <v>0</v>
      </c>
      <c r="AK70" s="505">
        <v>0</v>
      </c>
      <c r="AL70" s="269">
        <v>0</v>
      </c>
      <c r="AM70" s="271">
        <v>3230000</v>
      </c>
      <c r="AN70" s="24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  <c r="EN70" s="38"/>
      <c r="EO70" s="38"/>
      <c r="EP70" s="38"/>
      <c r="EQ70" s="38"/>
      <c r="ER70" s="38"/>
      <c r="ES70" s="38"/>
      <c r="ET70" s="38"/>
      <c r="EU70" s="38"/>
      <c r="EV70" s="38"/>
      <c r="EW70" s="38"/>
      <c r="EX70" s="38"/>
      <c r="EY70" s="38"/>
      <c r="EZ70" s="38"/>
      <c r="FA70" s="38"/>
      <c r="FB70" s="38"/>
      <c r="FC70" s="38"/>
      <c r="FD70" s="38"/>
      <c r="FE70" s="38"/>
      <c r="FF70" s="38"/>
      <c r="FG70" s="38"/>
      <c r="FH70" s="38"/>
      <c r="FI70" s="38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  <c r="HI70" s="38"/>
      <c r="HJ70" s="38"/>
      <c r="HK70" s="38"/>
      <c r="HL70" s="38"/>
      <c r="HM70" s="38"/>
      <c r="HN70" s="38"/>
      <c r="HO70" s="38"/>
      <c r="HP70" s="38"/>
      <c r="HQ70" s="38"/>
      <c r="HR70" s="38"/>
      <c r="HS70" s="38"/>
      <c r="HT70" s="38"/>
      <c r="HU70" s="38"/>
      <c r="HV70" s="38"/>
      <c r="HW70" s="38"/>
      <c r="HX70" s="38"/>
      <c r="HY70" s="38"/>
      <c r="HZ70" s="38"/>
      <c r="IA70" s="38"/>
      <c r="IB70" s="38"/>
      <c r="IC70" s="38"/>
      <c r="ID70" s="38"/>
      <c r="IE70" s="38"/>
      <c r="IF70" s="38"/>
      <c r="IG70" s="38"/>
      <c r="IH70" s="38"/>
      <c r="II70" s="38"/>
      <c r="IJ70" s="38"/>
      <c r="IK70" s="38"/>
      <c r="IL70" s="38"/>
      <c r="IM70" s="38"/>
      <c r="IN70" s="38"/>
      <c r="IO70" s="38"/>
      <c r="IP70" s="38"/>
      <c r="IQ70" s="38"/>
      <c r="IR70" s="38"/>
      <c r="IS70" s="38"/>
      <c r="IT70" s="38"/>
    </row>
    <row r="71" spans="1:254" x14ac:dyDescent="0.2">
      <c r="A71" s="289">
        <v>18</v>
      </c>
      <c r="B71" s="375" t="s">
        <v>724</v>
      </c>
      <c r="C71" s="387">
        <v>294</v>
      </c>
      <c r="D71" s="487">
        <v>900742209</v>
      </c>
      <c r="E71" s="387">
        <v>0</v>
      </c>
      <c r="F71" s="290">
        <v>3690000</v>
      </c>
      <c r="G71" s="287">
        <v>701100</v>
      </c>
      <c r="H71" s="1537" t="s">
        <v>471</v>
      </c>
      <c r="I71" s="1552">
        <v>-405900</v>
      </c>
      <c r="J71" s="526">
        <v>4391100</v>
      </c>
      <c r="K71" s="520">
        <v>3985200</v>
      </c>
      <c r="L71" s="927"/>
      <c r="M71" s="1067" t="s">
        <v>846</v>
      </c>
      <c r="N71" s="1593" t="s">
        <v>838</v>
      </c>
      <c r="O71" s="1598">
        <v>45615</v>
      </c>
      <c r="P71" s="1594"/>
      <c r="Q71" s="290">
        <v>0</v>
      </c>
      <c r="R71" s="288"/>
      <c r="S71" s="297"/>
      <c r="T71" s="24"/>
      <c r="U71" s="301" t="s">
        <v>318</v>
      </c>
      <c r="V71" s="119">
        <v>1355000</v>
      </c>
      <c r="W71" s="239"/>
      <c r="X71" s="114">
        <v>0</v>
      </c>
      <c r="Y71" s="240" t="s">
        <v>318</v>
      </c>
      <c r="Z71" s="115">
        <v>1016000</v>
      </c>
      <c r="AA71" s="884"/>
      <c r="AB71" s="874">
        <v>0</v>
      </c>
      <c r="AC71" s="884"/>
      <c r="AD71" s="874">
        <v>0</v>
      </c>
      <c r="AE71" s="241" t="s">
        <v>318</v>
      </c>
      <c r="AF71" s="116">
        <v>136000</v>
      </c>
      <c r="AG71" s="239"/>
      <c r="AH71" s="116">
        <v>0</v>
      </c>
      <c r="AI71" s="242"/>
      <c r="AJ71" s="117">
        <v>0</v>
      </c>
      <c r="AK71" s="505">
        <v>1179078.8578594101</v>
      </c>
      <c r="AL71" s="269">
        <v>0</v>
      </c>
      <c r="AM71" s="271">
        <v>3690000</v>
      </c>
      <c r="AN71" s="24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  <c r="EN71" s="38"/>
      <c r="EO71" s="38"/>
      <c r="EP71" s="38"/>
      <c r="EQ71" s="38"/>
      <c r="ER71" s="38"/>
      <c r="ES71" s="38"/>
      <c r="ET71" s="38"/>
      <c r="EU71" s="38"/>
      <c r="EV71" s="38"/>
      <c r="EW71" s="38"/>
      <c r="EX71" s="38"/>
      <c r="EY71" s="38"/>
      <c r="EZ71" s="38"/>
      <c r="FA71" s="38"/>
      <c r="FB71" s="38"/>
      <c r="FC71" s="38"/>
      <c r="FD71" s="38"/>
      <c r="FE71" s="38"/>
      <c r="FF71" s="38"/>
      <c r="FG71" s="38"/>
      <c r="FH71" s="38"/>
      <c r="FI71" s="38"/>
      <c r="FJ71" s="38"/>
      <c r="FK71" s="38"/>
      <c r="FL71" s="38"/>
      <c r="FM71" s="38"/>
      <c r="FN71" s="38"/>
      <c r="FO71" s="38"/>
      <c r="FP71" s="38"/>
      <c r="FQ71" s="38"/>
      <c r="FR71" s="38"/>
      <c r="FS71" s="38"/>
      <c r="FT71" s="38"/>
      <c r="FU71" s="38"/>
      <c r="FV71" s="38"/>
      <c r="FW71" s="38"/>
      <c r="FX71" s="38"/>
      <c r="FY71" s="38"/>
      <c r="FZ71" s="38"/>
      <c r="GA71" s="38"/>
      <c r="GB71" s="38"/>
      <c r="GC71" s="38"/>
      <c r="GD71" s="38"/>
      <c r="GE71" s="38"/>
      <c r="GF71" s="38"/>
      <c r="GG71" s="38"/>
      <c r="GH71" s="38"/>
      <c r="GI71" s="38"/>
      <c r="GJ71" s="38"/>
      <c r="GK71" s="38"/>
      <c r="GL71" s="38"/>
      <c r="GM71" s="38"/>
      <c r="GN71" s="38"/>
      <c r="GO71" s="38"/>
      <c r="GP71" s="38"/>
      <c r="GQ71" s="38"/>
      <c r="GR71" s="38"/>
      <c r="GS71" s="38"/>
      <c r="GT71" s="38"/>
      <c r="GU71" s="38"/>
      <c r="GV71" s="38"/>
      <c r="GW71" s="38"/>
      <c r="GX71" s="38"/>
      <c r="GY71" s="38"/>
      <c r="GZ71" s="38"/>
      <c r="HA71" s="38"/>
      <c r="HB71" s="38"/>
      <c r="HC71" s="38"/>
      <c r="HD71" s="38"/>
      <c r="HE71" s="38"/>
      <c r="HF71" s="38"/>
      <c r="HG71" s="38"/>
      <c r="HH71" s="38"/>
      <c r="HI71" s="38"/>
      <c r="HJ71" s="38"/>
      <c r="HK71" s="38"/>
      <c r="HL71" s="38"/>
      <c r="HM71" s="38"/>
      <c r="HN71" s="38"/>
      <c r="HO71" s="38"/>
      <c r="HP71" s="38"/>
      <c r="HQ71" s="38"/>
      <c r="HR71" s="38"/>
      <c r="HS71" s="38"/>
      <c r="HT71" s="38"/>
      <c r="HU71" s="38"/>
      <c r="HV71" s="38"/>
      <c r="HW71" s="38"/>
      <c r="HX71" s="38"/>
      <c r="HY71" s="38"/>
      <c r="HZ71" s="38"/>
      <c r="IA71" s="38"/>
      <c r="IB71" s="38"/>
      <c r="IC71" s="38"/>
      <c r="ID71" s="38"/>
      <c r="IE71" s="38"/>
      <c r="IF71" s="38"/>
      <c r="IG71" s="38"/>
      <c r="IH71" s="38"/>
      <c r="II71" s="38"/>
      <c r="IJ71" s="38"/>
      <c r="IK71" s="38"/>
      <c r="IL71" s="38"/>
      <c r="IM71" s="38"/>
      <c r="IN71" s="38"/>
      <c r="IO71" s="38"/>
      <c r="IP71" s="38"/>
      <c r="IQ71" s="38"/>
      <c r="IR71" s="38"/>
      <c r="IS71" s="38"/>
      <c r="IT71" s="38"/>
    </row>
    <row r="72" spans="1:254" ht="25.5" x14ac:dyDescent="0.2">
      <c r="A72" s="289">
        <v>19</v>
      </c>
      <c r="B72" s="589" t="s">
        <v>740</v>
      </c>
      <c r="C72" s="387">
        <v>319</v>
      </c>
      <c r="D72" s="1113">
        <v>901035800</v>
      </c>
      <c r="E72" s="387">
        <v>5</v>
      </c>
      <c r="F72" s="290">
        <v>3690000</v>
      </c>
      <c r="G72" s="287">
        <v>701100</v>
      </c>
      <c r="H72" s="1537" t="s">
        <v>471</v>
      </c>
      <c r="I72" s="1552">
        <v>-405900</v>
      </c>
      <c r="J72" s="526">
        <v>4391100</v>
      </c>
      <c r="K72" s="520">
        <v>3985200</v>
      </c>
      <c r="L72" s="927"/>
      <c r="M72" s="1067"/>
      <c r="N72" s="1594"/>
      <c r="O72" s="1598"/>
      <c r="P72" s="1594"/>
      <c r="Q72" s="290">
        <v>0</v>
      </c>
      <c r="R72" s="288"/>
      <c r="S72" s="1089" t="s">
        <v>889</v>
      </c>
      <c r="T72" s="24"/>
      <c r="U72" s="301" t="s">
        <v>318</v>
      </c>
      <c r="V72" s="119">
        <v>1355000</v>
      </c>
      <c r="W72" s="239"/>
      <c r="X72" s="114">
        <v>0</v>
      </c>
      <c r="Y72" s="240" t="s">
        <v>318</v>
      </c>
      <c r="Z72" s="115">
        <v>1016000</v>
      </c>
      <c r="AA72" s="884"/>
      <c r="AB72" s="874">
        <v>0</v>
      </c>
      <c r="AC72" s="884"/>
      <c r="AD72" s="874">
        <v>0</v>
      </c>
      <c r="AE72" s="241" t="s">
        <v>318</v>
      </c>
      <c r="AF72" s="116">
        <v>136000</v>
      </c>
      <c r="AG72" s="239"/>
      <c r="AH72" s="116">
        <v>0</v>
      </c>
      <c r="AI72" s="242"/>
      <c r="AJ72" s="117">
        <v>0</v>
      </c>
      <c r="AK72" s="505">
        <v>1179078.8578594101</v>
      </c>
      <c r="AL72" s="269">
        <v>0</v>
      </c>
      <c r="AM72" s="271">
        <v>3690000</v>
      </c>
      <c r="AN72" s="24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  <c r="EN72" s="38"/>
      <c r="EO72" s="38"/>
      <c r="EP72" s="38"/>
      <c r="EQ72" s="38"/>
      <c r="ER72" s="38"/>
      <c r="ES72" s="38"/>
      <c r="ET72" s="38"/>
      <c r="EU72" s="38"/>
      <c r="EV72" s="38"/>
      <c r="EW72" s="38"/>
      <c r="EX72" s="38"/>
      <c r="EY72" s="38"/>
      <c r="EZ72" s="38"/>
      <c r="FA72" s="38"/>
      <c r="FB72" s="38"/>
      <c r="FC72" s="38"/>
      <c r="FD72" s="38"/>
      <c r="FE72" s="38"/>
      <c r="FF72" s="38"/>
      <c r="FG72" s="38"/>
      <c r="FH72" s="38"/>
      <c r="FI72" s="38"/>
      <c r="FJ72" s="38"/>
      <c r="FK72" s="38"/>
      <c r="FL72" s="38"/>
      <c r="FM72" s="38"/>
      <c r="FN72" s="38"/>
      <c r="FO72" s="38"/>
      <c r="FP72" s="38"/>
      <c r="FQ72" s="38"/>
      <c r="FR72" s="38"/>
      <c r="FS72" s="38"/>
      <c r="FT72" s="38"/>
      <c r="FU72" s="38"/>
      <c r="FV72" s="38"/>
      <c r="FW72" s="38"/>
      <c r="FX72" s="38"/>
      <c r="FY72" s="38"/>
      <c r="FZ72" s="38"/>
      <c r="GA72" s="38"/>
      <c r="GB72" s="38"/>
      <c r="GC72" s="38"/>
      <c r="GD72" s="38"/>
      <c r="GE72" s="38"/>
      <c r="GF72" s="38"/>
      <c r="GG72" s="38"/>
      <c r="GH72" s="38"/>
      <c r="GI72" s="38"/>
      <c r="GJ72" s="38"/>
      <c r="GK72" s="38"/>
      <c r="GL72" s="38"/>
      <c r="GM72" s="38"/>
      <c r="GN72" s="38"/>
      <c r="GO72" s="38"/>
      <c r="GP72" s="38"/>
      <c r="GQ72" s="38"/>
      <c r="GR72" s="38"/>
      <c r="GS72" s="38"/>
      <c r="GT72" s="38"/>
      <c r="GU72" s="38"/>
      <c r="GV72" s="38"/>
      <c r="GW72" s="38"/>
      <c r="GX72" s="38"/>
      <c r="GY72" s="38"/>
      <c r="GZ72" s="38"/>
      <c r="HA72" s="38"/>
      <c r="HB72" s="38"/>
      <c r="HC72" s="38"/>
      <c r="HD72" s="38"/>
      <c r="HE72" s="38"/>
      <c r="HF72" s="38"/>
      <c r="HG72" s="38"/>
      <c r="HH72" s="38"/>
      <c r="HI72" s="38"/>
      <c r="HJ72" s="38"/>
      <c r="HK72" s="38"/>
      <c r="HL72" s="38"/>
      <c r="HM72" s="38"/>
      <c r="HN72" s="38"/>
      <c r="HO72" s="38"/>
      <c r="HP72" s="38"/>
      <c r="HQ72" s="38"/>
      <c r="HR72" s="38"/>
      <c r="HS72" s="38"/>
      <c r="HT72" s="38"/>
      <c r="HU72" s="38"/>
      <c r="HV72" s="38"/>
      <c r="HW72" s="38"/>
      <c r="HX72" s="38"/>
      <c r="HY72" s="38"/>
      <c r="HZ72" s="38"/>
      <c r="IA72" s="38"/>
      <c r="IB72" s="38"/>
      <c r="IC72" s="38"/>
      <c r="ID72" s="38"/>
      <c r="IE72" s="38"/>
      <c r="IF72" s="38"/>
      <c r="IG72" s="38"/>
      <c r="IH72" s="38"/>
      <c r="II72" s="38"/>
      <c r="IJ72" s="38"/>
      <c r="IK72" s="38"/>
      <c r="IL72" s="38"/>
      <c r="IM72" s="38"/>
      <c r="IN72" s="38"/>
      <c r="IO72" s="38"/>
      <c r="IP72" s="38"/>
      <c r="IQ72" s="38"/>
      <c r="IR72" s="38"/>
      <c r="IS72" s="38"/>
      <c r="IT72" s="38"/>
    </row>
    <row r="73" spans="1:254" x14ac:dyDescent="0.2">
      <c r="A73" s="289">
        <v>20</v>
      </c>
      <c r="B73" s="589" t="s">
        <v>195</v>
      </c>
      <c r="C73" s="387">
        <v>37</v>
      </c>
      <c r="D73" s="487">
        <v>900258791</v>
      </c>
      <c r="E73" s="387">
        <v>0</v>
      </c>
      <c r="F73" s="290">
        <v>3210000</v>
      </c>
      <c r="G73" s="287">
        <v>609900</v>
      </c>
      <c r="H73" s="1537" t="s">
        <v>471</v>
      </c>
      <c r="I73" s="1552">
        <v>-353100</v>
      </c>
      <c r="J73" s="526">
        <v>3819900</v>
      </c>
      <c r="K73" s="520">
        <v>3466800</v>
      </c>
      <c r="L73" s="927"/>
      <c r="M73" s="1067"/>
      <c r="N73" s="1594"/>
      <c r="O73" s="1598"/>
      <c r="P73" s="1594"/>
      <c r="Q73" s="290">
        <v>0</v>
      </c>
      <c r="R73" s="288"/>
      <c r="S73" s="297"/>
      <c r="T73" s="944"/>
      <c r="U73" s="301" t="s">
        <v>318</v>
      </c>
      <c r="V73" s="119">
        <v>1735000</v>
      </c>
      <c r="W73" s="239"/>
      <c r="X73" s="114">
        <v>0</v>
      </c>
      <c r="Y73" s="240" t="s">
        <v>318</v>
      </c>
      <c r="Z73" s="115">
        <v>1301000</v>
      </c>
      <c r="AA73" s="884"/>
      <c r="AB73" s="874">
        <v>0</v>
      </c>
      <c r="AC73" s="884"/>
      <c r="AD73" s="874">
        <v>0</v>
      </c>
      <c r="AE73" s="241" t="s">
        <v>318</v>
      </c>
      <c r="AF73" s="116">
        <v>174000</v>
      </c>
      <c r="AG73" s="239"/>
      <c r="AH73" s="116">
        <v>0</v>
      </c>
      <c r="AI73" s="242"/>
      <c r="AJ73" s="117">
        <v>0</v>
      </c>
      <c r="AK73" s="505">
        <v>0</v>
      </c>
      <c r="AL73" s="269">
        <v>0</v>
      </c>
      <c r="AM73" s="271">
        <v>3210000</v>
      </c>
      <c r="AN73" s="24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/>
      <c r="EX73" s="38"/>
      <c r="EY73" s="38"/>
      <c r="EZ73" s="38"/>
      <c r="FA73" s="38"/>
      <c r="FB73" s="38"/>
      <c r="FC73" s="38"/>
      <c r="FD73" s="38"/>
      <c r="FE73" s="38"/>
      <c r="FF73" s="38"/>
      <c r="FG73" s="38"/>
      <c r="FH73" s="38"/>
      <c r="FI73" s="38"/>
      <c r="FJ73" s="38"/>
      <c r="FK73" s="38"/>
      <c r="FL73" s="38"/>
      <c r="FM73" s="38"/>
      <c r="FN73" s="38"/>
      <c r="FO73" s="38"/>
      <c r="FP73" s="38"/>
      <c r="FQ73" s="38"/>
      <c r="FR73" s="38"/>
      <c r="FS73" s="38"/>
      <c r="FT73" s="38"/>
      <c r="FU73" s="38"/>
      <c r="FV73" s="38"/>
      <c r="FW73" s="38"/>
      <c r="FX73" s="38"/>
      <c r="FY73" s="38"/>
      <c r="FZ73" s="38"/>
      <c r="GA73" s="38"/>
      <c r="GB73" s="38"/>
      <c r="GC73" s="38"/>
      <c r="GD73" s="38"/>
      <c r="GE73" s="38"/>
      <c r="GF73" s="38"/>
      <c r="GG73" s="38"/>
      <c r="GH73" s="38"/>
      <c r="GI73" s="38"/>
      <c r="GJ73" s="38"/>
      <c r="GK73" s="38"/>
      <c r="GL73" s="38"/>
      <c r="GM73" s="38"/>
      <c r="GN73" s="38"/>
      <c r="GO73" s="38"/>
      <c r="GP73" s="38"/>
      <c r="GQ73" s="38"/>
      <c r="GR73" s="38"/>
      <c r="GS73" s="38"/>
      <c r="GT73" s="38"/>
      <c r="GU73" s="38"/>
      <c r="GV73" s="38"/>
      <c r="GW73" s="38"/>
      <c r="GX73" s="38"/>
      <c r="GY73" s="38"/>
      <c r="GZ73" s="38"/>
      <c r="HA73" s="38"/>
      <c r="HB73" s="38"/>
      <c r="HC73" s="38"/>
      <c r="HD73" s="38"/>
      <c r="HE73" s="38"/>
      <c r="HF73" s="38"/>
      <c r="HG73" s="38"/>
      <c r="HH73" s="38"/>
      <c r="HI73" s="38"/>
      <c r="HJ73" s="38"/>
      <c r="HK73" s="38"/>
      <c r="HL73" s="38"/>
      <c r="HM73" s="38"/>
      <c r="HN73" s="38"/>
      <c r="HO73" s="38"/>
      <c r="HP73" s="38"/>
      <c r="HQ73" s="38"/>
      <c r="HR73" s="38"/>
      <c r="HS73" s="38"/>
      <c r="HT73" s="38"/>
      <c r="HU73" s="38"/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</row>
    <row r="74" spans="1:254" x14ac:dyDescent="0.2">
      <c r="A74" s="289"/>
      <c r="B74" s="356"/>
      <c r="C74" s="387"/>
      <c r="D74" s="381"/>
      <c r="E74" s="387"/>
      <c r="F74" s="290"/>
      <c r="G74" s="287"/>
      <c r="H74" s="1537"/>
      <c r="I74" s="1552"/>
      <c r="J74" s="526"/>
      <c r="K74" s="520"/>
      <c r="L74" s="927"/>
      <c r="M74" s="1071"/>
      <c r="N74" s="1594"/>
      <c r="O74" s="1598"/>
      <c r="P74" s="1594"/>
      <c r="Q74" s="290"/>
      <c r="R74" s="288"/>
      <c r="S74" s="298"/>
      <c r="T74" s="24"/>
      <c r="U74" s="302"/>
      <c r="V74" s="119">
        <v>0</v>
      </c>
      <c r="W74" s="239"/>
      <c r="X74" s="114">
        <v>0</v>
      </c>
      <c r="Y74" s="240"/>
      <c r="Z74" s="115">
        <v>0</v>
      </c>
      <c r="AA74" s="884"/>
      <c r="AB74" s="874"/>
      <c r="AC74" s="884"/>
      <c r="AD74" s="874"/>
      <c r="AE74" s="241"/>
      <c r="AF74" s="116">
        <v>0</v>
      </c>
      <c r="AG74" s="239"/>
      <c r="AH74" s="116">
        <v>0</v>
      </c>
      <c r="AI74" s="242"/>
      <c r="AJ74" s="117">
        <v>0</v>
      </c>
      <c r="AK74" s="505">
        <v>0</v>
      </c>
      <c r="AL74" s="269">
        <v>0</v>
      </c>
      <c r="AM74" s="271">
        <v>0</v>
      </c>
      <c r="AN74" s="24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  <c r="EN74" s="38"/>
      <c r="EO74" s="38"/>
      <c r="EP74" s="38"/>
      <c r="EQ74" s="38"/>
      <c r="ER74" s="38"/>
      <c r="ES74" s="38"/>
      <c r="ET74" s="38"/>
      <c r="EU74" s="38"/>
      <c r="EV74" s="38"/>
      <c r="EW74" s="38"/>
      <c r="EX74" s="38"/>
      <c r="EY74" s="38"/>
      <c r="EZ74" s="38"/>
      <c r="FA74" s="38"/>
      <c r="FB74" s="38"/>
      <c r="FC74" s="38"/>
      <c r="FD74" s="38"/>
      <c r="FE74" s="38"/>
      <c r="FF74" s="38"/>
      <c r="FG74" s="38"/>
      <c r="FH74" s="38"/>
      <c r="FI74" s="38"/>
      <c r="FJ74" s="38"/>
      <c r="FK74" s="38"/>
      <c r="FL74" s="38"/>
      <c r="FM74" s="38"/>
      <c r="FN74" s="38"/>
      <c r="FO74" s="38"/>
      <c r="FP74" s="38"/>
      <c r="FQ74" s="38"/>
      <c r="FR74" s="38"/>
      <c r="FS74" s="38"/>
      <c r="FT74" s="38"/>
      <c r="FU74" s="38"/>
      <c r="FV74" s="38"/>
      <c r="FW74" s="38"/>
      <c r="FX74" s="38"/>
      <c r="FY74" s="38"/>
      <c r="FZ74" s="38"/>
      <c r="GA74" s="38"/>
      <c r="GB74" s="38"/>
      <c r="GC74" s="38"/>
      <c r="GD74" s="38"/>
      <c r="GE74" s="38"/>
      <c r="GF74" s="38"/>
      <c r="GG74" s="38"/>
      <c r="GH74" s="38"/>
      <c r="GI74" s="38"/>
      <c r="GJ74" s="38"/>
      <c r="GK74" s="38"/>
      <c r="GL74" s="38"/>
      <c r="GM74" s="38"/>
      <c r="GN74" s="38"/>
      <c r="GO74" s="38"/>
      <c r="GP74" s="38"/>
      <c r="GQ74" s="38"/>
      <c r="GR74" s="38"/>
      <c r="GS74" s="38"/>
      <c r="GT74" s="38"/>
      <c r="GU74" s="38"/>
      <c r="GV74" s="38"/>
      <c r="GW74" s="38"/>
      <c r="GX74" s="38"/>
      <c r="GY74" s="38"/>
      <c r="GZ74" s="38"/>
      <c r="HA74" s="38"/>
      <c r="HB74" s="38"/>
      <c r="HC74" s="38"/>
      <c r="HD74" s="38"/>
      <c r="HE74" s="38"/>
      <c r="HF74" s="38"/>
      <c r="HG74" s="38"/>
      <c r="HH74" s="38"/>
      <c r="HI74" s="38"/>
      <c r="HJ74" s="38"/>
      <c r="HK74" s="38"/>
      <c r="HL74" s="38"/>
      <c r="HM74" s="38"/>
      <c r="HN74" s="38"/>
      <c r="HO74" s="38"/>
      <c r="HP74" s="38"/>
      <c r="HQ74" s="38"/>
      <c r="HR74" s="38"/>
      <c r="HS74" s="38"/>
      <c r="HT74" s="38"/>
      <c r="HU74" s="38"/>
      <c r="HV74" s="38"/>
      <c r="HW74" s="38"/>
      <c r="HX74" s="38"/>
      <c r="HY74" s="38"/>
      <c r="HZ74" s="38"/>
      <c r="IA74" s="38"/>
      <c r="IB74" s="38"/>
      <c r="IC74" s="38"/>
      <c r="ID74" s="38"/>
      <c r="IE74" s="38"/>
      <c r="IF74" s="38"/>
      <c r="IG74" s="38"/>
      <c r="IH74" s="38"/>
      <c r="II74" s="38"/>
      <c r="IJ74" s="38"/>
      <c r="IK74" s="38"/>
      <c r="IL74" s="38"/>
      <c r="IM74" s="38"/>
      <c r="IN74" s="38"/>
      <c r="IO74" s="38"/>
      <c r="IP74" s="38"/>
      <c r="IQ74" s="38"/>
      <c r="IR74" s="38"/>
      <c r="IS74" s="38"/>
      <c r="IT74" s="38"/>
    </row>
    <row r="75" spans="1:254" x14ac:dyDescent="0.2">
      <c r="A75" s="289"/>
      <c r="B75" s="356"/>
      <c r="C75" s="387"/>
      <c r="D75" s="381"/>
      <c r="E75" s="387"/>
      <c r="F75" s="290"/>
      <c r="G75" s="287"/>
      <c r="H75" s="1537"/>
      <c r="I75" s="1552"/>
      <c r="J75" s="526"/>
      <c r="K75" s="520"/>
      <c r="L75" s="927"/>
      <c r="M75" s="1071"/>
      <c r="N75" s="1594"/>
      <c r="O75" s="1598"/>
      <c r="P75" s="1594"/>
      <c r="Q75" s="290"/>
      <c r="R75" s="288"/>
      <c r="S75" s="298"/>
      <c r="T75" s="24"/>
      <c r="U75" s="302"/>
      <c r="V75" s="119">
        <v>0</v>
      </c>
      <c r="W75" s="239"/>
      <c r="X75" s="114">
        <v>0</v>
      </c>
      <c r="Y75" s="240"/>
      <c r="Z75" s="115">
        <v>0</v>
      </c>
      <c r="AA75" s="884"/>
      <c r="AB75" s="874"/>
      <c r="AC75" s="884"/>
      <c r="AD75" s="874"/>
      <c r="AE75" s="241"/>
      <c r="AF75" s="116">
        <v>0</v>
      </c>
      <c r="AG75" s="239"/>
      <c r="AH75" s="116">
        <v>0</v>
      </c>
      <c r="AI75" s="242"/>
      <c r="AJ75" s="117">
        <v>0</v>
      </c>
      <c r="AK75" s="505">
        <v>0</v>
      </c>
      <c r="AL75" s="269">
        <v>0</v>
      </c>
      <c r="AM75" s="271">
        <v>0</v>
      </c>
      <c r="AN75" s="24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</row>
    <row r="76" spans="1:254" x14ac:dyDescent="0.2">
      <c r="A76" s="289"/>
      <c r="B76" s="356"/>
      <c r="C76" s="387"/>
      <c r="D76" s="381"/>
      <c r="E76" s="387"/>
      <c r="F76" s="290"/>
      <c r="G76" s="287"/>
      <c r="H76" s="1537"/>
      <c r="I76" s="1552"/>
      <c r="J76" s="526"/>
      <c r="K76" s="520"/>
      <c r="L76" s="927"/>
      <c r="M76" s="1071"/>
      <c r="N76" s="1594"/>
      <c r="O76" s="1598"/>
      <c r="P76" s="1594"/>
      <c r="Q76" s="290"/>
      <c r="R76" s="288"/>
      <c r="S76" s="298"/>
      <c r="T76" s="24"/>
      <c r="U76" s="302"/>
      <c r="V76" s="119">
        <v>0</v>
      </c>
      <c r="W76" s="239"/>
      <c r="X76" s="114">
        <v>0</v>
      </c>
      <c r="Y76" s="240"/>
      <c r="Z76" s="115">
        <v>0</v>
      </c>
      <c r="AA76" s="884"/>
      <c r="AB76" s="874"/>
      <c r="AC76" s="884"/>
      <c r="AD76" s="874"/>
      <c r="AE76" s="241"/>
      <c r="AF76" s="116">
        <v>0</v>
      </c>
      <c r="AG76" s="239"/>
      <c r="AH76" s="116">
        <v>0</v>
      </c>
      <c r="AI76" s="242"/>
      <c r="AJ76" s="117">
        <v>0</v>
      </c>
      <c r="AK76" s="505">
        <v>0</v>
      </c>
      <c r="AL76" s="269">
        <v>0</v>
      </c>
      <c r="AM76" s="271">
        <v>0</v>
      </c>
      <c r="AN76" s="24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</row>
    <row r="77" spans="1:254" x14ac:dyDescent="0.2">
      <c r="A77" s="289"/>
      <c r="B77" s="356"/>
      <c r="C77" s="387"/>
      <c r="D77" s="381"/>
      <c r="E77" s="387"/>
      <c r="F77" s="290"/>
      <c r="G77" s="287"/>
      <c r="H77" s="1537"/>
      <c r="I77" s="1552"/>
      <c r="J77" s="526"/>
      <c r="K77" s="520"/>
      <c r="L77" s="927"/>
      <c r="M77" s="1071"/>
      <c r="N77" s="1594"/>
      <c r="O77" s="1598"/>
      <c r="P77" s="1594"/>
      <c r="Q77" s="290"/>
      <c r="R77" s="288"/>
      <c r="S77" s="298"/>
      <c r="T77" s="24"/>
      <c r="U77" s="302"/>
      <c r="V77" s="119">
        <v>0</v>
      </c>
      <c r="W77" s="239"/>
      <c r="X77" s="114">
        <v>0</v>
      </c>
      <c r="Y77" s="240"/>
      <c r="Z77" s="115">
        <v>0</v>
      </c>
      <c r="AA77" s="884"/>
      <c r="AB77" s="874"/>
      <c r="AC77" s="884"/>
      <c r="AD77" s="874"/>
      <c r="AE77" s="241"/>
      <c r="AF77" s="116">
        <v>0</v>
      </c>
      <c r="AG77" s="239"/>
      <c r="AH77" s="116">
        <v>0</v>
      </c>
      <c r="AI77" s="242"/>
      <c r="AJ77" s="117">
        <v>0</v>
      </c>
      <c r="AK77" s="505">
        <v>0</v>
      </c>
      <c r="AL77" s="269">
        <v>0</v>
      </c>
      <c r="AM77" s="271">
        <v>0</v>
      </c>
      <c r="AN77" s="24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</row>
    <row r="78" spans="1:254" x14ac:dyDescent="0.2">
      <c r="A78" s="289"/>
      <c r="B78" s="356"/>
      <c r="C78" s="387"/>
      <c r="D78" s="381"/>
      <c r="E78" s="387"/>
      <c r="F78" s="290"/>
      <c r="G78" s="287"/>
      <c r="H78" s="1537"/>
      <c r="I78" s="1552"/>
      <c r="J78" s="526"/>
      <c r="K78" s="520"/>
      <c r="L78" s="927"/>
      <c r="M78" s="1071"/>
      <c r="N78" s="1594"/>
      <c r="O78" s="1598"/>
      <c r="P78" s="1594"/>
      <c r="Q78" s="290"/>
      <c r="R78" s="288"/>
      <c r="S78" s="298"/>
      <c r="T78" s="24"/>
      <c r="U78" s="302"/>
      <c r="V78" s="119">
        <v>0</v>
      </c>
      <c r="W78" s="239"/>
      <c r="X78" s="114">
        <v>0</v>
      </c>
      <c r="Y78" s="240"/>
      <c r="Z78" s="115">
        <v>0</v>
      </c>
      <c r="AA78" s="884"/>
      <c r="AB78" s="874"/>
      <c r="AC78" s="884"/>
      <c r="AD78" s="874"/>
      <c r="AE78" s="241"/>
      <c r="AF78" s="116">
        <v>0</v>
      </c>
      <c r="AG78" s="239"/>
      <c r="AH78" s="116">
        <v>0</v>
      </c>
      <c r="AI78" s="242"/>
      <c r="AJ78" s="117">
        <v>0</v>
      </c>
      <c r="AK78" s="505">
        <v>0</v>
      </c>
      <c r="AL78" s="269">
        <v>0</v>
      </c>
      <c r="AM78" s="271">
        <v>0</v>
      </c>
      <c r="AN78" s="24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  <c r="EN78" s="38"/>
      <c r="EO78" s="38"/>
      <c r="EP78" s="38"/>
      <c r="EQ78" s="38"/>
      <c r="ER78" s="38"/>
      <c r="ES78" s="38"/>
      <c r="ET78" s="38"/>
      <c r="EU78" s="38"/>
      <c r="EV78" s="38"/>
      <c r="EW78" s="38"/>
      <c r="EX78" s="38"/>
      <c r="EY78" s="38"/>
      <c r="EZ78" s="38"/>
      <c r="FA78" s="38"/>
      <c r="FB78" s="38"/>
      <c r="FC78" s="38"/>
      <c r="FD78" s="38"/>
      <c r="FE78" s="38"/>
      <c r="FF78" s="38"/>
      <c r="FG78" s="38"/>
      <c r="FH78" s="38"/>
      <c r="FI78" s="38"/>
      <c r="FJ78" s="38"/>
      <c r="FK78" s="38"/>
      <c r="FL78" s="38"/>
      <c r="FM78" s="38"/>
      <c r="FN78" s="38"/>
      <c r="FO78" s="38"/>
      <c r="FP78" s="38"/>
      <c r="FQ78" s="38"/>
      <c r="FR78" s="38"/>
      <c r="FS78" s="38"/>
      <c r="FT78" s="38"/>
      <c r="FU78" s="38"/>
      <c r="FV78" s="38"/>
      <c r="FW78" s="38"/>
      <c r="FX78" s="38"/>
      <c r="FY78" s="38"/>
      <c r="FZ78" s="38"/>
      <c r="GA78" s="38"/>
      <c r="GB78" s="38"/>
      <c r="GC78" s="38"/>
      <c r="GD78" s="38"/>
      <c r="GE78" s="38"/>
      <c r="GF78" s="38"/>
      <c r="GG78" s="38"/>
      <c r="GH78" s="38"/>
      <c r="GI78" s="38"/>
      <c r="GJ78" s="38"/>
      <c r="GK78" s="38"/>
      <c r="GL78" s="38"/>
      <c r="GM78" s="38"/>
      <c r="GN78" s="38"/>
      <c r="GO78" s="38"/>
      <c r="GP78" s="38"/>
      <c r="GQ78" s="38"/>
      <c r="GR78" s="38"/>
      <c r="GS78" s="38"/>
      <c r="GT78" s="38"/>
      <c r="GU78" s="38"/>
      <c r="GV78" s="38"/>
      <c r="GW78" s="38"/>
      <c r="GX78" s="38"/>
      <c r="GY78" s="38"/>
      <c r="GZ78" s="38"/>
      <c r="HA78" s="38"/>
      <c r="HB78" s="38"/>
      <c r="HC78" s="38"/>
      <c r="HD78" s="38"/>
      <c r="HE78" s="38"/>
      <c r="HF78" s="38"/>
      <c r="HG78" s="38"/>
      <c r="HH78" s="38"/>
      <c r="HI78" s="38"/>
      <c r="HJ78" s="38"/>
      <c r="HK78" s="38"/>
      <c r="HL78" s="38"/>
      <c r="HM78" s="38"/>
      <c r="HN78" s="38"/>
      <c r="HO78" s="38"/>
      <c r="HP78" s="38"/>
      <c r="HQ78" s="38"/>
      <c r="HR78" s="38"/>
      <c r="HS78" s="38"/>
      <c r="HT78" s="38"/>
      <c r="HU78" s="38"/>
      <c r="HV78" s="38"/>
      <c r="HW78" s="38"/>
      <c r="HX78" s="38"/>
      <c r="HY78" s="38"/>
      <c r="HZ78" s="38"/>
      <c r="IA78" s="38"/>
      <c r="IB78" s="38"/>
      <c r="IC78" s="38"/>
      <c r="ID78" s="38"/>
      <c r="IE78" s="38"/>
      <c r="IF78" s="38"/>
      <c r="IG78" s="38"/>
      <c r="IH78" s="38"/>
      <c r="II78" s="38"/>
      <c r="IJ78" s="38"/>
      <c r="IK78" s="38"/>
      <c r="IL78" s="38"/>
      <c r="IM78" s="38"/>
      <c r="IN78" s="38"/>
      <c r="IO78" s="38"/>
      <c r="IP78" s="38"/>
      <c r="IQ78" s="38"/>
      <c r="IR78" s="38"/>
      <c r="IS78" s="38"/>
      <c r="IT78" s="38"/>
    </row>
    <row r="79" spans="1:254" ht="13.5" thickBot="1" x14ac:dyDescent="0.25">
      <c r="A79" s="277"/>
      <c r="B79" s="278"/>
      <c r="C79" s="495"/>
      <c r="D79" s="279"/>
      <c r="E79" s="318"/>
      <c r="F79" s="319"/>
      <c r="G79" s="315"/>
      <c r="H79" s="1539"/>
      <c r="I79" s="1549"/>
      <c r="J79" s="527"/>
      <c r="K79" s="521"/>
      <c r="L79" s="928"/>
      <c r="M79" s="1072"/>
      <c r="N79" s="1596"/>
      <c r="O79" s="1599"/>
      <c r="P79" s="1596"/>
      <c r="Q79" s="321"/>
      <c r="R79" s="320"/>
      <c r="S79" s="331"/>
      <c r="T79" s="24"/>
      <c r="U79" s="305"/>
      <c r="V79" s="272"/>
      <c r="W79" s="187"/>
      <c r="X79" s="188"/>
      <c r="Y79" s="189"/>
      <c r="Z79" s="190"/>
      <c r="AA79" s="885"/>
      <c r="AB79" s="875"/>
      <c r="AC79" s="885"/>
      <c r="AD79" s="875"/>
      <c r="AE79" s="191"/>
      <c r="AF79" s="192"/>
      <c r="AG79" s="187"/>
      <c r="AH79" s="188"/>
      <c r="AI79" s="193"/>
      <c r="AJ79" s="194"/>
      <c r="AK79" s="506"/>
      <c r="AL79" s="273"/>
      <c r="AM79" s="274"/>
      <c r="AN79" s="24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</row>
    <row r="80" spans="1:254" ht="13.5" thickBot="1" x14ac:dyDescent="0.25">
      <c r="F80" s="172"/>
      <c r="G80" s="172"/>
      <c r="H80" s="50"/>
      <c r="I80" s="202"/>
      <c r="J80" s="159"/>
      <c r="K80" s="172"/>
      <c r="L80" s="258"/>
      <c r="M80" s="216"/>
      <c r="N80" s="216"/>
      <c r="O80" s="216"/>
      <c r="P80" s="216"/>
      <c r="Q80" s="258"/>
      <c r="R80" s="258"/>
      <c r="T80" s="24"/>
      <c r="U80" s="47"/>
      <c r="V80" s="259"/>
      <c r="W80" s="47"/>
      <c r="X80" s="259"/>
      <c r="Y80" s="47"/>
      <c r="Z80" s="259"/>
      <c r="AA80" s="216"/>
      <c r="AB80" s="74"/>
      <c r="AC80" s="216"/>
      <c r="AD80" s="74"/>
      <c r="AE80" s="255"/>
      <c r="AF80" s="259"/>
      <c r="AG80" s="255"/>
      <c r="AH80" s="259"/>
      <c r="AI80" s="48"/>
      <c r="AJ80" s="259"/>
      <c r="AK80" s="202"/>
      <c r="AL80" s="259"/>
      <c r="AM80" s="49"/>
      <c r="AN80" s="24"/>
    </row>
    <row r="81" spans="1:254" s="951" customFormat="1" ht="13.5" thickBot="1" x14ac:dyDescent="0.25">
      <c r="A81" s="162" t="s">
        <v>290</v>
      </c>
      <c r="B81" s="131"/>
      <c r="C81" s="493"/>
      <c r="D81" s="266"/>
      <c r="E81" s="276"/>
      <c r="F81" s="229">
        <v>207020000</v>
      </c>
      <c r="G81" s="229">
        <v>39333800</v>
      </c>
      <c r="H81" s="1540"/>
      <c r="I81" s="507">
        <v>-22772200</v>
      </c>
      <c r="J81" s="230">
        <v>246353800</v>
      </c>
      <c r="K81" s="229">
        <v>223581600</v>
      </c>
      <c r="L81" s="90"/>
      <c r="M81" s="90"/>
      <c r="N81" s="90"/>
      <c r="O81" s="90"/>
      <c r="P81" s="90"/>
      <c r="Q81" s="90"/>
      <c r="R81" s="90"/>
      <c r="S81" s="62"/>
      <c r="T81" s="64"/>
      <c r="U81" s="243"/>
      <c r="V81" s="244">
        <v>54270000</v>
      </c>
      <c r="W81" s="243"/>
      <c r="X81" s="244">
        <v>0</v>
      </c>
      <c r="Y81" s="243"/>
      <c r="Z81" s="244">
        <v>20246000</v>
      </c>
      <c r="AA81" s="266"/>
      <c r="AB81" s="244">
        <v>0</v>
      </c>
      <c r="AC81" s="266"/>
      <c r="AD81" s="244">
        <v>0</v>
      </c>
      <c r="AE81" s="243"/>
      <c r="AF81" s="244">
        <v>2445000</v>
      </c>
      <c r="AG81" s="243"/>
      <c r="AH81" s="244">
        <v>347000</v>
      </c>
      <c r="AI81" s="243"/>
      <c r="AJ81" s="244">
        <v>0</v>
      </c>
      <c r="AK81" s="507">
        <v>129684269.06414996</v>
      </c>
      <c r="AL81" s="229">
        <v>0</v>
      </c>
      <c r="AM81" s="229">
        <v>207020000</v>
      </c>
      <c r="AN81" s="64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</row>
    <row r="82" spans="1:254" s="951" customFormat="1" x14ac:dyDescent="0.2">
      <c r="A82" s="90"/>
      <c r="B82" s="62"/>
      <c r="C82" s="494"/>
      <c r="D82" s="216"/>
      <c r="E82" s="111"/>
      <c r="F82" s="90"/>
      <c r="G82" s="90"/>
      <c r="H82" s="91"/>
      <c r="I82" s="206"/>
      <c r="J82" s="498"/>
      <c r="K82" s="90"/>
      <c r="L82" s="47"/>
      <c r="M82" s="90"/>
      <c r="N82" s="90"/>
      <c r="O82" s="90"/>
      <c r="P82" s="90"/>
      <c r="Q82" s="90"/>
      <c r="R82" s="90"/>
      <c r="S82" s="62"/>
      <c r="T82" s="64"/>
      <c r="U82" s="216"/>
      <c r="V82" s="90"/>
      <c r="W82" s="216"/>
      <c r="X82" s="90"/>
      <c r="Y82" s="216"/>
      <c r="Z82" s="90"/>
      <c r="AA82" s="216"/>
      <c r="AB82" s="90"/>
      <c r="AC82" s="216"/>
      <c r="AD82" s="90"/>
      <c r="AE82" s="216"/>
      <c r="AF82" s="90"/>
      <c r="AG82" s="216"/>
      <c r="AH82" s="90"/>
      <c r="AI82" s="216"/>
      <c r="AJ82" s="90"/>
      <c r="AK82" s="206"/>
      <c r="AL82" s="90"/>
      <c r="AM82" s="90"/>
      <c r="AN82" s="64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</row>
    <row r="83" spans="1:254" s="153" customFormat="1" ht="30" customHeight="1" x14ac:dyDescent="0.2">
      <c r="A83" s="151" t="s">
        <v>291</v>
      </c>
      <c r="B83" s="152"/>
      <c r="C83" s="654">
        <v>20</v>
      </c>
      <c r="D83" s="1523">
        <v>49</v>
      </c>
      <c r="E83" s="151"/>
      <c r="F83" s="151">
        <v>242310000</v>
      </c>
      <c r="G83" s="151">
        <v>46038900</v>
      </c>
      <c r="H83" s="96"/>
      <c r="I83" s="207">
        <v>-25751000</v>
      </c>
      <c r="J83" s="151">
        <v>288348900</v>
      </c>
      <c r="K83" s="151">
        <v>262597900</v>
      </c>
      <c r="L83" s="92"/>
      <c r="M83" s="66">
        <v>0</v>
      </c>
      <c r="N83" s="66"/>
      <c r="O83" s="66"/>
      <c r="P83" s="66"/>
      <c r="Q83" s="151"/>
      <c r="R83" s="151"/>
      <c r="S83" s="151"/>
      <c r="T83" s="151"/>
      <c r="U83" s="151"/>
      <c r="V83" s="151">
        <v>82838000</v>
      </c>
      <c r="W83" s="151"/>
      <c r="X83" s="151">
        <v>1307000</v>
      </c>
      <c r="Y83" s="151"/>
      <c r="Z83" s="151">
        <v>21516000</v>
      </c>
      <c r="AA83" s="477"/>
      <c r="AB83" s="151">
        <v>0</v>
      </c>
      <c r="AC83" s="477"/>
      <c r="AD83" s="151">
        <v>0</v>
      </c>
      <c r="AE83" s="151"/>
      <c r="AF83" s="151">
        <v>2445000</v>
      </c>
      <c r="AG83" s="151"/>
      <c r="AH83" s="151">
        <v>569000</v>
      </c>
      <c r="AI83" s="151"/>
      <c r="AJ83" s="151">
        <v>1436100</v>
      </c>
      <c r="AK83" s="151">
        <v>132179215.11385581</v>
      </c>
      <c r="AL83" s="151">
        <v>0</v>
      </c>
      <c r="AM83" s="151">
        <v>242310000</v>
      </c>
      <c r="AN83" s="151"/>
    </row>
    <row r="86" spans="1:254" x14ac:dyDescent="0.2">
      <c r="G86" s="1223"/>
      <c r="H86" s="1544"/>
    </row>
    <row r="90" spans="1:254" x14ac:dyDescent="0.2">
      <c r="A90" s="563" t="s">
        <v>472</v>
      </c>
      <c r="B90" s="564"/>
    </row>
    <row r="91" spans="1:254" x14ac:dyDescent="0.2">
      <c r="A91" s="1214">
        <v>7</v>
      </c>
      <c r="B91" s="924" t="s">
        <v>364</v>
      </c>
      <c r="C91" s="938">
        <v>337</v>
      </c>
      <c r="D91" s="1215" t="s">
        <v>748</v>
      </c>
      <c r="E91" s="938" t="e">
        <v>#VALUE!</v>
      </c>
      <c r="F91" s="290">
        <v>0</v>
      </c>
      <c r="G91" s="287">
        <v>0</v>
      </c>
      <c r="H91" s="1537"/>
      <c r="I91" s="1552">
        <v>0</v>
      </c>
      <c r="J91" s="526">
        <v>0</v>
      </c>
      <c r="K91" s="520">
        <v>0</v>
      </c>
      <c r="L91" s="927"/>
      <c r="M91" s="1067"/>
      <c r="N91" s="1592"/>
      <c r="O91" s="1592"/>
      <c r="P91" s="1592"/>
      <c r="Q91" s="290">
        <v>0</v>
      </c>
      <c r="R91" s="288"/>
      <c r="S91" s="934" t="s">
        <v>676</v>
      </c>
      <c r="T91" s="24"/>
      <c r="U91" s="1477" t="s">
        <v>266</v>
      </c>
      <c r="V91" s="119">
        <v>0</v>
      </c>
      <c r="W91" s="239"/>
      <c r="X91" s="114">
        <v>0</v>
      </c>
      <c r="Y91" s="240"/>
      <c r="Z91" s="115">
        <v>0</v>
      </c>
      <c r="AA91" s="884"/>
      <c r="AB91" s="874">
        <v>0</v>
      </c>
      <c r="AC91" s="884"/>
      <c r="AD91" s="874">
        <v>0</v>
      </c>
      <c r="AE91" s="241"/>
      <c r="AF91" s="116">
        <v>0</v>
      </c>
      <c r="AG91" s="239"/>
      <c r="AH91" s="116">
        <v>0</v>
      </c>
      <c r="AI91" s="242"/>
      <c r="AJ91" s="117">
        <v>0</v>
      </c>
      <c r="AK91" s="505">
        <v>0</v>
      </c>
      <c r="AL91" s="269">
        <v>0</v>
      </c>
      <c r="AM91" s="271">
        <v>0</v>
      </c>
      <c r="AN91" s="24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  <c r="EN91" s="38"/>
      <c r="EO91" s="38"/>
      <c r="EP91" s="38"/>
      <c r="EQ91" s="38"/>
      <c r="ER91" s="38"/>
      <c r="ES91" s="38"/>
      <c r="ET91" s="38"/>
      <c r="EU91" s="38"/>
      <c r="EV91" s="38"/>
      <c r="EW91" s="38"/>
      <c r="EX91" s="38"/>
      <c r="EY91" s="38"/>
      <c r="EZ91" s="38"/>
      <c r="FA91" s="38"/>
      <c r="FB91" s="38"/>
      <c r="FC91" s="38"/>
      <c r="FD91" s="38"/>
      <c r="FE91" s="38"/>
      <c r="FF91" s="38"/>
      <c r="FG91" s="38"/>
      <c r="FH91" s="38"/>
      <c r="FI91" s="38"/>
      <c r="FJ91" s="38"/>
      <c r="FK91" s="38"/>
      <c r="FL91" s="38"/>
      <c r="FM91" s="38"/>
      <c r="FN91" s="38"/>
      <c r="FO91" s="38"/>
      <c r="FP91" s="38"/>
      <c r="FQ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K91" s="38"/>
      <c r="HL91" s="38"/>
      <c r="HM91" s="38"/>
      <c r="HN91" s="38"/>
      <c r="HO91" s="38"/>
      <c r="HP91" s="38"/>
      <c r="HQ91" s="38"/>
      <c r="HR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</row>
    <row r="92" spans="1:254" x14ac:dyDescent="0.2">
      <c r="A92" s="1214">
        <v>11</v>
      </c>
      <c r="B92" s="924" t="s">
        <v>268</v>
      </c>
      <c r="C92" s="938">
        <v>318</v>
      </c>
      <c r="D92" s="1215" t="s">
        <v>748</v>
      </c>
      <c r="E92" s="938" t="e">
        <v>#VALUE!</v>
      </c>
      <c r="F92" s="290">
        <v>0</v>
      </c>
      <c r="G92" s="287">
        <v>0</v>
      </c>
      <c r="H92" s="1537"/>
      <c r="I92" s="1552">
        <v>0</v>
      </c>
      <c r="J92" s="526">
        <v>0</v>
      </c>
      <c r="K92" s="520">
        <v>0</v>
      </c>
      <c r="L92" s="927"/>
      <c r="M92" s="1067"/>
      <c r="N92" s="1592"/>
      <c r="O92" s="1592"/>
      <c r="P92" s="1592"/>
      <c r="Q92" s="290">
        <v>0</v>
      </c>
      <c r="R92" s="288"/>
      <c r="S92" s="934" t="s">
        <v>676</v>
      </c>
      <c r="T92" s="24"/>
      <c r="U92" s="1477" t="s">
        <v>266</v>
      </c>
      <c r="V92" s="119">
        <v>0</v>
      </c>
      <c r="W92" s="239"/>
      <c r="X92" s="114">
        <v>0</v>
      </c>
      <c r="Y92" s="240"/>
      <c r="Z92" s="115">
        <v>0</v>
      </c>
      <c r="AA92" s="884"/>
      <c r="AB92" s="874">
        <v>0</v>
      </c>
      <c r="AC92" s="884"/>
      <c r="AD92" s="874">
        <v>0</v>
      </c>
      <c r="AE92" s="241"/>
      <c r="AF92" s="116">
        <v>0</v>
      </c>
      <c r="AG92" s="239"/>
      <c r="AH92" s="116">
        <v>0</v>
      </c>
      <c r="AI92" s="242"/>
      <c r="AJ92" s="117">
        <v>0</v>
      </c>
      <c r="AK92" s="505">
        <v>0</v>
      </c>
      <c r="AL92" s="269">
        <v>0</v>
      </c>
      <c r="AM92" s="271">
        <v>0</v>
      </c>
      <c r="AN92" s="24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  <c r="EN92" s="38"/>
      <c r="EO92" s="38"/>
      <c r="EP92" s="38"/>
      <c r="EQ92" s="38"/>
      <c r="ER92" s="38"/>
      <c r="ES92" s="38"/>
      <c r="ET92" s="38"/>
      <c r="EU92" s="38"/>
      <c r="EV92" s="38"/>
      <c r="EW92" s="38"/>
      <c r="EX92" s="38"/>
      <c r="EY92" s="38"/>
      <c r="EZ92" s="38"/>
      <c r="FA92" s="38"/>
      <c r="FB92" s="38"/>
      <c r="FC92" s="38"/>
      <c r="FD92" s="38"/>
      <c r="FE92" s="38"/>
      <c r="FF92" s="38"/>
      <c r="FG92" s="38"/>
      <c r="FH92" s="38"/>
      <c r="FI92" s="38"/>
      <c r="FJ92" s="38"/>
      <c r="FK92" s="38"/>
      <c r="FL92" s="38"/>
      <c r="FM92" s="38"/>
      <c r="FN92" s="38"/>
      <c r="FO92" s="38"/>
      <c r="FP92" s="38"/>
      <c r="FQ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K92" s="38"/>
      <c r="HL92" s="38"/>
      <c r="HM92" s="38"/>
      <c r="HN92" s="38"/>
      <c r="HO92" s="38"/>
      <c r="HP92" s="38"/>
      <c r="HQ92" s="38"/>
      <c r="HR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</row>
    <row r="93" spans="1:254" x14ac:dyDescent="0.2">
      <c r="A93" s="1214">
        <v>14</v>
      </c>
      <c r="B93" s="924" t="s">
        <v>749</v>
      </c>
      <c r="C93" s="938">
        <v>310</v>
      </c>
      <c r="D93" s="1216" t="s">
        <v>748</v>
      </c>
      <c r="E93" s="925" t="e">
        <v>#VALUE!</v>
      </c>
      <c r="F93" s="290">
        <v>0</v>
      </c>
      <c r="G93" s="287">
        <v>0</v>
      </c>
      <c r="H93" s="1537"/>
      <c r="I93" s="1552">
        <v>0</v>
      </c>
      <c r="J93" s="526">
        <v>0</v>
      </c>
      <c r="K93" s="520">
        <v>0</v>
      </c>
      <c r="L93" s="927"/>
      <c r="M93" s="1067"/>
      <c r="N93" s="1592"/>
      <c r="O93" s="1592"/>
      <c r="P93" s="1592"/>
      <c r="Q93" s="290">
        <v>0</v>
      </c>
      <c r="R93" s="288"/>
      <c r="S93" s="934" t="s">
        <v>676</v>
      </c>
      <c r="T93" s="24"/>
      <c r="U93" s="1477" t="s">
        <v>266</v>
      </c>
      <c r="V93" s="119">
        <v>0</v>
      </c>
      <c r="W93" s="239"/>
      <c r="X93" s="114">
        <v>0</v>
      </c>
      <c r="Y93" s="240"/>
      <c r="Z93" s="115">
        <v>0</v>
      </c>
      <c r="AA93" s="884"/>
      <c r="AB93" s="874">
        <v>0</v>
      </c>
      <c r="AC93" s="884"/>
      <c r="AD93" s="874">
        <v>0</v>
      </c>
      <c r="AE93" s="241"/>
      <c r="AF93" s="116">
        <v>0</v>
      </c>
      <c r="AG93" s="239"/>
      <c r="AH93" s="116">
        <v>0</v>
      </c>
      <c r="AI93" s="242"/>
      <c r="AJ93" s="117">
        <v>0</v>
      </c>
      <c r="AK93" s="505">
        <v>0</v>
      </c>
      <c r="AL93" s="269">
        <v>0</v>
      </c>
      <c r="AM93" s="271">
        <v>0</v>
      </c>
      <c r="AN93" s="24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  <c r="EN93" s="38"/>
      <c r="EO93" s="38"/>
      <c r="EP93" s="38"/>
      <c r="EQ93" s="38"/>
      <c r="ER93" s="38"/>
      <c r="ES93" s="38"/>
      <c r="ET93" s="38"/>
      <c r="EU93" s="38"/>
      <c r="EV93" s="38"/>
      <c r="EW93" s="38"/>
      <c r="EX93" s="38"/>
      <c r="EY93" s="38"/>
      <c r="EZ93" s="38"/>
      <c r="FA93" s="38"/>
      <c r="FB93" s="38"/>
      <c r="FC93" s="38"/>
      <c r="FD93" s="38"/>
      <c r="FE93" s="38"/>
      <c r="FF93" s="38"/>
      <c r="FG93" s="38"/>
      <c r="FH93" s="38"/>
      <c r="FI93" s="38"/>
      <c r="FJ93" s="38"/>
      <c r="FK93" s="38"/>
      <c r="FL93" s="38"/>
      <c r="FM93" s="38"/>
      <c r="FN93" s="38"/>
      <c r="FO93" s="38"/>
      <c r="FP93" s="38"/>
      <c r="FQ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K93" s="38"/>
      <c r="HL93" s="38"/>
      <c r="HM93" s="38"/>
      <c r="HN93" s="38"/>
      <c r="HO93" s="38"/>
      <c r="HP93" s="38"/>
      <c r="HQ93" s="38"/>
      <c r="HR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2CA5-5267-4E7A-80B3-758B195CA20D}">
  <sheetPr codeName="Hoja7">
    <tabColor rgb="FFFF0000"/>
  </sheetPr>
  <dimension ref="A1:GP241"/>
  <sheetViews>
    <sheetView showGridLines="0" zoomScale="80" zoomScaleNormal="8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34" sqref="A34"/>
    </sheetView>
  </sheetViews>
  <sheetFormatPr baseColWidth="10" defaultColWidth="9.6640625" defaultRowHeight="12.75" x14ac:dyDescent="0.2"/>
  <cols>
    <col min="1" max="1" width="6.109375" style="74" customWidth="1"/>
    <col min="2" max="2" width="43.88671875" style="759" bestFit="1" customWidth="1"/>
    <col min="3" max="3" width="7.109375" style="159" bestFit="1" customWidth="1"/>
    <col min="4" max="4" width="14.33203125" style="70" customWidth="1"/>
    <col min="5" max="5" width="3.77734375" style="82" customWidth="1"/>
    <col min="6" max="6" width="12.77734375" style="74" customWidth="1"/>
    <col min="7" max="7" width="13.44140625" style="178" customWidth="1"/>
    <col min="8" max="8" width="17.77734375" style="178" customWidth="1"/>
    <col min="9" max="9" width="13.44140625" style="596" customWidth="1"/>
    <col min="10" max="10" width="9.77734375" style="23" customWidth="1"/>
    <col min="11" max="11" width="14.21875" style="23" customWidth="1"/>
    <col min="12" max="12" width="10.77734375" style="50" customWidth="1"/>
    <col min="13" max="14" width="30.77734375" style="84" customWidth="1"/>
    <col min="15" max="15" width="1.6640625" style="74" customWidth="1"/>
    <col min="16" max="16" width="4.77734375" style="83" customWidth="1"/>
    <col min="17" max="17" width="13.77734375" style="71" customWidth="1"/>
    <col min="18" max="18" width="4.77734375" style="47" customWidth="1"/>
    <col min="19" max="19" width="13.77734375" style="71" customWidth="1"/>
    <col min="20" max="20" width="4.77734375" style="47" customWidth="1"/>
    <col min="21" max="21" width="13.77734375" style="71" customWidth="1"/>
    <col min="22" max="22" width="4.77734375" style="216" customWidth="1"/>
    <col min="23" max="23" width="13.77734375" style="74" customWidth="1"/>
    <col min="24" max="24" width="4.77734375" style="216" customWidth="1"/>
    <col min="25" max="25" width="13.77734375" style="74" customWidth="1"/>
    <col min="26" max="26" width="4.77734375" style="73" customWidth="1"/>
    <col min="27" max="27" width="13.77734375" style="71" customWidth="1"/>
    <col min="28" max="28" width="4.77734375" style="71" customWidth="1"/>
    <col min="29" max="29" width="13.77734375" style="48" customWidth="1"/>
    <col min="30" max="30" width="4.77734375" style="71" customWidth="1"/>
    <col min="31" max="31" width="13.77734375" style="71" customWidth="1"/>
    <col min="32" max="33" width="13.77734375" style="202" customWidth="1"/>
    <col min="34" max="34" width="15.77734375" style="49" customWidth="1"/>
    <col min="35" max="35" width="1.6640625" style="74" customWidth="1"/>
    <col min="36" max="198" width="9.6640625" style="74"/>
    <col min="199" max="16384" width="9.6640625" style="75"/>
  </cols>
  <sheetData>
    <row r="1" spans="1:198" ht="15" x14ac:dyDescent="0.2">
      <c r="A1" s="165" t="s">
        <v>352</v>
      </c>
      <c r="G1" s="77"/>
      <c r="H1" s="77"/>
      <c r="I1" s="77"/>
      <c r="J1" s="77"/>
      <c r="M1" s="1838" t="s">
        <v>1101</v>
      </c>
      <c r="N1" s="1839">
        <v>1423500</v>
      </c>
      <c r="O1" s="80"/>
    </row>
    <row r="2" spans="1:198" ht="15" x14ac:dyDescent="0.2">
      <c r="A2" s="165" t="s">
        <v>919</v>
      </c>
      <c r="B2" s="750"/>
      <c r="C2" s="509"/>
      <c r="D2" s="76"/>
      <c r="E2" s="77"/>
      <c r="G2" s="77"/>
      <c r="H2" s="77"/>
      <c r="I2" s="77"/>
      <c r="J2" s="77"/>
      <c r="K2" s="78"/>
      <c r="L2" s="76"/>
      <c r="M2" s="840" t="s">
        <v>637</v>
      </c>
      <c r="N2" s="200" t="s">
        <v>638</v>
      </c>
      <c r="O2" s="80"/>
      <c r="P2" s="896" t="s">
        <v>347</v>
      </c>
      <c r="Q2" s="76"/>
      <c r="R2" s="76"/>
      <c r="S2" s="76"/>
      <c r="T2" s="76"/>
      <c r="U2" s="76"/>
      <c r="V2" s="879"/>
      <c r="W2" s="870"/>
      <c r="X2" s="879"/>
      <c r="Y2" s="870"/>
      <c r="Z2"/>
      <c r="AA2" s="76"/>
      <c r="AB2" s="76"/>
      <c r="AC2" s="76"/>
      <c r="AD2" s="76"/>
      <c r="AE2" s="76"/>
      <c r="AF2" s="201"/>
      <c r="AG2" s="201"/>
      <c r="AH2" s="76"/>
      <c r="AI2" s="80"/>
    </row>
    <row r="3" spans="1:198" ht="15" x14ac:dyDescent="0.2">
      <c r="A3" s="165" t="s">
        <v>920</v>
      </c>
      <c r="B3" s="751"/>
      <c r="C3" s="218"/>
      <c r="D3" s="70">
        <v>42684082</v>
      </c>
      <c r="E3" s="77"/>
      <c r="M3" s="841">
        <v>230000</v>
      </c>
      <c r="N3" s="841">
        <v>370000</v>
      </c>
      <c r="O3" s="80"/>
      <c r="Z3" s="74"/>
      <c r="AI3" s="80"/>
    </row>
    <row r="4" spans="1:198" ht="15" x14ac:dyDescent="0.2">
      <c r="A4" s="265" t="s">
        <v>893</v>
      </c>
      <c r="B4" s="752"/>
      <c r="C4" s="482"/>
      <c r="E4" s="60"/>
      <c r="F4" s="1629" t="s">
        <v>611</v>
      </c>
      <c r="G4" s="1630"/>
      <c r="H4" s="1625"/>
      <c r="I4" s="1625"/>
      <c r="J4" s="1630"/>
      <c r="K4" s="1625"/>
      <c r="L4" s="1627"/>
      <c r="M4" s="1621"/>
      <c r="N4" s="1621"/>
      <c r="O4" s="80"/>
      <c r="P4" s="887" t="s">
        <v>894</v>
      </c>
      <c r="Q4" s="888"/>
      <c r="R4" s="888"/>
      <c r="S4" s="888"/>
      <c r="T4" s="1643" t="s">
        <v>920</v>
      </c>
      <c r="U4" s="888"/>
      <c r="V4" s="888"/>
      <c r="W4" s="888"/>
      <c r="X4" s="888"/>
      <c r="Y4" s="888"/>
      <c r="Z4" s="888"/>
      <c r="AA4" s="888"/>
      <c r="AB4" s="888"/>
      <c r="AC4" s="888"/>
      <c r="AD4" s="888"/>
      <c r="AE4" s="888"/>
      <c r="AF4" s="888"/>
      <c r="AG4" s="888"/>
      <c r="AH4" s="889"/>
      <c r="AI4" s="80"/>
    </row>
    <row r="5" spans="1:198" ht="13.5" thickBot="1" x14ac:dyDescent="0.25">
      <c r="A5" s="1644" t="s">
        <v>350</v>
      </c>
      <c r="B5" s="752"/>
      <c r="C5" s="482"/>
      <c r="D5" s="58"/>
      <c r="E5" s="60"/>
      <c r="F5" s="306"/>
      <c r="G5" s="322"/>
      <c r="H5" s="322"/>
      <c r="I5" s="597"/>
      <c r="J5" s="323"/>
      <c r="K5" s="323"/>
      <c r="L5" s="309"/>
      <c r="M5" s="1621"/>
      <c r="N5" s="1621"/>
      <c r="O5" s="80"/>
      <c r="P5" s="1221" t="s">
        <v>721</v>
      </c>
      <c r="Q5" s="1645">
        <v>5.0999999999999997E-2</v>
      </c>
      <c r="R5" s="281"/>
      <c r="S5" s="282">
        <v>0.5</v>
      </c>
      <c r="T5" s="281"/>
      <c r="U5" s="281">
        <v>0.75</v>
      </c>
      <c r="V5" s="871"/>
      <c r="W5" s="871">
        <v>0.15</v>
      </c>
      <c r="X5" s="871"/>
      <c r="Y5" s="871">
        <v>0.2</v>
      </c>
      <c r="Z5" s="123"/>
      <c r="AA5" s="124">
        <v>0.1</v>
      </c>
      <c r="AB5" s="124"/>
      <c r="AC5" s="124">
        <v>0.2</v>
      </c>
      <c r="AD5" s="284"/>
      <c r="AE5" s="284">
        <v>0.3</v>
      </c>
      <c r="AF5" s="877"/>
      <c r="AG5" s="285"/>
      <c r="AH5" s="878"/>
      <c r="AI5" s="80"/>
    </row>
    <row r="6" spans="1:198" s="107" customFormat="1" ht="42.75" thickBot="1" x14ac:dyDescent="0.2">
      <c r="A6" s="126" t="s">
        <v>2</v>
      </c>
      <c r="B6" s="127" t="s">
        <v>279</v>
      </c>
      <c r="C6" s="483" t="s">
        <v>419</v>
      </c>
      <c r="D6" s="128" t="s">
        <v>280</v>
      </c>
      <c r="E6" s="388" t="s">
        <v>333</v>
      </c>
      <c r="F6" s="138" t="s">
        <v>890</v>
      </c>
      <c r="G6" s="140" t="s">
        <v>292</v>
      </c>
      <c r="H6" s="591" t="s">
        <v>476</v>
      </c>
      <c r="I6" s="598" t="s">
        <v>477</v>
      </c>
      <c r="J6" s="141" t="s">
        <v>287</v>
      </c>
      <c r="K6" s="141" t="s">
        <v>481</v>
      </c>
      <c r="L6" s="141" t="s">
        <v>478</v>
      </c>
      <c r="M6" s="125" t="s">
        <v>479</v>
      </c>
      <c r="N6" s="125" t="s">
        <v>480</v>
      </c>
      <c r="O6" s="1628"/>
      <c r="P6" s="268" t="s">
        <v>285</v>
      </c>
      <c r="Q6" s="132" t="s">
        <v>281</v>
      </c>
      <c r="R6" s="133" t="s">
        <v>285</v>
      </c>
      <c r="S6" s="133" t="s">
        <v>346</v>
      </c>
      <c r="T6" s="134" t="s">
        <v>285</v>
      </c>
      <c r="U6" s="134" t="s">
        <v>282</v>
      </c>
      <c r="V6" s="635" t="s">
        <v>285</v>
      </c>
      <c r="W6" s="635" t="s">
        <v>643</v>
      </c>
      <c r="X6" s="635" t="s">
        <v>285</v>
      </c>
      <c r="Y6" s="635" t="s">
        <v>644</v>
      </c>
      <c r="Z6" s="135" t="s">
        <v>285</v>
      </c>
      <c r="AA6" s="135" t="s">
        <v>869</v>
      </c>
      <c r="AB6" s="135" t="s">
        <v>285</v>
      </c>
      <c r="AC6" s="135" t="s">
        <v>870</v>
      </c>
      <c r="AD6" s="136" t="s">
        <v>285</v>
      </c>
      <c r="AE6" s="136" t="s">
        <v>283</v>
      </c>
      <c r="AF6" s="203" t="s">
        <v>624</v>
      </c>
      <c r="AG6" s="203" t="s">
        <v>625</v>
      </c>
      <c r="AH6" s="137" t="s">
        <v>286</v>
      </c>
      <c r="AI6" s="1628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</row>
    <row r="7" spans="1:198" x14ac:dyDescent="0.2">
      <c r="A7" s="59"/>
      <c r="B7" s="753"/>
      <c r="C7" s="510"/>
      <c r="D7" s="59"/>
      <c r="E7" s="60"/>
      <c r="F7" s="60"/>
      <c r="G7" s="79"/>
      <c r="H7" s="79"/>
      <c r="I7" s="599"/>
      <c r="J7" s="60"/>
      <c r="K7" s="60"/>
      <c r="L7" s="60"/>
      <c r="M7" s="197"/>
      <c r="N7" s="197"/>
      <c r="O7" s="80"/>
      <c r="P7" s="670"/>
      <c r="Q7" s="59"/>
      <c r="R7" s="59"/>
      <c r="S7" s="59"/>
      <c r="T7" s="59"/>
      <c r="U7" s="59"/>
      <c r="V7" s="882"/>
      <c r="W7" s="872"/>
      <c r="X7" s="882"/>
      <c r="Y7" s="872"/>
      <c r="Z7" s="59"/>
      <c r="AA7" s="59"/>
      <c r="AB7" s="59"/>
      <c r="AC7" s="59"/>
      <c r="AD7" s="59"/>
      <c r="AE7" s="59"/>
      <c r="AF7" s="204"/>
      <c r="AG7" s="204"/>
      <c r="AH7" s="118"/>
      <c r="AI7" s="80"/>
    </row>
    <row r="8" spans="1:198" ht="15.75" thickBot="1" x14ac:dyDescent="0.25">
      <c r="A8" s="112" t="s">
        <v>1</v>
      </c>
      <c r="B8" s="754"/>
      <c r="C8" s="232"/>
      <c r="D8" s="60"/>
      <c r="E8" s="60"/>
      <c r="F8" s="60"/>
      <c r="G8" s="79"/>
      <c r="H8" s="79"/>
      <c r="I8" s="599"/>
      <c r="J8" s="60"/>
      <c r="K8" s="60"/>
      <c r="L8" s="60"/>
      <c r="M8" s="197"/>
      <c r="N8" s="197"/>
      <c r="O8" s="80"/>
      <c r="P8" s="60"/>
      <c r="Q8" s="61"/>
      <c r="R8" s="60"/>
      <c r="S8" s="60"/>
      <c r="T8" s="60"/>
      <c r="U8" s="60"/>
      <c r="V8" s="103"/>
      <c r="W8" s="158"/>
      <c r="X8" s="103"/>
      <c r="Y8" s="158"/>
      <c r="Z8" s="60"/>
      <c r="AA8" s="60"/>
      <c r="AB8" s="60"/>
      <c r="AC8" s="60"/>
      <c r="AD8" s="60"/>
      <c r="AE8" s="60"/>
      <c r="AF8" s="105"/>
      <c r="AG8" s="105"/>
      <c r="AH8" s="118"/>
      <c r="AI8" s="80"/>
    </row>
    <row r="9" spans="1:198" ht="11.25" customHeight="1" x14ac:dyDescent="0.2">
      <c r="A9" s="613">
        <v>1</v>
      </c>
      <c r="B9" s="1671" t="s">
        <v>4</v>
      </c>
      <c r="C9" s="1673">
        <v>41</v>
      </c>
      <c r="D9" s="1702">
        <v>22126399</v>
      </c>
      <c r="E9" s="816">
        <v>5</v>
      </c>
      <c r="F9" s="615">
        <v>360000</v>
      </c>
      <c r="G9" s="1703" t="s">
        <v>1061</v>
      </c>
      <c r="H9" s="1804" t="s">
        <v>839</v>
      </c>
      <c r="I9" s="1704">
        <v>45993</v>
      </c>
      <c r="J9" s="1631" t="s">
        <v>453</v>
      </c>
      <c r="K9" s="1631" t="s">
        <v>765</v>
      </c>
      <c r="L9" s="1095">
        <v>45993</v>
      </c>
      <c r="M9" s="1096"/>
      <c r="N9" s="1705"/>
      <c r="O9" s="80"/>
      <c r="P9" s="239" t="s">
        <v>318</v>
      </c>
      <c r="Q9" s="182">
        <v>357000</v>
      </c>
      <c r="R9" s="235"/>
      <c r="S9" s="183">
        <v>0</v>
      </c>
      <c r="T9" s="236"/>
      <c r="U9" s="184">
        <v>0</v>
      </c>
      <c r="V9" s="883"/>
      <c r="W9" s="873">
        <v>0</v>
      </c>
      <c r="X9" s="883"/>
      <c r="Y9" s="873">
        <v>0</v>
      </c>
      <c r="Z9" s="237"/>
      <c r="AA9" s="185">
        <v>0</v>
      </c>
      <c r="AB9" s="235"/>
      <c r="AC9" s="185">
        <v>0</v>
      </c>
      <c r="AD9" s="238"/>
      <c r="AE9" s="264">
        <v>0</v>
      </c>
      <c r="AF9" s="205">
        <v>0</v>
      </c>
      <c r="AG9" s="205">
        <v>0</v>
      </c>
      <c r="AH9" s="1226">
        <v>360000</v>
      </c>
      <c r="AI9" s="80"/>
    </row>
    <row r="10" spans="1:198" x14ac:dyDescent="0.2">
      <c r="A10" s="1462">
        <v>2</v>
      </c>
      <c r="B10" s="1137" t="s">
        <v>360</v>
      </c>
      <c r="C10" s="1185">
        <v>346</v>
      </c>
      <c r="D10" s="1114">
        <v>71581755</v>
      </c>
      <c r="E10" s="1186">
        <v>2</v>
      </c>
      <c r="F10" s="1463">
        <v>160000</v>
      </c>
      <c r="G10" s="1098" t="s">
        <v>989</v>
      </c>
      <c r="H10" s="1099" t="s">
        <v>760</v>
      </c>
      <c r="I10" s="1100">
        <v>45922</v>
      </c>
      <c r="J10" s="1099" t="s">
        <v>453</v>
      </c>
      <c r="K10" s="1099" t="s">
        <v>930</v>
      </c>
      <c r="L10" s="1100">
        <v>45922</v>
      </c>
      <c r="M10" s="1101" t="s">
        <v>931</v>
      </c>
      <c r="N10" s="1706"/>
      <c r="O10" s="80"/>
      <c r="P10" s="239" t="s">
        <v>318</v>
      </c>
      <c r="Q10" s="119">
        <v>161000</v>
      </c>
      <c r="R10" s="239"/>
      <c r="S10" s="114">
        <v>0</v>
      </c>
      <c r="T10" s="240"/>
      <c r="U10" s="115">
        <v>0</v>
      </c>
      <c r="V10" s="884"/>
      <c r="W10" s="874">
        <v>0</v>
      </c>
      <c r="X10" s="884"/>
      <c r="Y10" s="874">
        <v>0</v>
      </c>
      <c r="Z10" s="241"/>
      <c r="AA10" s="116">
        <v>0</v>
      </c>
      <c r="AB10" s="239"/>
      <c r="AC10" s="116">
        <v>0</v>
      </c>
      <c r="AD10" s="242"/>
      <c r="AE10" s="117">
        <v>0</v>
      </c>
      <c r="AF10" s="1228">
        <v>0</v>
      </c>
      <c r="AG10" s="1228">
        <v>0</v>
      </c>
      <c r="AH10" s="1229">
        <v>160000</v>
      </c>
      <c r="AI10" s="80"/>
    </row>
    <row r="11" spans="1:198" x14ac:dyDescent="0.2">
      <c r="A11" s="1462">
        <v>3</v>
      </c>
      <c r="B11" s="1097" t="s">
        <v>198</v>
      </c>
      <c r="C11" s="1185">
        <v>300</v>
      </c>
      <c r="D11" s="1114">
        <v>70116694</v>
      </c>
      <c r="E11" s="1186">
        <v>5</v>
      </c>
      <c r="F11" s="1463">
        <v>470000</v>
      </c>
      <c r="G11" s="1098" t="s">
        <v>1062</v>
      </c>
      <c r="H11" s="1099" t="s">
        <v>761</v>
      </c>
      <c r="I11" s="1100">
        <v>45957</v>
      </c>
      <c r="J11" s="1099"/>
      <c r="K11" s="1099"/>
      <c r="L11" s="1100"/>
      <c r="M11" s="1793"/>
      <c r="N11" s="1707" t="s">
        <v>1082</v>
      </c>
      <c r="O11" s="80"/>
      <c r="P11" s="239" t="s">
        <v>318</v>
      </c>
      <c r="Q11" s="119">
        <v>471000</v>
      </c>
      <c r="R11" s="239"/>
      <c r="S11" s="114">
        <v>0</v>
      </c>
      <c r="T11" s="240"/>
      <c r="U11" s="115">
        <v>0</v>
      </c>
      <c r="V11" s="884"/>
      <c r="W11" s="874">
        <v>0</v>
      </c>
      <c r="X11" s="884"/>
      <c r="Y11" s="874">
        <v>0</v>
      </c>
      <c r="Z11" s="241"/>
      <c r="AA11" s="116">
        <v>0</v>
      </c>
      <c r="AB11" s="239"/>
      <c r="AC11" s="116">
        <v>0</v>
      </c>
      <c r="AD11" s="242"/>
      <c r="AE11" s="117">
        <v>0</v>
      </c>
      <c r="AF11" s="1228">
        <v>0</v>
      </c>
      <c r="AG11" s="1228">
        <v>0</v>
      </c>
      <c r="AH11" s="1229">
        <v>470000</v>
      </c>
      <c r="AI11" s="80"/>
    </row>
    <row r="12" spans="1:198" x14ac:dyDescent="0.2">
      <c r="A12" s="1462">
        <v>4</v>
      </c>
      <c r="B12" s="1097" t="s">
        <v>5</v>
      </c>
      <c r="C12" s="1185">
        <v>217</v>
      </c>
      <c r="D12" s="1114">
        <v>3349249</v>
      </c>
      <c r="E12" s="1186">
        <v>7</v>
      </c>
      <c r="F12" s="1463">
        <v>330000</v>
      </c>
      <c r="G12" s="1098" t="s">
        <v>945</v>
      </c>
      <c r="H12" s="1099" t="s">
        <v>839</v>
      </c>
      <c r="I12" s="1100"/>
      <c r="J12" s="1099"/>
      <c r="K12" s="1099"/>
      <c r="L12" s="1100"/>
      <c r="M12" s="1793" t="s">
        <v>932</v>
      </c>
      <c r="N12" s="1707"/>
      <c r="O12" s="80"/>
      <c r="P12" s="239" t="s">
        <v>318</v>
      </c>
      <c r="Q12" s="119">
        <v>333000</v>
      </c>
      <c r="R12" s="239"/>
      <c r="S12" s="114">
        <v>0</v>
      </c>
      <c r="T12" s="240"/>
      <c r="U12" s="115">
        <v>0</v>
      </c>
      <c r="V12" s="884"/>
      <c r="W12" s="874">
        <v>0</v>
      </c>
      <c r="X12" s="884"/>
      <c r="Y12" s="874">
        <v>0</v>
      </c>
      <c r="Z12" s="241"/>
      <c r="AA12" s="116">
        <v>0</v>
      </c>
      <c r="AB12" s="239"/>
      <c r="AC12" s="116">
        <v>0</v>
      </c>
      <c r="AD12" s="242"/>
      <c r="AE12" s="117">
        <v>0</v>
      </c>
      <c r="AF12" s="1228">
        <v>0</v>
      </c>
      <c r="AG12" s="1228">
        <v>0</v>
      </c>
      <c r="AH12" s="1229">
        <v>330000</v>
      </c>
      <c r="AI12" s="80"/>
    </row>
    <row r="13" spans="1:198" x14ac:dyDescent="0.2">
      <c r="A13" s="1462">
        <v>5</v>
      </c>
      <c r="B13" s="1491" t="s">
        <v>356</v>
      </c>
      <c r="C13" s="1678">
        <v>43</v>
      </c>
      <c r="D13" s="1114">
        <v>71632774</v>
      </c>
      <c r="E13" s="1186">
        <v>2</v>
      </c>
      <c r="F13" s="1463">
        <v>480000</v>
      </c>
      <c r="G13" s="1098" t="s">
        <v>992</v>
      </c>
      <c r="H13" s="1099" t="s">
        <v>760</v>
      </c>
      <c r="I13" s="1100">
        <v>45944</v>
      </c>
      <c r="J13" s="1099"/>
      <c r="K13" s="1099"/>
      <c r="L13" s="1100"/>
      <c r="M13" s="1101"/>
      <c r="N13" s="1706"/>
      <c r="O13" s="80"/>
      <c r="P13" s="239" t="s">
        <v>927</v>
      </c>
      <c r="Q13" s="119">
        <v>426000</v>
      </c>
      <c r="R13" s="239"/>
      <c r="S13" s="114">
        <v>0</v>
      </c>
      <c r="T13" s="240"/>
      <c r="U13" s="115">
        <v>0</v>
      </c>
      <c r="V13" s="884"/>
      <c r="W13" s="874">
        <v>0</v>
      </c>
      <c r="X13" s="884"/>
      <c r="Y13" s="874">
        <v>0</v>
      </c>
      <c r="Z13" s="241"/>
      <c r="AA13" s="116">
        <v>0</v>
      </c>
      <c r="AB13" s="239"/>
      <c r="AC13" s="116">
        <v>0</v>
      </c>
      <c r="AD13" s="242"/>
      <c r="AE13" s="117">
        <v>0</v>
      </c>
      <c r="AF13" s="1228">
        <v>50000</v>
      </c>
      <c r="AG13" s="1228">
        <v>0</v>
      </c>
      <c r="AH13" s="1229">
        <v>480000</v>
      </c>
      <c r="AI13" s="80"/>
    </row>
    <row r="14" spans="1:198" x14ac:dyDescent="0.2">
      <c r="A14" s="1462">
        <v>6</v>
      </c>
      <c r="B14" s="1097" t="s">
        <v>7</v>
      </c>
      <c r="C14" s="1185">
        <v>44</v>
      </c>
      <c r="D14" s="1114">
        <v>21315528</v>
      </c>
      <c r="E14" s="1186">
        <v>6</v>
      </c>
      <c r="F14" s="1463">
        <v>1830000</v>
      </c>
      <c r="G14" s="1098" t="s">
        <v>948</v>
      </c>
      <c r="H14" s="1099" t="s">
        <v>761</v>
      </c>
      <c r="I14" s="1100">
        <v>45959</v>
      </c>
      <c r="J14" s="1099"/>
      <c r="K14" s="1099"/>
      <c r="L14" s="1100"/>
      <c r="M14" s="1793" t="s">
        <v>932</v>
      </c>
      <c r="N14" s="1706"/>
      <c r="O14" s="80"/>
      <c r="P14" s="239" t="s">
        <v>318</v>
      </c>
      <c r="Q14" s="119">
        <v>1217000</v>
      </c>
      <c r="R14" s="239" t="s">
        <v>318</v>
      </c>
      <c r="S14" s="114">
        <v>609000</v>
      </c>
      <c r="T14" s="240"/>
      <c r="U14" s="115">
        <v>0</v>
      </c>
      <c r="V14" s="884"/>
      <c r="W14" s="874">
        <v>0</v>
      </c>
      <c r="X14" s="884"/>
      <c r="Y14" s="874">
        <v>0</v>
      </c>
      <c r="Z14" s="241"/>
      <c r="AA14" s="116">
        <v>0</v>
      </c>
      <c r="AB14" s="239"/>
      <c r="AC14" s="116">
        <v>0</v>
      </c>
      <c r="AD14" s="242"/>
      <c r="AE14" s="117">
        <v>0</v>
      </c>
      <c r="AF14" s="1228">
        <v>0</v>
      </c>
      <c r="AG14" s="1228">
        <v>0</v>
      </c>
      <c r="AH14" s="1229">
        <v>1830000</v>
      </c>
      <c r="AI14" s="80"/>
    </row>
    <row r="15" spans="1:198" x14ac:dyDescent="0.2">
      <c r="A15" s="1462">
        <v>7</v>
      </c>
      <c r="B15" s="1097" t="s">
        <v>8</v>
      </c>
      <c r="C15" s="1185">
        <v>45</v>
      </c>
      <c r="D15" s="1114">
        <v>32336950</v>
      </c>
      <c r="E15" s="1186">
        <v>1</v>
      </c>
      <c r="F15" s="1463">
        <v>980000</v>
      </c>
      <c r="G15" s="1098" t="s">
        <v>947</v>
      </c>
      <c r="H15" s="1099" t="s">
        <v>760</v>
      </c>
      <c r="I15" s="1100">
        <v>45944</v>
      </c>
      <c r="J15" s="1099"/>
      <c r="K15" s="1099"/>
      <c r="L15" s="1100"/>
      <c r="M15" s="1793" t="s">
        <v>932</v>
      </c>
      <c r="N15" s="1706"/>
      <c r="O15" s="80"/>
      <c r="P15" s="239" t="s">
        <v>318</v>
      </c>
      <c r="Q15" s="119">
        <v>597000</v>
      </c>
      <c r="R15" s="239"/>
      <c r="S15" s="114">
        <v>0</v>
      </c>
      <c r="T15" s="240"/>
      <c r="U15" s="115">
        <v>0</v>
      </c>
      <c r="V15" s="884"/>
      <c r="W15" s="874">
        <v>0</v>
      </c>
      <c r="X15" s="884"/>
      <c r="Y15" s="874">
        <v>0</v>
      </c>
      <c r="Z15" s="241"/>
      <c r="AA15" s="116">
        <v>0</v>
      </c>
      <c r="AB15" s="239"/>
      <c r="AC15" s="116">
        <v>0</v>
      </c>
      <c r="AD15" s="242"/>
      <c r="AE15" s="117">
        <v>0</v>
      </c>
      <c r="AF15" s="1228">
        <v>384582.76248159999</v>
      </c>
      <c r="AG15" s="1228">
        <v>0</v>
      </c>
      <c r="AH15" s="1229">
        <v>980000</v>
      </c>
      <c r="AI15" s="80"/>
    </row>
    <row r="16" spans="1:198" s="556" customFormat="1" x14ac:dyDescent="0.2">
      <c r="A16" s="1462">
        <v>8</v>
      </c>
      <c r="B16" s="1433" t="s">
        <v>468</v>
      </c>
      <c r="C16" s="1185">
        <v>156</v>
      </c>
      <c r="D16" s="1114">
        <v>43079999</v>
      </c>
      <c r="E16" s="1186">
        <v>9</v>
      </c>
      <c r="F16" s="1463">
        <v>210000</v>
      </c>
      <c r="G16" s="1098" t="s">
        <v>1063</v>
      </c>
      <c r="H16" s="1099" t="s">
        <v>761</v>
      </c>
      <c r="I16" s="1100">
        <v>45957</v>
      </c>
      <c r="J16" s="1099"/>
      <c r="K16" s="1099"/>
      <c r="L16" s="1100"/>
      <c r="M16" s="1101"/>
      <c r="N16" s="1706"/>
      <c r="O16" s="80"/>
      <c r="P16" s="239" t="s">
        <v>318</v>
      </c>
      <c r="Q16" s="119">
        <v>207000</v>
      </c>
      <c r="R16" s="239"/>
      <c r="S16" s="114">
        <v>0</v>
      </c>
      <c r="T16" s="240"/>
      <c r="U16" s="115">
        <v>0</v>
      </c>
      <c r="V16" s="884"/>
      <c r="W16" s="874">
        <v>0</v>
      </c>
      <c r="X16" s="884"/>
      <c r="Y16" s="874">
        <v>0</v>
      </c>
      <c r="Z16" s="241"/>
      <c r="AA16" s="116">
        <v>0</v>
      </c>
      <c r="AB16" s="239"/>
      <c r="AC16" s="116">
        <v>0</v>
      </c>
      <c r="AD16" s="242"/>
      <c r="AE16" s="117">
        <v>0</v>
      </c>
      <c r="AF16" s="1228">
        <v>0</v>
      </c>
      <c r="AG16" s="1228">
        <v>0</v>
      </c>
      <c r="AH16" s="1229">
        <v>210000</v>
      </c>
      <c r="AI16" s="80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7"/>
      <c r="BA16" s="227"/>
      <c r="BB16" s="227"/>
      <c r="BC16" s="227"/>
      <c r="BD16" s="227"/>
      <c r="BE16" s="227"/>
      <c r="BF16" s="227"/>
      <c r="BG16" s="227"/>
      <c r="BH16" s="227"/>
      <c r="BI16" s="227"/>
      <c r="BJ16" s="227"/>
      <c r="BK16" s="227"/>
      <c r="BL16" s="227"/>
      <c r="BM16" s="227"/>
      <c r="BN16" s="227"/>
      <c r="BO16" s="227"/>
      <c r="BP16" s="227"/>
      <c r="BQ16" s="227"/>
      <c r="BR16" s="227"/>
      <c r="BS16" s="227"/>
      <c r="BT16" s="227"/>
      <c r="BU16" s="227"/>
      <c r="BV16" s="227"/>
      <c r="BW16" s="227"/>
      <c r="BX16" s="227"/>
      <c r="BY16" s="227"/>
      <c r="BZ16" s="227"/>
      <c r="CA16" s="227"/>
      <c r="CB16" s="227"/>
      <c r="CC16" s="227"/>
      <c r="CD16" s="227"/>
      <c r="CE16" s="227"/>
      <c r="CF16" s="227"/>
      <c r="CG16" s="227"/>
      <c r="CH16" s="227"/>
      <c r="CI16" s="227"/>
      <c r="CJ16" s="227"/>
      <c r="CK16" s="227"/>
      <c r="CL16" s="227"/>
      <c r="CM16" s="227"/>
      <c r="CN16" s="227"/>
      <c r="CO16" s="227"/>
      <c r="CP16" s="227"/>
      <c r="CQ16" s="227"/>
      <c r="CR16" s="227"/>
      <c r="CS16" s="227"/>
      <c r="CT16" s="227"/>
      <c r="CU16" s="227"/>
      <c r="CV16" s="227"/>
      <c r="CW16" s="227"/>
      <c r="CX16" s="227"/>
      <c r="CY16" s="227"/>
      <c r="CZ16" s="227"/>
      <c r="DA16" s="227"/>
      <c r="DB16" s="227"/>
      <c r="DC16" s="227"/>
      <c r="DD16" s="227"/>
      <c r="DE16" s="227"/>
      <c r="DF16" s="227"/>
      <c r="DG16" s="227"/>
      <c r="DH16" s="227"/>
      <c r="DI16" s="227"/>
      <c r="DJ16" s="227"/>
      <c r="DK16" s="227"/>
      <c r="DL16" s="227"/>
      <c r="DM16" s="227"/>
      <c r="DN16" s="227"/>
      <c r="DO16" s="227"/>
      <c r="DP16" s="227"/>
      <c r="DQ16" s="227"/>
      <c r="DR16" s="227"/>
      <c r="DS16" s="227"/>
      <c r="DT16" s="227"/>
      <c r="DU16" s="227"/>
      <c r="DV16" s="227"/>
      <c r="DW16" s="227"/>
      <c r="DX16" s="227"/>
      <c r="DY16" s="227"/>
      <c r="DZ16" s="227"/>
      <c r="EA16" s="227"/>
      <c r="EB16" s="227"/>
      <c r="EC16" s="227"/>
      <c r="ED16" s="227"/>
      <c r="EE16" s="227"/>
      <c r="EF16" s="227"/>
      <c r="EG16" s="227"/>
      <c r="EH16" s="227"/>
      <c r="EI16" s="227"/>
      <c r="EJ16" s="227"/>
      <c r="EK16" s="227"/>
      <c r="EL16" s="227"/>
      <c r="EM16" s="227"/>
      <c r="EN16" s="227"/>
      <c r="EO16" s="227"/>
      <c r="EP16" s="227"/>
      <c r="EQ16" s="227"/>
      <c r="ER16" s="227"/>
      <c r="ES16" s="227"/>
      <c r="ET16" s="227"/>
      <c r="EU16" s="227"/>
      <c r="EV16" s="227"/>
      <c r="EW16" s="227"/>
      <c r="EX16" s="227"/>
      <c r="EY16" s="227"/>
      <c r="EZ16" s="227"/>
      <c r="FA16" s="227"/>
      <c r="FB16" s="227"/>
      <c r="FC16" s="227"/>
      <c r="FD16" s="227"/>
      <c r="FE16" s="227"/>
      <c r="FF16" s="227"/>
      <c r="FG16" s="227"/>
      <c r="FH16" s="227"/>
      <c r="FI16" s="227"/>
      <c r="FJ16" s="227"/>
      <c r="FK16" s="227"/>
      <c r="FL16" s="227"/>
      <c r="FM16" s="227"/>
      <c r="FN16" s="227"/>
      <c r="FO16" s="227"/>
      <c r="FP16" s="227"/>
      <c r="FQ16" s="227"/>
      <c r="FR16" s="227"/>
      <c r="FS16" s="227"/>
      <c r="FT16" s="227"/>
      <c r="FU16" s="227"/>
      <c r="FV16" s="227"/>
      <c r="FW16" s="227"/>
      <c r="FX16" s="227"/>
      <c r="FY16" s="227"/>
      <c r="FZ16" s="227"/>
      <c r="GA16" s="227"/>
      <c r="GB16" s="227"/>
      <c r="GC16" s="227"/>
      <c r="GD16" s="227"/>
      <c r="GE16" s="227"/>
      <c r="GF16" s="227"/>
      <c r="GG16" s="227"/>
      <c r="GH16" s="227"/>
      <c r="GI16" s="227"/>
      <c r="GJ16" s="227"/>
      <c r="GK16" s="227"/>
      <c r="GL16" s="227"/>
      <c r="GM16" s="227"/>
      <c r="GN16" s="227"/>
      <c r="GO16" s="227"/>
      <c r="GP16" s="227"/>
    </row>
    <row r="17" spans="1:35" x14ac:dyDescent="0.2">
      <c r="A17" s="1462">
        <v>9</v>
      </c>
      <c r="B17" s="1433" t="s">
        <v>493</v>
      </c>
      <c r="C17" s="1185">
        <v>179</v>
      </c>
      <c r="D17" s="1114">
        <v>1017178784</v>
      </c>
      <c r="E17" s="1186">
        <v>3</v>
      </c>
      <c r="F17" s="1463">
        <v>170000</v>
      </c>
      <c r="G17" s="1098" t="s">
        <v>1064</v>
      </c>
      <c r="H17" s="1099" t="s">
        <v>839</v>
      </c>
      <c r="I17" s="1100"/>
      <c r="J17" s="1099"/>
      <c r="K17" s="1099"/>
      <c r="L17" s="1100"/>
      <c r="M17" s="1101"/>
      <c r="N17" s="1706"/>
      <c r="O17" s="80"/>
      <c r="P17" s="239" t="s">
        <v>318</v>
      </c>
      <c r="Q17" s="119">
        <v>172000</v>
      </c>
      <c r="R17" s="239"/>
      <c r="S17" s="114">
        <v>0</v>
      </c>
      <c r="T17" s="240"/>
      <c r="U17" s="115">
        <v>0</v>
      </c>
      <c r="V17" s="884"/>
      <c r="W17" s="874">
        <v>0</v>
      </c>
      <c r="X17" s="884"/>
      <c r="Y17" s="874">
        <v>0</v>
      </c>
      <c r="Z17" s="241"/>
      <c r="AA17" s="116">
        <v>0</v>
      </c>
      <c r="AB17" s="239"/>
      <c r="AC17" s="116">
        <v>0</v>
      </c>
      <c r="AD17" s="242"/>
      <c r="AE17" s="117">
        <v>0</v>
      </c>
      <c r="AF17" s="1228">
        <v>0</v>
      </c>
      <c r="AG17" s="1228">
        <v>0</v>
      </c>
      <c r="AH17" s="1229">
        <v>170000</v>
      </c>
      <c r="AI17" s="80"/>
    </row>
    <row r="18" spans="1:35" x14ac:dyDescent="0.2">
      <c r="A18" s="1462">
        <v>10</v>
      </c>
      <c r="B18" s="1097" t="s">
        <v>9</v>
      </c>
      <c r="C18" s="1185">
        <v>48</v>
      </c>
      <c r="D18" s="1114">
        <v>32470755</v>
      </c>
      <c r="E18" s="1186">
        <v>4</v>
      </c>
      <c r="F18" s="1463">
        <v>580000</v>
      </c>
      <c r="G18" s="1098" t="s">
        <v>949</v>
      </c>
      <c r="H18" s="1099" t="s">
        <v>760</v>
      </c>
      <c r="I18" s="1100">
        <v>45944</v>
      </c>
      <c r="J18" s="1099"/>
      <c r="K18" s="1099"/>
      <c r="L18" s="1100"/>
      <c r="M18" s="1793" t="s">
        <v>932</v>
      </c>
      <c r="N18" s="1706"/>
      <c r="O18" s="80"/>
      <c r="P18" s="239" t="s">
        <v>318</v>
      </c>
      <c r="Q18" s="119">
        <v>499000</v>
      </c>
      <c r="R18" s="239"/>
      <c r="S18" s="114">
        <v>0</v>
      </c>
      <c r="T18" s="240"/>
      <c r="U18" s="115">
        <v>0</v>
      </c>
      <c r="V18" s="884"/>
      <c r="W18" s="874">
        <v>0</v>
      </c>
      <c r="X18" s="884"/>
      <c r="Y18" s="874">
        <v>0</v>
      </c>
      <c r="Z18" s="241"/>
      <c r="AA18" s="116">
        <v>0</v>
      </c>
      <c r="AB18" s="239"/>
      <c r="AC18" s="116">
        <v>0</v>
      </c>
      <c r="AD18" s="242"/>
      <c r="AE18" s="117">
        <v>0</v>
      </c>
      <c r="AF18" s="1228">
        <v>80000</v>
      </c>
      <c r="AG18" s="1228">
        <v>0</v>
      </c>
      <c r="AH18" s="1229">
        <v>580000</v>
      </c>
      <c r="AI18" s="80"/>
    </row>
    <row r="19" spans="1:35" x14ac:dyDescent="0.2">
      <c r="A19" s="1462">
        <v>11</v>
      </c>
      <c r="B19" s="1097" t="s">
        <v>10</v>
      </c>
      <c r="C19" s="1185">
        <v>49</v>
      </c>
      <c r="D19" s="1114">
        <v>42889979</v>
      </c>
      <c r="E19" s="1186">
        <v>3</v>
      </c>
      <c r="F19" s="1463">
        <v>690000</v>
      </c>
      <c r="G19" s="1098" t="s">
        <v>996</v>
      </c>
      <c r="H19" s="1099" t="s">
        <v>761</v>
      </c>
      <c r="I19" s="1100">
        <v>45959</v>
      </c>
      <c r="J19" s="1099"/>
      <c r="K19" s="1099"/>
      <c r="L19" s="1100"/>
      <c r="M19" s="1101"/>
      <c r="N19" s="1706"/>
      <c r="O19" s="80"/>
      <c r="P19" s="239" t="s">
        <v>318</v>
      </c>
      <c r="Q19" s="119">
        <v>689000</v>
      </c>
      <c r="R19" s="239"/>
      <c r="S19" s="114">
        <v>0</v>
      </c>
      <c r="T19" s="240"/>
      <c r="U19" s="115">
        <v>0</v>
      </c>
      <c r="V19" s="884"/>
      <c r="W19" s="874">
        <v>0</v>
      </c>
      <c r="X19" s="884"/>
      <c r="Y19" s="874">
        <v>0</v>
      </c>
      <c r="Z19" s="241"/>
      <c r="AA19" s="116">
        <v>0</v>
      </c>
      <c r="AB19" s="239"/>
      <c r="AC19" s="116">
        <v>0</v>
      </c>
      <c r="AD19" s="242"/>
      <c r="AE19" s="117">
        <v>0</v>
      </c>
      <c r="AF19" s="1228">
        <v>0</v>
      </c>
      <c r="AG19" s="1228">
        <v>0</v>
      </c>
      <c r="AH19" s="1229">
        <v>690000</v>
      </c>
      <c r="AI19" s="80"/>
    </row>
    <row r="20" spans="1:35" ht="25.5" x14ac:dyDescent="0.2">
      <c r="A20" s="1462">
        <v>12</v>
      </c>
      <c r="B20" s="1097" t="s">
        <v>11</v>
      </c>
      <c r="C20" s="1185">
        <v>50</v>
      </c>
      <c r="D20" s="1114">
        <v>98554347</v>
      </c>
      <c r="E20" s="1186">
        <v>4</v>
      </c>
      <c r="F20" s="1463">
        <v>350000</v>
      </c>
      <c r="G20" s="1098" t="s">
        <v>950</v>
      </c>
      <c r="H20" s="1099" t="s">
        <v>760</v>
      </c>
      <c r="I20" s="1100">
        <v>45944</v>
      </c>
      <c r="J20" s="1099"/>
      <c r="K20" s="1099"/>
      <c r="L20" s="1100"/>
      <c r="M20" s="1793" t="s">
        <v>932</v>
      </c>
      <c r="N20" s="1708" t="s">
        <v>933</v>
      </c>
      <c r="O20" s="80"/>
      <c r="P20" s="239" t="s">
        <v>318</v>
      </c>
      <c r="Q20" s="119">
        <v>345000</v>
      </c>
      <c r="R20" s="239"/>
      <c r="S20" s="114">
        <v>0</v>
      </c>
      <c r="T20" s="240"/>
      <c r="U20" s="115">
        <v>0</v>
      </c>
      <c r="V20" s="884"/>
      <c r="W20" s="874">
        <v>0</v>
      </c>
      <c r="X20" s="884"/>
      <c r="Y20" s="874">
        <v>0</v>
      </c>
      <c r="Z20" s="241"/>
      <c r="AA20" s="116">
        <v>0</v>
      </c>
      <c r="AB20" s="239"/>
      <c r="AC20" s="116">
        <v>0</v>
      </c>
      <c r="AD20" s="242"/>
      <c r="AE20" s="117">
        <v>0</v>
      </c>
      <c r="AF20" s="1228">
        <v>0</v>
      </c>
      <c r="AG20" s="1228">
        <v>0</v>
      </c>
      <c r="AH20" s="1229">
        <v>350000</v>
      </c>
      <c r="AI20" s="80"/>
    </row>
    <row r="21" spans="1:35" x14ac:dyDescent="0.2">
      <c r="A21" s="1462">
        <v>13</v>
      </c>
      <c r="B21" s="1791" t="s">
        <v>984</v>
      </c>
      <c r="C21" s="1185">
        <v>366</v>
      </c>
      <c r="D21" s="1114">
        <v>789347</v>
      </c>
      <c r="E21" s="1186">
        <v>7</v>
      </c>
      <c r="F21" s="1463">
        <v>200000</v>
      </c>
      <c r="G21" s="1098" t="s">
        <v>951</v>
      </c>
      <c r="H21" s="1099" t="s">
        <v>839</v>
      </c>
      <c r="I21" s="1463"/>
      <c r="J21" s="1463"/>
      <c r="K21" s="1463"/>
      <c r="L21" s="1463"/>
      <c r="M21" s="1793" t="s">
        <v>932</v>
      </c>
      <c r="N21" s="1706"/>
      <c r="O21" s="80"/>
      <c r="P21" s="239" t="s">
        <v>318</v>
      </c>
      <c r="Q21" s="119">
        <v>150000</v>
      </c>
      <c r="R21" s="239"/>
      <c r="S21" s="114">
        <v>0</v>
      </c>
      <c r="T21" s="240"/>
      <c r="U21" s="115">
        <v>0</v>
      </c>
      <c r="V21" s="884"/>
      <c r="W21" s="874">
        <v>0</v>
      </c>
      <c r="X21" s="884"/>
      <c r="Y21" s="874">
        <v>0</v>
      </c>
      <c r="Z21" s="241"/>
      <c r="AA21" s="116">
        <v>0</v>
      </c>
      <c r="AB21" s="239"/>
      <c r="AC21" s="116">
        <v>0</v>
      </c>
      <c r="AD21" s="242" t="s">
        <v>318</v>
      </c>
      <c r="AE21" s="117">
        <v>45000</v>
      </c>
      <c r="AF21" s="1228">
        <v>0</v>
      </c>
      <c r="AG21" s="1228">
        <v>0</v>
      </c>
      <c r="AH21" s="1229">
        <v>200000</v>
      </c>
      <c r="AI21" s="80"/>
    </row>
    <row r="22" spans="1:35" x14ac:dyDescent="0.2">
      <c r="A22" s="1462">
        <v>14</v>
      </c>
      <c r="B22" s="1137" t="s">
        <v>336</v>
      </c>
      <c r="C22" s="1185">
        <v>260</v>
      </c>
      <c r="D22" s="1114">
        <v>43012007</v>
      </c>
      <c r="E22" s="1186">
        <v>1</v>
      </c>
      <c r="F22" s="1463">
        <v>170000</v>
      </c>
      <c r="G22" s="1098" t="s">
        <v>952</v>
      </c>
      <c r="H22" s="1099" t="s">
        <v>839</v>
      </c>
      <c r="I22" s="1100"/>
      <c r="J22" s="1099"/>
      <c r="K22" s="1099"/>
      <c r="L22" s="1100"/>
      <c r="M22" s="1793" t="s">
        <v>932</v>
      </c>
      <c r="N22" s="1708"/>
      <c r="O22" s="80"/>
      <c r="P22" s="239" t="s">
        <v>318</v>
      </c>
      <c r="Q22" s="119">
        <v>168000</v>
      </c>
      <c r="R22" s="239"/>
      <c r="S22" s="114">
        <v>0</v>
      </c>
      <c r="T22" s="240"/>
      <c r="U22" s="115">
        <v>0</v>
      </c>
      <c r="V22" s="884"/>
      <c r="W22" s="874">
        <v>0</v>
      </c>
      <c r="X22" s="884"/>
      <c r="Y22" s="874">
        <v>0</v>
      </c>
      <c r="Z22" s="241"/>
      <c r="AA22" s="116">
        <v>0</v>
      </c>
      <c r="AB22" s="239"/>
      <c r="AC22" s="116">
        <v>0</v>
      </c>
      <c r="AD22" s="242"/>
      <c r="AE22" s="117">
        <v>0</v>
      </c>
      <c r="AF22" s="1228">
        <v>0</v>
      </c>
      <c r="AG22" s="1228">
        <v>0</v>
      </c>
      <c r="AH22" s="1229">
        <v>170000</v>
      </c>
      <c r="AI22" s="80"/>
    </row>
    <row r="23" spans="1:35" x14ac:dyDescent="0.2">
      <c r="A23" s="1462">
        <v>15</v>
      </c>
      <c r="B23" s="1201" t="s">
        <v>647</v>
      </c>
      <c r="C23" s="1185">
        <v>218</v>
      </c>
      <c r="D23" s="1114">
        <v>1000416970</v>
      </c>
      <c r="E23" s="1186">
        <v>7</v>
      </c>
      <c r="F23" s="1463">
        <v>250000</v>
      </c>
      <c r="G23" s="1098" t="s">
        <v>997</v>
      </c>
      <c r="H23" s="1099" t="s">
        <v>760</v>
      </c>
      <c r="I23" s="1100">
        <v>45940</v>
      </c>
      <c r="J23" s="1099" t="s">
        <v>453</v>
      </c>
      <c r="K23" s="1099" t="s">
        <v>762</v>
      </c>
      <c r="L23" s="1100">
        <v>45947</v>
      </c>
      <c r="M23" s="1101"/>
      <c r="N23" s="1706" t="s">
        <v>1083</v>
      </c>
      <c r="O23" s="80"/>
      <c r="P23" s="239" t="s">
        <v>318</v>
      </c>
      <c r="Q23" s="119">
        <v>287000</v>
      </c>
      <c r="R23" s="239"/>
      <c r="S23" s="114">
        <v>0</v>
      </c>
      <c r="T23" s="240"/>
      <c r="U23" s="115">
        <v>0</v>
      </c>
      <c r="V23" s="884"/>
      <c r="W23" s="874">
        <v>0</v>
      </c>
      <c r="X23" s="884"/>
      <c r="Y23" s="874">
        <v>0</v>
      </c>
      <c r="Z23" s="241"/>
      <c r="AA23" s="116">
        <v>0</v>
      </c>
      <c r="AB23" s="239"/>
      <c r="AC23" s="116">
        <v>0</v>
      </c>
      <c r="AD23" s="242"/>
      <c r="AE23" s="117">
        <v>0</v>
      </c>
      <c r="AF23" s="1228">
        <v>0</v>
      </c>
      <c r="AG23" s="1228">
        <v>0</v>
      </c>
      <c r="AH23" s="1229">
        <v>290000</v>
      </c>
      <c r="AI23" s="80"/>
    </row>
    <row r="24" spans="1:35" x14ac:dyDescent="0.2">
      <c r="A24" s="1462">
        <v>16</v>
      </c>
      <c r="B24" s="1491" t="s">
        <v>358</v>
      </c>
      <c r="C24" s="1185">
        <v>306</v>
      </c>
      <c r="D24" s="1114">
        <v>71788661</v>
      </c>
      <c r="E24" s="1186">
        <v>9</v>
      </c>
      <c r="F24" s="1463">
        <v>450000</v>
      </c>
      <c r="G24" s="1098" t="s">
        <v>953</v>
      </c>
      <c r="H24" s="1099" t="s">
        <v>760</v>
      </c>
      <c r="I24" s="1100">
        <v>45944</v>
      </c>
      <c r="J24" s="1099"/>
      <c r="K24" s="1099"/>
      <c r="L24" s="1262"/>
      <c r="M24" s="1793" t="s">
        <v>932</v>
      </c>
      <c r="N24" s="1794"/>
      <c r="O24" s="80"/>
      <c r="P24" s="239" t="s">
        <v>318</v>
      </c>
      <c r="Q24" s="119">
        <v>345000</v>
      </c>
      <c r="R24" s="239"/>
      <c r="S24" s="114">
        <v>0</v>
      </c>
      <c r="T24" s="240"/>
      <c r="U24" s="115">
        <v>0</v>
      </c>
      <c r="V24" s="884"/>
      <c r="W24" s="874">
        <v>0</v>
      </c>
      <c r="X24" s="884"/>
      <c r="Y24" s="874">
        <v>0</v>
      </c>
      <c r="Z24" s="241"/>
      <c r="AA24" s="116">
        <v>0</v>
      </c>
      <c r="AB24" s="239"/>
      <c r="AC24" s="116">
        <v>0</v>
      </c>
      <c r="AD24" s="242" t="s">
        <v>318</v>
      </c>
      <c r="AE24" s="117">
        <v>103500</v>
      </c>
      <c r="AF24" s="1228">
        <v>0</v>
      </c>
      <c r="AG24" s="1228">
        <v>0</v>
      </c>
      <c r="AH24" s="1229">
        <v>450000</v>
      </c>
      <c r="AI24" s="80"/>
    </row>
    <row r="25" spans="1:35" x14ac:dyDescent="0.2">
      <c r="A25" s="1462">
        <v>17</v>
      </c>
      <c r="B25" s="1792" t="s">
        <v>943</v>
      </c>
      <c r="C25" s="1185">
        <v>367</v>
      </c>
      <c r="D25" s="1114">
        <v>1039885067</v>
      </c>
      <c r="E25" s="1186">
        <v>3</v>
      </c>
      <c r="F25" s="1463">
        <v>100000</v>
      </c>
      <c r="G25" s="1098" t="s">
        <v>986</v>
      </c>
      <c r="H25" s="1099" t="s">
        <v>839</v>
      </c>
      <c r="I25" s="1100"/>
      <c r="J25" s="1099"/>
      <c r="K25" s="1099"/>
      <c r="L25" s="1100"/>
      <c r="M25" s="1101"/>
      <c r="N25" s="1706"/>
      <c r="O25" s="80"/>
      <c r="P25" s="239" t="s">
        <v>318</v>
      </c>
      <c r="Q25" s="119">
        <v>100000</v>
      </c>
      <c r="R25" s="239"/>
      <c r="S25" s="114">
        <v>0</v>
      </c>
      <c r="T25" s="240"/>
      <c r="U25" s="115">
        <v>0</v>
      </c>
      <c r="V25" s="884"/>
      <c r="W25" s="874">
        <v>0</v>
      </c>
      <c r="X25" s="884"/>
      <c r="Y25" s="874">
        <v>0</v>
      </c>
      <c r="Z25" s="241"/>
      <c r="AA25" s="116">
        <v>0</v>
      </c>
      <c r="AB25" s="239"/>
      <c r="AC25" s="116">
        <v>0</v>
      </c>
      <c r="AD25" s="242"/>
      <c r="AE25" s="117">
        <v>0</v>
      </c>
      <c r="AF25" s="1228">
        <v>0</v>
      </c>
      <c r="AG25" s="1228">
        <v>0</v>
      </c>
      <c r="AH25" s="1229">
        <v>100000</v>
      </c>
      <c r="AI25" s="80"/>
    </row>
    <row r="26" spans="1:35" x14ac:dyDescent="0.2">
      <c r="A26" s="1462">
        <v>18</v>
      </c>
      <c r="B26" s="1097" t="s">
        <v>274</v>
      </c>
      <c r="C26" s="1185">
        <v>322</v>
      </c>
      <c r="D26" s="1114">
        <v>43820323</v>
      </c>
      <c r="E26" s="1186">
        <v>9</v>
      </c>
      <c r="F26" s="1407">
        <v>0</v>
      </c>
      <c r="G26" s="1786"/>
      <c r="H26" s="1787"/>
      <c r="I26" s="1788"/>
      <c r="J26" s="1099" t="s">
        <v>453</v>
      </c>
      <c r="K26" s="1787" t="s">
        <v>1084</v>
      </c>
      <c r="L26" s="1789"/>
      <c r="M26" s="1690" t="s">
        <v>934</v>
      </c>
      <c r="N26" s="1790" t="s">
        <v>935</v>
      </c>
      <c r="O26" s="80"/>
      <c r="P26" s="239" t="s">
        <v>318</v>
      </c>
      <c r="Q26" s="119">
        <v>333000</v>
      </c>
      <c r="R26" s="239"/>
      <c r="S26" s="114">
        <v>0</v>
      </c>
      <c r="T26" s="240"/>
      <c r="U26" s="115">
        <v>0</v>
      </c>
      <c r="V26" s="884"/>
      <c r="W26" s="874">
        <v>0</v>
      </c>
      <c r="X26" s="884"/>
      <c r="Y26" s="874">
        <v>0</v>
      </c>
      <c r="Z26" s="241"/>
      <c r="AA26" s="116">
        <v>0</v>
      </c>
      <c r="AB26" s="239"/>
      <c r="AC26" s="116">
        <v>0</v>
      </c>
      <c r="AD26" s="242"/>
      <c r="AE26" s="117">
        <v>0</v>
      </c>
      <c r="AF26" s="1228">
        <v>0</v>
      </c>
      <c r="AG26" s="1228">
        <v>0</v>
      </c>
      <c r="AH26" s="1229">
        <v>330000</v>
      </c>
      <c r="AI26" s="80"/>
    </row>
    <row r="27" spans="1:35" x14ac:dyDescent="0.2">
      <c r="A27" s="1462">
        <v>19</v>
      </c>
      <c r="B27" s="1097" t="s">
        <v>18</v>
      </c>
      <c r="C27" s="1185">
        <v>271</v>
      </c>
      <c r="D27" s="1114">
        <v>3322312</v>
      </c>
      <c r="E27" s="1186">
        <v>6</v>
      </c>
      <c r="F27" s="1463">
        <v>350000</v>
      </c>
      <c r="G27" s="1098" t="s">
        <v>954</v>
      </c>
      <c r="H27" s="1099" t="s">
        <v>761</v>
      </c>
      <c r="I27" s="1100">
        <v>45959</v>
      </c>
      <c r="J27" s="1099"/>
      <c r="K27" s="1099"/>
      <c r="L27" s="1100"/>
      <c r="M27" s="1793" t="s">
        <v>937</v>
      </c>
      <c r="N27" s="1706" t="s">
        <v>936</v>
      </c>
      <c r="O27" s="80"/>
      <c r="P27" s="239" t="s">
        <v>318</v>
      </c>
      <c r="Q27" s="119">
        <v>345000</v>
      </c>
      <c r="R27" s="239"/>
      <c r="S27" s="114">
        <v>0</v>
      </c>
      <c r="T27" s="240"/>
      <c r="U27" s="115">
        <v>0</v>
      </c>
      <c r="V27" s="884"/>
      <c r="W27" s="874">
        <v>0</v>
      </c>
      <c r="X27" s="884"/>
      <c r="Y27" s="874">
        <v>0</v>
      </c>
      <c r="Z27" s="241"/>
      <c r="AA27" s="116">
        <v>0</v>
      </c>
      <c r="AB27" s="239"/>
      <c r="AC27" s="116">
        <v>0</v>
      </c>
      <c r="AD27" s="242"/>
      <c r="AE27" s="117">
        <v>0</v>
      </c>
      <c r="AF27" s="1228">
        <v>0</v>
      </c>
      <c r="AG27" s="1228">
        <v>0</v>
      </c>
      <c r="AH27" s="1229">
        <v>350000</v>
      </c>
      <c r="AI27" s="80"/>
    </row>
    <row r="28" spans="1:35" x14ac:dyDescent="0.2">
      <c r="A28" s="1462">
        <v>20</v>
      </c>
      <c r="B28" s="1097" t="s">
        <v>19</v>
      </c>
      <c r="C28" s="1185">
        <v>60</v>
      </c>
      <c r="D28" s="1114">
        <v>42793787</v>
      </c>
      <c r="E28" s="1186">
        <v>2</v>
      </c>
      <c r="F28" s="1463">
        <v>350000</v>
      </c>
      <c r="G28" s="1098" t="s">
        <v>998</v>
      </c>
      <c r="H28" s="1099" t="s">
        <v>761</v>
      </c>
      <c r="I28" s="1100">
        <v>45959</v>
      </c>
      <c r="J28" s="1099"/>
      <c r="K28" s="1099"/>
      <c r="L28" s="1100"/>
      <c r="M28" s="1101"/>
      <c r="N28" s="1706"/>
      <c r="O28" s="80"/>
      <c r="P28" s="239" t="s">
        <v>318</v>
      </c>
      <c r="Q28" s="119">
        <v>345000</v>
      </c>
      <c r="R28" s="239"/>
      <c r="S28" s="114">
        <v>0</v>
      </c>
      <c r="T28" s="240"/>
      <c r="U28" s="115">
        <v>0</v>
      </c>
      <c r="V28" s="884"/>
      <c r="W28" s="874">
        <v>0</v>
      </c>
      <c r="X28" s="884"/>
      <c r="Y28" s="874">
        <v>0</v>
      </c>
      <c r="Z28" s="241"/>
      <c r="AA28" s="116">
        <v>0</v>
      </c>
      <c r="AB28" s="239"/>
      <c r="AC28" s="116">
        <v>0</v>
      </c>
      <c r="AD28" s="242"/>
      <c r="AE28" s="117">
        <v>0</v>
      </c>
      <c r="AF28" s="1228">
        <v>0</v>
      </c>
      <c r="AG28" s="1228">
        <v>0</v>
      </c>
      <c r="AH28" s="1229">
        <v>350000</v>
      </c>
      <c r="AI28" s="80"/>
    </row>
    <row r="29" spans="1:35" x14ac:dyDescent="0.2">
      <c r="A29" s="1462">
        <v>21</v>
      </c>
      <c r="B29" s="1492" t="s">
        <v>20</v>
      </c>
      <c r="C29" s="1185">
        <v>61</v>
      </c>
      <c r="D29" s="1114">
        <v>1035852107</v>
      </c>
      <c r="E29" s="1186">
        <v>3</v>
      </c>
      <c r="F29" s="1463">
        <v>400000</v>
      </c>
      <c r="G29" s="1098" t="s">
        <v>956</v>
      </c>
      <c r="H29" s="1099" t="s">
        <v>760</v>
      </c>
      <c r="I29" s="1100">
        <v>45944</v>
      </c>
      <c r="J29" s="1099" t="s">
        <v>453</v>
      </c>
      <c r="K29" s="1099" t="s">
        <v>762</v>
      </c>
      <c r="L29" s="1100">
        <v>45959</v>
      </c>
      <c r="M29" s="1793" t="s">
        <v>932</v>
      </c>
      <c r="N29" s="1706" t="s">
        <v>938</v>
      </c>
      <c r="O29" s="80"/>
      <c r="P29" s="239" t="s">
        <v>318</v>
      </c>
      <c r="Q29" s="119">
        <v>425000</v>
      </c>
      <c r="R29" s="239"/>
      <c r="S29" s="114">
        <v>0</v>
      </c>
      <c r="T29" s="240"/>
      <c r="U29" s="115">
        <v>0</v>
      </c>
      <c r="V29" s="884"/>
      <c r="W29" s="874">
        <v>0</v>
      </c>
      <c r="X29" s="884"/>
      <c r="Y29" s="874">
        <v>0</v>
      </c>
      <c r="Z29" s="241"/>
      <c r="AA29" s="116">
        <v>0</v>
      </c>
      <c r="AB29" s="239"/>
      <c r="AC29" s="116">
        <v>0</v>
      </c>
      <c r="AD29" s="242"/>
      <c r="AE29" s="117">
        <v>0</v>
      </c>
      <c r="AF29" s="1228">
        <v>0</v>
      </c>
      <c r="AG29" s="1228">
        <v>0</v>
      </c>
      <c r="AH29" s="1229">
        <v>430000</v>
      </c>
      <c r="AI29" s="80"/>
    </row>
    <row r="30" spans="1:35" x14ac:dyDescent="0.2">
      <c r="A30" s="1462">
        <v>22</v>
      </c>
      <c r="B30" s="1097" t="s">
        <v>21</v>
      </c>
      <c r="C30" s="1185">
        <v>62</v>
      </c>
      <c r="D30" s="1114">
        <v>43577753</v>
      </c>
      <c r="E30" s="1186">
        <v>0</v>
      </c>
      <c r="F30" s="1463">
        <v>1310000</v>
      </c>
      <c r="G30" s="1098" t="s">
        <v>955</v>
      </c>
      <c r="H30" s="1099" t="s">
        <v>760</v>
      </c>
      <c r="I30" s="1100">
        <v>45944</v>
      </c>
      <c r="J30" s="1099" t="s">
        <v>453</v>
      </c>
      <c r="K30" s="1099" t="s">
        <v>762</v>
      </c>
      <c r="L30" s="1100">
        <v>45946</v>
      </c>
      <c r="M30" s="1793" t="s">
        <v>937</v>
      </c>
      <c r="N30" s="1707"/>
      <c r="O30" s="80"/>
      <c r="P30" s="239" t="s">
        <v>318</v>
      </c>
      <c r="Q30" s="119">
        <v>729000</v>
      </c>
      <c r="R30" s="239" t="s">
        <v>318</v>
      </c>
      <c r="S30" s="114">
        <v>365000</v>
      </c>
      <c r="T30" s="240"/>
      <c r="U30" s="115">
        <v>0</v>
      </c>
      <c r="V30" s="884"/>
      <c r="W30" s="874">
        <v>0</v>
      </c>
      <c r="X30" s="884"/>
      <c r="Y30" s="874">
        <v>0</v>
      </c>
      <c r="Z30" s="241"/>
      <c r="AA30" s="116">
        <v>0</v>
      </c>
      <c r="AB30" s="239"/>
      <c r="AC30" s="116">
        <v>0</v>
      </c>
      <c r="AD30" s="242" t="s">
        <v>318</v>
      </c>
      <c r="AE30" s="117">
        <v>218700</v>
      </c>
      <c r="AF30" s="1228">
        <v>0</v>
      </c>
      <c r="AG30" s="1228">
        <v>0</v>
      </c>
      <c r="AH30" s="1229">
        <v>1310000</v>
      </c>
      <c r="AI30" s="80"/>
    </row>
    <row r="31" spans="1:35" x14ac:dyDescent="0.2">
      <c r="A31" s="1462">
        <v>23</v>
      </c>
      <c r="B31" s="1097" t="s">
        <v>22</v>
      </c>
      <c r="C31" s="1185">
        <v>63</v>
      </c>
      <c r="D31" s="1114">
        <v>71608158</v>
      </c>
      <c r="E31" s="1186">
        <v>4</v>
      </c>
      <c r="F31" s="1463">
        <v>730000</v>
      </c>
      <c r="G31" s="1098" t="s">
        <v>948</v>
      </c>
      <c r="H31" s="1099" t="s">
        <v>761</v>
      </c>
      <c r="I31" s="1100">
        <v>45959</v>
      </c>
      <c r="J31" s="1099"/>
      <c r="K31" s="1099"/>
      <c r="L31" s="1262"/>
      <c r="M31" s="1793" t="s">
        <v>932</v>
      </c>
      <c r="N31" s="1706"/>
      <c r="O31" s="80"/>
      <c r="P31" s="239" t="s">
        <v>318</v>
      </c>
      <c r="Q31" s="119">
        <v>729000</v>
      </c>
      <c r="R31" s="239"/>
      <c r="S31" s="114">
        <v>0</v>
      </c>
      <c r="T31" s="240"/>
      <c r="U31" s="115">
        <v>0</v>
      </c>
      <c r="V31" s="884"/>
      <c r="W31" s="874">
        <v>0</v>
      </c>
      <c r="X31" s="884"/>
      <c r="Y31" s="874">
        <v>0</v>
      </c>
      <c r="Z31" s="241"/>
      <c r="AA31" s="116">
        <v>0</v>
      </c>
      <c r="AB31" s="239"/>
      <c r="AC31" s="116">
        <v>0</v>
      </c>
      <c r="AD31" s="242"/>
      <c r="AE31" s="117">
        <v>0</v>
      </c>
      <c r="AF31" s="1228">
        <v>0</v>
      </c>
      <c r="AG31" s="1228">
        <v>0</v>
      </c>
      <c r="AH31" s="1229">
        <v>730000</v>
      </c>
      <c r="AI31" s="80"/>
    </row>
    <row r="32" spans="1:35" x14ac:dyDescent="0.2">
      <c r="A32" s="1462">
        <v>24</v>
      </c>
      <c r="B32" s="1097" t="s">
        <v>23</v>
      </c>
      <c r="C32" s="1185">
        <v>65</v>
      </c>
      <c r="D32" s="1114">
        <v>3313365</v>
      </c>
      <c r="E32" s="1186">
        <v>8</v>
      </c>
      <c r="F32" s="1463">
        <v>1600000</v>
      </c>
      <c r="G32" s="1098" t="s">
        <v>948</v>
      </c>
      <c r="H32" s="1099" t="s">
        <v>761</v>
      </c>
      <c r="I32" s="1100">
        <v>45959</v>
      </c>
      <c r="J32" s="1099"/>
      <c r="K32" s="1099"/>
      <c r="L32" s="1262"/>
      <c r="M32" s="1793" t="s">
        <v>932</v>
      </c>
      <c r="N32" s="1706"/>
      <c r="O32" s="80"/>
      <c r="P32" s="239" t="s">
        <v>318</v>
      </c>
      <c r="Q32" s="119">
        <v>1205000</v>
      </c>
      <c r="R32" s="239"/>
      <c r="S32" s="114">
        <v>0</v>
      </c>
      <c r="T32" s="240"/>
      <c r="U32" s="115">
        <v>0</v>
      </c>
      <c r="V32" s="884"/>
      <c r="W32" s="874">
        <v>0</v>
      </c>
      <c r="X32" s="884"/>
      <c r="Y32" s="874">
        <v>0</v>
      </c>
      <c r="Z32" s="241"/>
      <c r="AA32" s="116">
        <v>0</v>
      </c>
      <c r="AB32" s="239"/>
      <c r="AC32" s="116">
        <v>0</v>
      </c>
      <c r="AD32" s="242"/>
      <c r="AE32" s="117">
        <v>0</v>
      </c>
      <c r="AF32" s="1228">
        <v>398826.8118285829</v>
      </c>
      <c r="AG32" s="1228">
        <v>0</v>
      </c>
      <c r="AH32" s="1229">
        <v>1600000</v>
      </c>
      <c r="AI32" s="80"/>
    </row>
    <row r="33" spans="1:35" x14ac:dyDescent="0.2">
      <c r="A33" s="1462">
        <v>25</v>
      </c>
      <c r="B33" s="1097" t="s">
        <v>24</v>
      </c>
      <c r="C33" s="1185">
        <v>67</v>
      </c>
      <c r="D33" s="1114">
        <v>5734197</v>
      </c>
      <c r="E33" s="1186">
        <v>0</v>
      </c>
      <c r="F33" s="1463">
        <v>350000</v>
      </c>
      <c r="G33" s="1098" t="s">
        <v>1065</v>
      </c>
      <c r="H33" s="1099" t="s">
        <v>839</v>
      </c>
      <c r="I33" s="1100"/>
      <c r="J33" s="1099"/>
      <c r="K33" s="1099"/>
      <c r="L33" s="1262"/>
      <c r="M33" s="1101"/>
      <c r="N33" s="1706"/>
      <c r="O33" s="80"/>
      <c r="P33" s="239" t="s">
        <v>318</v>
      </c>
      <c r="Q33" s="119">
        <v>345000</v>
      </c>
      <c r="R33" s="239"/>
      <c r="S33" s="114">
        <v>0</v>
      </c>
      <c r="T33" s="240"/>
      <c r="U33" s="115">
        <v>0</v>
      </c>
      <c r="V33" s="884"/>
      <c r="W33" s="874">
        <v>0</v>
      </c>
      <c r="X33" s="884"/>
      <c r="Y33" s="874">
        <v>0</v>
      </c>
      <c r="Z33" s="241"/>
      <c r="AA33" s="116">
        <v>0</v>
      </c>
      <c r="AB33" s="239"/>
      <c r="AC33" s="116">
        <v>0</v>
      </c>
      <c r="AD33" s="242"/>
      <c r="AE33" s="117">
        <v>0</v>
      </c>
      <c r="AF33" s="1228">
        <v>0</v>
      </c>
      <c r="AG33" s="1228">
        <v>0</v>
      </c>
      <c r="AH33" s="1229">
        <v>350000</v>
      </c>
      <c r="AI33" s="80"/>
    </row>
    <row r="34" spans="1:35" x14ac:dyDescent="0.2">
      <c r="A34" s="1462">
        <v>26</v>
      </c>
      <c r="B34" s="1097" t="s">
        <v>26</v>
      </c>
      <c r="C34" s="1185">
        <v>68</v>
      </c>
      <c r="D34" s="1114">
        <v>43616958</v>
      </c>
      <c r="E34" s="1186">
        <v>1</v>
      </c>
      <c r="F34" s="1463">
        <v>470000</v>
      </c>
      <c r="G34" s="1098" t="s">
        <v>957</v>
      </c>
      <c r="H34" s="1099" t="s">
        <v>761</v>
      </c>
      <c r="I34" s="1100">
        <v>45957</v>
      </c>
      <c r="J34" s="1099" t="s">
        <v>453</v>
      </c>
      <c r="K34" s="1099" t="s">
        <v>762</v>
      </c>
      <c r="L34" s="1100">
        <v>45958</v>
      </c>
      <c r="M34" s="1793" t="s">
        <v>932</v>
      </c>
      <c r="N34" s="1706" t="s">
        <v>939</v>
      </c>
      <c r="O34" s="80"/>
      <c r="P34" s="239" t="s">
        <v>318</v>
      </c>
      <c r="Q34" s="119">
        <v>482000</v>
      </c>
      <c r="R34" s="239"/>
      <c r="S34" s="114">
        <v>0</v>
      </c>
      <c r="T34" s="240"/>
      <c r="U34" s="115">
        <v>0</v>
      </c>
      <c r="V34" s="884"/>
      <c r="W34" s="874">
        <v>0</v>
      </c>
      <c r="X34" s="884"/>
      <c r="Y34" s="874">
        <v>0</v>
      </c>
      <c r="Z34" s="241"/>
      <c r="AA34" s="116">
        <v>0</v>
      </c>
      <c r="AB34" s="239"/>
      <c r="AC34" s="116">
        <v>0</v>
      </c>
      <c r="AD34" s="242"/>
      <c r="AE34" s="117">
        <v>0</v>
      </c>
      <c r="AF34" s="1228">
        <v>0</v>
      </c>
      <c r="AG34" s="1228">
        <v>0</v>
      </c>
      <c r="AH34" s="1229">
        <v>480000</v>
      </c>
      <c r="AI34" s="80"/>
    </row>
    <row r="35" spans="1:35" x14ac:dyDescent="0.2">
      <c r="A35" s="1462">
        <v>27</v>
      </c>
      <c r="B35" s="1097" t="s">
        <v>25</v>
      </c>
      <c r="C35" s="1185">
        <v>13</v>
      </c>
      <c r="D35" s="1114">
        <v>32441185</v>
      </c>
      <c r="E35" s="1186">
        <v>2</v>
      </c>
      <c r="F35" s="1463">
        <v>320000</v>
      </c>
      <c r="G35" s="1098" t="s">
        <v>999</v>
      </c>
      <c r="H35" s="1099" t="s">
        <v>761</v>
      </c>
      <c r="I35" s="1100">
        <v>45959</v>
      </c>
      <c r="J35" s="1099" t="s">
        <v>453</v>
      </c>
      <c r="K35" s="1099" t="s">
        <v>762</v>
      </c>
      <c r="L35" s="1100">
        <v>45959</v>
      </c>
      <c r="M35" s="1101"/>
      <c r="N35" s="1706"/>
      <c r="O35" s="80"/>
      <c r="P35" s="239" t="s">
        <v>318</v>
      </c>
      <c r="Q35" s="119">
        <v>316000</v>
      </c>
      <c r="R35" s="239"/>
      <c r="S35" s="114">
        <v>0</v>
      </c>
      <c r="T35" s="240"/>
      <c r="U35" s="115">
        <v>0</v>
      </c>
      <c r="V35" s="884"/>
      <c r="W35" s="874">
        <v>0</v>
      </c>
      <c r="X35" s="884"/>
      <c r="Y35" s="874">
        <v>0</v>
      </c>
      <c r="Z35" s="241"/>
      <c r="AA35" s="116">
        <v>0</v>
      </c>
      <c r="AB35" s="239"/>
      <c r="AC35" s="116">
        <v>0</v>
      </c>
      <c r="AD35" s="242"/>
      <c r="AE35" s="117">
        <v>0</v>
      </c>
      <c r="AF35" s="1228">
        <v>0</v>
      </c>
      <c r="AG35" s="1228">
        <v>0</v>
      </c>
      <c r="AH35" s="1229">
        <v>320000</v>
      </c>
      <c r="AI35" s="80"/>
    </row>
    <row r="36" spans="1:35" x14ac:dyDescent="0.2">
      <c r="A36" s="1462">
        <v>28</v>
      </c>
      <c r="B36" s="1097" t="s">
        <v>28</v>
      </c>
      <c r="C36" s="1185">
        <v>69</v>
      </c>
      <c r="D36" s="1114">
        <v>21374070</v>
      </c>
      <c r="E36" s="1186">
        <v>7</v>
      </c>
      <c r="F36" s="1463">
        <v>690000</v>
      </c>
      <c r="G36" s="1098" t="s">
        <v>1000</v>
      </c>
      <c r="H36" s="1099" t="s">
        <v>761</v>
      </c>
      <c r="I36" s="1100">
        <v>45959</v>
      </c>
      <c r="J36" s="1099"/>
      <c r="K36" s="1099"/>
      <c r="L36" s="1100"/>
      <c r="M36" s="1101"/>
      <c r="N36" s="1706"/>
      <c r="O36" s="80"/>
      <c r="P36" s="239" t="s">
        <v>318</v>
      </c>
      <c r="Q36" s="119">
        <v>689000</v>
      </c>
      <c r="R36" s="239"/>
      <c r="S36" s="114">
        <v>0</v>
      </c>
      <c r="T36" s="240"/>
      <c r="U36" s="115">
        <v>0</v>
      </c>
      <c r="V36" s="884"/>
      <c r="W36" s="874">
        <v>0</v>
      </c>
      <c r="X36" s="884"/>
      <c r="Y36" s="874">
        <v>0</v>
      </c>
      <c r="Z36" s="241"/>
      <c r="AA36" s="116">
        <v>0</v>
      </c>
      <c r="AB36" s="239"/>
      <c r="AC36" s="116">
        <v>0</v>
      </c>
      <c r="AD36" s="242"/>
      <c r="AE36" s="117">
        <v>0</v>
      </c>
      <c r="AF36" s="1228">
        <v>0</v>
      </c>
      <c r="AG36" s="1228">
        <v>0</v>
      </c>
      <c r="AH36" s="1229">
        <v>690000</v>
      </c>
      <c r="AI36" s="80"/>
    </row>
    <row r="37" spans="1:35" x14ac:dyDescent="0.2">
      <c r="A37" s="1462">
        <v>29</v>
      </c>
      <c r="B37" s="1097" t="s">
        <v>30</v>
      </c>
      <c r="C37" s="1185">
        <v>71</v>
      </c>
      <c r="D37" s="1114">
        <v>71688257</v>
      </c>
      <c r="E37" s="1186">
        <v>7</v>
      </c>
      <c r="F37" s="1463">
        <v>1430000</v>
      </c>
      <c r="G37" s="1098" t="s">
        <v>1001</v>
      </c>
      <c r="H37" s="1099" t="s">
        <v>839</v>
      </c>
      <c r="I37" s="1100"/>
      <c r="J37" s="1099"/>
      <c r="K37" s="1099"/>
      <c r="L37" s="1100"/>
      <c r="M37" s="1793" t="s">
        <v>932</v>
      </c>
      <c r="N37" s="1706"/>
      <c r="O37" s="80"/>
      <c r="P37" s="239" t="s">
        <v>318</v>
      </c>
      <c r="Q37" s="119">
        <v>776000</v>
      </c>
      <c r="R37" s="239"/>
      <c r="S37" s="114">
        <v>0</v>
      </c>
      <c r="T37" s="240" t="s">
        <v>318</v>
      </c>
      <c r="U37" s="115">
        <v>582000</v>
      </c>
      <c r="V37" s="884"/>
      <c r="W37" s="874">
        <v>0</v>
      </c>
      <c r="X37" s="884"/>
      <c r="Y37" s="874">
        <v>0</v>
      </c>
      <c r="Z37" s="241"/>
      <c r="AA37" s="116">
        <v>0</v>
      </c>
      <c r="AB37" s="239"/>
      <c r="AC37" s="116">
        <v>0</v>
      </c>
      <c r="AD37" s="242"/>
      <c r="AE37" s="117">
        <v>0</v>
      </c>
      <c r="AF37" s="1228">
        <v>70000</v>
      </c>
      <c r="AG37" s="1228">
        <v>0</v>
      </c>
      <c r="AH37" s="1229">
        <v>1430000</v>
      </c>
      <c r="AI37" s="80"/>
    </row>
    <row r="38" spans="1:35" x14ac:dyDescent="0.2">
      <c r="A38" s="1462">
        <v>30</v>
      </c>
      <c r="B38" s="1097" t="s">
        <v>31</v>
      </c>
      <c r="C38" s="1185">
        <v>72</v>
      </c>
      <c r="D38" s="1114">
        <v>43584680</v>
      </c>
      <c r="E38" s="1186">
        <v>0</v>
      </c>
      <c r="F38" s="1463">
        <v>780000</v>
      </c>
      <c r="G38" s="1098" t="s">
        <v>1001</v>
      </c>
      <c r="H38" s="1099" t="s">
        <v>839</v>
      </c>
      <c r="I38" s="1100"/>
      <c r="J38" s="1099"/>
      <c r="K38" s="1099"/>
      <c r="L38" s="1100"/>
      <c r="M38" s="1101"/>
      <c r="N38" s="1706"/>
      <c r="O38" s="80"/>
      <c r="P38" s="239" t="s">
        <v>318</v>
      </c>
      <c r="Q38" s="119">
        <v>776000</v>
      </c>
      <c r="R38" s="239"/>
      <c r="S38" s="114">
        <v>0</v>
      </c>
      <c r="T38" s="240"/>
      <c r="U38" s="115">
        <v>0</v>
      </c>
      <c r="V38" s="884"/>
      <c r="W38" s="874">
        <v>0</v>
      </c>
      <c r="X38" s="884"/>
      <c r="Y38" s="874">
        <v>0</v>
      </c>
      <c r="Z38" s="241"/>
      <c r="AA38" s="116">
        <v>0</v>
      </c>
      <c r="AB38" s="239"/>
      <c r="AC38" s="116">
        <v>0</v>
      </c>
      <c r="AD38" s="242"/>
      <c r="AE38" s="117">
        <v>0</v>
      </c>
      <c r="AF38" s="1228">
        <v>0</v>
      </c>
      <c r="AG38" s="1228">
        <v>0</v>
      </c>
      <c r="AH38" s="1229">
        <v>780000</v>
      </c>
      <c r="AI38" s="80"/>
    </row>
    <row r="39" spans="1:35" x14ac:dyDescent="0.2">
      <c r="A39" s="1462">
        <v>31</v>
      </c>
      <c r="B39" s="1097" t="s">
        <v>32</v>
      </c>
      <c r="C39" s="1185">
        <v>73</v>
      </c>
      <c r="D39" s="1114">
        <v>71715157</v>
      </c>
      <c r="E39" s="1186">
        <v>5</v>
      </c>
      <c r="F39" s="1463">
        <v>780000</v>
      </c>
      <c r="G39" s="1098" t="s">
        <v>1001</v>
      </c>
      <c r="H39" s="1099" t="s">
        <v>839</v>
      </c>
      <c r="I39" s="1100"/>
      <c r="J39" s="1099"/>
      <c r="K39" s="1099"/>
      <c r="L39" s="1100"/>
      <c r="M39" s="1101"/>
      <c r="N39" s="1706"/>
      <c r="O39" s="80"/>
      <c r="P39" s="239" t="s">
        <v>318</v>
      </c>
      <c r="Q39" s="119">
        <v>776000</v>
      </c>
      <c r="R39" s="239"/>
      <c r="S39" s="114">
        <v>0</v>
      </c>
      <c r="T39" s="240"/>
      <c r="U39" s="115">
        <v>0</v>
      </c>
      <c r="V39" s="884"/>
      <c r="W39" s="874">
        <v>0</v>
      </c>
      <c r="X39" s="884"/>
      <c r="Y39" s="874">
        <v>0</v>
      </c>
      <c r="Z39" s="241"/>
      <c r="AA39" s="116">
        <v>0</v>
      </c>
      <c r="AB39" s="239"/>
      <c r="AC39" s="116">
        <v>0</v>
      </c>
      <c r="AD39" s="242"/>
      <c r="AE39" s="117">
        <v>0</v>
      </c>
      <c r="AF39" s="1228">
        <v>0</v>
      </c>
      <c r="AG39" s="1228">
        <v>0</v>
      </c>
      <c r="AH39" s="1229">
        <v>780000</v>
      </c>
      <c r="AI39" s="80"/>
    </row>
    <row r="40" spans="1:35" x14ac:dyDescent="0.2">
      <c r="A40" s="1462">
        <v>32</v>
      </c>
      <c r="B40" s="1097" t="s">
        <v>357</v>
      </c>
      <c r="C40" s="1185">
        <v>74</v>
      </c>
      <c r="D40" s="1114">
        <v>8237268</v>
      </c>
      <c r="E40" s="1186">
        <v>4</v>
      </c>
      <c r="F40" s="1463">
        <v>1270000</v>
      </c>
      <c r="G40" s="1098" t="s">
        <v>1001</v>
      </c>
      <c r="H40" s="1099" t="s">
        <v>839</v>
      </c>
      <c r="I40" s="1100"/>
      <c r="J40" s="1099"/>
      <c r="K40" s="1099"/>
      <c r="L40" s="1100"/>
      <c r="M40" s="1793" t="s">
        <v>932</v>
      </c>
      <c r="N40" s="1706"/>
      <c r="O40" s="80"/>
      <c r="P40" s="239" t="s">
        <v>318</v>
      </c>
      <c r="Q40" s="119">
        <v>1011000</v>
      </c>
      <c r="R40" s="239"/>
      <c r="S40" s="114">
        <v>0</v>
      </c>
      <c r="T40" s="240"/>
      <c r="U40" s="115">
        <v>0</v>
      </c>
      <c r="V40" s="884"/>
      <c r="W40" s="874">
        <v>0</v>
      </c>
      <c r="X40" s="884"/>
      <c r="Y40" s="874">
        <v>0</v>
      </c>
      <c r="Z40" s="241"/>
      <c r="AA40" s="116">
        <v>0</v>
      </c>
      <c r="AB40" s="239"/>
      <c r="AC40" s="116">
        <v>0</v>
      </c>
      <c r="AD40" s="242"/>
      <c r="AE40" s="117">
        <v>0</v>
      </c>
      <c r="AF40" s="1228">
        <v>256388.66474694616</v>
      </c>
      <c r="AG40" s="1228">
        <v>0</v>
      </c>
      <c r="AH40" s="1229">
        <v>1270000</v>
      </c>
      <c r="AI40" s="80"/>
    </row>
    <row r="41" spans="1:35" x14ac:dyDescent="0.2">
      <c r="A41" s="1462">
        <v>33</v>
      </c>
      <c r="B41" s="1097" t="s">
        <v>35</v>
      </c>
      <c r="C41" s="1185">
        <v>77</v>
      </c>
      <c r="D41" s="1114">
        <v>43525573</v>
      </c>
      <c r="E41" s="1186">
        <v>9</v>
      </c>
      <c r="F41" s="1463">
        <v>430000</v>
      </c>
      <c r="G41" s="1098" t="s">
        <v>1002</v>
      </c>
      <c r="H41" s="1099" t="s">
        <v>761</v>
      </c>
      <c r="I41" s="1100">
        <v>45957</v>
      </c>
      <c r="J41" s="1099" t="s">
        <v>453</v>
      </c>
      <c r="K41" s="1099" t="s">
        <v>762</v>
      </c>
      <c r="L41" s="1100">
        <v>45957</v>
      </c>
      <c r="M41" s="1101"/>
      <c r="N41" s="1706"/>
      <c r="O41" s="80"/>
      <c r="P41" s="239" t="s">
        <v>927</v>
      </c>
      <c r="Q41" s="119">
        <v>431000</v>
      </c>
      <c r="R41" s="239"/>
      <c r="S41" s="114">
        <v>0</v>
      </c>
      <c r="T41" s="240"/>
      <c r="U41" s="115">
        <v>0</v>
      </c>
      <c r="V41" s="884"/>
      <c r="W41" s="874">
        <v>0</v>
      </c>
      <c r="X41" s="884"/>
      <c r="Y41" s="874">
        <v>0</v>
      </c>
      <c r="Z41" s="241"/>
      <c r="AA41" s="116">
        <v>0</v>
      </c>
      <c r="AB41" s="239"/>
      <c r="AC41" s="116">
        <v>0</v>
      </c>
      <c r="AD41" s="242"/>
      <c r="AE41" s="117">
        <v>0</v>
      </c>
      <c r="AF41" s="1228">
        <v>0</v>
      </c>
      <c r="AG41" s="1228">
        <v>0</v>
      </c>
      <c r="AH41" s="1229">
        <v>430000</v>
      </c>
      <c r="AI41" s="80"/>
    </row>
    <row r="42" spans="1:35" x14ac:dyDescent="0.2">
      <c r="A42" s="1462">
        <v>34</v>
      </c>
      <c r="B42" s="1097" t="s">
        <v>37</v>
      </c>
      <c r="C42" s="1185">
        <v>303</v>
      </c>
      <c r="D42" s="1114">
        <v>71750917</v>
      </c>
      <c r="E42" s="1186">
        <v>4</v>
      </c>
      <c r="F42" s="1463">
        <v>1020000</v>
      </c>
      <c r="G42" s="1098" t="s">
        <v>1003</v>
      </c>
      <c r="H42" s="1099" t="s">
        <v>761</v>
      </c>
      <c r="I42" s="1100">
        <v>45959</v>
      </c>
      <c r="J42" s="1099"/>
      <c r="K42" s="1099"/>
      <c r="L42" s="1100"/>
      <c r="M42" s="1793" t="s">
        <v>932</v>
      </c>
      <c r="N42" s="1706"/>
      <c r="O42" s="80"/>
      <c r="P42" s="239" t="s">
        <v>318</v>
      </c>
      <c r="Q42" s="119">
        <v>976000</v>
      </c>
      <c r="R42" s="239"/>
      <c r="S42" s="114">
        <v>0</v>
      </c>
      <c r="T42" s="240"/>
      <c r="U42" s="115">
        <v>0</v>
      </c>
      <c r="V42" s="884"/>
      <c r="W42" s="874">
        <v>0</v>
      </c>
      <c r="X42" s="884"/>
      <c r="Y42" s="874">
        <v>0</v>
      </c>
      <c r="Z42" s="241"/>
      <c r="AA42" s="116">
        <v>0</v>
      </c>
      <c r="AB42" s="239"/>
      <c r="AC42" s="116">
        <v>0</v>
      </c>
      <c r="AD42" s="242"/>
      <c r="AE42" s="117">
        <v>0</v>
      </c>
      <c r="AF42" s="1228">
        <v>40000</v>
      </c>
      <c r="AG42" s="1228">
        <v>0</v>
      </c>
      <c r="AH42" s="1229">
        <v>1020000</v>
      </c>
      <c r="AI42" s="80"/>
    </row>
    <row r="43" spans="1:35" x14ac:dyDescent="0.2">
      <c r="A43" s="1462">
        <v>35</v>
      </c>
      <c r="B43" s="1097" t="s">
        <v>335</v>
      </c>
      <c r="C43" s="1185">
        <v>348</v>
      </c>
      <c r="D43" s="1114">
        <v>42874922</v>
      </c>
      <c r="E43" s="1186">
        <v>9</v>
      </c>
      <c r="F43" s="1463">
        <v>350000</v>
      </c>
      <c r="G43" s="1098" t="s">
        <v>958</v>
      </c>
      <c r="H43" s="1099" t="s">
        <v>760</v>
      </c>
      <c r="I43" s="1100">
        <v>45944</v>
      </c>
      <c r="J43" s="1099"/>
      <c r="K43" s="1099"/>
      <c r="L43" s="1100"/>
      <c r="M43" s="1793" t="s">
        <v>932</v>
      </c>
      <c r="N43" s="1706" t="s">
        <v>940</v>
      </c>
      <c r="O43" s="80"/>
      <c r="P43" s="239" t="s">
        <v>318</v>
      </c>
      <c r="Q43" s="119">
        <v>394000</v>
      </c>
      <c r="R43" s="239"/>
      <c r="S43" s="114">
        <v>0</v>
      </c>
      <c r="T43" s="240"/>
      <c r="U43" s="115">
        <v>0</v>
      </c>
      <c r="V43" s="884"/>
      <c r="W43" s="874">
        <v>0</v>
      </c>
      <c r="X43" s="884"/>
      <c r="Y43" s="874">
        <v>0</v>
      </c>
      <c r="Z43" s="241"/>
      <c r="AA43" s="116">
        <v>0</v>
      </c>
      <c r="AB43" s="239"/>
      <c r="AC43" s="116">
        <v>0</v>
      </c>
      <c r="AD43" s="242"/>
      <c r="AE43" s="117">
        <v>0</v>
      </c>
      <c r="AF43" s="1228">
        <v>0</v>
      </c>
      <c r="AG43" s="1228">
        <v>0</v>
      </c>
      <c r="AH43" s="1229">
        <v>390000</v>
      </c>
      <c r="AI43" s="80"/>
    </row>
    <row r="44" spans="1:35" x14ac:dyDescent="0.2">
      <c r="A44" s="1462">
        <v>36</v>
      </c>
      <c r="B44" s="1097" t="s">
        <v>324</v>
      </c>
      <c r="C44" s="1185">
        <v>338</v>
      </c>
      <c r="D44" s="1114">
        <v>42876443</v>
      </c>
      <c r="E44" s="1186">
        <v>1</v>
      </c>
      <c r="F44" s="1463">
        <v>550000</v>
      </c>
      <c r="G44" s="1098" t="s">
        <v>959</v>
      </c>
      <c r="H44" s="1099" t="s">
        <v>839</v>
      </c>
      <c r="I44" s="1100"/>
      <c r="J44" s="1099"/>
      <c r="K44" s="1099"/>
      <c r="L44" s="1100"/>
      <c r="M44" s="1793" t="s">
        <v>932</v>
      </c>
      <c r="N44" s="1706" t="s">
        <v>940</v>
      </c>
      <c r="O44" s="80"/>
      <c r="P44" s="239" t="s">
        <v>318</v>
      </c>
      <c r="Q44" s="119">
        <v>471000</v>
      </c>
      <c r="R44" s="239"/>
      <c r="S44" s="114">
        <v>0</v>
      </c>
      <c r="T44" s="240"/>
      <c r="U44" s="115">
        <v>0</v>
      </c>
      <c r="V44" s="884"/>
      <c r="W44" s="874">
        <v>0</v>
      </c>
      <c r="X44" s="884"/>
      <c r="Y44" s="874">
        <v>0</v>
      </c>
      <c r="Z44" s="241"/>
      <c r="AA44" s="116">
        <v>0</v>
      </c>
      <c r="AB44" s="239"/>
      <c r="AC44" s="116">
        <v>0</v>
      </c>
      <c r="AD44" s="242"/>
      <c r="AE44" s="117">
        <v>0</v>
      </c>
      <c r="AF44" s="1228">
        <v>0</v>
      </c>
      <c r="AG44" s="1228">
        <v>0</v>
      </c>
      <c r="AH44" s="1229">
        <v>470000</v>
      </c>
      <c r="AI44" s="80"/>
    </row>
    <row r="45" spans="1:35" x14ac:dyDescent="0.2">
      <c r="A45" s="1462">
        <v>37</v>
      </c>
      <c r="B45" s="1097" t="s">
        <v>241</v>
      </c>
      <c r="C45" s="1185">
        <v>313</v>
      </c>
      <c r="D45" s="1114">
        <v>43502550</v>
      </c>
      <c r="E45" s="1186">
        <v>0</v>
      </c>
      <c r="F45" s="1463">
        <v>450000</v>
      </c>
      <c r="G45" s="1098" t="s">
        <v>960</v>
      </c>
      <c r="H45" s="1099" t="s">
        <v>839</v>
      </c>
      <c r="I45" s="1100"/>
      <c r="J45" s="1099"/>
      <c r="K45" s="1099"/>
      <c r="L45" s="1100"/>
      <c r="M45" s="1793" t="s">
        <v>932</v>
      </c>
      <c r="N45" s="1706" t="s">
        <v>941</v>
      </c>
      <c r="O45" s="80"/>
      <c r="P45" s="239" t="s">
        <v>318</v>
      </c>
      <c r="Q45" s="119">
        <v>471000</v>
      </c>
      <c r="R45" s="239"/>
      <c r="S45" s="114">
        <v>0</v>
      </c>
      <c r="T45" s="240"/>
      <c r="U45" s="115">
        <v>0</v>
      </c>
      <c r="V45" s="884"/>
      <c r="W45" s="874">
        <v>0</v>
      </c>
      <c r="X45" s="884"/>
      <c r="Y45" s="874">
        <v>0</v>
      </c>
      <c r="Z45" s="241"/>
      <c r="AA45" s="116">
        <v>0</v>
      </c>
      <c r="AB45" s="239"/>
      <c r="AC45" s="116">
        <v>0</v>
      </c>
      <c r="AD45" s="242"/>
      <c r="AE45" s="117">
        <v>0</v>
      </c>
      <c r="AF45" s="1228">
        <v>0</v>
      </c>
      <c r="AG45" s="1228">
        <v>0</v>
      </c>
      <c r="AH45" s="1229">
        <v>470000</v>
      </c>
      <c r="AI45" s="80"/>
    </row>
    <row r="46" spans="1:35" x14ac:dyDescent="0.2">
      <c r="A46" s="1462">
        <v>38</v>
      </c>
      <c r="B46" s="1097" t="s">
        <v>273</v>
      </c>
      <c r="C46" s="1185">
        <v>324</v>
      </c>
      <c r="D46" s="1114">
        <v>43221128</v>
      </c>
      <c r="E46" s="1186">
        <v>9</v>
      </c>
      <c r="F46" s="1463">
        <v>320000</v>
      </c>
      <c r="G46" s="1098" t="s">
        <v>961</v>
      </c>
      <c r="H46" s="1099" t="s">
        <v>761</v>
      </c>
      <c r="I46" s="1100">
        <v>45957</v>
      </c>
      <c r="J46" s="1099" t="s">
        <v>453</v>
      </c>
      <c r="K46" s="1099" t="s">
        <v>762</v>
      </c>
      <c r="L46" s="1100">
        <v>45957</v>
      </c>
      <c r="M46" s="1793" t="s">
        <v>932</v>
      </c>
      <c r="N46" s="1706"/>
      <c r="O46" s="80"/>
      <c r="P46" s="239" t="s">
        <v>318</v>
      </c>
      <c r="Q46" s="119">
        <v>316000</v>
      </c>
      <c r="R46" s="239"/>
      <c r="S46" s="114">
        <v>0</v>
      </c>
      <c r="T46" s="240"/>
      <c r="U46" s="115">
        <v>0</v>
      </c>
      <c r="V46" s="884"/>
      <c r="W46" s="874">
        <v>0</v>
      </c>
      <c r="X46" s="884"/>
      <c r="Y46" s="874">
        <v>0</v>
      </c>
      <c r="Z46" s="241"/>
      <c r="AA46" s="116">
        <v>0</v>
      </c>
      <c r="AB46" s="239"/>
      <c r="AC46" s="116">
        <v>0</v>
      </c>
      <c r="AD46" s="242"/>
      <c r="AE46" s="117">
        <v>0</v>
      </c>
      <c r="AF46" s="1228">
        <v>0</v>
      </c>
      <c r="AG46" s="1228">
        <v>0</v>
      </c>
      <c r="AH46" s="1229">
        <v>320000</v>
      </c>
      <c r="AI46" s="80"/>
    </row>
    <row r="47" spans="1:35" x14ac:dyDescent="0.2">
      <c r="A47" s="1462">
        <v>39</v>
      </c>
      <c r="B47" s="1097" t="s">
        <v>428</v>
      </c>
      <c r="C47" s="1185">
        <v>340</v>
      </c>
      <c r="D47" s="1114">
        <v>8215384</v>
      </c>
      <c r="E47" s="1186">
        <v>6</v>
      </c>
      <c r="F47" s="1463">
        <v>200000</v>
      </c>
      <c r="G47" s="1098" t="s">
        <v>926</v>
      </c>
      <c r="H47" s="1099" t="s">
        <v>764</v>
      </c>
      <c r="I47" s="1100" t="s">
        <v>834</v>
      </c>
      <c r="J47" s="1099" t="s">
        <v>453</v>
      </c>
      <c r="K47" s="1099" t="s">
        <v>765</v>
      </c>
      <c r="L47" s="1798" t="s">
        <v>790</v>
      </c>
      <c r="M47" s="1101"/>
      <c r="N47" s="1706"/>
      <c r="O47" s="80"/>
      <c r="P47" s="239" t="s">
        <v>318</v>
      </c>
      <c r="Q47" s="119">
        <v>230000</v>
      </c>
      <c r="R47" s="239"/>
      <c r="S47" s="114">
        <v>0</v>
      </c>
      <c r="T47" s="240"/>
      <c r="U47" s="115">
        <v>0</v>
      </c>
      <c r="V47" s="884"/>
      <c r="W47" s="874">
        <v>0</v>
      </c>
      <c r="X47" s="884"/>
      <c r="Y47" s="874">
        <v>0</v>
      </c>
      <c r="Z47" s="241"/>
      <c r="AA47" s="116">
        <v>0</v>
      </c>
      <c r="AB47" s="239"/>
      <c r="AC47" s="116">
        <v>0</v>
      </c>
      <c r="AD47" s="242"/>
      <c r="AE47" s="117">
        <v>0</v>
      </c>
      <c r="AF47" s="1228">
        <v>0</v>
      </c>
      <c r="AG47" s="1228">
        <v>0</v>
      </c>
      <c r="AH47" s="1229">
        <v>230000</v>
      </c>
      <c r="AI47" s="80"/>
    </row>
    <row r="48" spans="1:35" x14ac:dyDescent="0.2">
      <c r="A48" s="1462">
        <v>40</v>
      </c>
      <c r="B48" s="1097" t="s">
        <v>429</v>
      </c>
      <c r="C48" s="1185">
        <v>349</v>
      </c>
      <c r="D48" s="1114">
        <v>75072481</v>
      </c>
      <c r="E48" s="1186">
        <v>0</v>
      </c>
      <c r="F48" s="1463">
        <v>880000</v>
      </c>
      <c r="G48" s="1098" t="s">
        <v>991</v>
      </c>
      <c r="H48" s="1099" t="s">
        <v>760</v>
      </c>
      <c r="I48" s="1100">
        <v>45944</v>
      </c>
      <c r="J48" s="1099" t="s">
        <v>453</v>
      </c>
      <c r="K48" s="1099" t="s">
        <v>762</v>
      </c>
      <c r="L48" s="1100">
        <v>45955</v>
      </c>
      <c r="M48" s="1101"/>
      <c r="N48" s="1706"/>
      <c r="O48" s="80"/>
      <c r="P48" s="239" t="s">
        <v>318</v>
      </c>
      <c r="Q48" s="119">
        <v>884000</v>
      </c>
      <c r="R48" s="239"/>
      <c r="S48" s="114">
        <v>0</v>
      </c>
      <c r="T48" s="240"/>
      <c r="U48" s="115">
        <v>0</v>
      </c>
      <c r="V48" s="884"/>
      <c r="W48" s="874">
        <v>0</v>
      </c>
      <c r="X48" s="884"/>
      <c r="Y48" s="874">
        <v>0</v>
      </c>
      <c r="Z48" s="241"/>
      <c r="AA48" s="116">
        <v>0</v>
      </c>
      <c r="AB48" s="239"/>
      <c r="AC48" s="116">
        <v>0</v>
      </c>
      <c r="AD48" s="242"/>
      <c r="AE48" s="117">
        <v>0</v>
      </c>
      <c r="AF48" s="1228">
        <v>0</v>
      </c>
      <c r="AG48" s="1228">
        <v>0</v>
      </c>
      <c r="AH48" s="1229">
        <v>880000</v>
      </c>
      <c r="AI48" s="80"/>
    </row>
    <row r="49" spans="1:36" x14ac:dyDescent="0.2">
      <c r="A49" s="1462">
        <v>41</v>
      </c>
      <c r="B49" s="1097" t="s">
        <v>40</v>
      </c>
      <c r="C49" s="1185">
        <v>299</v>
      </c>
      <c r="D49" s="1114">
        <v>8105540</v>
      </c>
      <c r="E49" s="1186">
        <v>7</v>
      </c>
      <c r="F49" s="1463">
        <v>320000</v>
      </c>
      <c r="G49" s="1098" t="s">
        <v>961</v>
      </c>
      <c r="H49" s="1099" t="s">
        <v>760</v>
      </c>
      <c r="I49" s="1100">
        <v>45944</v>
      </c>
      <c r="J49" s="1099" t="s">
        <v>453</v>
      </c>
      <c r="K49" s="1099" t="s">
        <v>762</v>
      </c>
      <c r="L49" s="1100">
        <v>45955</v>
      </c>
      <c r="M49" s="1793" t="s">
        <v>932</v>
      </c>
      <c r="N49" s="1706"/>
      <c r="O49" s="80"/>
      <c r="P49" s="239" t="s">
        <v>318</v>
      </c>
      <c r="Q49" s="119">
        <v>316000</v>
      </c>
      <c r="R49" s="239"/>
      <c r="S49" s="114">
        <v>0</v>
      </c>
      <c r="T49" s="240"/>
      <c r="U49" s="115">
        <v>0</v>
      </c>
      <c r="V49" s="884"/>
      <c r="W49" s="874">
        <v>0</v>
      </c>
      <c r="X49" s="884"/>
      <c r="Y49" s="874">
        <v>0</v>
      </c>
      <c r="Z49" s="241"/>
      <c r="AA49" s="116">
        <v>0</v>
      </c>
      <c r="AB49" s="239"/>
      <c r="AC49" s="116">
        <v>0</v>
      </c>
      <c r="AD49" s="242"/>
      <c r="AE49" s="117">
        <v>0</v>
      </c>
      <c r="AF49" s="1228">
        <v>0</v>
      </c>
      <c r="AG49" s="1228">
        <v>0</v>
      </c>
      <c r="AH49" s="1229">
        <v>320000</v>
      </c>
      <c r="AI49" s="80"/>
    </row>
    <row r="50" spans="1:36" x14ac:dyDescent="0.2">
      <c r="A50" s="1462">
        <v>42</v>
      </c>
      <c r="B50" s="1097" t="s">
        <v>39</v>
      </c>
      <c r="C50" s="1185">
        <v>295</v>
      </c>
      <c r="D50" s="1114">
        <v>10059375</v>
      </c>
      <c r="E50" s="1186">
        <v>8</v>
      </c>
      <c r="F50" s="1463">
        <v>570000</v>
      </c>
      <c r="G50" s="1098" t="s">
        <v>999</v>
      </c>
      <c r="H50" s="1099" t="s">
        <v>761</v>
      </c>
      <c r="I50" s="1100">
        <v>45959</v>
      </c>
      <c r="J50" s="1099" t="s">
        <v>453</v>
      </c>
      <c r="K50" s="1099" t="s">
        <v>762</v>
      </c>
      <c r="L50" s="1100">
        <v>45959</v>
      </c>
      <c r="M50" s="1101"/>
      <c r="N50" s="1706"/>
      <c r="O50" s="80"/>
      <c r="P50" s="239" t="s">
        <v>318</v>
      </c>
      <c r="Q50" s="119">
        <v>442000</v>
      </c>
      <c r="R50" s="239"/>
      <c r="S50" s="114">
        <v>0</v>
      </c>
      <c r="T50" s="240"/>
      <c r="U50" s="115">
        <v>0</v>
      </c>
      <c r="V50" s="884"/>
      <c r="W50" s="874">
        <v>0</v>
      </c>
      <c r="X50" s="884"/>
      <c r="Y50" s="874">
        <v>0</v>
      </c>
      <c r="Z50" s="241"/>
      <c r="AA50" s="116">
        <v>0</v>
      </c>
      <c r="AB50" s="239"/>
      <c r="AC50" s="116">
        <v>0</v>
      </c>
      <c r="AD50" s="242" t="s">
        <v>318</v>
      </c>
      <c r="AE50" s="117">
        <v>132600</v>
      </c>
      <c r="AF50" s="1228">
        <v>0</v>
      </c>
      <c r="AG50" s="1228">
        <v>0</v>
      </c>
      <c r="AH50" s="1229">
        <v>570000</v>
      </c>
      <c r="AI50" s="80"/>
    </row>
    <row r="51" spans="1:36" x14ac:dyDescent="0.2">
      <c r="A51" s="1462">
        <v>43</v>
      </c>
      <c r="B51" s="1097" t="s">
        <v>42</v>
      </c>
      <c r="C51" s="1185">
        <v>272</v>
      </c>
      <c r="D51" s="1114">
        <v>43832021</v>
      </c>
      <c r="E51" s="1186">
        <v>1</v>
      </c>
      <c r="F51" s="1463">
        <v>350000</v>
      </c>
      <c r="G51" s="1098" t="s">
        <v>962</v>
      </c>
      <c r="H51" s="1099" t="s">
        <v>760</v>
      </c>
      <c r="I51" s="1100">
        <v>45944</v>
      </c>
      <c r="J51" s="1099" t="s">
        <v>453</v>
      </c>
      <c r="K51" s="1099" t="s">
        <v>762</v>
      </c>
      <c r="L51" s="1100">
        <v>45950</v>
      </c>
      <c r="M51" s="1793" t="s">
        <v>932</v>
      </c>
      <c r="N51" s="1706"/>
      <c r="O51" s="80"/>
      <c r="P51" s="239" t="s">
        <v>318</v>
      </c>
      <c r="Q51" s="119">
        <v>345000</v>
      </c>
      <c r="R51" s="239"/>
      <c r="S51" s="114">
        <v>0</v>
      </c>
      <c r="T51" s="240"/>
      <c r="U51" s="115">
        <v>0</v>
      </c>
      <c r="V51" s="884"/>
      <c r="W51" s="874">
        <v>0</v>
      </c>
      <c r="X51" s="884"/>
      <c r="Y51" s="874">
        <v>0</v>
      </c>
      <c r="Z51" s="241"/>
      <c r="AA51" s="116">
        <v>0</v>
      </c>
      <c r="AB51" s="239"/>
      <c r="AC51" s="116">
        <v>0</v>
      </c>
      <c r="AD51" s="242"/>
      <c r="AE51" s="117">
        <v>0</v>
      </c>
      <c r="AF51" s="1228">
        <v>0</v>
      </c>
      <c r="AG51" s="1228">
        <v>0</v>
      </c>
      <c r="AH51" s="1229">
        <v>350000</v>
      </c>
      <c r="AI51" s="80"/>
    </row>
    <row r="52" spans="1:36" x14ac:dyDescent="0.2">
      <c r="A52" s="1462">
        <v>44</v>
      </c>
      <c r="B52" s="1097" t="s">
        <v>43</v>
      </c>
      <c r="C52" s="1185">
        <v>83</v>
      </c>
      <c r="D52" s="1114">
        <v>42684082</v>
      </c>
      <c r="E52" s="1186">
        <v>1</v>
      </c>
      <c r="F52" s="1463">
        <v>660000</v>
      </c>
      <c r="G52" s="1098" t="s">
        <v>993</v>
      </c>
      <c r="H52" s="1099" t="s">
        <v>760</v>
      </c>
      <c r="I52" s="1100">
        <v>45944</v>
      </c>
      <c r="J52" s="1099"/>
      <c r="K52" s="1099"/>
      <c r="L52" s="1100"/>
      <c r="M52" s="1101"/>
      <c r="N52" s="1706"/>
      <c r="O52" s="80"/>
      <c r="P52" s="239" t="s">
        <v>318</v>
      </c>
      <c r="Q52" s="119">
        <v>655000</v>
      </c>
      <c r="R52" s="239"/>
      <c r="S52" s="114">
        <v>0</v>
      </c>
      <c r="T52" s="240"/>
      <c r="U52" s="115">
        <v>0</v>
      </c>
      <c r="V52" s="884"/>
      <c r="W52" s="874">
        <v>0</v>
      </c>
      <c r="X52" s="884"/>
      <c r="Y52" s="874">
        <v>0</v>
      </c>
      <c r="Z52" s="241"/>
      <c r="AA52" s="116">
        <v>0</v>
      </c>
      <c r="AB52" s="239"/>
      <c r="AC52" s="116">
        <v>0</v>
      </c>
      <c r="AD52" s="242"/>
      <c r="AE52" s="117">
        <v>0</v>
      </c>
      <c r="AF52" s="1228">
        <v>0</v>
      </c>
      <c r="AG52" s="1228">
        <v>0</v>
      </c>
      <c r="AH52" s="1229">
        <v>660000</v>
      </c>
      <c r="AI52" s="80"/>
    </row>
    <row r="53" spans="1:36" x14ac:dyDescent="0.2">
      <c r="A53" s="1462">
        <v>45</v>
      </c>
      <c r="B53" s="1097" t="s">
        <v>44</v>
      </c>
      <c r="C53" s="1185">
        <v>84</v>
      </c>
      <c r="D53" s="1114">
        <v>3309812</v>
      </c>
      <c r="E53" s="1186">
        <v>3</v>
      </c>
      <c r="F53" s="1463">
        <v>330000</v>
      </c>
      <c r="G53" s="1098" t="s">
        <v>963</v>
      </c>
      <c r="H53" s="1099" t="s">
        <v>760</v>
      </c>
      <c r="I53" s="1100">
        <v>45944</v>
      </c>
      <c r="J53" s="1099"/>
      <c r="K53" s="1099"/>
      <c r="L53" s="1100"/>
      <c r="M53" s="1793" t="s">
        <v>937</v>
      </c>
      <c r="N53" s="1706"/>
      <c r="O53" s="80"/>
      <c r="P53" s="239" t="s">
        <v>318</v>
      </c>
      <c r="Q53" s="119">
        <v>333000</v>
      </c>
      <c r="R53" s="239"/>
      <c r="S53" s="114">
        <v>0</v>
      </c>
      <c r="T53" s="240"/>
      <c r="U53" s="115">
        <v>0</v>
      </c>
      <c r="V53" s="884"/>
      <c r="W53" s="874">
        <v>0</v>
      </c>
      <c r="X53" s="884"/>
      <c r="Y53" s="874">
        <v>0</v>
      </c>
      <c r="Z53" s="241"/>
      <c r="AA53" s="116">
        <v>0</v>
      </c>
      <c r="AB53" s="239"/>
      <c r="AC53" s="116">
        <v>0</v>
      </c>
      <c r="AD53" s="242"/>
      <c r="AE53" s="117">
        <v>0</v>
      </c>
      <c r="AF53" s="1228">
        <v>0</v>
      </c>
      <c r="AG53" s="1228">
        <v>0</v>
      </c>
      <c r="AH53" s="1229">
        <v>330000</v>
      </c>
      <c r="AI53" s="80"/>
    </row>
    <row r="54" spans="1:36" x14ac:dyDescent="0.2">
      <c r="A54" s="1462">
        <v>46</v>
      </c>
      <c r="B54" s="1097" t="s">
        <v>313</v>
      </c>
      <c r="C54" s="1185">
        <v>329</v>
      </c>
      <c r="D54" s="1114">
        <v>21344340</v>
      </c>
      <c r="E54" s="1186">
        <v>2</v>
      </c>
      <c r="F54" s="1463">
        <v>330000</v>
      </c>
      <c r="G54" s="1098" t="s">
        <v>964</v>
      </c>
      <c r="H54" s="1099" t="s">
        <v>760</v>
      </c>
      <c r="I54" s="1100">
        <v>45944</v>
      </c>
      <c r="J54" s="1099"/>
      <c r="K54" s="1099"/>
      <c r="L54" s="1100"/>
      <c r="M54" s="1793" t="s">
        <v>937</v>
      </c>
      <c r="N54" s="1706"/>
      <c r="O54" s="80"/>
      <c r="P54" s="239" t="s">
        <v>318</v>
      </c>
      <c r="Q54" s="119">
        <v>333000</v>
      </c>
      <c r="R54" s="239"/>
      <c r="S54" s="114">
        <v>0</v>
      </c>
      <c r="T54" s="240"/>
      <c r="U54" s="115">
        <v>0</v>
      </c>
      <c r="V54" s="884"/>
      <c r="W54" s="874">
        <v>0</v>
      </c>
      <c r="X54" s="884"/>
      <c r="Y54" s="874">
        <v>0</v>
      </c>
      <c r="Z54" s="241"/>
      <c r="AA54" s="116">
        <v>0</v>
      </c>
      <c r="AB54" s="239"/>
      <c r="AC54" s="116">
        <v>0</v>
      </c>
      <c r="AD54" s="242"/>
      <c r="AE54" s="117">
        <v>0</v>
      </c>
      <c r="AF54" s="1228">
        <v>0</v>
      </c>
      <c r="AG54" s="1228">
        <v>0</v>
      </c>
      <c r="AH54" s="1229">
        <v>330000</v>
      </c>
      <c r="AI54" s="80"/>
    </row>
    <row r="55" spans="1:36" x14ac:dyDescent="0.2">
      <c r="A55" s="1462">
        <v>47</v>
      </c>
      <c r="B55" s="1097" t="s">
        <v>432</v>
      </c>
      <c r="C55" s="1185">
        <v>85</v>
      </c>
      <c r="D55" s="1114">
        <v>42888678</v>
      </c>
      <c r="E55" s="1186">
        <v>7</v>
      </c>
      <c r="F55" s="1463">
        <v>610000</v>
      </c>
      <c r="G55" s="1098" t="s">
        <v>1004</v>
      </c>
      <c r="H55" s="1099" t="s">
        <v>761</v>
      </c>
      <c r="I55" s="1100">
        <v>45959</v>
      </c>
      <c r="J55" s="1099"/>
      <c r="K55" s="1099"/>
      <c r="L55" s="1100"/>
      <c r="M55" s="1795"/>
      <c r="N55" s="1706"/>
      <c r="O55" s="80"/>
      <c r="P55" s="239" t="s">
        <v>318</v>
      </c>
      <c r="Q55" s="119">
        <v>471000</v>
      </c>
      <c r="R55" s="239"/>
      <c r="S55" s="114">
        <v>0</v>
      </c>
      <c r="T55" s="240"/>
      <c r="U55" s="115">
        <v>0</v>
      </c>
      <c r="V55" s="884"/>
      <c r="W55" s="874">
        <v>0</v>
      </c>
      <c r="X55" s="884"/>
      <c r="Y55" s="874">
        <v>0</v>
      </c>
      <c r="Z55" s="241"/>
      <c r="AA55" s="116">
        <v>0</v>
      </c>
      <c r="AB55" s="239"/>
      <c r="AC55" s="116">
        <v>0</v>
      </c>
      <c r="AD55" s="242" t="s">
        <v>318</v>
      </c>
      <c r="AE55" s="117">
        <v>141300</v>
      </c>
      <c r="AF55" s="1228">
        <v>0</v>
      </c>
      <c r="AG55" s="1228">
        <v>0</v>
      </c>
      <c r="AH55" s="1229">
        <v>610000</v>
      </c>
      <c r="AI55" s="80"/>
    </row>
    <row r="56" spans="1:36" x14ac:dyDescent="0.2">
      <c r="A56" s="1462">
        <v>48</v>
      </c>
      <c r="B56" s="1097" t="s">
        <v>46</v>
      </c>
      <c r="C56" s="1185">
        <v>273</v>
      </c>
      <c r="D56" s="1114">
        <v>43870119</v>
      </c>
      <c r="E56" s="1186">
        <v>6</v>
      </c>
      <c r="F56" s="1463">
        <v>610000</v>
      </c>
      <c r="G56" s="1098" t="s">
        <v>965</v>
      </c>
      <c r="H56" s="1099" t="s">
        <v>839</v>
      </c>
      <c r="I56" s="1100"/>
      <c r="J56" s="1099"/>
      <c r="K56" s="1099"/>
      <c r="L56" s="1100"/>
      <c r="M56" s="1793" t="s">
        <v>932</v>
      </c>
      <c r="N56" s="1706"/>
      <c r="O56" s="80"/>
      <c r="P56" s="239" t="s">
        <v>318</v>
      </c>
      <c r="Q56" s="119">
        <v>609000</v>
      </c>
      <c r="R56" s="239"/>
      <c r="S56" s="114">
        <v>0</v>
      </c>
      <c r="T56" s="240"/>
      <c r="U56" s="115">
        <v>0</v>
      </c>
      <c r="V56" s="884"/>
      <c r="W56" s="874">
        <v>0</v>
      </c>
      <c r="X56" s="884"/>
      <c r="Y56" s="874">
        <v>0</v>
      </c>
      <c r="Z56" s="241"/>
      <c r="AA56" s="116">
        <v>0</v>
      </c>
      <c r="AB56" s="239"/>
      <c r="AC56" s="116">
        <v>0</v>
      </c>
      <c r="AD56" s="242"/>
      <c r="AE56" s="117">
        <v>0</v>
      </c>
      <c r="AF56" s="1228">
        <v>0</v>
      </c>
      <c r="AG56" s="1228">
        <v>0</v>
      </c>
      <c r="AH56" s="1229">
        <v>610000</v>
      </c>
      <c r="AI56" s="80"/>
    </row>
    <row r="57" spans="1:36" x14ac:dyDescent="0.2">
      <c r="A57" s="1462">
        <v>49</v>
      </c>
      <c r="B57" s="1097" t="s">
        <v>47</v>
      </c>
      <c r="C57" s="1185">
        <v>87</v>
      </c>
      <c r="D57" s="1114">
        <v>1000410740</v>
      </c>
      <c r="E57" s="1186">
        <v>2</v>
      </c>
      <c r="F57" s="1800">
        <v>0</v>
      </c>
      <c r="G57" s="1801"/>
      <c r="H57" s="1805" t="s">
        <v>1085</v>
      </c>
      <c r="I57" s="1100"/>
      <c r="J57" s="1099"/>
      <c r="K57" s="1099"/>
      <c r="L57" s="1100"/>
      <c r="M57" s="1101"/>
      <c r="N57" s="1708"/>
      <c r="O57" s="80"/>
      <c r="P57" s="239" t="s">
        <v>266</v>
      </c>
      <c r="Q57" s="119">
        <v>0</v>
      </c>
      <c r="R57" s="239"/>
      <c r="S57" s="114">
        <v>0</v>
      </c>
      <c r="T57" s="240"/>
      <c r="U57" s="115">
        <v>0</v>
      </c>
      <c r="V57" s="884"/>
      <c r="W57" s="874">
        <v>0</v>
      </c>
      <c r="X57" s="884"/>
      <c r="Y57" s="874">
        <v>0</v>
      </c>
      <c r="Z57" s="241"/>
      <c r="AA57" s="116">
        <v>0</v>
      </c>
      <c r="AB57" s="239"/>
      <c r="AC57" s="116">
        <v>0</v>
      </c>
      <c r="AD57" s="242"/>
      <c r="AE57" s="117">
        <v>0</v>
      </c>
      <c r="AF57" s="1228">
        <v>0</v>
      </c>
      <c r="AG57" s="1228">
        <v>0</v>
      </c>
      <c r="AH57" s="1229">
        <v>0</v>
      </c>
      <c r="AI57" s="80"/>
    </row>
    <row r="58" spans="1:36" x14ac:dyDescent="0.2">
      <c r="A58" s="1462">
        <v>50</v>
      </c>
      <c r="B58" s="1791" t="s">
        <v>48</v>
      </c>
      <c r="C58" s="1185">
        <v>88</v>
      </c>
      <c r="D58" s="1114">
        <v>1017922378</v>
      </c>
      <c r="E58" s="1186">
        <v>8</v>
      </c>
      <c r="F58" s="1463">
        <v>560000</v>
      </c>
      <c r="G58" s="1098" t="s">
        <v>955</v>
      </c>
      <c r="H58" s="1099" t="s">
        <v>760</v>
      </c>
      <c r="I58" s="1100">
        <v>45944</v>
      </c>
      <c r="J58" s="1099" t="s">
        <v>453</v>
      </c>
      <c r="K58" s="1099" t="s">
        <v>762</v>
      </c>
      <c r="L58" s="1100">
        <v>45946</v>
      </c>
      <c r="M58" s="1101"/>
      <c r="N58" s="1708"/>
      <c r="O58" s="80"/>
      <c r="P58" s="239" t="s">
        <v>318</v>
      </c>
      <c r="Q58" s="119">
        <v>431000</v>
      </c>
      <c r="R58" s="239"/>
      <c r="S58" s="114">
        <v>0</v>
      </c>
      <c r="T58" s="240"/>
      <c r="U58" s="115">
        <v>0</v>
      </c>
      <c r="V58" s="884"/>
      <c r="W58" s="874">
        <v>0</v>
      </c>
      <c r="X58" s="884"/>
      <c r="Y58" s="874">
        <v>0</v>
      </c>
      <c r="Z58" s="241"/>
      <c r="AA58" s="116">
        <v>0</v>
      </c>
      <c r="AB58" s="239"/>
      <c r="AC58" s="116">
        <v>0</v>
      </c>
      <c r="AD58" s="242" t="s">
        <v>318</v>
      </c>
      <c r="AE58" s="117">
        <v>129300</v>
      </c>
      <c r="AF58" s="1228">
        <v>0</v>
      </c>
      <c r="AG58" s="1228">
        <v>0</v>
      </c>
      <c r="AH58" s="1229">
        <v>560000</v>
      </c>
      <c r="AI58" s="80"/>
    </row>
    <row r="59" spans="1:36" x14ac:dyDescent="0.2">
      <c r="A59" s="1462">
        <v>51</v>
      </c>
      <c r="B59" s="1097" t="s">
        <v>774</v>
      </c>
      <c r="C59" s="1185">
        <v>309</v>
      </c>
      <c r="D59" s="1114">
        <v>42780425</v>
      </c>
      <c r="E59" s="1186">
        <v>5</v>
      </c>
      <c r="F59" s="1463">
        <v>160000</v>
      </c>
      <c r="G59" s="1362" t="s">
        <v>966</v>
      </c>
      <c r="H59" s="1099" t="s">
        <v>761</v>
      </c>
      <c r="I59" s="1100">
        <v>45957</v>
      </c>
      <c r="J59" s="1099"/>
      <c r="K59" s="1099"/>
      <c r="L59" s="1100"/>
      <c r="M59" s="1793" t="s">
        <v>932</v>
      </c>
      <c r="N59" s="1708"/>
      <c r="O59" s="80"/>
      <c r="P59" s="239" t="s">
        <v>318</v>
      </c>
      <c r="Q59" s="119">
        <v>158000</v>
      </c>
      <c r="R59" s="239"/>
      <c r="S59" s="114">
        <v>0</v>
      </c>
      <c r="T59" s="240"/>
      <c r="U59" s="115">
        <v>0</v>
      </c>
      <c r="V59" s="884"/>
      <c r="W59" s="874">
        <v>0</v>
      </c>
      <c r="X59" s="884"/>
      <c r="Y59" s="874">
        <v>0</v>
      </c>
      <c r="Z59" s="241"/>
      <c r="AA59" s="116">
        <v>0</v>
      </c>
      <c r="AB59" s="239"/>
      <c r="AC59" s="116">
        <v>0</v>
      </c>
      <c r="AD59" s="242"/>
      <c r="AE59" s="117">
        <v>0</v>
      </c>
      <c r="AF59" s="1228">
        <v>0</v>
      </c>
      <c r="AG59" s="1228">
        <v>0</v>
      </c>
      <c r="AH59" s="1229">
        <v>160000</v>
      </c>
      <c r="AI59" s="80"/>
    </row>
    <row r="60" spans="1:36" x14ac:dyDescent="0.2">
      <c r="A60" s="1462">
        <v>52</v>
      </c>
      <c r="B60" s="1137" t="s">
        <v>657</v>
      </c>
      <c r="C60" s="1185">
        <v>244</v>
      </c>
      <c r="D60" s="1114">
        <v>71227472</v>
      </c>
      <c r="E60" s="1186">
        <v>7</v>
      </c>
      <c r="F60" s="1463">
        <v>290000</v>
      </c>
      <c r="G60" s="1098" t="s">
        <v>1005</v>
      </c>
      <c r="H60" s="1805" t="s">
        <v>1085</v>
      </c>
      <c r="I60" s="1100"/>
      <c r="J60" s="1099"/>
      <c r="K60" s="1099"/>
      <c r="L60" s="1100"/>
      <c r="M60" s="1101"/>
      <c r="N60" s="1706"/>
      <c r="O60" s="80"/>
      <c r="P60" s="239" t="s">
        <v>318</v>
      </c>
      <c r="Q60" s="119">
        <v>287000</v>
      </c>
      <c r="R60" s="239"/>
      <c r="S60" s="114">
        <v>0</v>
      </c>
      <c r="T60" s="240"/>
      <c r="U60" s="115">
        <v>0</v>
      </c>
      <c r="V60" s="884"/>
      <c r="W60" s="874">
        <v>0</v>
      </c>
      <c r="X60" s="884"/>
      <c r="Y60" s="874">
        <v>0</v>
      </c>
      <c r="Z60" s="241"/>
      <c r="AA60" s="116">
        <v>0</v>
      </c>
      <c r="AB60" s="239"/>
      <c r="AC60" s="116">
        <v>0</v>
      </c>
      <c r="AD60" s="242"/>
      <c r="AE60" s="117">
        <v>0</v>
      </c>
      <c r="AF60" s="1228">
        <v>0</v>
      </c>
      <c r="AG60" s="1228">
        <v>0</v>
      </c>
      <c r="AH60" s="1229">
        <v>290000</v>
      </c>
      <c r="AI60" s="80"/>
    </row>
    <row r="61" spans="1:36" x14ac:dyDescent="0.2">
      <c r="A61" s="1462">
        <v>53</v>
      </c>
      <c r="B61" s="1097" t="s">
        <v>52</v>
      </c>
      <c r="C61" s="1185">
        <v>91</v>
      </c>
      <c r="D61" s="1114">
        <v>71639489</v>
      </c>
      <c r="E61" s="1186">
        <v>1</v>
      </c>
      <c r="F61" s="1463">
        <v>350000</v>
      </c>
      <c r="G61" s="1098" t="s">
        <v>1006</v>
      </c>
      <c r="H61" s="1099" t="s">
        <v>761</v>
      </c>
      <c r="I61" s="1100">
        <v>45957</v>
      </c>
      <c r="J61" s="1099"/>
      <c r="K61" s="1099"/>
      <c r="L61" s="1100"/>
      <c r="M61" s="1101"/>
      <c r="N61" s="1706"/>
      <c r="O61" s="80"/>
      <c r="P61" s="239" t="s">
        <v>318</v>
      </c>
      <c r="Q61" s="119">
        <v>345000</v>
      </c>
      <c r="R61" s="239"/>
      <c r="S61" s="114">
        <v>0</v>
      </c>
      <c r="T61" s="240"/>
      <c r="U61" s="115">
        <v>0</v>
      </c>
      <c r="V61" s="884"/>
      <c r="W61" s="874">
        <v>0</v>
      </c>
      <c r="X61" s="884"/>
      <c r="Y61" s="874">
        <v>0</v>
      </c>
      <c r="Z61" s="241"/>
      <c r="AA61" s="116">
        <v>0</v>
      </c>
      <c r="AB61" s="239"/>
      <c r="AC61" s="116">
        <v>0</v>
      </c>
      <c r="AD61" s="242"/>
      <c r="AE61" s="117">
        <v>0</v>
      </c>
      <c r="AF61" s="1228">
        <v>0</v>
      </c>
      <c r="AG61" s="1228">
        <v>0</v>
      </c>
      <c r="AH61" s="1229">
        <v>350000</v>
      </c>
      <c r="AI61" s="80"/>
    </row>
    <row r="62" spans="1:36" x14ac:dyDescent="0.2">
      <c r="A62" s="1472">
        <v>54</v>
      </c>
      <c r="B62" s="1694" t="s">
        <v>53</v>
      </c>
      <c r="C62" s="1686">
        <v>222</v>
      </c>
      <c r="D62" s="1796">
        <v>8268050</v>
      </c>
      <c r="E62" s="1685">
        <v>9</v>
      </c>
      <c r="F62" s="1463">
        <v>4880000</v>
      </c>
      <c r="G62" s="1786" t="s">
        <v>967</v>
      </c>
      <c r="H62" s="1805" t="s">
        <v>1085</v>
      </c>
      <c r="I62" s="1788"/>
      <c r="J62" s="1787"/>
      <c r="K62" s="1787"/>
      <c r="L62" s="1789"/>
      <c r="M62" s="1797"/>
      <c r="N62" s="1790" t="s">
        <v>942</v>
      </c>
      <c r="O62" s="80"/>
      <c r="P62" s="239" t="s">
        <v>318</v>
      </c>
      <c r="Q62" s="119">
        <v>1913000</v>
      </c>
      <c r="R62" s="239" t="s">
        <v>318</v>
      </c>
      <c r="S62" s="114">
        <v>957000</v>
      </c>
      <c r="T62" s="240" t="s">
        <v>318</v>
      </c>
      <c r="U62" s="115">
        <v>1435000</v>
      </c>
      <c r="V62" s="884"/>
      <c r="W62" s="874">
        <v>0</v>
      </c>
      <c r="X62" s="884"/>
      <c r="Y62" s="874">
        <v>0</v>
      </c>
      <c r="Z62" s="241"/>
      <c r="AA62" s="116">
        <v>0</v>
      </c>
      <c r="AB62" s="239"/>
      <c r="AC62" s="116">
        <v>0</v>
      </c>
      <c r="AD62" s="242" t="s">
        <v>318</v>
      </c>
      <c r="AE62" s="117">
        <v>573900</v>
      </c>
      <c r="AF62" s="1228">
        <v>0</v>
      </c>
      <c r="AG62" s="1228">
        <v>0</v>
      </c>
      <c r="AH62" s="1229">
        <v>4880000</v>
      </c>
      <c r="AI62" s="80"/>
      <c r="AJ62" s="498"/>
    </row>
    <row r="63" spans="1:36" x14ac:dyDescent="0.2">
      <c r="A63" s="1462">
        <v>55</v>
      </c>
      <c r="B63" s="1097" t="s">
        <v>54</v>
      </c>
      <c r="C63" s="1185">
        <v>92</v>
      </c>
      <c r="D63" s="1114">
        <v>6053547</v>
      </c>
      <c r="E63" s="1186">
        <v>6</v>
      </c>
      <c r="F63" s="1463">
        <v>350000</v>
      </c>
      <c r="G63" s="1098" t="s">
        <v>968</v>
      </c>
      <c r="H63" s="1099" t="s">
        <v>761</v>
      </c>
      <c r="I63" s="1100">
        <v>45957</v>
      </c>
      <c r="J63" s="1099"/>
      <c r="K63" s="1099"/>
      <c r="L63" s="1262"/>
      <c r="M63" s="1793" t="s">
        <v>932</v>
      </c>
      <c r="N63" s="1706"/>
      <c r="O63" s="80"/>
      <c r="P63" s="239" t="s">
        <v>318</v>
      </c>
      <c r="Q63" s="119">
        <v>345000</v>
      </c>
      <c r="R63" s="239"/>
      <c r="S63" s="114">
        <v>0</v>
      </c>
      <c r="T63" s="240"/>
      <c r="U63" s="115">
        <v>0</v>
      </c>
      <c r="V63" s="884"/>
      <c r="W63" s="874">
        <v>0</v>
      </c>
      <c r="X63" s="884"/>
      <c r="Y63" s="874">
        <v>0</v>
      </c>
      <c r="Z63" s="241"/>
      <c r="AA63" s="116">
        <v>0</v>
      </c>
      <c r="AB63" s="239"/>
      <c r="AC63" s="116">
        <v>0</v>
      </c>
      <c r="AD63" s="242"/>
      <c r="AE63" s="117">
        <v>0</v>
      </c>
      <c r="AF63" s="1228">
        <v>0</v>
      </c>
      <c r="AG63" s="1228">
        <v>0</v>
      </c>
      <c r="AH63" s="1229">
        <v>350000</v>
      </c>
      <c r="AI63" s="80"/>
    </row>
    <row r="64" spans="1:36" x14ac:dyDescent="0.2">
      <c r="A64" s="1462">
        <v>56</v>
      </c>
      <c r="B64" s="1097" t="s">
        <v>308</v>
      </c>
      <c r="C64" s="1185">
        <v>287</v>
      </c>
      <c r="D64" s="1114">
        <v>98661685</v>
      </c>
      <c r="E64" s="1186">
        <v>7</v>
      </c>
      <c r="F64" s="1463">
        <v>160000</v>
      </c>
      <c r="G64" s="1098" t="s">
        <v>1007</v>
      </c>
      <c r="H64" s="1099" t="s">
        <v>839</v>
      </c>
      <c r="I64" s="1100"/>
      <c r="J64" s="1099"/>
      <c r="K64" s="1099"/>
      <c r="L64" s="1262"/>
      <c r="M64" s="1101"/>
      <c r="N64" s="1706"/>
      <c r="O64" s="80"/>
      <c r="P64" s="239" t="s">
        <v>318</v>
      </c>
      <c r="Q64" s="119">
        <v>161000</v>
      </c>
      <c r="R64" s="239"/>
      <c r="S64" s="114">
        <v>0</v>
      </c>
      <c r="T64" s="240"/>
      <c r="U64" s="115">
        <v>0</v>
      </c>
      <c r="V64" s="884"/>
      <c r="W64" s="874">
        <v>0</v>
      </c>
      <c r="X64" s="884"/>
      <c r="Y64" s="874">
        <v>0</v>
      </c>
      <c r="Z64" s="241"/>
      <c r="AA64" s="116">
        <v>0</v>
      </c>
      <c r="AB64" s="239"/>
      <c r="AC64" s="116">
        <v>0</v>
      </c>
      <c r="AD64" s="242"/>
      <c r="AE64" s="117">
        <v>0</v>
      </c>
      <c r="AF64" s="1228">
        <v>0</v>
      </c>
      <c r="AG64" s="1228">
        <v>0</v>
      </c>
      <c r="AH64" s="1229">
        <v>160000</v>
      </c>
      <c r="AI64" s="80"/>
    </row>
    <row r="65" spans="1:35" x14ac:dyDescent="0.2">
      <c r="A65" s="1462">
        <v>57</v>
      </c>
      <c r="B65" s="1097" t="s">
        <v>55</v>
      </c>
      <c r="C65" s="1185">
        <v>95</v>
      </c>
      <c r="D65" s="1114">
        <v>680956579</v>
      </c>
      <c r="E65" s="1186">
        <v>2</v>
      </c>
      <c r="F65" s="1463">
        <v>1060000</v>
      </c>
      <c r="G65" s="1098" t="s">
        <v>995</v>
      </c>
      <c r="H65" s="1099" t="s">
        <v>839</v>
      </c>
      <c r="I65" s="1100"/>
      <c r="J65" s="1099"/>
      <c r="K65" s="1099"/>
      <c r="L65" s="1100"/>
      <c r="M65" s="1101"/>
      <c r="N65" s="1706"/>
      <c r="O65" s="80"/>
      <c r="P65" s="239" t="s">
        <v>318</v>
      </c>
      <c r="Q65" s="119">
        <v>816000</v>
      </c>
      <c r="R65" s="239"/>
      <c r="S65" s="114">
        <v>0</v>
      </c>
      <c r="T65" s="240"/>
      <c r="U65" s="115">
        <v>0</v>
      </c>
      <c r="V65" s="884"/>
      <c r="W65" s="874">
        <v>0</v>
      </c>
      <c r="X65" s="884"/>
      <c r="Y65" s="874">
        <v>0</v>
      </c>
      <c r="Z65" s="241"/>
      <c r="AA65" s="116">
        <v>0</v>
      </c>
      <c r="AB65" s="239"/>
      <c r="AC65" s="116">
        <v>0</v>
      </c>
      <c r="AD65" s="242" t="s">
        <v>318</v>
      </c>
      <c r="AE65" s="117">
        <v>244800</v>
      </c>
      <c r="AF65" s="1228">
        <v>0</v>
      </c>
      <c r="AG65" s="1228">
        <v>0</v>
      </c>
      <c r="AH65" s="1229">
        <v>1060000</v>
      </c>
      <c r="AI65" s="80"/>
    </row>
    <row r="66" spans="1:35" x14ac:dyDescent="0.2">
      <c r="A66" s="1462">
        <v>58</v>
      </c>
      <c r="B66" s="1097" t="s">
        <v>56</v>
      </c>
      <c r="C66" s="1185">
        <v>96</v>
      </c>
      <c r="D66" s="1114">
        <v>43747351</v>
      </c>
      <c r="E66" s="1186">
        <v>3</v>
      </c>
      <c r="F66" s="1463">
        <v>1300000</v>
      </c>
      <c r="G66" s="1098" t="s">
        <v>1130</v>
      </c>
      <c r="H66" s="1099" t="s">
        <v>839</v>
      </c>
      <c r="I66" s="1100"/>
      <c r="J66" s="1099"/>
      <c r="K66" s="1099"/>
      <c r="L66" s="1100"/>
      <c r="M66" s="1101"/>
      <c r="N66" s="1706"/>
      <c r="O66" s="80"/>
      <c r="P66" s="239" t="s">
        <v>318</v>
      </c>
      <c r="Q66" s="119">
        <v>816000</v>
      </c>
      <c r="R66" s="239"/>
      <c r="S66" s="114">
        <v>0</v>
      </c>
      <c r="T66" s="240"/>
      <c r="U66" s="115">
        <v>0</v>
      </c>
      <c r="V66" s="884"/>
      <c r="W66" s="874">
        <v>0</v>
      </c>
      <c r="X66" s="884"/>
      <c r="Y66" s="874">
        <v>0</v>
      </c>
      <c r="Z66" s="241"/>
      <c r="AA66" s="116">
        <v>0</v>
      </c>
      <c r="AB66" s="239"/>
      <c r="AC66" s="116">
        <v>0</v>
      </c>
      <c r="AD66" s="242"/>
      <c r="AE66" s="117">
        <v>0</v>
      </c>
      <c r="AF66" s="1228">
        <v>484582.99712041923</v>
      </c>
      <c r="AG66" s="1228">
        <v>0</v>
      </c>
      <c r="AH66" s="1229">
        <v>1300000</v>
      </c>
      <c r="AI66" s="80"/>
    </row>
    <row r="67" spans="1:35" x14ac:dyDescent="0.2">
      <c r="A67" s="1462">
        <v>59</v>
      </c>
      <c r="B67" s="1097" t="s">
        <v>57</v>
      </c>
      <c r="C67" s="1185">
        <v>97</v>
      </c>
      <c r="D67" s="1114">
        <v>43628330</v>
      </c>
      <c r="E67" s="1186">
        <v>9</v>
      </c>
      <c r="F67" s="1463">
        <v>1300000</v>
      </c>
      <c r="G67" s="1098" t="s">
        <v>995</v>
      </c>
      <c r="H67" s="1099" t="s">
        <v>839</v>
      </c>
      <c r="I67" s="1100"/>
      <c r="J67" s="1099"/>
      <c r="K67" s="1099"/>
      <c r="L67" s="1100"/>
      <c r="M67" s="1101"/>
      <c r="N67" s="1706"/>
      <c r="O67" s="80"/>
      <c r="P67" s="239" t="s">
        <v>318</v>
      </c>
      <c r="Q67" s="119">
        <v>816000</v>
      </c>
      <c r="R67" s="239"/>
      <c r="S67" s="114">
        <v>0</v>
      </c>
      <c r="T67" s="240"/>
      <c r="U67" s="115">
        <v>0</v>
      </c>
      <c r="V67" s="884"/>
      <c r="W67" s="874">
        <v>0</v>
      </c>
      <c r="X67" s="884"/>
      <c r="Y67" s="874">
        <v>0</v>
      </c>
      <c r="Z67" s="241"/>
      <c r="AA67" s="116">
        <v>0</v>
      </c>
      <c r="AB67" s="239"/>
      <c r="AC67" s="116">
        <v>0</v>
      </c>
      <c r="AD67" s="242"/>
      <c r="AE67" s="117">
        <v>0</v>
      </c>
      <c r="AF67" s="1228">
        <v>484582.99712041923</v>
      </c>
      <c r="AG67" s="1228">
        <v>0</v>
      </c>
      <c r="AH67" s="1229">
        <v>1300000</v>
      </c>
      <c r="AI67" s="80"/>
    </row>
    <row r="68" spans="1:35" x14ac:dyDescent="0.2">
      <c r="A68" s="1462">
        <v>60</v>
      </c>
      <c r="B68" s="1097" t="s">
        <v>58</v>
      </c>
      <c r="C68" s="1185">
        <v>98</v>
      </c>
      <c r="D68" s="1114">
        <v>43739786</v>
      </c>
      <c r="E68" s="1186">
        <v>1</v>
      </c>
      <c r="F68" s="1463">
        <v>820000</v>
      </c>
      <c r="G68" s="1098" t="s">
        <v>995</v>
      </c>
      <c r="H68" s="1099" t="s">
        <v>839</v>
      </c>
      <c r="I68" s="1100"/>
      <c r="J68" s="1099"/>
      <c r="K68" s="1099"/>
      <c r="L68" s="1100"/>
      <c r="M68" s="1101"/>
      <c r="N68" s="1706"/>
      <c r="O68" s="80"/>
      <c r="P68" s="239" t="s">
        <v>318</v>
      </c>
      <c r="Q68" s="119">
        <v>816000</v>
      </c>
      <c r="R68" s="239"/>
      <c r="S68" s="114">
        <v>0</v>
      </c>
      <c r="T68" s="240"/>
      <c r="U68" s="115">
        <v>0</v>
      </c>
      <c r="V68" s="884"/>
      <c r="W68" s="874">
        <v>0</v>
      </c>
      <c r="X68" s="884"/>
      <c r="Y68" s="874">
        <v>0</v>
      </c>
      <c r="Z68" s="241"/>
      <c r="AA68" s="116">
        <v>0</v>
      </c>
      <c r="AB68" s="239"/>
      <c r="AC68" s="116">
        <v>0</v>
      </c>
      <c r="AD68" s="242"/>
      <c r="AE68" s="117">
        <v>0</v>
      </c>
      <c r="AF68" s="1228">
        <v>0</v>
      </c>
      <c r="AG68" s="1228">
        <v>0</v>
      </c>
      <c r="AH68" s="1229">
        <v>820000</v>
      </c>
      <c r="AI68" s="80"/>
    </row>
    <row r="69" spans="1:35" x14ac:dyDescent="0.2">
      <c r="A69" s="1462">
        <v>61</v>
      </c>
      <c r="B69" s="1097" t="s">
        <v>409</v>
      </c>
      <c r="C69" s="1185">
        <v>46</v>
      </c>
      <c r="D69" s="1114">
        <v>43079748</v>
      </c>
      <c r="E69" s="1186">
        <v>7</v>
      </c>
      <c r="F69" s="1736">
        <v>400000</v>
      </c>
      <c r="G69" s="1098" t="s">
        <v>929</v>
      </c>
      <c r="H69" s="1099" t="s">
        <v>760</v>
      </c>
      <c r="I69" s="1100">
        <v>45926</v>
      </c>
      <c r="J69" s="1099" t="s">
        <v>453</v>
      </c>
      <c r="K69" s="1099" t="s">
        <v>762</v>
      </c>
      <c r="L69" s="1100">
        <v>45926</v>
      </c>
      <c r="M69" s="1101" t="s">
        <v>928</v>
      </c>
      <c r="N69" s="1706"/>
      <c r="O69" s="80"/>
      <c r="P69" s="239" t="s">
        <v>318</v>
      </c>
      <c r="Q69" s="119">
        <v>413000</v>
      </c>
      <c r="R69" s="239"/>
      <c r="S69" s="114">
        <v>0</v>
      </c>
      <c r="T69" s="240"/>
      <c r="U69" s="115">
        <v>0</v>
      </c>
      <c r="V69" s="884"/>
      <c r="W69" s="874">
        <v>0</v>
      </c>
      <c r="X69" s="884"/>
      <c r="Y69" s="874">
        <v>0</v>
      </c>
      <c r="Z69" s="241"/>
      <c r="AA69" s="116">
        <v>0</v>
      </c>
      <c r="AB69" s="239"/>
      <c r="AC69" s="116">
        <v>0</v>
      </c>
      <c r="AD69" s="242"/>
      <c r="AE69" s="117">
        <v>0</v>
      </c>
      <c r="AF69" s="1228">
        <v>0</v>
      </c>
      <c r="AG69" s="1228">
        <v>0</v>
      </c>
      <c r="AH69" s="1229">
        <v>410000</v>
      </c>
      <c r="AI69" s="80"/>
    </row>
    <row r="70" spans="1:35" x14ac:dyDescent="0.2">
      <c r="A70" s="1462">
        <v>62</v>
      </c>
      <c r="B70" s="1137" t="s">
        <v>650</v>
      </c>
      <c r="C70" s="1185">
        <v>233</v>
      </c>
      <c r="D70" s="1114">
        <v>71274022</v>
      </c>
      <c r="E70" s="1186">
        <v>6</v>
      </c>
      <c r="F70" s="1463">
        <v>400000</v>
      </c>
      <c r="G70" s="1098" t="s">
        <v>969</v>
      </c>
      <c r="H70" s="1099" t="s">
        <v>761</v>
      </c>
      <c r="I70" s="1100">
        <v>45958</v>
      </c>
      <c r="J70" s="1099">
        <v>2170000</v>
      </c>
      <c r="K70" s="1099"/>
      <c r="L70" s="1100"/>
      <c r="M70" s="1101"/>
      <c r="N70" s="1706"/>
      <c r="O70" s="80"/>
      <c r="P70" s="239" t="s">
        <v>318</v>
      </c>
      <c r="Q70" s="119">
        <v>345000</v>
      </c>
      <c r="R70" s="239"/>
      <c r="S70" s="114">
        <v>0</v>
      </c>
      <c r="T70" s="240"/>
      <c r="U70" s="115">
        <v>0</v>
      </c>
      <c r="V70" s="884"/>
      <c r="W70" s="874">
        <v>0</v>
      </c>
      <c r="X70" s="884"/>
      <c r="Y70" s="874">
        <v>0</v>
      </c>
      <c r="Z70" s="241"/>
      <c r="AA70" s="116">
        <v>0</v>
      </c>
      <c r="AB70" s="239"/>
      <c r="AC70" s="116">
        <v>0</v>
      </c>
      <c r="AD70" s="242"/>
      <c r="AE70" s="117">
        <v>0</v>
      </c>
      <c r="AF70" s="1228">
        <v>0</v>
      </c>
      <c r="AG70" s="1228">
        <v>0</v>
      </c>
      <c r="AH70" s="1229">
        <v>350000</v>
      </c>
      <c r="AI70" s="80"/>
    </row>
    <row r="71" spans="1:35" x14ac:dyDescent="0.2">
      <c r="A71" s="1462">
        <v>63</v>
      </c>
      <c r="B71" s="1807" t="s">
        <v>294</v>
      </c>
      <c r="C71" s="1808">
        <v>330</v>
      </c>
      <c r="D71" s="1809">
        <v>3473739</v>
      </c>
      <c r="E71" s="1810">
        <v>4</v>
      </c>
      <c r="F71" s="1811">
        <v>1000000</v>
      </c>
      <c r="G71" s="1812" t="s">
        <v>970</v>
      </c>
      <c r="H71" s="1099" t="s">
        <v>839</v>
      </c>
      <c r="I71" s="1100"/>
      <c r="J71" s="1099"/>
      <c r="K71" s="1099"/>
      <c r="L71" s="1262"/>
      <c r="M71" s="1101" t="s">
        <v>1089</v>
      </c>
      <c r="N71" s="1706"/>
      <c r="O71" s="80"/>
      <c r="P71" s="239" t="s">
        <v>318</v>
      </c>
      <c r="Q71" s="119">
        <v>1051000</v>
      </c>
      <c r="R71" s="239" t="s">
        <v>318</v>
      </c>
      <c r="S71" s="114">
        <v>0</v>
      </c>
      <c r="T71" s="240"/>
      <c r="U71" s="115">
        <v>0</v>
      </c>
      <c r="V71" s="884"/>
      <c r="W71" s="874">
        <v>0</v>
      </c>
      <c r="X71" s="884"/>
      <c r="Y71" s="874">
        <v>0</v>
      </c>
      <c r="Z71" s="241"/>
      <c r="AA71" s="116">
        <v>0</v>
      </c>
      <c r="AB71" s="239"/>
      <c r="AC71" s="116">
        <v>0</v>
      </c>
      <c r="AD71" s="242"/>
      <c r="AE71" s="117">
        <v>0</v>
      </c>
      <c r="AF71" s="1228">
        <v>0</v>
      </c>
      <c r="AG71" s="1228">
        <v>0</v>
      </c>
      <c r="AH71" s="1229">
        <v>1050000</v>
      </c>
      <c r="AI71" s="80"/>
    </row>
    <row r="72" spans="1:35" x14ac:dyDescent="0.2">
      <c r="A72" s="1462">
        <v>64</v>
      </c>
      <c r="B72" s="1097" t="s">
        <v>62</v>
      </c>
      <c r="C72" s="1185">
        <v>223</v>
      </c>
      <c r="D72" s="1114">
        <v>1037601220</v>
      </c>
      <c r="E72" s="1186">
        <v>9</v>
      </c>
      <c r="F72" s="1463">
        <v>430000</v>
      </c>
      <c r="G72" s="1098" t="s">
        <v>971</v>
      </c>
      <c r="H72" s="1099" t="s">
        <v>761</v>
      </c>
      <c r="I72" s="1100">
        <v>45959</v>
      </c>
      <c r="J72" s="1099"/>
      <c r="K72" s="1099"/>
      <c r="L72" s="1262"/>
      <c r="M72" s="1101"/>
      <c r="N72" s="1706"/>
      <c r="O72" s="80"/>
      <c r="P72" s="239" t="s">
        <v>318</v>
      </c>
      <c r="Q72" s="119">
        <v>431000</v>
      </c>
      <c r="R72" s="239"/>
      <c r="S72" s="114">
        <v>0</v>
      </c>
      <c r="T72" s="240"/>
      <c r="U72" s="115">
        <v>0</v>
      </c>
      <c r="V72" s="884"/>
      <c r="W72" s="874">
        <v>0</v>
      </c>
      <c r="X72" s="884"/>
      <c r="Y72" s="874">
        <v>0</v>
      </c>
      <c r="Z72" s="241"/>
      <c r="AA72" s="116">
        <v>0</v>
      </c>
      <c r="AB72" s="239"/>
      <c r="AC72" s="116">
        <v>0</v>
      </c>
      <c r="AD72" s="242"/>
      <c r="AE72" s="117">
        <v>0</v>
      </c>
      <c r="AF72" s="1228">
        <v>0</v>
      </c>
      <c r="AG72" s="1228">
        <v>0</v>
      </c>
      <c r="AH72" s="1229">
        <v>430000</v>
      </c>
      <c r="AI72" s="80"/>
    </row>
    <row r="73" spans="1:35" x14ac:dyDescent="0.2">
      <c r="A73" s="1462">
        <v>65</v>
      </c>
      <c r="B73" s="1097" t="s">
        <v>63</v>
      </c>
      <c r="C73" s="1185">
        <v>101</v>
      </c>
      <c r="D73" s="1114">
        <v>15502980</v>
      </c>
      <c r="E73" s="1186">
        <v>2</v>
      </c>
      <c r="F73" s="1463">
        <v>1340000</v>
      </c>
      <c r="G73" s="1098" t="s">
        <v>1008</v>
      </c>
      <c r="H73" s="1099" t="s">
        <v>761</v>
      </c>
      <c r="I73" s="1100">
        <v>45959</v>
      </c>
      <c r="J73" s="1099"/>
      <c r="K73" s="1099"/>
      <c r="L73" s="1262"/>
      <c r="M73" s="1101"/>
      <c r="N73" s="1706"/>
      <c r="O73" s="80"/>
      <c r="P73" s="239" t="s">
        <v>318</v>
      </c>
      <c r="Q73" s="119">
        <v>787000</v>
      </c>
      <c r="R73" s="239"/>
      <c r="S73" s="114">
        <v>0</v>
      </c>
      <c r="T73" s="240"/>
      <c r="U73" s="115">
        <v>0</v>
      </c>
      <c r="V73" s="884"/>
      <c r="W73" s="874">
        <v>0</v>
      </c>
      <c r="X73" s="884"/>
      <c r="Y73" s="874">
        <v>0</v>
      </c>
      <c r="Z73" s="241"/>
      <c r="AA73" s="116">
        <v>0</v>
      </c>
      <c r="AB73" s="239"/>
      <c r="AC73" s="116">
        <v>0</v>
      </c>
      <c r="AD73" s="242"/>
      <c r="AE73" s="117">
        <v>0</v>
      </c>
      <c r="AF73" s="1228">
        <v>548826.8118285829</v>
      </c>
      <c r="AG73" s="1228">
        <v>0</v>
      </c>
      <c r="AH73" s="1229">
        <v>1340000</v>
      </c>
      <c r="AI73" s="80"/>
    </row>
    <row r="74" spans="1:35" x14ac:dyDescent="0.2">
      <c r="A74" s="1462">
        <v>66</v>
      </c>
      <c r="B74" s="1097" t="s">
        <v>65</v>
      </c>
      <c r="C74" s="1185">
        <v>263</v>
      </c>
      <c r="D74" s="1114">
        <v>42681418</v>
      </c>
      <c r="E74" s="1186">
        <v>9</v>
      </c>
      <c r="F74" s="1463">
        <v>350000</v>
      </c>
      <c r="G74" s="1098" t="s">
        <v>972</v>
      </c>
      <c r="H74" s="1099" t="s">
        <v>761</v>
      </c>
      <c r="I74" s="1100">
        <v>45959</v>
      </c>
      <c r="J74" s="1099"/>
      <c r="K74" s="1099"/>
      <c r="L74" s="1262"/>
      <c r="M74" s="1101"/>
      <c r="N74" s="1706"/>
      <c r="O74" s="80"/>
      <c r="P74" s="239" t="s">
        <v>318</v>
      </c>
      <c r="Q74" s="119">
        <v>345000</v>
      </c>
      <c r="R74" s="239"/>
      <c r="S74" s="114">
        <v>0</v>
      </c>
      <c r="T74" s="240"/>
      <c r="U74" s="115">
        <v>0</v>
      </c>
      <c r="V74" s="884"/>
      <c r="W74" s="874">
        <v>0</v>
      </c>
      <c r="X74" s="884"/>
      <c r="Y74" s="874">
        <v>0</v>
      </c>
      <c r="Z74" s="241"/>
      <c r="AA74" s="116">
        <v>0</v>
      </c>
      <c r="AB74" s="239"/>
      <c r="AC74" s="116">
        <v>0</v>
      </c>
      <c r="AD74" s="242"/>
      <c r="AE74" s="117">
        <v>0</v>
      </c>
      <c r="AF74" s="1228">
        <v>0</v>
      </c>
      <c r="AG74" s="1228">
        <v>0</v>
      </c>
      <c r="AH74" s="1229">
        <v>350000</v>
      </c>
      <c r="AI74" s="80"/>
    </row>
    <row r="75" spans="1:35" x14ac:dyDescent="0.2">
      <c r="A75" s="1462">
        <v>67</v>
      </c>
      <c r="B75" s="1097" t="s">
        <v>406</v>
      </c>
      <c r="C75" s="1185">
        <v>57</v>
      </c>
      <c r="D75" s="1114">
        <v>32415325</v>
      </c>
      <c r="E75" s="1186">
        <v>7</v>
      </c>
      <c r="F75" s="1463">
        <v>410000</v>
      </c>
      <c r="G75" s="1098" t="s">
        <v>973</v>
      </c>
      <c r="H75" s="1099" t="s">
        <v>839</v>
      </c>
      <c r="I75" s="1100"/>
      <c r="J75" s="1099"/>
      <c r="K75" s="1099"/>
      <c r="L75" s="1262"/>
      <c r="M75" s="1101"/>
      <c r="N75" s="1706"/>
      <c r="O75" s="80"/>
      <c r="P75" s="239" t="s">
        <v>318</v>
      </c>
      <c r="Q75" s="119">
        <v>413000</v>
      </c>
      <c r="R75" s="239"/>
      <c r="S75" s="114">
        <v>0</v>
      </c>
      <c r="T75" s="240"/>
      <c r="U75" s="115">
        <v>0</v>
      </c>
      <c r="V75" s="884"/>
      <c r="W75" s="874">
        <v>0</v>
      </c>
      <c r="X75" s="884"/>
      <c r="Y75" s="874">
        <v>0</v>
      </c>
      <c r="Z75" s="241"/>
      <c r="AA75" s="116">
        <v>0</v>
      </c>
      <c r="AB75" s="239"/>
      <c r="AC75" s="116">
        <v>0</v>
      </c>
      <c r="AD75" s="242"/>
      <c r="AE75" s="117">
        <v>0</v>
      </c>
      <c r="AF75" s="1228">
        <v>0</v>
      </c>
      <c r="AG75" s="1228">
        <v>0</v>
      </c>
      <c r="AH75" s="1229">
        <v>410000</v>
      </c>
      <c r="AI75" s="80"/>
    </row>
    <row r="76" spans="1:35" x14ac:dyDescent="0.2">
      <c r="A76" s="1462">
        <v>68</v>
      </c>
      <c r="B76" s="1097" t="s">
        <v>384</v>
      </c>
      <c r="C76" s="1185">
        <v>24</v>
      </c>
      <c r="D76" s="1114">
        <v>15925921</v>
      </c>
      <c r="E76" s="1186">
        <v>3</v>
      </c>
      <c r="F76" s="1463">
        <v>470000</v>
      </c>
      <c r="G76" s="1098" t="s">
        <v>974</v>
      </c>
      <c r="H76" s="1099" t="s">
        <v>761</v>
      </c>
      <c r="I76" s="1100">
        <v>45953</v>
      </c>
      <c r="J76" s="1099" t="s">
        <v>453</v>
      </c>
      <c r="K76" s="1099" t="s">
        <v>762</v>
      </c>
      <c r="L76" s="1100">
        <v>45953</v>
      </c>
      <c r="M76" s="1101"/>
      <c r="N76" s="1706"/>
      <c r="O76" s="80"/>
      <c r="P76" s="239" t="s">
        <v>318</v>
      </c>
      <c r="Q76" s="119">
        <v>471000</v>
      </c>
      <c r="R76" s="239"/>
      <c r="S76" s="114">
        <v>0</v>
      </c>
      <c r="T76" s="240"/>
      <c r="U76" s="115">
        <v>0</v>
      </c>
      <c r="V76" s="884"/>
      <c r="W76" s="874">
        <v>0</v>
      </c>
      <c r="X76" s="884"/>
      <c r="Y76" s="874">
        <v>0</v>
      </c>
      <c r="Z76" s="241"/>
      <c r="AA76" s="116">
        <v>0</v>
      </c>
      <c r="AB76" s="239"/>
      <c r="AC76" s="116">
        <v>0</v>
      </c>
      <c r="AD76" s="242"/>
      <c r="AE76" s="117">
        <v>0</v>
      </c>
      <c r="AF76" s="1228">
        <v>0</v>
      </c>
      <c r="AG76" s="1228">
        <v>0</v>
      </c>
      <c r="AH76" s="1229">
        <v>470000</v>
      </c>
      <c r="AI76" s="80"/>
    </row>
    <row r="77" spans="1:35" x14ac:dyDescent="0.2">
      <c r="A77" s="1462">
        <v>69</v>
      </c>
      <c r="B77" s="1097" t="s">
        <v>67</v>
      </c>
      <c r="C77" s="1185">
        <v>110</v>
      </c>
      <c r="D77" s="1114">
        <v>98619761</v>
      </c>
      <c r="E77" s="1186">
        <v>1</v>
      </c>
      <c r="F77" s="1463">
        <v>1760000</v>
      </c>
      <c r="G77" s="1098" t="s">
        <v>975</v>
      </c>
      <c r="H77" s="1099" t="s">
        <v>839</v>
      </c>
      <c r="I77" s="1100"/>
      <c r="J77" s="1099"/>
      <c r="K77" s="1099"/>
      <c r="L77" s="1100"/>
      <c r="M77" s="1101"/>
      <c r="N77" s="1706"/>
      <c r="O77" s="80"/>
      <c r="P77" s="239" t="s">
        <v>318</v>
      </c>
      <c r="Q77" s="119">
        <v>689000</v>
      </c>
      <c r="R77" s="239" t="s">
        <v>318</v>
      </c>
      <c r="S77" s="114">
        <v>345000</v>
      </c>
      <c r="T77" s="240" t="s">
        <v>318</v>
      </c>
      <c r="U77" s="115">
        <v>517000</v>
      </c>
      <c r="V77" s="884"/>
      <c r="W77" s="874">
        <v>0</v>
      </c>
      <c r="X77" s="884"/>
      <c r="Y77" s="874">
        <v>0</v>
      </c>
      <c r="Z77" s="241"/>
      <c r="AA77" s="116">
        <v>0</v>
      </c>
      <c r="AB77" s="239"/>
      <c r="AC77" s="116">
        <v>0</v>
      </c>
      <c r="AD77" s="242" t="s">
        <v>318</v>
      </c>
      <c r="AE77" s="117">
        <v>206700</v>
      </c>
      <c r="AF77" s="1228">
        <v>0</v>
      </c>
      <c r="AG77" s="1228">
        <v>0</v>
      </c>
      <c r="AH77" s="1229">
        <v>1760000</v>
      </c>
      <c r="AI77" s="80"/>
    </row>
    <row r="78" spans="1:35" x14ac:dyDescent="0.2">
      <c r="A78" s="1462">
        <v>70</v>
      </c>
      <c r="B78" s="1097" t="s">
        <v>68</v>
      </c>
      <c r="C78" s="1185">
        <v>111</v>
      </c>
      <c r="D78" s="1114">
        <v>98570880</v>
      </c>
      <c r="E78" s="1186">
        <v>6</v>
      </c>
      <c r="F78" s="1463">
        <v>1240000</v>
      </c>
      <c r="G78" s="1098" t="s">
        <v>1009</v>
      </c>
      <c r="H78" s="1099" t="s">
        <v>839</v>
      </c>
      <c r="I78" s="1100"/>
      <c r="J78" s="1099"/>
      <c r="K78" s="1099"/>
      <c r="L78" s="1100"/>
      <c r="M78" s="1101"/>
      <c r="N78" s="1706"/>
      <c r="O78" s="80"/>
      <c r="P78" s="239" t="s">
        <v>318</v>
      </c>
      <c r="Q78" s="119">
        <v>689000</v>
      </c>
      <c r="R78" s="239" t="s">
        <v>318</v>
      </c>
      <c r="S78" s="114">
        <v>345000</v>
      </c>
      <c r="T78" s="240"/>
      <c r="U78" s="115">
        <v>0</v>
      </c>
      <c r="V78" s="884"/>
      <c r="W78" s="874">
        <v>0</v>
      </c>
      <c r="X78" s="884"/>
      <c r="Y78" s="874">
        <v>0</v>
      </c>
      <c r="Z78" s="241"/>
      <c r="AA78" s="116">
        <v>0</v>
      </c>
      <c r="AB78" s="239"/>
      <c r="AC78" s="116">
        <v>0</v>
      </c>
      <c r="AD78" s="242" t="s">
        <v>318</v>
      </c>
      <c r="AE78" s="117">
        <v>206700</v>
      </c>
      <c r="AF78" s="1228">
        <v>0</v>
      </c>
      <c r="AG78" s="1228">
        <v>0</v>
      </c>
      <c r="AH78" s="1229">
        <v>1240000</v>
      </c>
      <c r="AI78" s="80"/>
    </row>
    <row r="79" spans="1:35" x14ac:dyDescent="0.2">
      <c r="A79" s="1462">
        <v>71</v>
      </c>
      <c r="B79" s="1097" t="s">
        <v>332</v>
      </c>
      <c r="C79" s="1185">
        <v>343</v>
      </c>
      <c r="D79" s="1114">
        <v>98570881</v>
      </c>
      <c r="E79" s="1186">
        <v>3</v>
      </c>
      <c r="F79" s="1463">
        <v>260000</v>
      </c>
      <c r="G79" s="1098" t="s">
        <v>1011</v>
      </c>
      <c r="H79" s="1099" t="s">
        <v>761</v>
      </c>
      <c r="I79" s="1100">
        <v>45958</v>
      </c>
      <c r="J79" s="1099"/>
      <c r="K79" s="1099"/>
      <c r="L79" s="1100"/>
      <c r="M79" s="1101"/>
      <c r="N79" s="1706"/>
      <c r="O79" s="80"/>
      <c r="P79" s="239" t="s">
        <v>318</v>
      </c>
      <c r="Q79" s="119">
        <v>259000</v>
      </c>
      <c r="R79" s="239"/>
      <c r="S79" s="114">
        <v>0</v>
      </c>
      <c r="T79" s="240"/>
      <c r="U79" s="115">
        <v>0</v>
      </c>
      <c r="V79" s="884"/>
      <c r="W79" s="874">
        <v>0</v>
      </c>
      <c r="X79" s="884"/>
      <c r="Y79" s="874">
        <v>0</v>
      </c>
      <c r="Z79" s="241"/>
      <c r="AA79" s="116">
        <v>0</v>
      </c>
      <c r="AB79" s="239"/>
      <c r="AC79" s="116">
        <v>0</v>
      </c>
      <c r="AD79" s="242"/>
      <c r="AE79" s="117">
        <v>0</v>
      </c>
      <c r="AF79" s="1228">
        <v>0</v>
      </c>
      <c r="AG79" s="1228">
        <v>0</v>
      </c>
      <c r="AH79" s="1229">
        <v>260000</v>
      </c>
      <c r="AI79" s="80"/>
    </row>
    <row r="80" spans="1:35" x14ac:dyDescent="0.2">
      <c r="A80" s="1462">
        <v>72</v>
      </c>
      <c r="B80" s="1097" t="s">
        <v>69</v>
      </c>
      <c r="C80" s="1185">
        <v>305</v>
      </c>
      <c r="D80" s="1114">
        <v>98549455</v>
      </c>
      <c r="E80" s="1186">
        <v>1</v>
      </c>
      <c r="F80" s="1463">
        <v>370000</v>
      </c>
      <c r="G80" s="1098" t="s">
        <v>976</v>
      </c>
      <c r="H80" s="1099" t="s">
        <v>761</v>
      </c>
      <c r="I80" s="1100">
        <v>45958</v>
      </c>
      <c r="J80" s="1099"/>
      <c r="K80" s="1099"/>
      <c r="L80" s="1100"/>
      <c r="M80" s="1101"/>
      <c r="N80" s="1706"/>
      <c r="O80" s="80"/>
      <c r="P80" s="239" t="s">
        <v>318</v>
      </c>
      <c r="Q80" s="119">
        <v>368000</v>
      </c>
      <c r="R80" s="239"/>
      <c r="S80" s="114">
        <v>0</v>
      </c>
      <c r="T80" s="240"/>
      <c r="U80" s="115">
        <v>0</v>
      </c>
      <c r="V80" s="884"/>
      <c r="W80" s="874">
        <v>0</v>
      </c>
      <c r="X80" s="884"/>
      <c r="Y80" s="874">
        <v>0</v>
      </c>
      <c r="Z80" s="241"/>
      <c r="AA80" s="116">
        <v>0</v>
      </c>
      <c r="AB80" s="239"/>
      <c r="AC80" s="116">
        <v>0</v>
      </c>
      <c r="AD80" s="242"/>
      <c r="AE80" s="117">
        <v>0</v>
      </c>
      <c r="AF80" s="1228">
        <v>0</v>
      </c>
      <c r="AG80" s="1228">
        <v>0</v>
      </c>
      <c r="AH80" s="1229">
        <v>370000</v>
      </c>
      <c r="AI80" s="80"/>
    </row>
    <row r="81" spans="1:35" x14ac:dyDescent="0.2">
      <c r="A81" s="1462">
        <v>73</v>
      </c>
      <c r="B81" s="1137" t="s">
        <v>659</v>
      </c>
      <c r="C81" s="1185">
        <v>224</v>
      </c>
      <c r="D81" s="1114">
        <v>1034995481</v>
      </c>
      <c r="E81" s="1186">
        <v>3</v>
      </c>
      <c r="F81" s="1463">
        <v>350000</v>
      </c>
      <c r="G81" s="1098" t="s">
        <v>1009</v>
      </c>
      <c r="H81" s="1099" t="s">
        <v>839</v>
      </c>
      <c r="I81" s="1100"/>
      <c r="J81" s="1099"/>
      <c r="K81" s="1099"/>
      <c r="L81" s="1100"/>
      <c r="M81" s="1101"/>
      <c r="N81" s="1706"/>
      <c r="O81" s="80"/>
      <c r="P81" s="239" t="s">
        <v>318</v>
      </c>
      <c r="Q81" s="119">
        <v>345000</v>
      </c>
      <c r="R81" s="239"/>
      <c r="S81" s="114">
        <v>0</v>
      </c>
      <c r="T81" s="240"/>
      <c r="U81" s="115">
        <v>0</v>
      </c>
      <c r="V81" s="884"/>
      <c r="W81" s="874">
        <v>0</v>
      </c>
      <c r="X81" s="884"/>
      <c r="Y81" s="874">
        <v>0</v>
      </c>
      <c r="Z81" s="241"/>
      <c r="AA81" s="116">
        <v>0</v>
      </c>
      <c r="AB81" s="239"/>
      <c r="AC81" s="116">
        <v>0</v>
      </c>
      <c r="AD81" s="242"/>
      <c r="AE81" s="117">
        <v>0</v>
      </c>
      <c r="AF81" s="1228">
        <v>0</v>
      </c>
      <c r="AG81" s="1228">
        <v>0</v>
      </c>
      <c r="AH81" s="1229">
        <v>350000</v>
      </c>
      <c r="AI81" s="80"/>
    </row>
    <row r="82" spans="1:35" x14ac:dyDescent="0.2">
      <c r="A82" s="1462">
        <v>74</v>
      </c>
      <c r="B82" s="1137" t="s">
        <v>646</v>
      </c>
      <c r="C82" s="1185">
        <v>228</v>
      </c>
      <c r="D82" s="1114">
        <v>1034991081</v>
      </c>
      <c r="E82" s="1186">
        <v>2</v>
      </c>
      <c r="F82" s="1463">
        <v>350000</v>
      </c>
      <c r="G82" s="1098" t="s">
        <v>1009</v>
      </c>
      <c r="H82" s="1099" t="s">
        <v>839</v>
      </c>
      <c r="I82" s="1100"/>
      <c r="J82" s="1099"/>
      <c r="K82" s="1099"/>
      <c r="L82" s="1100"/>
      <c r="M82" s="1101"/>
      <c r="N82" s="1706"/>
      <c r="O82" s="80"/>
      <c r="P82" s="239" t="s">
        <v>318</v>
      </c>
      <c r="Q82" s="119">
        <v>345000</v>
      </c>
      <c r="R82" s="239"/>
      <c r="S82" s="114">
        <v>0</v>
      </c>
      <c r="T82" s="240"/>
      <c r="U82" s="115">
        <v>0</v>
      </c>
      <c r="V82" s="884"/>
      <c r="W82" s="874">
        <v>0</v>
      </c>
      <c r="X82" s="884"/>
      <c r="Y82" s="874">
        <v>0</v>
      </c>
      <c r="Z82" s="241"/>
      <c r="AA82" s="116">
        <v>0</v>
      </c>
      <c r="AB82" s="239"/>
      <c r="AC82" s="116">
        <v>0</v>
      </c>
      <c r="AD82" s="242"/>
      <c r="AE82" s="117">
        <v>0</v>
      </c>
      <c r="AF82" s="1228">
        <v>0</v>
      </c>
      <c r="AG82" s="1228">
        <v>0</v>
      </c>
      <c r="AH82" s="1229">
        <v>350000</v>
      </c>
      <c r="AI82" s="80"/>
    </row>
    <row r="83" spans="1:35" x14ac:dyDescent="0.2">
      <c r="A83" s="1462">
        <v>75</v>
      </c>
      <c r="B83" s="1097" t="s">
        <v>70</v>
      </c>
      <c r="C83" s="1185">
        <v>289</v>
      </c>
      <c r="D83" s="1114">
        <v>32517259</v>
      </c>
      <c r="E83" s="1186">
        <v>7</v>
      </c>
      <c r="F83" s="1463">
        <v>450000</v>
      </c>
      <c r="G83" s="1098" t="s">
        <v>977</v>
      </c>
      <c r="H83" s="1099" t="s">
        <v>839</v>
      </c>
      <c r="I83" s="1100"/>
      <c r="J83" s="1099"/>
      <c r="K83" s="1099"/>
      <c r="L83" s="1100"/>
      <c r="M83" s="1101"/>
      <c r="N83" s="1706"/>
      <c r="O83" s="80"/>
      <c r="P83" s="239" t="s">
        <v>318</v>
      </c>
      <c r="Q83" s="119">
        <v>448000</v>
      </c>
      <c r="R83" s="239"/>
      <c r="S83" s="114">
        <v>0</v>
      </c>
      <c r="T83" s="240"/>
      <c r="U83" s="115">
        <v>0</v>
      </c>
      <c r="V83" s="884"/>
      <c r="W83" s="874">
        <v>0</v>
      </c>
      <c r="X83" s="884"/>
      <c r="Y83" s="874">
        <v>0</v>
      </c>
      <c r="Z83" s="241"/>
      <c r="AA83" s="116">
        <v>0</v>
      </c>
      <c r="AB83" s="239"/>
      <c r="AC83" s="116">
        <v>0</v>
      </c>
      <c r="AD83" s="242"/>
      <c r="AE83" s="117">
        <v>0</v>
      </c>
      <c r="AF83" s="1228">
        <v>0</v>
      </c>
      <c r="AG83" s="1228">
        <v>0</v>
      </c>
      <c r="AH83" s="1229">
        <v>450000</v>
      </c>
      <c r="AI83" s="80"/>
    </row>
    <row r="84" spans="1:35" x14ac:dyDescent="0.2">
      <c r="A84" s="1462">
        <v>76</v>
      </c>
      <c r="B84" s="1097" t="s">
        <v>71</v>
      </c>
      <c r="C84" s="1185">
        <v>112</v>
      </c>
      <c r="D84" s="1114">
        <v>32476412</v>
      </c>
      <c r="E84" s="1186">
        <v>0</v>
      </c>
      <c r="F84" s="1463">
        <v>410000</v>
      </c>
      <c r="G84" s="1098" t="s">
        <v>944</v>
      </c>
      <c r="H84" s="1099" t="s">
        <v>1086</v>
      </c>
      <c r="I84" s="1100">
        <v>45912</v>
      </c>
      <c r="J84" s="1099" t="s">
        <v>453</v>
      </c>
      <c r="K84" s="1099" t="s">
        <v>762</v>
      </c>
      <c r="L84" s="1100">
        <v>45912</v>
      </c>
      <c r="M84" s="1101"/>
      <c r="N84" s="1706"/>
      <c r="O84" s="80"/>
      <c r="P84" s="239" t="s">
        <v>318</v>
      </c>
      <c r="Q84" s="119">
        <v>413000</v>
      </c>
      <c r="R84" s="239"/>
      <c r="S84" s="114">
        <v>0</v>
      </c>
      <c r="T84" s="240"/>
      <c r="U84" s="115">
        <v>0</v>
      </c>
      <c r="V84" s="884"/>
      <c r="W84" s="874">
        <v>0</v>
      </c>
      <c r="X84" s="884"/>
      <c r="Y84" s="874">
        <v>0</v>
      </c>
      <c r="Z84" s="241"/>
      <c r="AA84" s="116">
        <v>0</v>
      </c>
      <c r="AB84" s="239"/>
      <c r="AC84" s="116">
        <v>0</v>
      </c>
      <c r="AD84" s="242"/>
      <c r="AE84" s="117">
        <v>0</v>
      </c>
      <c r="AF84" s="1228">
        <v>0</v>
      </c>
      <c r="AG84" s="1228">
        <v>0</v>
      </c>
      <c r="AH84" s="1229">
        <v>410000</v>
      </c>
      <c r="AI84" s="80"/>
    </row>
    <row r="85" spans="1:35" x14ac:dyDescent="0.2">
      <c r="A85" s="1462">
        <v>77</v>
      </c>
      <c r="B85" s="1097" t="s">
        <v>73</v>
      </c>
      <c r="C85" s="1185">
        <v>116</v>
      </c>
      <c r="D85" s="1114">
        <v>33166790</v>
      </c>
      <c r="E85" s="1186">
        <v>3</v>
      </c>
      <c r="F85" s="1463">
        <v>450000</v>
      </c>
      <c r="G85" s="1098" t="s">
        <v>1012</v>
      </c>
      <c r="H85" s="1099" t="s">
        <v>839</v>
      </c>
      <c r="I85" s="1100"/>
      <c r="J85" s="1099"/>
      <c r="K85" s="1099"/>
      <c r="L85" s="1262"/>
      <c r="M85" s="1101"/>
      <c r="N85" s="1706"/>
      <c r="O85" s="80"/>
      <c r="P85" s="239" t="s">
        <v>318</v>
      </c>
      <c r="Q85" s="119">
        <v>448000</v>
      </c>
      <c r="R85" s="239"/>
      <c r="S85" s="114">
        <v>0</v>
      </c>
      <c r="T85" s="240"/>
      <c r="U85" s="115">
        <v>0</v>
      </c>
      <c r="V85" s="884"/>
      <c r="W85" s="874">
        <v>0</v>
      </c>
      <c r="X85" s="884"/>
      <c r="Y85" s="874">
        <v>0</v>
      </c>
      <c r="Z85" s="241"/>
      <c r="AA85" s="116">
        <v>0</v>
      </c>
      <c r="AB85" s="239"/>
      <c r="AC85" s="116">
        <v>0</v>
      </c>
      <c r="AD85" s="242"/>
      <c r="AE85" s="117">
        <v>0</v>
      </c>
      <c r="AF85" s="1228">
        <v>0</v>
      </c>
      <c r="AG85" s="1228">
        <v>0</v>
      </c>
      <c r="AH85" s="1229">
        <v>450000</v>
      </c>
      <c r="AI85" s="80"/>
    </row>
    <row r="86" spans="1:35" x14ac:dyDescent="0.2">
      <c r="A86" s="1462">
        <v>78</v>
      </c>
      <c r="B86" s="1807" t="s">
        <v>295</v>
      </c>
      <c r="C86" s="1808">
        <v>331</v>
      </c>
      <c r="D86" s="1809">
        <v>21350229</v>
      </c>
      <c r="E86" s="1810">
        <v>7</v>
      </c>
      <c r="F86" s="1811">
        <v>1000000</v>
      </c>
      <c r="G86" s="1812" t="s">
        <v>985</v>
      </c>
      <c r="H86" s="1099" t="s">
        <v>839</v>
      </c>
      <c r="I86" s="1100"/>
      <c r="J86" s="1099"/>
      <c r="K86" s="1099"/>
      <c r="L86" s="1262"/>
      <c r="M86" s="1101" t="s">
        <v>1089</v>
      </c>
      <c r="N86" s="1706"/>
      <c r="O86" s="80"/>
      <c r="P86" s="239" t="s">
        <v>318</v>
      </c>
      <c r="Q86" s="119">
        <v>1051000</v>
      </c>
      <c r="R86" s="239" t="s">
        <v>318</v>
      </c>
      <c r="S86" s="114">
        <v>0</v>
      </c>
      <c r="T86" s="240"/>
      <c r="U86" s="115">
        <v>0</v>
      </c>
      <c r="V86" s="884"/>
      <c r="W86" s="874">
        <v>0</v>
      </c>
      <c r="X86" s="884"/>
      <c r="Y86" s="874">
        <v>0</v>
      </c>
      <c r="Z86" s="241"/>
      <c r="AA86" s="116">
        <v>0</v>
      </c>
      <c r="AB86" s="239"/>
      <c r="AC86" s="116">
        <v>0</v>
      </c>
      <c r="AD86" s="242"/>
      <c r="AE86" s="117">
        <v>0</v>
      </c>
      <c r="AF86" s="1228">
        <v>0</v>
      </c>
      <c r="AG86" s="1228">
        <v>0</v>
      </c>
      <c r="AH86" s="1229">
        <v>1050000</v>
      </c>
      <c r="AI86" s="80"/>
    </row>
    <row r="87" spans="1:35" x14ac:dyDescent="0.2">
      <c r="A87" s="1462">
        <v>79</v>
      </c>
      <c r="B87" s="1097" t="s">
        <v>74</v>
      </c>
      <c r="C87" s="1185">
        <v>242</v>
      </c>
      <c r="D87" s="1114">
        <v>71776283</v>
      </c>
      <c r="E87" s="1186">
        <v>6</v>
      </c>
      <c r="F87" s="1463">
        <v>450000</v>
      </c>
      <c r="G87" s="1098" t="s">
        <v>1013</v>
      </c>
      <c r="H87" s="1099" t="s">
        <v>761</v>
      </c>
      <c r="I87" s="1100">
        <v>45958</v>
      </c>
      <c r="J87" s="1099" t="s">
        <v>453</v>
      </c>
      <c r="K87" s="1099" t="s">
        <v>762</v>
      </c>
      <c r="L87" s="1100">
        <v>45958</v>
      </c>
      <c r="M87" s="1101"/>
      <c r="N87" s="1706"/>
      <c r="O87" s="80"/>
      <c r="P87" s="239" t="s">
        <v>318</v>
      </c>
      <c r="Q87" s="119">
        <v>448000</v>
      </c>
      <c r="R87" s="239"/>
      <c r="S87" s="114">
        <v>0</v>
      </c>
      <c r="T87" s="240"/>
      <c r="U87" s="115">
        <v>0</v>
      </c>
      <c r="V87" s="884"/>
      <c r="W87" s="874">
        <v>0</v>
      </c>
      <c r="X87" s="884"/>
      <c r="Y87" s="874">
        <v>0</v>
      </c>
      <c r="Z87" s="241"/>
      <c r="AA87" s="116">
        <v>0</v>
      </c>
      <c r="AB87" s="239"/>
      <c r="AC87" s="116">
        <v>0</v>
      </c>
      <c r="AD87" s="242"/>
      <c r="AE87" s="117">
        <v>0</v>
      </c>
      <c r="AF87" s="1228">
        <v>0</v>
      </c>
      <c r="AG87" s="1228">
        <v>0</v>
      </c>
      <c r="AH87" s="1229">
        <v>450000</v>
      </c>
      <c r="AI87" s="80"/>
    </row>
    <row r="88" spans="1:35" x14ac:dyDescent="0.2">
      <c r="A88" s="1462">
        <v>80</v>
      </c>
      <c r="B88" s="1201" t="s">
        <v>75</v>
      </c>
      <c r="C88" s="1199">
        <v>248</v>
      </c>
      <c r="D88" s="1709">
        <v>32408192</v>
      </c>
      <c r="E88" s="1186">
        <v>5</v>
      </c>
      <c r="F88" s="1463">
        <v>260000</v>
      </c>
      <c r="G88" s="1098" t="s">
        <v>1001</v>
      </c>
      <c r="H88" s="1099" t="s">
        <v>839</v>
      </c>
      <c r="I88" s="1100"/>
      <c r="J88" s="1099"/>
      <c r="K88" s="1099"/>
      <c r="L88" s="1100"/>
      <c r="M88" s="1101"/>
      <c r="N88" s="1706"/>
      <c r="O88" s="80"/>
      <c r="P88" s="239" t="s">
        <v>266</v>
      </c>
      <c r="Q88" s="119">
        <v>0</v>
      </c>
      <c r="R88" s="239"/>
      <c r="S88" s="114">
        <v>0</v>
      </c>
      <c r="T88" s="240"/>
      <c r="U88" s="115">
        <v>0</v>
      </c>
      <c r="V88" s="884"/>
      <c r="W88" s="874">
        <v>0</v>
      </c>
      <c r="X88" s="884"/>
      <c r="Y88" s="874">
        <v>0</v>
      </c>
      <c r="Z88" s="241"/>
      <c r="AA88" s="116">
        <v>0</v>
      </c>
      <c r="AB88" s="239"/>
      <c r="AC88" s="116">
        <v>0</v>
      </c>
      <c r="AD88" s="242"/>
      <c r="AE88" s="117">
        <v>0</v>
      </c>
      <c r="AF88" s="1228">
        <v>256388.66474694616</v>
      </c>
      <c r="AG88" s="1228">
        <v>0</v>
      </c>
      <c r="AH88" s="1229">
        <v>260000</v>
      </c>
      <c r="AI88" s="80"/>
    </row>
    <row r="89" spans="1:35" x14ac:dyDescent="0.2">
      <c r="A89" s="1462">
        <v>81</v>
      </c>
      <c r="B89" s="1097" t="s">
        <v>76</v>
      </c>
      <c r="C89" s="1185">
        <v>118</v>
      </c>
      <c r="D89" s="1114">
        <v>1040182444</v>
      </c>
      <c r="E89" s="1186">
        <v>3</v>
      </c>
      <c r="F89" s="1463">
        <v>350000</v>
      </c>
      <c r="G89" s="1098" t="s">
        <v>978</v>
      </c>
      <c r="H89" s="1099" t="s">
        <v>761</v>
      </c>
      <c r="I89" s="1100">
        <v>45958</v>
      </c>
      <c r="J89" s="1099"/>
      <c r="K89" s="1099"/>
      <c r="L89" s="1100"/>
      <c r="M89" s="1101"/>
      <c r="N89" s="1706"/>
      <c r="O89" s="80"/>
      <c r="P89" s="239" t="s">
        <v>318</v>
      </c>
      <c r="Q89" s="119">
        <v>345000</v>
      </c>
      <c r="R89" s="239"/>
      <c r="S89" s="114">
        <v>0</v>
      </c>
      <c r="T89" s="240"/>
      <c r="U89" s="115">
        <v>0</v>
      </c>
      <c r="V89" s="884"/>
      <c r="W89" s="874">
        <v>0</v>
      </c>
      <c r="X89" s="884"/>
      <c r="Y89" s="874">
        <v>0</v>
      </c>
      <c r="Z89" s="241"/>
      <c r="AA89" s="116">
        <v>0</v>
      </c>
      <c r="AB89" s="239"/>
      <c r="AC89" s="116">
        <v>0</v>
      </c>
      <c r="AD89" s="242"/>
      <c r="AE89" s="117">
        <v>0</v>
      </c>
      <c r="AF89" s="1228">
        <v>0</v>
      </c>
      <c r="AG89" s="1228">
        <v>0</v>
      </c>
      <c r="AH89" s="1229">
        <v>350000</v>
      </c>
      <c r="AI89" s="80"/>
    </row>
    <row r="90" spans="1:35" x14ac:dyDescent="0.2">
      <c r="A90" s="1462">
        <v>82</v>
      </c>
      <c r="B90" s="1097" t="s">
        <v>77</v>
      </c>
      <c r="C90" s="1185">
        <v>275</v>
      </c>
      <c r="D90" s="1114">
        <v>71557380</v>
      </c>
      <c r="E90" s="1186">
        <v>3</v>
      </c>
      <c r="F90" s="1463">
        <v>350000</v>
      </c>
      <c r="G90" s="1098" t="s">
        <v>1014</v>
      </c>
      <c r="H90" s="1099" t="s">
        <v>839</v>
      </c>
      <c r="I90" s="1100"/>
      <c r="J90" s="1099"/>
      <c r="K90" s="1099"/>
      <c r="L90" s="1100"/>
      <c r="M90" s="1101"/>
      <c r="N90" s="1706"/>
      <c r="O90" s="80"/>
      <c r="P90" s="239" t="s">
        <v>318</v>
      </c>
      <c r="Q90" s="119">
        <v>345000</v>
      </c>
      <c r="R90" s="239"/>
      <c r="S90" s="114">
        <v>0</v>
      </c>
      <c r="T90" s="240"/>
      <c r="U90" s="115">
        <v>0</v>
      </c>
      <c r="V90" s="884"/>
      <c r="W90" s="874">
        <v>0</v>
      </c>
      <c r="X90" s="884"/>
      <c r="Y90" s="874">
        <v>0</v>
      </c>
      <c r="Z90" s="241"/>
      <c r="AA90" s="116">
        <v>0</v>
      </c>
      <c r="AB90" s="239"/>
      <c r="AC90" s="116">
        <v>0</v>
      </c>
      <c r="AD90" s="242"/>
      <c r="AE90" s="117">
        <v>0</v>
      </c>
      <c r="AF90" s="1228">
        <v>0</v>
      </c>
      <c r="AG90" s="1228">
        <v>0</v>
      </c>
      <c r="AH90" s="1229">
        <v>350000</v>
      </c>
      <c r="AI90" s="80"/>
    </row>
    <row r="91" spans="1:35" x14ac:dyDescent="0.2">
      <c r="A91" s="1462">
        <v>83</v>
      </c>
      <c r="B91" s="1097" t="s">
        <v>79</v>
      </c>
      <c r="C91" s="1185">
        <v>119</v>
      </c>
      <c r="D91" s="1114">
        <v>43166841</v>
      </c>
      <c r="E91" s="1186">
        <v>7</v>
      </c>
      <c r="F91" s="1463">
        <v>320000</v>
      </c>
      <c r="G91" s="1098" t="s">
        <v>979</v>
      </c>
      <c r="H91" s="1099" t="s">
        <v>839</v>
      </c>
      <c r="I91" s="1100"/>
      <c r="J91" s="1099"/>
      <c r="K91" s="1099"/>
      <c r="L91" s="1100"/>
      <c r="M91" s="1101"/>
      <c r="N91" s="1706"/>
      <c r="O91" s="80"/>
      <c r="P91" s="239" t="s">
        <v>318</v>
      </c>
      <c r="Q91" s="119">
        <v>316000</v>
      </c>
      <c r="R91" s="239"/>
      <c r="S91" s="114">
        <v>0</v>
      </c>
      <c r="T91" s="240"/>
      <c r="U91" s="115">
        <v>0</v>
      </c>
      <c r="V91" s="884"/>
      <c r="W91" s="874">
        <v>0</v>
      </c>
      <c r="X91" s="884"/>
      <c r="Y91" s="874">
        <v>0</v>
      </c>
      <c r="Z91" s="241"/>
      <c r="AA91" s="116">
        <v>0</v>
      </c>
      <c r="AB91" s="239"/>
      <c r="AC91" s="116">
        <v>0</v>
      </c>
      <c r="AD91" s="242"/>
      <c r="AE91" s="117">
        <v>0</v>
      </c>
      <c r="AF91" s="1228">
        <v>0</v>
      </c>
      <c r="AG91" s="1228">
        <v>0</v>
      </c>
      <c r="AH91" s="1229">
        <v>320000</v>
      </c>
      <c r="AI91" s="80"/>
    </row>
    <row r="92" spans="1:35" x14ac:dyDescent="0.2">
      <c r="A92" s="1462">
        <v>84</v>
      </c>
      <c r="B92" s="1491" t="s">
        <v>242</v>
      </c>
      <c r="C92" s="1678">
        <v>315</v>
      </c>
      <c r="D92" s="1114">
        <v>20270143</v>
      </c>
      <c r="E92" s="1186">
        <v>5</v>
      </c>
      <c r="F92" s="1463">
        <v>470000</v>
      </c>
      <c r="G92" s="1098" t="s">
        <v>980</v>
      </c>
      <c r="H92" s="1099" t="s">
        <v>760</v>
      </c>
      <c r="I92" s="1100">
        <v>45953</v>
      </c>
      <c r="J92" s="1099"/>
      <c r="K92" s="1099"/>
      <c r="L92" s="1100"/>
      <c r="M92" s="1101"/>
      <c r="N92" s="1706"/>
      <c r="O92" s="80"/>
      <c r="P92" s="239" t="s">
        <v>318</v>
      </c>
      <c r="Q92" s="119">
        <v>471000</v>
      </c>
      <c r="R92" s="239"/>
      <c r="S92" s="114">
        <v>0</v>
      </c>
      <c r="T92" s="240"/>
      <c r="U92" s="115">
        <v>0</v>
      </c>
      <c r="V92" s="884"/>
      <c r="W92" s="874">
        <v>0</v>
      </c>
      <c r="X92" s="884"/>
      <c r="Y92" s="874">
        <v>0</v>
      </c>
      <c r="Z92" s="241"/>
      <c r="AA92" s="116">
        <v>0</v>
      </c>
      <c r="AB92" s="239"/>
      <c r="AC92" s="116">
        <v>0</v>
      </c>
      <c r="AD92" s="242"/>
      <c r="AE92" s="117">
        <v>0</v>
      </c>
      <c r="AF92" s="1228">
        <v>0</v>
      </c>
      <c r="AG92" s="1228">
        <v>0</v>
      </c>
      <c r="AH92" s="1229">
        <v>470000</v>
      </c>
      <c r="AI92" s="80"/>
    </row>
    <row r="93" spans="1:35" x14ac:dyDescent="0.2">
      <c r="A93" s="1462">
        <v>85</v>
      </c>
      <c r="B93" s="1137" t="s">
        <v>649</v>
      </c>
      <c r="C93" s="1678">
        <v>230</v>
      </c>
      <c r="D93" s="1114">
        <v>1036958916</v>
      </c>
      <c r="E93" s="1186">
        <v>5</v>
      </c>
      <c r="F93" s="1463">
        <v>290000</v>
      </c>
      <c r="G93" s="1098" t="s">
        <v>981</v>
      </c>
      <c r="H93" s="1099" t="s">
        <v>761</v>
      </c>
      <c r="I93" s="1100">
        <v>45959</v>
      </c>
      <c r="J93" s="1099"/>
      <c r="K93" s="1099"/>
      <c r="L93" s="1100"/>
      <c r="M93" s="1101"/>
      <c r="N93" s="1706"/>
      <c r="O93" s="80"/>
      <c r="P93" s="239" t="s">
        <v>318</v>
      </c>
      <c r="Q93" s="119">
        <v>287000</v>
      </c>
      <c r="R93" s="239"/>
      <c r="S93" s="114">
        <v>0</v>
      </c>
      <c r="T93" s="240"/>
      <c r="U93" s="115">
        <v>0</v>
      </c>
      <c r="V93" s="884"/>
      <c r="W93" s="874">
        <v>0</v>
      </c>
      <c r="X93" s="884"/>
      <c r="Y93" s="874">
        <v>0</v>
      </c>
      <c r="Z93" s="241"/>
      <c r="AA93" s="116">
        <v>0</v>
      </c>
      <c r="AB93" s="239"/>
      <c r="AC93" s="116">
        <v>0</v>
      </c>
      <c r="AD93" s="242"/>
      <c r="AE93" s="117">
        <v>0</v>
      </c>
      <c r="AF93" s="1228">
        <v>0</v>
      </c>
      <c r="AG93" s="1228">
        <v>0</v>
      </c>
      <c r="AH93" s="1229">
        <v>290000</v>
      </c>
      <c r="AI93" s="80"/>
    </row>
    <row r="94" spans="1:35" x14ac:dyDescent="0.2">
      <c r="A94" s="1462">
        <v>86</v>
      </c>
      <c r="B94" s="1097" t="s">
        <v>243</v>
      </c>
      <c r="C94" s="1185">
        <v>259</v>
      </c>
      <c r="D94" s="1114">
        <v>42872098</v>
      </c>
      <c r="E94" s="1186">
        <v>5</v>
      </c>
      <c r="F94" s="1463">
        <v>470000</v>
      </c>
      <c r="G94" s="1098" t="s">
        <v>1066</v>
      </c>
      <c r="H94" s="1099" t="s">
        <v>839</v>
      </c>
      <c r="I94" s="1100"/>
      <c r="J94" s="1099"/>
      <c r="K94" s="1099"/>
      <c r="L94" s="1100"/>
      <c r="M94" s="1101"/>
      <c r="N94" s="1706"/>
      <c r="O94" s="80"/>
      <c r="P94" s="239" t="s">
        <v>318</v>
      </c>
      <c r="Q94" s="119">
        <v>471000</v>
      </c>
      <c r="R94" s="239"/>
      <c r="S94" s="114">
        <v>0</v>
      </c>
      <c r="T94" s="240"/>
      <c r="U94" s="115">
        <v>0</v>
      </c>
      <c r="V94" s="884"/>
      <c r="W94" s="874">
        <v>0</v>
      </c>
      <c r="X94" s="884"/>
      <c r="Y94" s="874">
        <v>0</v>
      </c>
      <c r="Z94" s="241"/>
      <c r="AA94" s="116">
        <v>0</v>
      </c>
      <c r="AB94" s="239"/>
      <c r="AC94" s="116">
        <v>0</v>
      </c>
      <c r="AD94" s="242"/>
      <c r="AE94" s="117">
        <v>0</v>
      </c>
      <c r="AF94" s="1228">
        <v>0</v>
      </c>
      <c r="AG94" s="1228">
        <v>0</v>
      </c>
      <c r="AH94" s="1229">
        <v>470000</v>
      </c>
      <c r="AI94" s="80"/>
    </row>
    <row r="95" spans="1:35" x14ac:dyDescent="0.2">
      <c r="A95" s="1462">
        <v>87</v>
      </c>
      <c r="B95" s="1097" t="s">
        <v>83</v>
      </c>
      <c r="C95" s="1185">
        <v>122</v>
      </c>
      <c r="D95" s="1114">
        <v>21331840</v>
      </c>
      <c r="E95" s="1186">
        <v>7</v>
      </c>
      <c r="F95" s="1463">
        <v>690000</v>
      </c>
      <c r="G95" s="1098" t="s">
        <v>982</v>
      </c>
      <c r="H95" s="1099" t="s">
        <v>839</v>
      </c>
      <c r="I95" s="1100"/>
      <c r="J95" s="1099"/>
      <c r="K95" s="1099"/>
      <c r="L95" s="1100"/>
      <c r="M95" s="1101"/>
      <c r="N95" s="1706"/>
      <c r="O95" s="80"/>
      <c r="P95" s="239" t="s">
        <v>318</v>
      </c>
      <c r="Q95" s="119">
        <v>689000</v>
      </c>
      <c r="R95" s="239"/>
      <c r="S95" s="114">
        <v>0</v>
      </c>
      <c r="T95" s="240"/>
      <c r="U95" s="115">
        <v>0</v>
      </c>
      <c r="V95" s="884"/>
      <c r="W95" s="874">
        <v>0</v>
      </c>
      <c r="X95" s="884"/>
      <c r="Y95" s="874">
        <v>0</v>
      </c>
      <c r="Z95" s="241"/>
      <c r="AA95" s="116">
        <v>0</v>
      </c>
      <c r="AB95" s="239"/>
      <c r="AC95" s="116">
        <v>0</v>
      </c>
      <c r="AD95" s="242"/>
      <c r="AE95" s="117">
        <v>0</v>
      </c>
      <c r="AF95" s="1228">
        <v>0</v>
      </c>
      <c r="AG95" s="1228">
        <v>0</v>
      </c>
      <c r="AH95" s="1229">
        <v>690000</v>
      </c>
      <c r="AI95" s="80"/>
    </row>
    <row r="96" spans="1:35" x14ac:dyDescent="0.2">
      <c r="A96" s="1462">
        <v>88</v>
      </c>
      <c r="B96" s="1097" t="s">
        <v>400</v>
      </c>
      <c r="C96" s="1185">
        <v>58</v>
      </c>
      <c r="D96" s="1114">
        <v>1036609920</v>
      </c>
      <c r="E96" s="1186">
        <v>9</v>
      </c>
      <c r="F96" s="1800">
        <v>0</v>
      </c>
      <c r="G96" s="1801"/>
      <c r="H96" s="1805" t="s">
        <v>1085</v>
      </c>
      <c r="I96" s="1100"/>
      <c r="J96" s="1099"/>
      <c r="K96" s="1099"/>
      <c r="L96" s="1100"/>
      <c r="M96" s="1101"/>
      <c r="N96" s="1706"/>
      <c r="O96" s="80"/>
      <c r="P96" s="239" t="s">
        <v>266</v>
      </c>
      <c r="Q96" s="119">
        <v>0</v>
      </c>
      <c r="R96" s="239"/>
      <c r="S96" s="114">
        <v>0</v>
      </c>
      <c r="T96" s="240"/>
      <c r="U96" s="115">
        <v>0</v>
      </c>
      <c r="V96" s="884"/>
      <c r="W96" s="874">
        <v>0</v>
      </c>
      <c r="X96" s="884"/>
      <c r="Y96" s="874">
        <v>0</v>
      </c>
      <c r="Z96" s="241"/>
      <c r="AA96" s="116">
        <v>0</v>
      </c>
      <c r="AB96" s="239"/>
      <c r="AC96" s="116">
        <v>0</v>
      </c>
      <c r="AD96" s="242"/>
      <c r="AE96" s="117">
        <v>0</v>
      </c>
      <c r="AF96" s="1228">
        <v>0</v>
      </c>
      <c r="AG96" s="1228">
        <v>0</v>
      </c>
      <c r="AH96" s="1229">
        <v>0</v>
      </c>
      <c r="AI96" s="80"/>
    </row>
    <row r="97" spans="1:35" x14ac:dyDescent="0.2">
      <c r="A97" s="1462">
        <v>89</v>
      </c>
      <c r="B97" s="1433" t="s">
        <v>486</v>
      </c>
      <c r="C97" s="1185">
        <v>162</v>
      </c>
      <c r="D97" s="1114">
        <v>1040746114</v>
      </c>
      <c r="E97" s="1186">
        <v>1</v>
      </c>
      <c r="F97" s="1463">
        <v>230000</v>
      </c>
      <c r="G97" s="1098" t="s">
        <v>983</v>
      </c>
      <c r="H97" s="1099" t="s">
        <v>839</v>
      </c>
      <c r="I97" s="1100"/>
      <c r="J97" s="1099"/>
      <c r="K97" s="1099"/>
      <c r="L97" s="1100"/>
      <c r="M97" s="1101"/>
      <c r="N97" s="1706"/>
      <c r="O97" s="80"/>
      <c r="P97" s="239" t="s">
        <v>318</v>
      </c>
      <c r="Q97" s="119">
        <v>230000</v>
      </c>
      <c r="R97" s="239"/>
      <c r="S97" s="114">
        <v>0</v>
      </c>
      <c r="T97" s="240"/>
      <c r="U97" s="115">
        <v>0</v>
      </c>
      <c r="V97" s="884"/>
      <c r="W97" s="874">
        <v>0</v>
      </c>
      <c r="X97" s="884"/>
      <c r="Y97" s="874">
        <v>0</v>
      </c>
      <c r="Z97" s="241"/>
      <c r="AA97" s="116">
        <v>0</v>
      </c>
      <c r="AB97" s="239"/>
      <c r="AC97" s="116">
        <v>0</v>
      </c>
      <c r="AD97" s="242"/>
      <c r="AE97" s="117">
        <v>0</v>
      </c>
      <c r="AF97" s="1228">
        <v>0</v>
      </c>
      <c r="AG97" s="1228">
        <v>0</v>
      </c>
      <c r="AH97" s="1229">
        <v>230000</v>
      </c>
      <c r="AI97" s="80"/>
    </row>
    <row r="98" spans="1:35" x14ac:dyDescent="0.2">
      <c r="A98" s="1462">
        <v>90</v>
      </c>
      <c r="B98" s="1491" t="s">
        <v>354</v>
      </c>
      <c r="C98" s="1678">
        <v>123</v>
      </c>
      <c r="D98" s="1114">
        <v>71587495</v>
      </c>
      <c r="E98" s="1186">
        <v>1</v>
      </c>
      <c r="F98" s="1463">
        <v>5710000</v>
      </c>
      <c r="G98" s="1098" t="s">
        <v>1015</v>
      </c>
      <c r="H98" s="1099" t="s">
        <v>839</v>
      </c>
      <c r="I98" s="1100"/>
      <c r="J98" s="1099"/>
      <c r="K98" s="1099"/>
      <c r="L98" s="1100"/>
      <c r="M98" s="1101"/>
      <c r="N98" s="1706"/>
      <c r="O98" s="80"/>
      <c r="P98" s="239" t="s">
        <v>318</v>
      </c>
      <c r="Q98" s="119">
        <v>2240000</v>
      </c>
      <c r="R98" s="239" t="s">
        <v>318</v>
      </c>
      <c r="S98" s="114">
        <v>1120000</v>
      </c>
      <c r="T98" s="240" t="s">
        <v>318</v>
      </c>
      <c r="U98" s="115">
        <v>1680000</v>
      </c>
      <c r="V98" s="884"/>
      <c r="W98" s="874">
        <v>0</v>
      </c>
      <c r="X98" s="884"/>
      <c r="Y98" s="874">
        <v>0</v>
      </c>
      <c r="Z98" s="241"/>
      <c r="AA98" s="116">
        <v>0</v>
      </c>
      <c r="AB98" s="239"/>
      <c r="AC98" s="116">
        <v>0</v>
      </c>
      <c r="AD98" s="242" t="s">
        <v>318</v>
      </c>
      <c r="AE98" s="117">
        <v>672000</v>
      </c>
      <c r="AF98" s="1228">
        <v>0</v>
      </c>
      <c r="AG98" s="1228">
        <v>0</v>
      </c>
      <c r="AH98" s="1229">
        <v>5710000</v>
      </c>
      <c r="AI98" s="80"/>
    </row>
    <row r="99" spans="1:35" x14ac:dyDescent="0.2">
      <c r="A99" s="1462">
        <v>91</v>
      </c>
      <c r="B99" s="1097" t="s">
        <v>323</v>
      </c>
      <c r="C99" s="1185">
        <v>345</v>
      </c>
      <c r="D99" s="1114">
        <v>32409980</v>
      </c>
      <c r="E99" s="1186">
        <v>7</v>
      </c>
      <c r="F99" s="1463">
        <v>230000</v>
      </c>
      <c r="G99" s="1098" t="s">
        <v>1016</v>
      </c>
      <c r="H99" s="1099" t="s">
        <v>761</v>
      </c>
      <c r="I99" s="1100">
        <v>45959</v>
      </c>
      <c r="J99" s="1099"/>
      <c r="K99" s="1099"/>
      <c r="L99" s="1100"/>
      <c r="M99" s="1101"/>
      <c r="N99" s="1706"/>
      <c r="O99" s="80"/>
      <c r="P99" s="239" t="s">
        <v>318</v>
      </c>
      <c r="Q99" s="119">
        <v>230000</v>
      </c>
      <c r="R99" s="239"/>
      <c r="S99" s="114">
        <v>0</v>
      </c>
      <c r="T99" s="240"/>
      <c r="U99" s="115">
        <v>0</v>
      </c>
      <c r="V99" s="884"/>
      <c r="W99" s="874">
        <v>0</v>
      </c>
      <c r="X99" s="884"/>
      <c r="Y99" s="874">
        <v>0</v>
      </c>
      <c r="Z99" s="241"/>
      <c r="AA99" s="116">
        <v>0</v>
      </c>
      <c r="AB99" s="239"/>
      <c r="AC99" s="116">
        <v>0</v>
      </c>
      <c r="AD99" s="242"/>
      <c r="AE99" s="117">
        <v>0</v>
      </c>
      <c r="AF99" s="1228">
        <v>0</v>
      </c>
      <c r="AG99" s="1228">
        <v>0</v>
      </c>
      <c r="AH99" s="1229">
        <v>230000</v>
      </c>
      <c r="AI99" s="80"/>
    </row>
    <row r="100" spans="1:35" x14ac:dyDescent="0.2">
      <c r="A100" s="1462">
        <v>92</v>
      </c>
      <c r="B100" s="1097" t="s">
        <v>327</v>
      </c>
      <c r="C100" s="1185">
        <v>350</v>
      </c>
      <c r="D100" s="1114">
        <v>8162809</v>
      </c>
      <c r="E100" s="1186">
        <v>5</v>
      </c>
      <c r="F100" s="1463">
        <v>1990000</v>
      </c>
      <c r="G100" s="1098" t="s">
        <v>1021</v>
      </c>
      <c r="H100" s="1099" t="s">
        <v>761</v>
      </c>
      <c r="I100" s="1100">
        <v>45959</v>
      </c>
      <c r="J100" s="1099"/>
      <c r="K100" s="1099"/>
      <c r="L100" s="1100"/>
      <c r="M100" s="1101"/>
      <c r="N100" s="1706"/>
      <c r="O100" s="80"/>
      <c r="P100" s="239" t="s">
        <v>318</v>
      </c>
      <c r="Q100" s="119">
        <v>1923000</v>
      </c>
      <c r="R100" s="239"/>
      <c r="S100" s="114">
        <v>0</v>
      </c>
      <c r="T100" s="240"/>
      <c r="U100" s="115">
        <v>0</v>
      </c>
      <c r="V100" s="884"/>
      <c r="W100" s="874">
        <v>0</v>
      </c>
      <c r="X100" s="884"/>
      <c r="Y100" s="874">
        <v>0</v>
      </c>
      <c r="Z100" s="241"/>
      <c r="AA100" s="116">
        <v>0</v>
      </c>
      <c r="AB100" s="239"/>
      <c r="AC100" s="116">
        <v>0</v>
      </c>
      <c r="AD100" s="242"/>
      <c r="AE100" s="117">
        <v>0</v>
      </c>
      <c r="AF100" s="1228">
        <v>70000</v>
      </c>
      <c r="AG100" s="1228">
        <v>0</v>
      </c>
      <c r="AH100" s="1229">
        <v>1990000</v>
      </c>
      <c r="AI100" s="80"/>
    </row>
    <row r="101" spans="1:35" x14ac:dyDescent="0.2">
      <c r="A101" s="1462">
        <v>93</v>
      </c>
      <c r="B101" s="1097" t="s">
        <v>325</v>
      </c>
      <c r="C101" s="1185">
        <v>351</v>
      </c>
      <c r="D101" s="1114">
        <v>43220534</v>
      </c>
      <c r="E101" s="1186">
        <v>1</v>
      </c>
      <c r="F101" s="1463">
        <v>880000</v>
      </c>
      <c r="G101" s="1098" t="s">
        <v>990</v>
      </c>
      <c r="H101" s="1099" t="s">
        <v>761</v>
      </c>
      <c r="I101" s="1100">
        <v>45959</v>
      </c>
      <c r="J101" s="1099"/>
      <c r="K101" s="1099"/>
      <c r="L101" s="1100"/>
      <c r="M101" s="1101"/>
      <c r="N101" s="1706"/>
      <c r="O101" s="80"/>
      <c r="P101" s="239" t="s">
        <v>318</v>
      </c>
      <c r="Q101" s="119">
        <v>884000</v>
      </c>
      <c r="R101" s="239"/>
      <c r="S101" s="114">
        <v>0</v>
      </c>
      <c r="T101" s="240"/>
      <c r="U101" s="115">
        <v>0</v>
      </c>
      <c r="V101" s="884"/>
      <c r="W101" s="874">
        <v>0</v>
      </c>
      <c r="X101" s="884"/>
      <c r="Y101" s="874">
        <v>0</v>
      </c>
      <c r="Z101" s="241"/>
      <c r="AA101" s="116">
        <v>0</v>
      </c>
      <c r="AB101" s="239"/>
      <c r="AC101" s="116">
        <v>0</v>
      </c>
      <c r="AD101" s="242"/>
      <c r="AE101" s="117">
        <v>0</v>
      </c>
      <c r="AF101" s="1228">
        <v>0</v>
      </c>
      <c r="AG101" s="1228">
        <v>0</v>
      </c>
      <c r="AH101" s="1229">
        <v>880000</v>
      </c>
      <c r="AI101" s="80"/>
    </row>
    <row r="102" spans="1:35" x14ac:dyDescent="0.2">
      <c r="A102" s="1462">
        <v>94</v>
      </c>
      <c r="B102" s="1097" t="s">
        <v>326</v>
      </c>
      <c r="C102" s="1185">
        <v>26</v>
      </c>
      <c r="D102" s="1114">
        <v>1000717826</v>
      </c>
      <c r="E102" s="1186">
        <v>6</v>
      </c>
      <c r="F102" s="1463">
        <v>260000</v>
      </c>
      <c r="G102" s="1098" t="s">
        <v>1023</v>
      </c>
      <c r="H102" s="1099" t="s">
        <v>761</v>
      </c>
      <c r="I102" s="1100">
        <v>45959</v>
      </c>
      <c r="J102" s="1099"/>
      <c r="K102" s="1099"/>
      <c r="L102" s="1100"/>
      <c r="M102" s="1101"/>
      <c r="N102" s="1706"/>
      <c r="O102" s="80"/>
      <c r="P102" s="239" t="s">
        <v>318</v>
      </c>
      <c r="Q102" s="119">
        <v>259000</v>
      </c>
      <c r="R102" s="239"/>
      <c r="S102" s="114">
        <v>0</v>
      </c>
      <c r="T102" s="240"/>
      <c r="U102" s="115">
        <v>0</v>
      </c>
      <c r="V102" s="884"/>
      <c r="W102" s="874">
        <v>0</v>
      </c>
      <c r="X102" s="884"/>
      <c r="Y102" s="874">
        <v>0</v>
      </c>
      <c r="Z102" s="241"/>
      <c r="AA102" s="116">
        <v>0</v>
      </c>
      <c r="AB102" s="239"/>
      <c r="AC102" s="116">
        <v>0</v>
      </c>
      <c r="AD102" s="242"/>
      <c r="AE102" s="117">
        <v>0</v>
      </c>
      <c r="AF102" s="1228">
        <v>0</v>
      </c>
      <c r="AG102" s="1228">
        <v>0</v>
      </c>
      <c r="AH102" s="1229">
        <v>260000</v>
      </c>
      <c r="AI102" s="80"/>
    </row>
    <row r="103" spans="1:35" x14ac:dyDescent="0.2">
      <c r="A103" s="1462">
        <v>95</v>
      </c>
      <c r="B103" s="1137" t="s">
        <v>664</v>
      </c>
      <c r="C103" s="1185">
        <v>247</v>
      </c>
      <c r="D103" s="1114">
        <v>1023302299</v>
      </c>
      <c r="E103" s="1186">
        <v>6</v>
      </c>
      <c r="F103" s="1463">
        <v>260000</v>
      </c>
      <c r="G103" s="1098" t="s">
        <v>1067</v>
      </c>
      <c r="H103" s="1099" t="s">
        <v>760</v>
      </c>
      <c r="I103" s="1100">
        <v>45957</v>
      </c>
      <c r="J103" s="1099"/>
      <c r="K103" s="1099"/>
      <c r="L103" s="1100"/>
      <c r="M103" s="1101"/>
      <c r="N103" s="1706"/>
      <c r="O103" s="80"/>
      <c r="P103" s="239" t="s">
        <v>318</v>
      </c>
      <c r="Q103" s="119">
        <v>259000</v>
      </c>
      <c r="R103" s="239"/>
      <c r="S103" s="114">
        <v>0</v>
      </c>
      <c r="T103" s="240"/>
      <c r="U103" s="115">
        <v>0</v>
      </c>
      <c r="V103" s="884"/>
      <c r="W103" s="874">
        <v>0</v>
      </c>
      <c r="X103" s="884"/>
      <c r="Y103" s="874">
        <v>0</v>
      </c>
      <c r="Z103" s="241"/>
      <c r="AA103" s="116">
        <v>0</v>
      </c>
      <c r="AB103" s="239"/>
      <c r="AC103" s="116">
        <v>0</v>
      </c>
      <c r="AD103" s="242"/>
      <c r="AE103" s="117">
        <v>0</v>
      </c>
      <c r="AF103" s="1228">
        <v>0</v>
      </c>
      <c r="AG103" s="1228">
        <v>0</v>
      </c>
      <c r="AH103" s="1229">
        <v>260000</v>
      </c>
      <c r="AI103" s="80"/>
    </row>
    <row r="104" spans="1:35" x14ac:dyDescent="0.2">
      <c r="A104" s="1462">
        <v>96</v>
      </c>
      <c r="B104" s="1097" t="s">
        <v>405</v>
      </c>
      <c r="C104" s="1185">
        <v>64</v>
      </c>
      <c r="D104" s="1114">
        <v>98549908</v>
      </c>
      <c r="E104" s="1186">
        <v>6</v>
      </c>
      <c r="F104" s="1463">
        <v>160000</v>
      </c>
      <c r="G104" s="1098" t="s">
        <v>1019</v>
      </c>
      <c r="H104" s="1099" t="s">
        <v>761</v>
      </c>
      <c r="I104" s="1100">
        <v>45959</v>
      </c>
      <c r="J104" s="1099"/>
      <c r="K104" s="1099"/>
      <c r="L104" s="1100"/>
      <c r="M104" s="1101"/>
      <c r="N104" s="1706"/>
      <c r="O104" s="80"/>
      <c r="P104" s="239" t="s">
        <v>318</v>
      </c>
      <c r="Q104" s="119">
        <v>161000</v>
      </c>
      <c r="R104" s="239"/>
      <c r="S104" s="114">
        <v>0</v>
      </c>
      <c r="T104" s="240"/>
      <c r="U104" s="115">
        <v>0</v>
      </c>
      <c r="V104" s="884"/>
      <c r="W104" s="874">
        <v>0</v>
      </c>
      <c r="X104" s="884"/>
      <c r="Y104" s="874">
        <v>0</v>
      </c>
      <c r="Z104" s="241"/>
      <c r="AA104" s="116">
        <v>0</v>
      </c>
      <c r="AB104" s="239"/>
      <c r="AC104" s="116">
        <v>0</v>
      </c>
      <c r="AD104" s="242"/>
      <c r="AE104" s="117">
        <v>0</v>
      </c>
      <c r="AF104" s="1228">
        <v>0</v>
      </c>
      <c r="AG104" s="1228">
        <v>0</v>
      </c>
      <c r="AH104" s="1229">
        <v>160000</v>
      </c>
      <c r="AI104" s="80"/>
    </row>
    <row r="105" spans="1:35" x14ac:dyDescent="0.2">
      <c r="A105" s="1462">
        <v>97</v>
      </c>
      <c r="B105" s="1097" t="s">
        <v>247</v>
      </c>
      <c r="C105" s="1185">
        <v>333</v>
      </c>
      <c r="D105" s="1114">
        <v>39183561</v>
      </c>
      <c r="E105" s="1186">
        <v>7</v>
      </c>
      <c r="F105" s="1463">
        <v>160000</v>
      </c>
      <c r="G105" s="1098" t="s">
        <v>1010</v>
      </c>
      <c r="H105" s="1805" t="s">
        <v>1085</v>
      </c>
      <c r="I105" s="1100"/>
      <c r="J105" s="1099"/>
      <c r="K105" s="1099"/>
      <c r="L105" s="1100"/>
      <c r="M105" s="1101"/>
      <c r="N105" s="1706"/>
      <c r="O105" s="80"/>
      <c r="P105" s="239" t="s">
        <v>318</v>
      </c>
      <c r="Q105" s="119">
        <v>161000</v>
      </c>
      <c r="R105" s="239"/>
      <c r="S105" s="114">
        <v>0</v>
      </c>
      <c r="T105" s="240"/>
      <c r="U105" s="115">
        <v>0</v>
      </c>
      <c r="V105" s="884"/>
      <c r="W105" s="874">
        <v>0</v>
      </c>
      <c r="X105" s="884"/>
      <c r="Y105" s="874">
        <v>0</v>
      </c>
      <c r="Z105" s="241"/>
      <c r="AA105" s="116">
        <v>0</v>
      </c>
      <c r="AB105" s="239"/>
      <c r="AC105" s="116">
        <v>0</v>
      </c>
      <c r="AD105" s="242"/>
      <c r="AE105" s="117">
        <v>0</v>
      </c>
      <c r="AF105" s="1228">
        <v>0</v>
      </c>
      <c r="AG105" s="1228">
        <v>0</v>
      </c>
      <c r="AH105" s="1229">
        <v>160000</v>
      </c>
      <c r="AI105" s="80"/>
    </row>
    <row r="106" spans="1:35" x14ac:dyDescent="0.2">
      <c r="A106" s="1462">
        <v>98</v>
      </c>
      <c r="B106" s="1097" t="s">
        <v>328</v>
      </c>
      <c r="C106" s="1185">
        <v>344</v>
      </c>
      <c r="D106" s="1114">
        <v>8269485</v>
      </c>
      <c r="E106" s="1186">
        <v>3</v>
      </c>
      <c r="F106" s="1463">
        <v>230000</v>
      </c>
      <c r="G106" s="1098" t="s">
        <v>1016</v>
      </c>
      <c r="H106" s="1099" t="s">
        <v>761</v>
      </c>
      <c r="I106" s="1100">
        <v>45959</v>
      </c>
      <c r="J106" s="1099"/>
      <c r="K106" s="1099"/>
      <c r="L106" s="1100"/>
      <c r="M106" s="1101"/>
      <c r="N106" s="1706"/>
      <c r="O106" s="80"/>
      <c r="P106" s="239" t="s">
        <v>318</v>
      </c>
      <c r="Q106" s="119">
        <v>230000</v>
      </c>
      <c r="R106" s="239"/>
      <c r="S106" s="114">
        <v>0</v>
      </c>
      <c r="T106" s="240"/>
      <c r="U106" s="115">
        <v>0</v>
      </c>
      <c r="V106" s="884"/>
      <c r="W106" s="874">
        <v>0</v>
      </c>
      <c r="X106" s="884"/>
      <c r="Y106" s="874">
        <v>0</v>
      </c>
      <c r="Z106" s="241"/>
      <c r="AA106" s="116">
        <v>0</v>
      </c>
      <c r="AB106" s="239"/>
      <c r="AC106" s="116">
        <v>0</v>
      </c>
      <c r="AD106" s="242"/>
      <c r="AE106" s="117">
        <v>0</v>
      </c>
      <c r="AF106" s="1228">
        <v>0</v>
      </c>
      <c r="AG106" s="1228">
        <v>0</v>
      </c>
      <c r="AH106" s="1229">
        <v>230000</v>
      </c>
      <c r="AI106" s="80"/>
    </row>
    <row r="107" spans="1:35" x14ac:dyDescent="0.2">
      <c r="A107" s="1462">
        <v>99</v>
      </c>
      <c r="B107" s="631" t="s">
        <v>483</v>
      </c>
      <c r="C107" s="1185">
        <v>186</v>
      </c>
      <c r="D107" s="1114">
        <v>71680954</v>
      </c>
      <c r="E107" s="1186">
        <v>6</v>
      </c>
      <c r="F107" s="1463">
        <v>160000</v>
      </c>
      <c r="G107" s="1098" t="s">
        <v>1022</v>
      </c>
      <c r="H107" s="1099" t="s">
        <v>839</v>
      </c>
      <c r="I107" s="1100"/>
      <c r="J107" s="1099"/>
      <c r="K107" s="1099"/>
      <c r="L107" s="1100"/>
      <c r="M107" s="1101"/>
      <c r="N107" s="1706"/>
      <c r="O107" s="80"/>
      <c r="P107" s="239" t="s">
        <v>318</v>
      </c>
      <c r="Q107" s="119">
        <v>161000</v>
      </c>
      <c r="R107" s="239"/>
      <c r="S107" s="114">
        <v>0</v>
      </c>
      <c r="T107" s="240"/>
      <c r="U107" s="115">
        <v>0</v>
      </c>
      <c r="V107" s="884"/>
      <c r="W107" s="874">
        <v>0</v>
      </c>
      <c r="X107" s="884"/>
      <c r="Y107" s="874">
        <v>0</v>
      </c>
      <c r="Z107" s="241"/>
      <c r="AA107" s="116">
        <v>0</v>
      </c>
      <c r="AB107" s="239"/>
      <c r="AC107" s="116">
        <v>0</v>
      </c>
      <c r="AD107" s="242"/>
      <c r="AE107" s="117">
        <v>0</v>
      </c>
      <c r="AF107" s="1228">
        <v>0</v>
      </c>
      <c r="AG107" s="1228">
        <v>0</v>
      </c>
      <c r="AH107" s="1229">
        <v>160000</v>
      </c>
      <c r="AI107" s="80"/>
    </row>
    <row r="108" spans="1:35" x14ac:dyDescent="0.2">
      <c r="A108" s="1806">
        <v>100</v>
      </c>
      <c r="B108" s="1807" t="s">
        <v>84</v>
      </c>
      <c r="C108" s="1808">
        <v>126</v>
      </c>
      <c r="D108" s="1809">
        <v>52009137</v>
      </c>
      <c r="E108" s="1810">
        <v>0</v>
      </c>
      <c r="F108" s="1811">
        <v>360000</v>
      </c>
      <c r="G108" s="1812" t="s">
        <v>1020</v>
      </c>
      <c r="H108" s="1099" t="s">
        <v>839</v>
      </c>
      <c r="I108" s="1100"/>
      <c r="J108" s="1099"/>
      <c r="K108" s="1099"/>
      <c r="L108" s="1100"/>
      <c r="M108" s="1101" t="s">
        <v>1087</v>
      </c>
      <c r="N108" s="1706"/>
      <c r="O108" s="80"/>
      <c r="P108" s="239" t="s">
        <v>318</v>
      </c>
      <c r="Q108" s="119">
        <v>540000</v>
      </c>
      <c r="R108" s="239"/>
      <c r="S108" s="114">
        <v>0</v>
      </c>
      <c r="T108" s="240"/>
      <c r="U108" s="115">
        <v>0</v>
      </c>
      <c r="V108" s="884"/>
      <c r="W108" s="874">
        <v>0</v>
      </c>
      <c r="X108" s="884"/>
      <c r="Y108" s="874">
        <v>0</v>
      </c>
      <c r="Z108" s="241"/>
      <c r="AA108" s="116">
        <v>0</v>
      </c>
      <c r="AB108" s="239"/>
      <c r="AC108" s="116">
        <v>0</v>
      </c>
      <c r="AD108" s="242"/>
      <c r="AE108" s="117">
        <v>0</v>
      </c>
      <c r="AF108" s="1228">
        <v>0</v>
      </c>
      <c r="AG108" s="1228">
        <v>0</v>
      </c>
      <c r="AH108" s="1229">
        <v>540000</v>
      </c>
      <c r="AI108" s="80"/>
    </row>
    <row r="109" spans="1:35" x14ac:dyDescent="0.2">
      <c r="A109" s="1806">
        <v>101</v>
      </c>
      <c r="B109" s="1807" t="s">
        <v>86</v>
      </c>
      <c r="C109" s="1808">
        <v>127</v>
      </c>
      <c r="D109" s="1809">
        <v>32416024</v>
      </c>
      <c r="E109" s="1810">
        <v>1</v>
      </c>
      <c r="F109" s="1811">
        <v>720000</v>
      </c>
      <c r="G109" s="1812" t="s">
        <v>1024</v>
      </c>
      <c r="H109" s="1099" t="s">
        <v>839</v>
      </c>
      <c r="I109" s="1100"/>
      <c r="J109" s="1099"/>
      <c r="K109" s="1099"/>
      <c r="L109" s="1100"/>
      <c r="M109" s="1101" t="s">
        <v>1088</v>
      </c>
      <c r="N109" s="1706"/>
      <c r="O109" s="80"/>
      <c r="P109" s="239" t="s">
        <v>318</v>
      </c>
      <c r="Q109" s="119">
        <v>758000</v>
      </c>
      <c r="R109" s="239"/>
      <c r="S109" s="114">
        <v>0</v>
      </c>
      <c r="T109" s="240"/>
      <c r="U109" s="115">
        <v>0</v>
      </c>
      <c r="V109" s="884"/>
      <c r="W109" s="874">
        <v>0</v>
      </c>
      <c r="X109" s="884"/>
      <c r="Y109" s="874">
        <v>0</v>
      </c>
      <c r="Z109" s="241"/>
      <c r="AA109" s="116">
        <v>0</v>
      </c>
      <c r="AB109" s="239"/>
      <c r="AC109" s="116">
        <v>0</v>
      </c>
      <c r="AD109" s="242"/>
      <c r="AE109" s="117">
        <v>0</v>
      </c>
      <c r="AF109" s="1228">
        <v>0</v>
      </c>
      <c r="AG109" s="1228">
        <v>0</v>
      </c>
      <c r="AH109" s="1229">
        <v>760000</v>
      </c>
      <c r="AI109" s="80"/>
    </row>
    <row r="110" spans="1:35" x14ac:dyDescent="0.2">
      <c r="A110" s="1462">
        <v>102</v>
      </c>
      <c r="B110" s="1097" t="s">
        <v>88</v>
      </c>
      <c r="C110" s="1185">
        <v>221</v>
      </c>
      <c r="D110" s="1114">
        <v>15502041</v>
      </c>
      <c r="E110" s="1186">
        <v>1</v>
      </c>
      <c r="F110" s="1463">
        <v>350000</v>
      </c>
      <c r="G110" s="1098" t="s">
        <v>972</v>
      </c>
      <c r="H110" s="1099" t="s">
        <v>761</v>
      </c>
      <c r="I110" s="1100">
        <v>45959</v>
      </c>
      <c r="J110" s="1099"/>
      <c r="K110" s="1099"/>
      <c r="L110" s="1100"/>
      <c r="M110" s="1101"/>
      <c r="N110" s="1706"/>
      <c r="O110" s="80"/>
      <c r="P110" s="239" t="s">
        <v>318</v>
      </c>
      <c r="Q110" s="119">
        <v>345000</v>
      </c>
      <c r="R110" s="239"/>
      <c r="S110" s="114">
        <v>0</v>
      </c>
      <c r="T110" s="240"/>
      <c r="U110" s="115">
        <v>0</v>
      </c>
      <c r="V110" s="884"/>
      <c r="W110" s="874">
        <v>0</v>
      </c>
      <c r="X110" s="884"/>
      <c r="Y110" s="874">
        <v>0</v>
      </c>
      <c r="Z110" s="241"/>
      <c r="AA110" s="116">
        <v>0</v>
      </c>
      <c r="AB110" s="239"/>
      <c r="AC110" s="116">
        <v>0</v>
      </c>
      <c r="AD110" s="242"/>
      <c r="AE110" s="117">
        <v>0</v>
      </c>
      <c r="AF110" s="1228">
        <v>0</v>
      </c>
      <c r="AG110" s="1228">
        <v>0</v>
      </c>
      <c r="AH110" s="1229">
        <v>350000</v>
      </c>
      <c r="AI110" s="80"/>
    </row>
    <row r="111" spans="1:35" x14ac:dyDescent="0.2">
      <c r="A111" s="1462">
        <v>103</v>
      </c>
      <c r="B111" s="1791" t="s">
        <v>918</v>
      </c>
      <c r="C111" s="1185">
        <v>369</v>
      </c>
      <c r="D111" s="1114">
        <v>1001370893</v>
      </c>
      <c r="E111" s="1186">
        <v>1</v>
      </c>
      <c r="F111" s="1463">
        <v>250000</v>
      </c>
      <c r="G111" s="1098" t="s">
        <v>972</v>
      </c>
      <c r="H111" s="1099" t="s">
        <v>761</v>
      </c>
      <c r="I111" s="1100">
        <v>45959</v>
      </c>
      <c r="J111" s="1099"/>
      <c r="K111" s="1099"/>
      <c r="L111" s="1100"/>
      <c r="M111" s="1101"/>
      <c r="N111" s="1706"/>
      <c r="O111" s="80"/>
      <c r="P111" s="239" t="s">
        <v>318</v>
      </c>
      <c r="Q111" s="119">
        <v>0</v>
      </c>
      <c r="R111" s="239"/>
      <c r="S111" s="114">
        <v>0</v>
      </c>
      <c r="T111" s="240"/>
      <c r="U111" s="115">
        <v>0</v>
      </c>
      <c r="V111" s="884"/>
      <c r="W111" s="874">
        <v>0</v>
      </c>
      <c r="X111" s="884"/>
      <c r="Y111" s="874">
        <v>0</v>
      </c>
      <c r="Z111" s="241"/>
      <c r="AA111" s="116">
        <v>0</v>
      </c>
      <c r="AB111" s="239"/>
      <c r="AC111" s="116">
        <v>0</v>
      </c>
      <c r="AD111" s="242"/>
      <c r="AE111" s="117">
        <v>0</v>
      </c>
      <c r="AF111" s="1228">
        <v>0</v>
      </c>
      <c r="AG111" s="1228">
        <v>0</v>
      </c>
      <c r="AH111" s="1229">
        <v>0</v>
      </c>
      <c r="AI111" s="80"/>
    </row>
    <row r="112" spans="1:35" x14ac:dyDescent="0.2">
      <c r="A112" s="1462">
        <v>103</v>
      </c>
      <c r="B112" s="1097" t="s">
        <v>90</v>
      </c>
      <c r="C112" s="1185">
        <v>129</v>
      </c>
      <c r="D112" s="1114">
        <v>43064007</v>
      </c>
      <c r="E112" s="1186">
        <v>2</v>
      </c>
      <c r="F112" s="1463">
        <v>940000</v>
      </c>
      <c r="G112" s="1098" t="s">
        <v>1015</v>
      </c>
      <c r="H112" s="1099" t="s">
        <v>761</v>
      </c>
      <c r="I112" s="1100">
        <v>45959</v>
      </c>
      <c r="J112" s="1099"/>
      <c r="K112" s="1099"/>
      <c r="L112" s="1100"/>
      <c r="M112" s="1101"/>
      <c r="N112" s="1706"/>
      <c r="O112" s="80"/>
      <c r="P112" s="239" t="s">
        <v>318</v>
      </c>
      <c r="Q112" s="119">
        <v>942000</v>
      </c>
      <c r="R112" s="239"/>
      <c r="S112" s="114">
        <v>0</v>
      </c>
      <c r="T112" s="240"/>
      <c r="U112" s="115">
        <v>0</v>
      </c>
      <c r="V112" s="884"/>
      <c r="W112" s="874">
        <v>0</v>
      </c>
      <c r="X112" s="884"/>
      <c r="Y112" s="874">
        <v>0</v>
      </c>
      <c r="Z112" s="241"/>
      <c r="AA112" s="116">
        <v>0</v>
      </c>
      <c r="AB112" s="239"/>
      <c r="AC112" s="116">
        <v>0</v>
      </c>
      <c r="AD112" s="242"/>
      <c r="AE112" s="117">
        <v>0</v>
      </c>
      <c r="AF112" s="1228">
        <v>0</v>
      </c>
      <c r="AG112" s="1228">
        <v>0</v>
      </c>
      <c r="AH112" s="1229">
        <v>940000</v>
      </c>
      <c r="AI112" s="80"/>
    </row>
    <row r="113" spans="1:35" x14ac:dyDescent="0.2">
      <c r="A113" s="1462">
        <v>104</v>
      </c>
      <c r="B113" s="1097" t="s">
        <v>94</v>
      </c>
      <c r="C113" s="1185">
        <v>269</v>
      </c>
      <c r="D113" s="1114">
        <v>71780372</v>
      </c>
      <c r="E113" s="1186">
        <v>9</v>
      </c>
      <c r="F113" s="1463">
        <v>320000</v>
      </c>
      <c r="G113" s="1098" t="s">
        <v>1025</v>
      </c>
      <c r="H113" s="1099" t="s">
        <v>761</v>
      </c>
      <c r="I113" s="1100">
        <v>45959</v>
      </c>
      <c r="J113" s="1099"/>
      <c r="K113" s="1099"/>
      <c r="L113" s="1100"/>
      <c r="M113" s="1101"/>
      <c r="N113" s="1706"/>
      <c r="O113" s="80"/>
      <c r="P113" s="239" t="s">
        <v>318</v>
      </c>
      <c r="Q113" s="119">
        <v>316000</v>
      </c>
      <c r="R113" s="239"/>
      <c r="S113" s="114">
        <v>0</v>
      </c>
      <c r="T113" s="240"/>
      <c r="U113" s="115">
        <v>0</v>
      </c>
      <c r="V113" s="884"/>
      <c r="W113" s="874">
        <v>0</v>
      </c>
      <c r="X113" s="884"/>
      <c r="Y113" s="874">
        <v>0</v>
      </c>
      <c r="Z113" s="241"/>
      <c r="AA113" s="116">
        <v>0</v>
      </c>
      <c r="AB113" s="239"/>
      <c r="AC113" s="116">
        <v>0</v>
      </c>
      <c r="AD113" s="242"/>
      <c r="AE113" s="117">
        <v>0</v>
      </c>
      <c r="AF113" s="1228">
        <v>0</v>
      </c>
      <c r="AG113" s="1228">
        <v>0</v>
      </c>
      <c r="AH113" s="1229">
        <v>320000</v>
      </c>
      <c r="AI113" s="80"/>
    </row>
    <row r="114" spans="1:35" x14ac:dyDescent="0.2">
      <c r="A114" s="1462">
        <v>105</v>
      </c>
      <c r="B114" s="1097" t="s">
        <v>309</v>
      </c>
      <c r="C114" s="1185">
        <v>252</v>
      </c>
      <c r="D114" s="1114">
        <v>73097181</v>
      </c>
      <c r="E114" s="1186">
        <v>7</v>
      </c>
      <c r="F114" s="1463">
        <v>160000</v>
      </c>
      <c r="G114" s="1098" t="s">
        <v>1026</v>
      </c>
      <c r="H114" s="1099" t="s">
        <v>839</v>
      </c>
      <c r="I114" s="1100"/>
      <c r="J114" s="1099"/>
      <c r="K114" s="1099"/>
      <c r="L114" s="1100"/>
      <c r="M114" s="1101"/>
      <c r="N114" s="1706"/>
      <c r="O114" s="80"/>
      <c r="P114" s="239" t="s">
        <v>318</v>
      </c>
      <c r="Q114" s="119">
        <v>161000</v>
      </c>
      <c r="R114" s="239"/>
      <c r="S114" s="114">
        <v>0</v>
      </c>
      <c r="T114" s="240"/>
      <c r="U114" s="115">
        <v>0</v>
      </c>
      <c r="V114" s="884"/>
      <c r="W114" s="874">
        <v>0</v>
      </c>
      <c r="X114" s="884"/>
      <c r="Y114" s="874">
        <v>0</v>
      </c>
      <c r="Z114" s="241"/>
      <c r="AA114" s="116">
        <v>0</v>
      </c>
      <c r="AB114" s="239"/>
      <c r="AC114" s="116">
        <v>0</v>
      </c>
      <c r="AD114" s="242"/>
      <c r="AE114" s="117">
        <v>0</v>
      </c>
      <c r="AF114" s="1228">
        <v>0</v>
      </c>
      <c r="AG114" s="1228">
        <v>0</v>
      </c>
      <c r="AH114" s="1229">
        <v>160000</v>
      </c>
      <c r="AI114" s="80"/>
    </row>
    <row r="115" spans="1:35" x14ac:dyDescent="0.2">
      <c r="A115" s="1462">
        <v>106</v>
      </c>
      <c r="B115" s="1097" t="s">
        <v>98</v>
      </c>
      <c r="C115" s="1185">
        <v>136</v>
      </c>
      <c r="D115" s="1114">
        <v>43628064</v>
      </c>
      <c r="E115" s="1186">
        <v>4</v>
      </c>
      <c r="F115" s="1463">
        <v>900000</v>
      </c>
      <c r="G115" s="1098" t="s">
        <v>1009</v>
      </c>
      <c r="H115" s="1099" t="s">
        <v>839</v>
      </c>
      <c r="I115" s="1100"/>
      <c r="J115" s="1099"/>
      <c r="K115" s="1099"/>
      <c r="L115" s="1100"/>
      <c r="M115" s="1101"/>
      <c r="N115" s="1706"/>
      <c r="O115" s="80"/>
      <c r="P115" s="239" t="s">
        <v>318</v>
      </c>
      <c r="Q115" s="119">
        <v>689000</v>
      </c>
      <c r="R115" s="239"/>
      <c r="S115" s="114">
        <v>0</v>
      </c>
      <c r="T115" s="240"/>
      <c r="U115" s="115">
        <v>0</v>
      </c>
      <c r="V115" s="884"/>
      <c r="W115" s="874">
        <v>0</v>
      </c>
      <c r="X115" s="884"/>
      <c r="Y115" s="874">
        <v>0</v>
      </c>
      <c r="Z115" s="241"/>
      <c r="AA115" s="116">
        <v>0</v>
      </c>
      <c r="AB115" s="239"/>
      <c r="AC115" s="116">
        <v>0</v>
      </c>
      <c r="AD115" s="242" t="s">
        <v>318</v>
      </c>
      <c r="AE115" s="117">
        <v>206700</v>
      </c>
      <c r="AF115" s="1228">
        <v>0</v>
      </c>
      <c r="AG115" s="1228">
        <v>0</v>
      </c>
      <c r="AH115" s="1229">
        <v>900000</v>
      </c>
      <c r="AI115" s="80"/>
    </row>
    <row r="116" spans="1:35" x14ac:dyDescent="0.2">
      <c r="A116" s="1462">
        <v>107</v>
      </c>
      <c r="B116" s="1097" t="s">
        <v>99</v>
      </c>
      <c r="C116" s="1185">
        <v>137</v>
      </c>
      <c r="D116" s="1114">
        <v>32330774</v>
      </c>
      <c r="E116" s="1186">
        <v>4</v>
      </c>
      <c r="F116" s="1463">
        <v>490000</v>
      </c>
      <c r="G116" s="1098" t="s">
        <v>1018</v>
      </c>
      <c r="H116" s="1099" t="s">
        <v>761</v>
      </c>
      <c r="I116" s="1100">
        <v>45959</v>
      </c>
      <c r="J116" s="1099"/>
      <c r="K116" s="1099"/>
      <c r="L116" s="1100"/>
      <c r="M116" s="1101"/>
      <c r="N116" s="1706"/>
      <c r="O116" s="80"/>
      <c r="P116" s="239" t="s">
        <v>318</v>
      </c>
      <c r="Q116" s="119">
        <v>494000</v>
      </c>
      <c r="R116" s="239"/>
      <c r="S116" s="114">
        <v>0</v>
      </c>
      <c r="T116" s="240"/>
      <c r="U116" s="115">
        <v>0</v>
      </c>
      <c r="V116" s="884"/>
      <c r="W116" s="874">
        <v>0</v>
      </c>
      <c r="X116" s="884"/>
      <c r="Y116" s="874">
        <v>0</v>
      </c>
      <c r="Z116" s="241"/>
      <c r="AA116" s="116">
        <v>0</v>
      </c>
      <c r="AB116" s="239"/>
      <c r="AC116" s="116">
        <v>0</v>
      </c>
      <c r="AD116" s="242"/>
      <c r="AE116" s="117">
        <v>0</v>
      </c>
      <c r="AF116" s="1228">
        <v>0</v>
      </c>
      <c r="AG116" s="1228">
        <v>0</v>
      </c>
      <c r="AH116" s="1229">
        <v>490000</v>
      </c>
      <c r="AI116" s="80"/>
    </row>
    <row r="117" spans="1:35" x14ac:dyDescent="0.2">
      <c r="A117" s="1462">
        <v>108</v>
      </c>
      <c r="B117" s="1097" t="s">
        <v>100</v>
      </c>
      <c r="C117" s="1185">
        <v>267</v>
      </c>
      <c r="D117" s="1114">
        <v>71769178</v>
      </c>
      <c r="E117" s="1186">
        <v>1</v>
      </c>
      <c r="F117" s="1463">
        <v>310000</v>
      </c>
      <c r="G117" s="1098" t="s">
        <v>1027</v>
      </c>
      <c r="H117" s="1099" t="s">
        <v>761</v>
      </c>
      <c r="I117" s="1100">
        <v>45959</v>
      </c>
      <c r="J117" s="1099"/>
      <c r="K117" s="1099"/>
      <c r="L117" s="1262"/>
      <c r="M117" s="1101"/>
      <c r="N117" s="1706"/>
      <c r="O117" s="80"/>
      <c r="P117" s="239" t="s">
        <v>318</v>
      </c>
      <c r="Q117" s="119">
        <v>310000</v>
      </c>
      <c r="R117" s="239"/>
      <c r="S117" s="114">
        <v>0</v>
      </c>
      <c r="T117" s="240"/>
      <c r="U117" s="115">
        <v>0</v>
      </c>
      <c r="V117" s="884"/>
      <c r="W117" s="874">
        <v>0</v>
      </c>
      <c r="X117" s="884"/>
      <c r="Y117" s="874">
        <v>0</v>
      </c>
      <c r="Z117" s="241"/>
      <c r="AA117" s="116">
        <v>0</v>
      </c>
      <c r="AB117" s="239"/>
      <c r="AC117" s="116">
        <v>0</v>
      </c>
      <c r="AD117" s="242"/>
      <c r="AE117" s="117">
        <v>0</v>
      </c>
      <c r="AF117" s="1228">
        <v>0</v>
      </c>
      <c r="AG117" s="1228">
        <v>0</v>
      </c>
      <c r="AH117" s="1229">
        <v>310000</v>
      </c>
      <c r="AI117" s="80"/>
    </row>
    <row r="118" spans="1:35" x14ac:dyDescent="0.2">
      <c r="A118" s="1462">
        <v>109</v>
      </c>
      <c r="B118" s="1097" t="s">
        <v>101</v>
      </c>
      <c r="C118" s="1185">
        <v>280</v>
      </c>
      <c r="D118" s="1114">
        <v>98514541</v>
      </c>
      <c r="E118" s="1186">
        <v>6</v>
      </c>
      <c r="F118" s="1800">
        <v>0</v>
      </c>
      <c r="G118" s="1801"/>
      <c r="H118" s="1805" t="s">
        <v>1085</v>
      </c>
      <c r="I118" s="1100"/>
      <c r="J118" s="1099"/>
      <c r="K118" s="1099"/>
      <c r="L118" s="1262"/>
      <c r="M118" s="1101"/>
      <c r="N118" s="1706"/>
      <c r="O118" s="80"/>
      <c r="P118" s="239" t="s">
        <v>266</v>
      </c>
      <c r="Q118" s="119">
        <v>0</v>
      </c>
      <c r="R118" s="239"/>
      <c r="S118" s="114">
        <v>0</v>
      </c>
      <c r="T118" s="240"/>
      <c r="U118" s="115">
        <v>0</v>
      </c>
      <c r="V118" s="884"/>
      <c r="W118" s="874">
        <v>0</v>
      </c>
      <c r="X118" s="884"/>
      <c r="Y118" s="874">
        <v>0</v>
      </c>
      <c r="Z118" s="241"/>
      <c r="AA118" s="116">
        <v>0</v>
      </c>
      <c r="AB118" s="239"/>
      <c r="AC118" s="116">
        <v>0</v>
      </c>
      <c r="AD118" s="242"/>
      <c r="AE118" s="117">
        <v>0</v>
      </c>
      <c r="AF118" s="1228">
        <v>0</v>
      </c>
      <c r="AG118" s="1228">
        <v>0</v>
      </c>
      <c r="AH118" s="1229">
        <v>0</v>
      </c>
      <c r="AI118" s="80"/>
    </row>
    <row r="119" spans="1:35" x14ac:dyDescent="0.2">
      <c r="A119" s="1462">
        <v>110</v>
      </c>
      <c r="B119" s="1097" t="s">
        <v>408</v>
      </c>
      <c r="C119" s="1185">
        <v>89</v>
      </c>
      <c r="D119" s="1114">
        <v>21831445</v>
      </c>
      <c r="E119" s="1186">
        <v>6</v>
      </c>
      <c r="F119" s="1736">
        <v>400000</v>
      </c>
      <c r="G119" s="1098" t="s">
        <v>1028</v>
      </c>
      <c r="H119" s="1099" t="s">
        <v>760</v>
      </c>
      <c r="I119" s="1100">
        <v>45951</v>
      </c>
      <c r="J119" s="1099" t="s">
        <v>453</v>
      </c>
      <c r="K119" s="1099" t="s">
        <v>763</v>
      </c>
      <c r="L119" s="1100">
        <v>45953</v>
      </c>
      <c r="M119" s="1101" t="s">
        <v>928</v>
      </c>
      <c r="N119" s="1706"/>
      <c r="O119" s="80"/>
      <c r="P119" s="239" t="s">
        <v>318</v>
      </c>
      <c r="Q119" s="119">
        <v>413000</v>
      </c>
      <c r="R119" s="239"/>
      <c r="S119" s="114">
        <v>0</v>
      </c>
      <c r="T119" s="240"/>
      <c r="U119" s="115">
        <v>0</v>
      </c>
      <c r="V119" s="884"/>
      <c r="W119" s="874">
        <v>0</v>
      </c>
      <c r="X119" s="884"/>
      <c r="Y119" s="874">
        <v>0</v>
      </c>
      <c r="Z119" s="241"/>
      <c r="AA119" s="116">
        <v>0</v>
      </c>
      <c r="AB119" s="239"/>
      <c r="AC119" s="116">
        <v>0</v>
      </c>
      <c r="AD119" s="242"/>
      <c r="AE119" s="117">
        <v>0</v>
      </c>
      <c r="AF119" s="1228">
        <v>0</v>
      </c>
      <c r="AG119" s="1228">
        <v>0</v>
      </c>
      <c r="AH119" s="1229">
        <v>410000</v>
      </c>
      <c r="AI119" s="80"/>
    </row>
    <row r="120" spans="1:35" x14ac:dyDescent="0.2">
      <c r="A120" s="1462">
        <v>111</v>
      </c>
      <c r="B120" s="1097" t="s">
        <v>783</v>
      </c>
      <c r="C120" s="1185">
        <v>141</v>
      </c>
      <c r="D120" s="1185">
        <v>1038869450</v>
      </c>
      <c r="E120" s="1186">
        <v>0</v>
      </c>
      <c r="F120" s="1463">
        <v>160000</v>
      </c>
      <c r="G120" s="1098" t="s">
        <v>1029</v>
      </c>
      <c r="H120" s="1099" t="s">
        <v>839</v>
      </c>
      <c r="I120" s="1100"/>
      <c r="J120" s="1099"/>
      <c r="K120" s="1099"/>
      <c r="L120" s="1100"/>
      <c r="M120" s="1101"/>
      <c r="N120" s="1706"/>
      <c r="O120" s="80"/>
      <c r="P120" s="239" t="s">
        <v>318</v>
      </c>
      <c r="Q120" s="119">
        <v>158000</v>
      </c>
      <c r="R120" s="239"/>
      <c r="S120" s="114">
        <v>0</v>
      </c>
      <c r="T120" s="240"/>
      <c r="U120" s="115">
        <v>0</v>
      </c>
      <c r="V120" s="884"/>
      <c r="W120" s="874">
        <v>0</v>
      </c>
      <c r="X120" s="884"/>
      <c r="Y120" s="874">
        <v>0</v>
      </c>
      <c r="Z120" s="241"/>
      <c r="AA120" s="116">
        <v>0</v>
      </c>
      <c r="AB120" s="239"/>
      <c r="AC120" s="116">
        <v>0</v>
      </c>
      <c r="AD120" s="242"/>
      <c r="AE120" s="117">
        <v>0</v>
      </c>
      <c r="AF120" s="1228">
        <v>0</v>
      </c>
      <c r="AG120" s="1228">
        <v>0</v>
      </c>
      <c r="AH120" s="1229">
        <v>160000</v>
      </c>
      <c r="AI120" s="80"/>
    </row>
    <row r="121" spans="1:35" x14ac:dyDescent="0.2">
      <c r="A121" s="1462">
        <v>112</v>
      </c>
      <c r="B121" s="1097" t="s">
        <v>102</v>
      </c>
      <c r="C121" s="1185">
        <v>138</v>
      </c>
      <c r="D121" s="1114">
        <v>3306009</v>
      </c>
      <c r="E121" s="1186">
        <v>1</v>
      </c>
      <c r="F121" s="1463">
        <v>450000</v>
      </c>
      <c r="G121" s="1098" t="s">
        <v>1030</v>
      </c>
      <c r="H121" s="1099" t="s">
        <v>761</v>
      </c>
      <c r="I121" s="1100">
        <v>45959</v>
      </c>
      <c r="J121" s="1099"/>
      <c r="K121" s="1099"/>
      <c r="L121" s="1100"/>
      <c r="M121" s="1101"/>
      <c r="N121" s="1706"/>
      <c r="O121" s="80"/>
      <c r="P121" s="239" t="s">
        <v>318</v>
      </c>
      <c r="Q121" s="119">
        <v>448000</v>
      </c>
      <c r="R121" s="239"/>
      <c r="S121" s="114">
        <v>0</v>
      </c>
      <c r="T121" s="240"/>
      <c r="U121" s="115">
        <v>0</v>
      </c>
      <c r="V121" s="884"/>
      <c r="W121" s="874">
        <v>0</v>
      </c>
      <c r="X121" s="884"/>
      <c r="Y121" s="874">
        <v>0</v>
      </c>
      <c r="Z121" s="241"/>
      <c r="AA121" s="116">
        <v>0</v>
      </c>
      <c r="AB121" s="239"/>
      <c r="AC121" s="116">
        <v>0</v>
      </c>
      <c r="AD121" s="242"/>
      <c r="AE121" s="117">
        <v>0</v>
      </c>
      <c r="AF121" s="1228">
        <v>0</v>
      </c>
      <c r="AG121" s="1228">
        <v>0</v>
      </c>
      <c r="AH121" s="1229">
        <v>450000</v>
      </c>
      <c r="AI121" s="80"/>
    </row>
    <row r="122" spans="1:35" x14ac:dyDescent="0.2">
      <c r="A122" s="1462">
        <v>113</v>
      </c>
      <c r="B122" s="1097" t="s">
        <v>103</v>
      </c>
      <c r="C122" s="1185">
        <v>139</v>
      </c>
      <c r="D122" s="1114">
        <v>21668232</v>
      </c>
      <c r="E122" s="1186">
        <v>6</v>
      </c>
      <c r="F122" s="1463">
        <v>450000</v>
      </c>
      <c r="G122" s="1098" t="s">
        <v>1031</v>
      </c>
      <c r="H122" s="1099" t="s">
        <v>761</v>
      </c>
      <c r="I122" s="1100">
        <v>45959</v>
      </c>
      <c r="J122" s="1099"/>
      <c r="K122" s="1099"/>
      <c r="L122" s="1100"/>
      <c r="M122" s="1101"/>
      <c r="N122" s="1706"/>
      <c r="O122" s="80"/>
      <c r="P122" s="239" t="s">
        <v>318</v>
      </c>
      <c r="Q122" s="119">
        <v>448000</v>
      </c>
      <c r="R122" s="239"/>
      <c r="S122" s="114">
        <v>0</v>
      </c>
      <c r="T122" s="240"/>
      <c r="U122" s="115">
        <v>0</v>
      </c>
      <c r="V122" s="884"/>
      <c r="W122" s="874">
        <v>0</v>
      </c>
      <c r="X122" s="884"/>
      <c r="Y122" s="874">
        <v>0</v>
      </c>
      <c r="Z122" s="241"/>
      <c r="AA122" s="116">
        <v>0</v>
      </c>
      <c r="AB122" s="239"/>
      <c r="AC122" s="116">
        <v>0</v>
      </c>
      <c r="AD122" s="242"/>
      <c r="AE122" s="117">
        <v>0</v>
      </c>
      <c r="AF122" s="1228">
        <v>0</v>
      </c>
      <c r="AG122" s="1228">
        <v>0</v>
      </c>
      <c r="AH122" s="1229">
        <v>450000</v>
      </c>
      <c r="AI122" s="80"/>
    </row>
    <row r="123" spans="1:35" x14ac:dyDescent="0.2">
      <c r="A123" s="1462">
        <v>114</v>
      </c>
      <c r="B123" s="1097" t="s">
        <v>104</v>
      </c>
      <c r="C123" s="1185">
        <v>140</v>
      </c>
      <c r="D123" s="1114">
        <v>98473805</v>
      </c>
      <c r="E123" s="1186">
        <v>8</v>
      </c>
      <c r="F123" s="1463">
        <v>450000</v>
      </c>
      <c r="G123" s="1098" t="s">
        <v>1032</v>
      </c>
      <c r="H123" s="1099" t="s">
        <v>761</v>
      </c>
      <c r="I123" s="1100">
        <v>45959</v>
      </c>
      <c r="J123" s="1099"/>
      <c r="K123" s="1099"/>
      <c r="L123" s="1100"/>
      <c r="M123" s="1101"/>
      <c r="N123" s="1706"/>
      <c r="O123" s="80"/>
      <c r="P123" s="239" t="s">
        <v>318</v>
      </c>
      <c r="Q123" s="119">
        <v>448000</v>
      </c>
      <c r="R123" s="239"/>
      <c r="S123" s="114">
        <v>0</v>
      </c>
      <c r="T123" s="240"/>
      <c r="U123" s="115">
        <v>0</v>
      </c>
      <c r="V123" s="884"/>
      <c r="W123" s="874">
        <v>0</v>
      </c>
      <c r="X123" s="884"/>
      <c r="Y123" s="874">
        <v>0</v>
      </c>
      <c r="Z123" s="241"/>
      <c r="AA123" s="116">
        <v>0</v>
      </c>
      <c r="AB123" s="239"/>
      <c r="AC123" s="116">
        <v>0</v>
      </c>
      <c r="AD123" s="242"/>
      <c r="AE123" s="117">
        <v>0</v>
      </c>
      <c r="AF123" s="1228">
        <v>0</v>
      </c>
      <c r="AG123" s="1228">
        <v>0</v>
      </c>
      <c r="AH123" s="1229">
        <v>450000</v>
      </c>
      <c r="AI123" s="80"/>
    </row>
    <row r="124" spans="1:35" x14ac:dyDescent="0.2">
      <c r="A124" s="1462">
        <v>115</v>
      </c>
      <c r="B124" s="631" t="s">
        <v>482</v>
      </c>
      <c r="C124" s="1185">
        <v>195</v>
      </c>
      <c r="D124" s="1114">
        <v>1037606586</v>
      </c>
      <c r="E124" s="1186">
        <v>1</v>
      </c>
      <c r="F124" s="1463">
        <v>470000</v>
      </c>
      <c r="G124" s="1098" t="s">
        <v>1033</v>
      </c>
      <c r="H124" s="1099" t="s">
        <v>761</v>
      </c>
      <c r="I124" s="1100">
        <v>45959</v>
      </c>
      <c r="J124" s="1099"/>
      <c r="K124" s="1099"/>
      <c r="L124" s="1100"/>
      <c r="M124" s="1101"/>
      <c r="N124" s="1706"/>
      <c r="O124" s="80"/>
      <c r="P124" s="239" t="s">
        <v>318</v>
      </c>
      <c r="Q124" s="119">
        <v>471000</v>
      </c>
      <c r="R124" s="239"/>
      <c r="S124" s="114">
        <v>0</v>
      </c>
      <c r="T124" s="240"/>
      <c r="U124" s="115">
        <v>0</v>
      </c>
      <c r="V124" s="884"/>
      <c r="W124" s="874">
        <v>0</v>
      </c>
      <c r="X124" s="884"/>
      <c r="Y124" s="874">
        <v>0</v>
      </c>
      <c r="Z124" s="241"/>
      <c r="AA124" s="116">
        <v>0</v>
      </c>
      <c r="AB124" s="239"/>
      <c r="AC124" s="116">
        <v>0</v>
      </c>
      <c r="AD124" s="242"/>
      <c r="AE124" s="117">
        <v>0</v>
      </c>
      <c r="AF124" s="1228">
        <v>0</v>
      </c>
      <c r="AG124" s="1228">
        <v>0</v>
      </c>
      <c r="AH124" s="1229">
        <v>470000</v>
      </c>
      <c r="AI124" s="80"/>
    </row>
    <row r="125" spans="1:35" x14ac:dyDescent="0.2">
      <c r="A125" s="1462">
        <v>116</v>
      </c>
      <c r="B125" s="1201" t="s">
        <v>474</v>
      </c>
      <c r="C125" s="1185">
        <v>170</v>
      </c>
      <c r="D125" s="1114">
        <v>32459508</v>
      </c>
      <c r="E125" s="1186">
        <v>7</v>
      </c>
      <c r="F125" s="1463">
        <v>390000</v>
      </c>
      <c r="G125" s="1098" t="s">
        <v>1034</v>
      </c>
      <c r="H125" s="1099" t="s">
        <v>839</v>
      </c>
      <c r="I125" s="1100"/>
      <c r="J125" s="1099"/>
      <c r="K125" s="1099"/>
      <c r="L125" s="1100"/>
      <c r="M125" s="1101"/>
      <c r="N125" s="1706"/>
      <c r="O125" s="80"/>
      <c r="P125" s="239" t="s">
        <v>318</v>
      </c>
      <c r="Q125" s="119">
        <v>391000</v>
      </c>
      <c r="R125" s="239"/>
      <c r="S125" s="114">
        <v>0</v>
      </c>
      <c r="T125" s="240"/>
      <c r="U125" s="115">
        <v>0</v>
      </c>
      <c r="V125" s="884"/>
      <c r="W125" s="874">
        <v>0</v>
      </c>
      <c r="X125" s="884"/>
      <c r="Y125" s="874">
        <v>0</v>
      </c>
      <c r="Z125" s="241"/>
      <c r="AA125" s="116">
        <v>0</v>
      </c>
      <c r="AB125" s="239"/>
      <c r="AC125" s="116">
        <v>0</v>
      </c>
      <c r="AD125" s="242"/>
      <c r="AE125" s="117">
        <v>0</v>
      </c>
      <c r="AF125" s="1228">
        <v>0</v>
      </c>
      <c r="AG125" s="1228">
        <v>0</v>
      </c>
      <c r="AH125" s="1229">
        <v>390000</v>
      </c>
      <c r="AI125" s="80"/>
    </row>
    <row r="126" spans="1:35" x14ac:dyDescent="0.2">
      <c r="A126" s="1462">
        <v>117</v>
      </c>
      <c r="B126" s="1097" t="s">
        <v>105</v>
      </c>
      <c r="C126" s="1185">
        <v>142</v>
      </c>
      <c r="D126" s="1114">
        <v>3305848</v>
      </c>
      <c r="E126" s="1186">
        <v>1</v>
      </c>
      <c r="F126" s="1463">
        <v>950000</v>
      </c>
      <c r="G126" s="1098" t="s">
        <v>1035</v>
      </c>
      <c r="H126" s="1099" t="s">
        <v>839</v>
      </c>
      <c r="I126" s="1100"/>
      <c r="J126" s="1099"/>
      <c r="K126" s="1099"/>
      <c r="L126" s="1100"/>
      <c r="M126" s="1101"/>
      <c r="N126" s="1706"/>
      <c r="O126" s="80"/>
      <c r="P126" s="239" t="s">
        <v>318</v>
      </c>
      <c r="Q126" s="119">
        <v>953000</v>
      </c>
      <c r="R126" s="239"/>
      <c r="S126" s="114">
        <v>0</v>
      </c>
      <c r="T126" s="240"/>
      <c r="U126" s="115">
        <v>0</v>
      </c>
      <c r="V126" s="884"/>
      <c r="W126" s="874">
        <v>0</v>
      </c>
      <c r="X126" s="884"/>
      <c r="Y126" s="874">
        <v>0</v>
      </c>
      <c r="Z126" s="241"/>
      <c r="AA126" s="116">
        <v>0</v>
      </c>
      <c r="AB126" s="239"/>
      <c r="AC126" s="116">
        <v>0</v>
      </c>
      <c r="AD126" s="242"/>
      <c r="AE126" s="117">
        <v>0</v>
      </c>
      <c r="AF126" s="1228">
        <v>0</v>
      </c>
      <c r="AG126" s="1228">
        <v>0</v>
      </c>
      <c r="AH126" s="1229">
        <v>950000</v>
      </c>
      <c r="AI126" s="80"/>
    </row>
    <row r="127" spans="1:35" x14ac:dyDescent="0.2">
      <c r="A127" s="1462">
        <v>118</v>
      </c>
      <c r="B127" s="1097" t="s">
        <v>106</v>
      </c>
      <c r="C127" s="1185">
        <v>143</v>
      </c>
      <c r="D127" s="1114">
        <v>98581002</v>
      </c>
      <c r="E127" s="1186">
        <v>3</v>
      </c>
      <c r="F127" s="1463">
        <v>1350000</v>
      </c>
      <c r="G127" s="1362" t="s">
        <v>946</v>
      </c>
      <c r="H127" s="1099" t="s">
        <v>839</v>
      </c>
      <c r="I127" s="1100"/>
      <c r="J127" s="1099"/>
      <c r="K127" s="1099"/>
      <c r="L127" s="1100"/>
      <c r="M127" s="1101"/>
      <c r="N127" s="1706"/>
      <c r="O127" s="80"/>
      <c r="P127" s="239" t="s">
        <v>318</v>
      </c>
      <c r="Q127" s="119">
        <v>769000</v>
      </c>
      <c r="R127" s="239"/>
      <c r="S127" s="114">
        <v>0</v>
      </c>
      <c r="T127" s="240" t="s">
        <v>318</v>
      </c>
      <c r="U127" s="115">
        <v>577000</v>
      </c>
      <c r="V127" s="884"/>
      <c r="W127" s="874">
        <v>0</v>
      </c>
      <c r="X127" s="884"/>
      <c r="Y127" s="874">
        <v>0</v>
      </c>
      <c r="Z127" s="241"/>
      <c r="AA127" s="116">
        <v>0</v>
      </c>
      <c r="AB127" s="239"/>
      <c r="AC127" s="116">
        <v>0</v>
      </c>
      <c r="AD127" s="242"/>
      <c r="AE127" s="117">
        <v>0</v>
      </c>
      <c r="AF127" s="1228">
        <v>0</v>
      </c>
      <c r="AG127" s="1228">
        <v>0</v>
      </c>
      <c r="AH127" s="1229">
        <v>1350000</v>
      </c>
      <c r="AI127" s="80"/>
    </row>
    <row r="128" spans="1:35" x14ac:dyDescent="0.2">
      <c r="A128" s="1462">
        <v>119</v>
      </c>
      <c r="B128" s="1097" t="s">
        <v>107</v>
      </c>
      <c r="C128" s="1185">
        <v>144</v>
      </c>
      <c r="D128" s="1114">
        <v>43075419</v>
      </c>
      <c r="E128" s="1186">
        <v>0</v>
      </c>
      <c r="F128" s="1463">
        <v>450000</v>
      </c>
      <c r="G128" s="1098" t="s">
        <v>1017</v>
      </c>
      <c r="H128" s="1099" t="s">
        <v>761</v>
      </c>
      <c r="I128" s="1100">
        <v>45959</v>
      </c>
      <c r="J128" s="1099"/>
      <c r="K128" s="1099"/>
      <c r="L128" s="1100"/>
      <c r="M128" s="1101"/>
      <c r="N128" s="1706"/>
      <c r="O128" s="80"/>
      <c r="P128" s="239" t="s">
        <v>318</v>
      </c>
      <c r="Q128" s="119">
        <v>448000</v>
      </c>
      <c r="R128" s="239"/>
      <c r="S128" s="114">
        <v>0</v>
      </c>
      <c r="T128" s="240"/>
      <c r="U128" s="115">
        <v>0</v>
      </c>
      <c r="V128" s="884"/>
      <c r="W128" s="874">
        <v>0</v>
      </c>
      <c r="X128" s="884"/>
      <c r="Y128" s="874">
        <v>0</v>
      </c>
      <c r="Z128" s="241"/>
      <c r="AA128" s="116">
        <v>0</v>
      </c>
      <c r="AB128" s="239"/>
      <c r="AC128" s="116">
        <v>0</v>
      </c>
      <c r="AD128" s="242"/>
      <c r="AE128" s="117">
        <v>0</v>
      </c>
      <c r="AF128" s="1228">
        <v>0</v>
      </c>
      <c r="AG128" s="1228">
        <v>0</v>
      </c>
      <c r="AH128" s="1229">
        <v>450000</v>
      </c>
      <c r="AI128" s="80"/>
    </row>
    <row r="129" spans="1:35" x14ac:dyDescent="0.2">
      <c r="A129" s="1462">
        <v>120</v>
      </c>
      <c r="B129" s="1097" t="s">
        <v>109</v>
      </c>
      <c r="C129" s="1185">
        <v>146</v>
      </c>
      <c r="D129" s="1114">
        <v>549095</v>
      </c>
      <c r="E129" s="1186">
        <v>7</v>
      </c>
      <c r="F129" s="1800">
        <v>0</v>
      </c>
      <c r="G129" s="1801"/>
      <c r="H129" s="1805" t="s">
        <v>1085</v>
      </c>
      <c r="I129" s="1100"/>
      <c r="J129" s="1099"/>
      <c r="K129" s="1099"/>
      <c r="L129" s="1100"/>
      <c r="M129" s="1101"/>
      <c r="N129" s="1706"/>
      <c r="O129" s="80"/>
      <c r="P129" s="239" t="s">
        <v>266</v>
      </c>
      <c r="Q129" s="119">
        <v>0</v>
      </c>
      <c r="R129" s="239"/>
      <c r="S129" s="114">
        <v>0</v>
      </c>
      <c r="T129" s="240"/>
      <c r="U129" s="115">
        <v>0</v>
      </c>
      <c r="V129" s="884"/>
      <c r="W129" s="874">
        <v>0</v>
      </c>
      <c r="X129" s="884"/>
      <c r="Y129" s="874">
        <v>0</v>
      </c>
      <c r="Z129" s="241"/>
      <c r="AA129" s="116">
        <v>0</v>
      </c>
      <c r="AB129" s="239"/>
      <c r="AC129" s="116">
        <v>0</v>
      </c>
      <c r="AD129" s="242"/>
      <c r="AE129" s="117">
        <v>0</v>
      </c>
      <c r="AF129" s="1228">
        <v>0</v>
      </c>
      <c r="AG129" s="1228">
        <v>0</v>
      </c>
      <c r="AH129" s="1229">
        <v>0</v>
      </c>
      <c r="AI129" s="80"/>
    </row>
    <row r="130" spans="1:35" x14ac:dyDescent="0.2">
      <c r="A130" s="1462">
        <v>121</v>
      </c>
      <c r="B130" s="1097" t="s">
        <v>110</v>
      </c>
      <c r="C130" s="1185">
        <v>147</v>
      </c>
      <c r="D130" s="1114">
        <v>42995829</v>
      </c>
      <c r="E130" s="1186">
        <v>0</v>
      </c>
      <c r="F130" s="1463">
        <v>840000</v>
      </c>
      <c r="G130" s="1098" t="s">
        <v>1036</v>
      </c>
      <c r="H130" s="1099" t="s">
        <v>839</v>
      </c>
      <c r="I130" s="1100"/>
      <c r="J130" s="1099"/>
      <c r="K130" s="1099"/>
      <c r="L130" s="1100"/>
      <c r="M130" s="1101"/>
      <c r="N130" s="1706"/>
      <c r="O130" s="80"/>
      <c r="P130" s="239" t="s">
        <v>318</v>
      </c>
      <c r="Q130" s="119">
        <v>839000</v>
      </c>
      <c r="R130" s="239"/>
      <c r="S130" s="114">
        <v>0</v>
      </c>
      <c r="T130" s="240"/>
      <c r="U130" s="115">
        <v>0</v>
      </c>
      <c r="V130" s="884"/>
      <c r="W130" s="874">
        <v>0</v>
      </c>
      <c r="X130" s="884"/>
      <c r="Y130" s="874">
        <v>0</v>
      </c>
      <c r="Z130" s="241"/>
      <c r="AA130" s="116">
        <v>0</v>
      </c>
      <c r="AB130" s="239"/>
      <c r="AC130" s="116">
        <v>0</v>
      </c>
      <c r="AD130" s="242"/>
      <c r="AE130" s="117">
        <v>0</v>
      </c>
      <c r="AF130" s="1228">
        <v>0</v>
      </c>
      <c r="AG130" s="1228">
        <v>0</v>
      </c>
      <c r="AH130" s="1229">
        <v>840000</v>
      </c>
      <c r="AI130" s="80"/>
    </row>
    <row r="131" spans="1:35" x14ac:dyDescent="0.2">
      <c r="A131" s="1462">
        <v>122</v>
      </c>
      <c r="B131" s="1097" t="s">
        <v>244</v>
      </c>
      <c r="C131" s="1185">
        <v>320</v>
      </c>
      <c r="D131" s="1114">
        <v>33069779</v>
      </c>
      <c r="E131" s="1186">
        <v>6</v>
      </c>
      <c r="F131" s="1463">
        <v>350000</v>
      </c>
      <c r="G131" s="1098" t="s">
        <v>1003</v>
      </c>
      <c r="H131" s="1099" t="s">
        <v>761</v>
      </c>
      <c r="I131" s="1100">
        <v>45959</v>
      </c>
      <c r="J131" s="1099"/>
      <c r="K131" s="1099"/>
      <c r="L131" s="1262"/>
      <c r="M131" s="1101"/>
      <c r="N131" s="1706"/>
      <c r="O131" s="80"/>
      <c r="P131" s="239" t="s">
        <v>318</v>
      </c>
      <c r="Q131" s="119">
        <v>345000</v>
      </c>
      <c r="R131" s="239"/>
      <c r="S131" s="114">
        <v>0</v>
      </c>
      <c r="T131" s="240"/>
      <c r="U131" s="115">
        <v>0</v>
      </c>
      <c r="V131" s="884"/>
      <c r="W131" s="874">
        <v>0</v>
      </c>
      <c r="X131" s="884"/>
      <c r="Y131" s="874">
        <v>0</v>
      </c>
      <c r="Z131" s="241"/>
      <c r="AA131" s="116">
        <v>0</v>
      </c>
      <c r="AB131" s="239"/>
      <c r="AC131" s="116">
        <v>0</v>
      </c>
      <c r="AD131" s="242"/>
      <c r="AE131" s="117">
        <v>0</v>
      </c>
      <c r="AF131" s="1228">
        <v>0</v>
      </c>
      <c r="AG131" s="1228">
        <v>0</v>
      </c>
      <c r="AH131" s="1229">
        <v>350000</v>
      </c>
      <c r="AI131" s="80"/>
    </row>
    <row r="132" spans="1:35" x14ac:dyDescent="0.2">
      <c r="A132" s="1462">
        <v>123</v>
      </c>
      <c r="B132" s="1097" t="s">
        <v>312</v>
      </c>
      <c r="C132" s="1185">
        <v>93</v>
      </c>
      <c r="D132" s="1114">
        <v>43865562</v>
      </c>
      <c r="E132" s="1186">
        <v>6</v>
      </c>
      <c r="F132" s="1463">
        <v>120000</v>
      </c>
      <c r="G132" s="1098" t="s">
        <v>994</v>
      </c>
      <c r="H132" s="1099" t="s">
        <v>761</v>
      </c>
      <c r="I132" s="1100">
        <v>45959</v>
      </c>
      <c r="J132" s="1099"/>
      <c r="K132" s="1099"/>
      <c r="L132" s="1100"/>
      <c r="M132" s="1101"/>
      <c r="N132" s="1706"/>
      <c r="O132" s="80"/>
      <c r="P132" s="239" t="s">
        <v>318</v>
      </c>
      <c r="Q132" s="119">
        <v>115000</v>
      </c>
      <c r="R132" s="239"/>
      <c r="S132" s="114">
        <v>0</v>
      </c>
      <c r="T132" s="240"/>
      <c r="U132" s="115">
        <v>0</v>
      </c>
      <c r="V132" s="884"/>
      <c r="W132" s="874">
        <v>0</v>
      </c>
      <c r="X132" s="884"/>
      <c r="Y132" s="874">
        <v>0</v>
      </c>
      <c r="Z132" s="241"/>
      <c r="AA132" s="116">
        <v>0</v>
      </c>
      <c r="AB132" s="239"/>
      <c r="AC132" s="116">
        <v>0</v>
      </c>
      <c r="AD132" s="242"/>
      <c r="AE132" s="117">
        <v>0</v>
      </c>
      <c r="AF132" s="1228">
        <v>0</v>
      </c>
      <c r="AG132" s="1228">
        <v>0</v>
      </c>
      <c r="AH132" s="1229">
        <v>120000</v>
      </c>
      <c r="AI132" s="80"/>
    </row>
    <row r="133" spans="1:35" x14ac:dyDescent="0.2">
      <c r="A133" s="1462">
        <v>124</v>
      </c>
      <c r="B133" s="1097" t="s">
        <v>111</v>
      </c>
      <c r="C133" s="1185">
        <v>149</v>
      </c>
      <c r="D133" s="1114">
        <v>43152033</v>
      </c>
      <c r="E133" s="1186">
        <v>1</v>
      </c>
      <c r="F133" s="1463">
        <v>690000</v>
      </c>
      <c r="G133" s="1098" t="s">
        <v>975</v>
      </c>
      <c r="H133" s="1099" t="s">
        <v>839</v>
      </c>
      <c r="I133" s="1100"/>
      <c r="J133" s="1099"/>
      <c r="K133" s="1099"/>
      <c r="L133" s="1100"/>
      <c r="M133" s="1101"/>
      <c r="N133" s="1706"/>
      <c r="O133" s="80"/>
      <c r="P133" s="239" t="s">
        <v>318</v>
      </c>
      <c r="Q133" s="119">
        <v>689000</v>
      </c>
      <c r="R133" s="239"/>
      <c r="S133" s="114">
        <v>0</v>
      </c>
      <c r="T133" s="240"/>
      <c r="U133" s="115">
        <v>0</v>
      </c>
      <c r="V133" s="884"/>
      <c r="W133" s="874">
        <v>0</v>
      </c>
      <c r="X133" s="884"/>
      <c r="Y133" s="874">
        <v>0</v>
      </c>
      <c r="Z133" s="241"/>
      <c r="AA133" s="116">
        <v>0</v>
      </c>
      <c r="AB133" s="239"/>
      <c r="AC133" s="116">
        <v>0</v>
      </c>
      <c r="AD133" s="242"/>
      <c r="AE133" s="117">
        <v>0</v>
      </c>
      <c r="AF133" s="1228">
        <v>0</v>
      </c>
      <c r="AG133" s="1228">
        <v>0</v>
      </c>
      <c r="AH133" s="1229">
        <v>690000</v>
      </c>
      <c r="AI133" s="80"/>
    </row>
    <row r="134" spans="1:35" x14ac:dyDescent="0.2">
      <c r="A134" s="1462">
        <v>125</v>
      </c>
      <c r="B134" s="1097" t="s">
        <v>112</v>
      </c>
      <c r="C134" s="1185">
        <v>265</v>
      </c>
      <c r="D134" s="1114">
        <v>42975259</v>
      </c>
      <c r="E134" s="1186">
        <v>7</v>
      </c>
      <c r="F134" s="1463">
        <v>370000</v>
      </c>
      <c r="G134" s="1098" t="s">
        <v>1037</v>
      </c>
      <c r="H134" s="1099" t="s">
        <v>761</v>
      </c>
      <c r="I134" s="1100">
        <v>45959</v>
      </c>
      <c r="J134" s="1099"/>
      <c r="K134" s="1099"/>
      <c r="L134" s="1100"/>
      <c r="M134" s="1101"/>
      <c r="N134" s="1706"/>
      <c r="O134" s="80"/>
      <c r="P134" s="239" t="s">
        <v>318</v>
      </c>
      <c r="Q134" s="119">
        <v>368000</v>
      </c>
      <c r="R134" s="239"/>
      <c r="S134" s="114">
        <v>0</v>
      </c>
      <c r="T134" s="240"/>
      <c r="U134" s="115">
        <v>0</v>
      </c>
      <c r="V134" s="884"/>
      <c r="W134" s="874">
        <v>0</v>
      </c>
      <c r="X134" s="884"/>
      <c r="Y134" s="874">
        <v>0</v>
      </c>
      <c r="Z134" s="241"/>
      <c r="AA134" s="116">
        <v>0</v>
      </c>
      <c r="AB134" s="239"/>
      <c r="AC134" s="116">
        <v>0</v>
      </c>
      <c r="AD134" s="242"/>
      <c r="AE134" s="117">
        <v>0</v>
      </c>
      <c r="AF134" s="1228">
        <v>0</v>
      </c>
      <c r="AG134" s="1228">
        <v>0</v>
      </c>
      <c r="AH134" s="1229">
        <v>370000</v>
      </c>
      <c r="AI134" s="80"/>
    </row>
    <row r="135" spans="1:35" x14ac:dyDescent="0.2">
      <c r="A135" s="1462">
        <v>126</v>
      </c>
      <c r="B135" s="1097" t="s">
        <v>113</v>
      </c>
      <c r="C135" s="1185">
        <v>151</v>
      </c>
      <c r="D135" s="1114">
        <v>32439160</v>
      </c>
      <c r="E135" s="1186">
        <v>2</v>
      </c>
      <c r="F135" s="1463">
        <v>3670000</v>
      </c>
      <c r="G135" s="1098" t="s">
        <v>1038</v>
      </c>
      <c r="H135" s="1099" t="s">
        <v>839</v>
      </c>
      <c r="I135" s="1100"/>
      <c r="J135" s="1099"/>
      <c r="K135" s="1099"/>
      <c r="L135" s="1100"/>
      <c r="M135" s="1101"/>
      <c r="N135" s="1706"/>
      <c r="O135" s="80"/>
      <c r="P135" s="239" t="s">
        <v>318</v>
      </c>
      <c r="Q135" s="119">
        <v>2039000</v>
      </c>
      <c r="R135" s="239" t="s">
        <v>318</v>
      </c>
      <c r="S135" s="114">
        <v>1020000</v>
      </c>
      <c r="T135" s="240"/>
      <c r="U135" s="115">
        <v>0</v>
      </c>
      <c r="V135" s="884"/>
      <c r="W135" s="874">
        <v>0</v>
      </c>
      <c r="X135" s="884"/>
      <c r="Y135" s="874">
        <v>0</v>
      </c>
      <c r="Z135" s="241"/>
      <c r="AA135" s="116">
        <v>0</v>
      </c>
      <c r="AB135" s="239"/>
      <c r="AC135" s="116">
        <v>0</v>
      </c>
      <c r="AD135" s="242" t="s">
        <v>318</v>
      </c>
      <c r="AE135" s="117">
        <v>611700</v>
      </c>
      <c r="AF135" s="1228">
        <v>0</v>
      </c>
      <c r="AG135" s="1228">
        <v>0</v>
      </c>
      <c r="AH135" s="1229">
        <v>3670000</v>
      </c>
      <c r="AI135" s="80"/>
    </row>
    <row r="136" spans="1:35" x14ac:dyDescent="0.2">
      <c r="A136" s="1462">
        <v>127</v>
      </c>
      <c r="B136" s="1097" t="s">
        <v>114</v>
      </c>
      <c r="C136" s="1185">
        <v>152</v>
      </c>
      <c r="D136" s="1114">
        <v>70547628</v>
      </c>
      <c r="E136" s="1186">
        <v>8</v>
      </c>
      <c r="F136" s="1463">
        <v>2200000</v>
      </c>
      <c r="G136" s="1098" t="s">
        <v>1036</v>
      </c>
      <c r="H136" s="1099" t="s">
        <v>761</v>
      </c>
      <c r="I136" s="1100">
        <v>45959</v>
      </c>
      <c r="J136" s="1099"/>
      <c r="K136" s="1099"/>
      <c r="L136" s="1100"/>
      <c r="M136" s="1101"/>
      <c r="N136" s="1706"/>
      <c r="O136" s="80"/>
      <c r="P136" s="239" t="s">
        <v>318</v>
      </c>
      <c r="Q136" s="119">
        <v>2200000</v>
      </c>
      <c r="R136" s="239"/>
      <c r="S136" s="114">
        <v>0</v>
      </c>
      <c r="T136" s="240"/>
      <c r="U136" s="115">
        <v>0</v>
      </c>
      <c r="V136" s="884"/>
      <c r="W136" s="874">
        <v>0</v>
      </c>
      <c r="X136" s="884"/>
      <c r="Y136" s="874">
        <v>0</v>
      </c>
      <c r="Z136" s="241"/>
      <c r="AA136" s="116">
        <v>0</v>
      </c>
      <c r="AB136" s="239"/>
      <c r="AC136" s="116">
        <v>0</v>
      </c>
      <c r="AD136" s="242"/>
      <c r="AE136" s="117">
        <v>0</v>
      </c>
      <c r="AF136" s="1228">
        <v>0</v>
      </c>
      <c r="AG136" s="1228">
        <v>0</v>
      </c>
      <c r="AH136" s="1229">
        <v>2200000</v>
      </c>
      <c r="AI136" s="80"/>
    </row>
    <row r="137" spans="1:35" x14ac:dyDescent="0.2">
      <c r="A137" s="1462">
        <v>128</v>
      </c>
      <c r="B137" s="1137" t="s">
        <v>413</v>
      </c>
      <c r="C137" s="1185">
        <v>94</v>
      </c>
      <c r="D137" s="1114">
        <v>1037639929</v>
      </c>
      <c r="E137" s="1186">
        <v>6</v>
      </c>
      <c r="F137" s="1463">
        <v>370000</v>
      </c>
      <c r="G137" s="1362" t="s">
        <v>1041</v>
      </c>
      <c r="H137" s="1099" t="s">
        <v>761</v>
      </c>
      <c r="I137" s="1100">
        <v>45959</v>
      </c>
      <c r="J137" s="1099"/>
      <c r="K137" s="1099"/>
      <c r="L137" s="1100"/>
      <c r="M137" s="349"/>
      <c r="N137" s="1706"/>
      <c r="O137" s="80"/>
      <c r="P137" s="239" t="s">
        <v>318</v>
      </c>
      <c r="Q137" s="119">
        <v>368000</v>
      </c>
      <c r="R137" s="239"/>
      <c r="S137" s="114">
        <v>0</v>
      </c>
      <c r="T137" s="240"/>
      <c r="U137" s="115">
        <v>0</v>
      </c>
      <c r="V137" s="884"/>
      <c r="W137" s="874">
        <v>0</v>
      </c>
      <c r="X137" s="884"/>
      <c r="Y137" s="874">
        <v>0</v>
      </c>
      <c r="Z137" s="241"/>
      <c r="AA137" s="116">
        <v>0</v>
      </c>
      <c r="AB137" s="239"/>
      <c r="AC137" s="116">
        <v>0</v>
      </c>
      <c r="AD137" s="242"/>
      <c r="AE137" s="117">
        <v>0</v>
      </c>
      <c r="AF137" s="1228">
        <v>0</v>
      </c>
      <c r="AG137" s="1228">
        <v>0</v>
      </c>
      <c r="AH137" s="1229">
        <v>370000</v>
      </c>
      <c r="AI137" s="80"/>
    </row>
    <row r="138" spans="1:35" x14ac:dyDescent="0.2">
      <c r="A138" s="1462">
        <v>129</v>
      </c>
      <c r="B138" s="1097" t="s">
        <v>116</v>
      </c>
      <c r="C138" s="1185">
        <v>277</v>
      </c>
      <c r="D138" s="1114">
        <v>9094854</v>
      </c>
      <c r="E138" s="1186">
        <v>9</v>
      </c>
      <c r="F138" s="1463">
        <v>310000</v>
      </c>
      <c r="G138" s="1098" t="s">
        <v>1039</v>
      </c>
      <c r="H138" s="1099" t="s">
        <v>839</v>
      </c>
      <c r="I138" s="1100"/>
      <c r="J138" s="1099"/>
      <c r="K138" s="1099"/>
      <c r="L138" s="1100"/>
      <c r="M138" s="1101"/>
      <c r="N138" s="1706"/>
      <c r="O138" s="80"/>
      <c r="P138" s="239" t="s">
        <v>318</v>
      </c>
      <c r="Q138" s="119">
        <v>310000</v>
      </c>
      <c r="R138" s="239"/>
      <c r="S138" s="114">
        <v>0</v>
      </c>
      <c r="T138" s="240"/>
      <c r="U138" s="115">
        <v>0</v>
      </c>
      <c r="V138" s="884"/>
      <c r="W138" s="874">
        <v>0</v>
      </c>
      <c r="X138" s="884"/>
      <c r="Y138" s="874">
        <v>0</v>
      </c>
      <c r="Z138" s="241"/>
      <c r="AA138" s="116">
        <v>0</v>
      </c>
      <c r="AB138" s="239"/>
      <c r="AC138" s="116">
        <v>0</v>
      </c>
      <c r="AD138" s="242"/>
      <c r="AE138" s="117">
        <v>0</v>
      </c>
      <c r="AF138" s="1228">
        <v>0</v>
      </c>
      <c r="AG138" s="1228">
        <v>0</v>
      </c>
      <c r="AH138" s="1229">
        <v>310000</v>
      </c>
      <c r="AI138" s="80"/>
    </row>
    <row r="139" spans="1:35" x14ac:dyDescent="0.2">
      <c r="A139" s="1462">
        <v>130</v>
      </c>
      <c r="B139" s="1097" t="s">
        <v>310</v>
      </c>
      <c r="C139" s="1185">
        <v>334</v>
      </c>
      <c r="D139" s="1114">
        <v>15256982</v>
      </c>
      <c r="E139" s="1186">
        <v>1</v>
      </c>
      <c r="F139" s="1463">
        <v>120000</v>
      </c>
      <c r="G139" s="1098" t="s">
        <v>994</v>
      </c>
      <c r="H139" s="1099" t="s">
        <v>761</v>
      </c>
      <c r="I139" s="1100">
        <v>45959</v>
      </c>
      <c r="J139" s="1099"/>
      <c r="K139" s="1099"/>
      <c r="L139" s="1100"/>
      <c r="M139" s="1101"/>
      <c r="N139" s="1706"/>
      <c r="O139" s="80"/>
      <c r="P139" s="239" t="s">
        <v>318</v>
      </c>
      <c r="Q139" s="119">
        <v>115000</v>
      </c>
      <c r="R139" s="239"/>
      <c r="S139" s="114">
        <v>0</v>
      </c>
      <c r="T139" s="240"/>
      <c r="U139" s="115">
        <v>0</v>
      </c>
      <c r="V139" s="884"/>
      <c r="W139" s="874">
        <v>0</v>
      </c>
      <c r="X139" s="884"/>
      <c r="Y139" s="874">
        <v>0</v>
      </c>
      <c r="Z139" s="241"/>
      <c r="AA139" s="116">
        <v>0</v>
      </c>
      <c r="AB139" s="239"/>
      <c r="AC139" s="116">
        <v>0</v>
      </c>
      <c r="AD139" s="242"/>
      <c r="AE139" s="117">
        <v>0</v>
      </c>
      <c r="AF139" s="1228">
        <v>0</v>
      </c>
      <c r="AG139" s="1228">
        <v>0</v>
      </c>
      <c r="AH139" s="1229">
        <v>120000</v>
      </c>
      <c r="AI139" s="80"/>
    </row>
    <row r="140" spans="1:35" x14ac:dyDescent="0.2">
      <c r="A140" s="1462">
        <v>131</v>
      </c>
      <c r="B140" s="1097" t="s">
        <v>320</v>
      </c>
      <c r="C140" s="1185">
        <v>342</v>
      </c>
      <c r="D140" s="1114">
        <v>71642392</v>
      </c>
      <c r="E140" s="1186">
        <v>5</v>
      </c>
      <c r="F140" s="1463">
        <v>120000</v>
      </c>
      <c r="G140" s="1098" t="s">
        <v>1068</v>
      </c>
      <c r="H140" s="1099" t="s">
        <v>761</v>
      </c>
      <c r="I140" s="1100">
        <v>45959</v>
      </c>
      <c r="J140" s="1099"/>
      <c r="K140" s="1099"/>
      <c r="L140" s="1100"/>
      <c r="M140" s="1101"/>
      <c r="N140" s="1706"/>
      <c r="O140" s="80"/>
      <c r="P140" s="239" t="s">
        <v>318</v>
      </c>
      <c r="Q140" s="119">
        <v>115000</v>
      </c>
      <c r="R140" s="239"/>
      <c r="S140" s="114">
        <v>0</v>
      </c>
      <c r="T140" s="240"/>
      <c r="U140" s="115">
        <v>0</v>
      </c>
      <c r="V140" s="884"/>
      <c r="W140" s="874">
        <v>0</v>
      </c>
      <c r="X140" s="884"/>
      <c r="Y140" s="874">
        <v>0</v>
      </c>
      <c r="Z140" s="241"/>
      <c r="AA140" s="116">
        <v>0</v>
      </c>
      <c r="AB140" s="239"/>
      <c r="AC140" s="116">
        <v>0</v>
      </c>
      <c r="AD140" s="242"/>
      <c r="AE140" s="117">
        <v>0</v>
      </c>
      <c r="AF140" s="1228">
        <v>0</v>
      </c>
      <c r="AG140" s="1228">
        <v>0</v>
      </c>
      <c r="AH140" s="1229">
        <v>120000</v>
      </c>
      <c r="AI140" s="80"/>
    </row>
    <row r="141" spans="1:35" x14ac:dyDescent="0.2">
      <c r="A141" s="1462">
        <v>132</v>
      </c>
      <c r="B141" s="1097" t="s">
        <v>767</v>
      </c>
      <c r="C141" s="1185">
        <v>308</v>
      </c>
      <c r="D141" s="1114">
        <v>39295015</v>
      </c>
      <c r="E141" s="1186">
        <v>8</v>
      </c>
      <c r="F141" s="1463">
        <v>230000</v>
      </c>
      <c r="G141" s="1362" t="s">
        <v>1040</v>
      </c>
      <c r="H141" s="1099" t="s">
        <v>839</v>
      </c>
      <c r="I141" s="1100"/>
      <c r="J141" s="1099"/>
      <c r="K141" s="1099"/>
      <c r="L141" s="1100"/>
      <c r="M141" s="1266"/>
      <c r="N141" s="1706"/>
      <c r="O141" s="80"/>
      <c r="P141" s="239" t="s">
        <v>318</v>
      </c>
      <c r="Q141" s="119">
        <v>231000</v>
      </c>
      <c r="R141" s="239"/>
      <c r="S141" s="114">
        <v>0</v>
      </c>
      <c r="T141" s="240"/>
      <c r="U141" s="115">
        <v>0</v>
      </c>
      <c r="V141" s="884"/>
      <c r="W141" s="874">
        <v>0</v>
      </c>
      <c r="X141" s="884"/>
      <c r="Y141" s="874">
        <v>0</v>
      </c>
      <c r="Z141" s="241"/>
      <c r="AA141" s="116">
        <v>0</v>
      </c>
      <c r="AB141" s="239"/>
      <c r="AC141" s="116">
        <v>0</v>
      </c>
      <c r="AD141" s="242"/>
      <c r="AE141" s="117">
        <v>0</v>
      </c>
      <c r="AF141" s="1228">
        <v>0</v>
      </c>
      <c r="AG141" s="1228">
        <v>0</v>
      </c>
      <c r="AH141" s="1229">
        <v>230000</v>
      </c>
      <c r="AI141" s="80"/>
    </row>
    <row r="142" spans="1:35" x14ac:dyDescent="0.2">
      <c r="A142" s="1462">
        <v>133</v>
      </c>
      <c r="B142" s="1097" t="s">
        <v>607</v>
      </c>
      <c r="C142" s="1185">
        <v>237</v>
      </c>
      <c r="D142" s="1114">
        <v>1128457837</v>
      </c>
      <c r="E142" s="1186">
        <v>5</v>
      </c>
      <c r="F142" s="1463">
        <v>290000</v>
      </c>
      <c r="G142" s="1098" t="s">
        <v>1042</v>
      </c>
      <c r="H142" s="1805" t="s">
        <v>1085</v>
      </c>
      <c r="I142" s="1100"/>
      <c r="J142" s="1099"/>
      <c r="K142" s="1099"/>
      <c r="L142" s="1100"/>
      <c r="M142" s="1101"/>
      <c r="N142" s="1706"/>
      <c r="O142" s="80"/>
      <c r="P142" s="239" t="s">
        <v>318</v>
      </c>
      <c r="Q142" s="119">
        <v>287000</v>
      </c>
      <c r="R142" s="239"/>
      <c r="S142" s="114">
        <v>0</v>
      </c>
      <c r="T142" s="240"/>
      <c r="U142" s="115">
        <v>0</v>
      </c>
      <c r="V142" s="884"/>
      <c r="W142" s="874">
        <v>0</v>
      </c>
      <c r="X142" s="884"/>
      <c r="Y142" s="874">
        <v>0</v>
      </c>
      <c r="Z142" s="241"/>
      <c r="AA142" s="116">
        <v>0</v>
      </c>
      <c r="AB142" s="239"/>
      <c r="AC142" s="116">
        <v>0</v>
      </c>
      <c r="AD142" s="242"/>
      <c r="AE142" s="117">
        <v>0</v>
      </c>
      <c r="AF142" s="1228">
        <v>0</v>
      </c>
      <c r="AG142" s="1228">
        <v>0</v>
      </c>
      <c r="AH142" s="1229">
        <v>290000</v>
      </c>
      <c r="AI142" s="80"/>
    </row>
    <row r="143" spans="1:35" ht="25.5" x14ac:dyDescent="0.2">
      <c r="A143" s="1462">
        <v>134</v>
      </c>
      <c r="B143" s="1137" t="s">
        <v>130</v>
      </c>
      <c r="C143" s="1185">
        <v>298</v>
      </c>
      <c r="D143" s="1114">
        <v>71728652</v>
      </c>
      <c r="E143" s="1186">
        <v>6</v>
      </c>
      <c r="F143" s="1463">
        <v>1500000</v>
      </c>
      <c r="G143" s="1098" t="s">
        <v>1043</v>
      </c>
      <c r="H143" s="1099" t="s">
        <v>839</v>
      </c>
      <c r="I143" s="1100"/>
      <c r="J143" s="1099"/>
      <c r="K143" s="1099"/>
      <c r="L143" s="1100"/>
      <c r="M143" s="1101" t="s">
        <v>1100</v>
      </c>
      <c r="N143" s="1840" t="s">
        <v>1102</v>
      </c>
      <c r="O143" s="80"/>
      <c r="P143" s="854" t="s">
        <v>318</v>
      </c>
      <c r="Q143" s="1488">
        <v>995000</v>
      </c>
      <c r="R143" s="239"/>
      <c r="S143" s="114">
        <v>0</v>
      </c>
      <c r="T143" s="240"/>
      <c r="U143" s="115">
        <v>0</v>
      </c>
      <c r="V143" s="884"/>
      <c r="W143" s="874">
        <v>0</v>
      </c>
      <c r="X143" s="884"/>
      <c r="Y143" s="874">
        <v>0</v>
      </c>
      <c r="Z143" s="241"/>
      <c r="AA143" s="116">
        <v>0</v>
      </c>
      <c r="AB143" s="239"/>
      <c r="AC143" s="116">
        <v>0</v>
      </c>
      <c r="AD143" s="242"/>
      <c r="AE143" s="117">
        <v>0</v>
      </c>
      <c r="AF143" s="1228">
        <v>500000</v>
      </c>
      <c r="AG143" s="1228">
        <v>0</v>
      </c>
      <c r="AH143" s="1229">
        <v>1500000</v>
      </c>
      <c r="AI143" s="80"/>
    </row>
    <row r="144" spans="1:35" x14ac:dyDescent="0.2">
      <c r="A144" s="1462">
        <v>135</v>
      </c>
      <c r="B144" s="1097" t="s">
        <v>132</v>
      </c>
      <c r="C144" s="1185">
        <v>238</v>
      </c>
      <c r="D144" s="1114">
        <v>39456473</v>
      </c>
      <c r="E144" s="1186">
        <v>1</v>
      </c>
      <c r="F144" s="1736">
        <v>680000</v>
      </c>
      <c r="G144" s="1616" t="s">
        <v>1044</v>
      </c>
      <c r="H144" s="1099" t="s">
        <v>839</v>
      </c>
      <c r="I144" s="1100"/>
      <c r="J144" s="1099"/>
      <c r="K144" s="1099"/>
      <c r="L144" s="1100"/>
      <c r="M144" s="1101"/>
      <c r="N144" s="1706"/>
      <c r="O144" s="80"/>
      <c r="P144" s="239" t="s">
        <v>318</v>
      </c>
      <c r="Q144" s="119">
        <v>526000</v>
      </c>
      <c r="R144" s="239"/>
      <c r="S144" s="114">
        <v>0</v>
      </c>
      <c r="T144" s="240"/>
      <c r="U144" s="115">
        <v>0</v>
      </c>
      <c r="V144" s="884"/>
      <c r="W144" s="874">
        <v>0</v>
      </c>
      <c r="X144" s="884"/>
      <c r="Y144" s="874">
        <v>0</v>
      </c>
      <c r="Z144" s="241"/>
      <c r="AA144" s="116">
        <v>0</v>
      </c>
      <c r="AB144" s="239"/>
      <c r="AC144" s="116">
        <v>0</v>
      </c>
      <c r="AD144" s="242" t="s">
        <v>318</v>
      </c>
      <c r="AE144" s="117">
        <v>157800</v>
      </c>
      <c r="AF144" s="1228">
        <v>0</v>
      </c>
      <c r="AG144" s="1228">
        <v>0</v>
      </c>
      <c r="AH144" s="1229">
        <v>680000</v>
      </c>
      <c r="AI144" s="80"/>
    </row>
    <row r="145" spans="1:35" x14ac:dyDescent="0.2">
      <c r="A145" s="1462">
        <v>136</v>
      </c>
      <c r="B145" s="1097" t="s">
        <v>133</v>
      </c>
      <c r="C145" s="1185">
        <v>282</v>
      </c>
      <c r="D145" s="1114">
        <v>1128268578</v>
      </c>
      <c r="E145" s="1186">
        <v>1</v>
      </c>
      <c r="F145" s="1736">
        <v>680000</v>
      </c>
      <c r="G145" s="1616" t="s">
        <v>1045</v>
      </c>
      <c r="H145" s="1099" t="s">
        <v>839</v>
      </c>
      <c r="I145" s="1100"/>
      <c r="J145" s="1099"/>
      <c r="K145" s="1099"/>
      <c r="L145" s="1100"/>
      <c r="M145" s="1101"/>
      <c r="N145" s="1706"/>
      <c r="O145" s="80"/>
      <c r="P145" s="239" t="s">
        <v>318</v>
      </c>
      <c r="Q145" s="119">
        <v>526000</v>
      </c>
      <c r="R145" s="239"/>
      <c r="S145" s="114">
        <v>0</v>
      </c>
      <c r="T145" s="240"/>
      <c r="U145" s="115">
        <v>0</v>
      </c>
      <c r="V145" s="884"/>
      <c r="W145" s="874">
        <v>0</v>
      </c>
      <c r="X145" s="884"/>
      <c r="Y145" s="874">
        <v>0</v>
      </c>
      <c r="Z145" s="241"/>
      <c r="AA145" s="116">
        <v>0</v>
      </c>
      <c r="AB145" s="239"/>
      <c r="AC145" s="116">
        <v>0</v>
      </c>
      <c r="AD145" s="242" t="s">
        <v>318</v>
      </c>
      <c r="AE145" s="117">
        <v>157800</v>
      </c>
      <c r="AF145" s="1228">
        <v>0</v>
      </c>
      <c r="AG145" s="1228">
        <v>0</v>
      </c>
      <c r="AH145" s="1229">
        <v>680000</v>
      </c>
      <c r="AI145" s="80"/>
    </row>
    <row r="146" spans="1:35" x14ac:dyDescent="0.2">
      <c r="A146" s="1462">
        <v>137</v>
      </c>
      <c r="B146" s="1097" t="s">
        <v>135</v>
      </c>
      <c r="C146" s="1185">
        <v>173</v>
      </c>
      <c r="D146" s="1114">
        <v>32413027</v>
      </c>
      <c r="E146" s="1186">
        <v>8</v>
      </c>
      <c r="F146" s="1463">
        <v>4070000</v>
      </c>
      <c r="G146" s="1098" t="s">
        <v>1046</v>
      </c>
      <c r="H146" s="1099" t="s">
        <v>761</v>
      </c>
      <c r="I146" s="1100">
        <v>45959</v>
      </c>
      <c r="J146" s="1099"/>
      <c r="K146" s="1099"/>
      <c r="L146" s="1100"/>
      <c r="M146" s="1101"/>
      <c r="N146" s="1706"/>
      <c r="O146" s="80"/>
      <c r="P146" s="239" t="s">
        <v>318</v>
      </c>
      <c r="Q146" s="119">
        <v>1441000</v>
      </c>
      <c r="R146" s="239" t="s">
        <v>318</v>
      </c>
      <c r="S146" s="114">
        <v>721000</v>
      </c>
      <c r="T146" s="240" t="s">
        <v>318</v>
      </c>
      <c r="U146" s="115">
        <v>1081000</v>
      </c>
      <c r="V146" s="884"/>
      <c r="W146" s="874">
        <v>0</v>
      </c>
      <c r="X146" s="884"/>
      <c r="Y146" s="874">
        <v>0</v>
      </c>
      <c r="Z146" s="241"/>
      <c r="AA146" s="116">
        <v>0</v>
      </c>
      <c r="AB146" s="239"/>
      <c r="AC146" s="116">
        <v>0</v>
      </c>
      <c r="AD146" s="242" t="s">
        <v>318</v>
      </c>
      <c r="AE146" s="117">
        <v>432300</v>
      </c>
      <c r="AF146" s="1228">
        <v>396388.66474694619</v>
      </c>
      <c r="AG146" s="1228">
        <v>0</v>
      </c>
      <c r="AH146" s="1229">
        <v>4070000</v>
      </c>
      <c r="AI146" s="80"/>
    </row>
    <row r="147" spans="1:35" x14ac:dyDescent="0.2">
      <c r="A147" s="1462">
        <v>138</v>
      </c>
      <c r="B147" s="1097" t="s">
        <v>136</v>
      </c>
      <c r="C147" s="1185">
        <v>243</v>
      </c>
      <c r="D147" s="1114">
        <v>43978133</v>
      </c>
      <c r="E147" s="1186">
        <v>5</v>
      </c>
      <c r="F147" s="1463">
        <v>450000</v>
      </c>
      <c r="G147" s="1098" t="s">
        <v>1047</v>
      </c>
      <c r="H147" s="1099" t="s">
        <v>761</v>
      </c>
      <c r="I147" s="1100">
        <v>45959</v>
      </c>
      <c r="J147" s="1099"/>
      <c r="K147" s="1099"/>
      <c r="L147" s="1100"/>
      <c r="M147" s="1101"/>
      <c r="N147" s="1706"/>
      <c r="O147" s="80"/>
      <c r="P147" s="239" t="s">
        <v>318</v>
      </c>
      <c r="Q147" s="119">
        <v>448000</v>
      </c>
      <c r="R147" s="239"/>
      <c r="S147" s="114">
        <v>0</v>
      </c>
      <c r="T147" s="240"/>
      <c r="U147" s="115">
        <v>0</v>
      </c>
      <c r="V147" s="884"/>
      <c r="W147" s="874">
        <v>0</v>
      </c>
      <c r="X147" s="884"/>
      <c r="Y147" s="874">
        <v>0</v>
      </c>
      <c r="Z147" s="241"/>
      <c r="AA147" s="116">
        <v>0</v>
      </c>
      <c r="AB147" s="239"/>
      <c r="AC147" s="116">
        <v>0</v>
      </c>
      <c r="AD147" s="242"/>
      <c r="AE147" s="117">
        <v>0</v>
      </c>
      <c r="AF147" s="1228">
        <v>0</v>
      </c>
      <c r="AG147" s="1228">
        <v>0</v>
      </c>
      <c r="AH147" s="1229">
        <v>450000</v>
      </c>
      <c r="AI147" s="80"/>
    </row>
    <row r="148" spans="1:35" x14ac:dyDescent="0.2">
      <c r="A148" s="1462">
        <v>139</v>
      </c>
      <c r="B148" s="1097" t="s">
        <v>141</v>
      </c>
      <c r="C148" s="1185">
        <v>234</v>
      </c>
      <c r="D148" s="1114">
        <v>43103382</v>
      </c>
      <c r="E148" s="1186">
        <v>8</v>
      </c>
      <c r="F148" s="1463">
        <v>310000</v>
      </c>
      <c r="G148" s="1098" t="s">
        <v>1048</v>
      </c>
      <c r="H148" s="1099" t="s">
        <v>761</v>
      </c>
      <c r="I148" s="1100">
        <v>45959</v>
      </c>
      <c r="J148" s="1099"/>
      <c r="K148" s="1099"/>
      <c r="L148" s="1100"/>
      <c r="M148" s="1101"/>
      <c r="N148" s="1706"/>
      <c r="O148" s="80"/>
      <c r="P148" s="239" t="s">
        <v>318</v>
      </c>
      <c r="Q148" s="119">
        <v>310000</v>
      </c>
      <c r="R148" s="239"/>
      <c r="S148" s="114">
        <v>0</v>
      </c>
      <c r="T148" s="240"/>
      <c r="U148" s="115">
        <v>0</v>
      </c>
      <c r="V148" s="884"/>
      <c r="W148" s="874">
        <v>0</v>
      </c>
      <c r="X148" s="884"/>
      <c r="Y148" s="874">
        <v>0</v>
      </c>
      <c r="Z148" s="241"/>
      <c r="AA148" s="116">
        <v>0</v>
      </c>
      <c r="AB148" s="239"/>
      <c r="AC148" s="116">
        <v>0</v>
      </c>
      <c r="AD148" s="242"/>
      <c r="AE148" s="117">
        <v>0</v>
      </c>
      <c r="AF148" s="1228">
        <v>0</v>
      </c>
      <c r="AG148" s="1228">
        <v>0</v>
      </c>
      <c r="AH148" s="1229">
        <v>310000</v>
      </c>
      <c r="AI148" s="80"/>
    </row>
    <row r="149" spans="1:35" x14ac:dyDescent="0.2">
      <c r="A149" s="1462">
        <v>140</v>
      </c>
      <c r="B149" s="1097" t="s">
        <v>142</v>
      </c>
      <c r="C149" s="1185">
        <v>266</v>
      </c>
      <c r="D149" s="1114">
        <v>3520885</v>
      </c>
      <c r="E149" s="1186">
        <v>3</v>
      </c>
      <c r="F149" s="1463">
        <v>310000</v>
      </c>
      <c r="G149" s="1098" t="s">
        <v>1049</v>
      </c>
      <c r="H149" s="1099" t="s">
        <v>761</v>
      </c>
      <c r="I149" s="1100">
        <v>45959</v>
      </c>
      <c r="J149" s="1099"/>
      <c r="K149" s="1099"/>
      <c r="L149" s="1100"/>
      <c r="M149" s="1101"/>
      <c r="N149" s="1706"/>
      <c r="O149" s="80"/>
      <c r="P149" s="239" t="s">
        <v>318</v>
      </c>
      <c r="Q149" s="119">
        <v>310000</v>
      </c>
      <c r="R149" s="239"/>
      <c r="S149" s="114">
        <v>0</v>
      </c>
      <c r="T149" s="240"/>
      <c r="U149" s="115">
        <v>0</v>
      </c>
      <c r="V149" s="884"/>
      <c r="W149" s="874">
        <v>0</v>
      </c>
      <c r="X149" s="884"/>
      <c r="Y149" s="874">
        <v>0</v>
      </c>
      <c r="Z149" s="241"/>
      <c r="AA149" s="116">
        <v>0</v>
      </c>
      <c r="AB149" s="239"/>
      <c r="AC149" s="116">
        <v>0</v>
      </c>
      <c r="AD149" s="242"/>
      <c r="AE149" s="117">
        <v>0</v>
      </c>
      <c r="AF149" s="1228">
        <v>0</v>
      </c>
      <c r="AG149" s="1228">
        <v>0</v>
      </c>
      <c r="AH149" s="1229">
        <v>310000</v>
      </c>
      <c r="AI149" s="80"/>
    </row>
    <row r="150" spans="1:35" x14ac:dyDescent="0.2">
      <c r="A150" s="1462">
        <v>141</v>
      </c>
      <c r="B150" s="1097" t="s">
        <v>199</v>
      </c>
      <c r="C150" s="1185">
        <v>317</v>
      </c>
      <c r="D150" s="1114">
        <v>70049729</v>
      </c>
      <c r="E150" s="1186">
        <v>7</v>
      </c>
      <c r="F150" s="1463">
        <v>470000</v>
      </c>
      <c r="G150" s="1785" t="s">
        <v>960</v>
      </c>
      <c r="H150" s="1099" t="s">
        <v>839</v>
      </c>
      <c r="I150" s="1100"/>
      <c r="J150" s="1099"/>
      <c r="K150" s="1099"/>
      <c r="L150" s="1100"/>
      <c r="M150" s="1101"/>
      <c r="N150" s="1706"/>
      <c r="O150" s="80"/>
      <c r="P150" s="239" t="s">
        <v>318</v>
      </c>
      <c r="Q150" s="119">
        <v>471000</v>
      </c>
      <c r="R150" s="239"/>
      <c r="S150" s="114">
        <v>0</v>
      </c>
      <c r="T150" s="240"/>
      <c r="U150" s="115">
        <v>0</v>
      </c>
      <c r="V150" s="884"/>
      <c r="W150" s="874">
        <v>0</v>
      </c>
      <c r="X150" s="884"/>
      <c r="Y150" s="874">
        <v>0</v>
      </c>
      <c r="Z150" s="241"/>
      <c r="AA150" s="116">
        <v>0</v>
      </c>
      <c r="AB150" s="239"/>
      <c r="AC150" s="116">
        <v>0</v>
      </c>
      <c r="AD150" s="242"/>
      <c r="AE150" s="117">
        <v>0</v>
      </c>
      <c r="AF150" s="1228">
        <v>0</v>
      </c>
      <c r="AG150" s="1228">
        <v>0</v>
      </c>
      <c r="AH150" s="1229">
        <v>470000</v>
      </c>
      <c r="AI150" s="80"/>
    </row>
    <row r="151" spans="1:35" x14ac:dyDescent="0.2">
      <c r="A151" s="1462">
        <v>142</v>
      </c>
      <c r="B151" s="1201" t="s">
        <v>1060</v>
      </c>
      <c r="C151" s="1185">
        <v>368</v>
      </c>
      <c r="D151" s="1114">
        <v>1001018099</v>
      </c>
      <c r="E151" s="1186">
        <v>2</v>
      </c>
      <c r="F151" s="1463">
        <v>230000</v>
      </c>
      <c r="G151" s="1799" t="s">
        <v>1090</v>
      </c>
      <c r="H151" s="1099" t="s">
        <v>839</v>
      </c>
      <c r="I151" s="1100"/>
      <c r="J151" s="1099"/>
      <c r="K151" s="1099"/>
      <c r="L151" s="1100"/>
      <c r="M151" s="1101"/>
      <c r="N151" s="1706"/>
      <c r="O151" s="80"/>
      <c r="P151" s="239" t="s">
        <v>318</v>
      </c>
      <c r="Q151" s="119">
        <v>0</v>
      </c>
      <c r="R151" s="239"/>
      <c r="S151" s="114">
        <v>0</v>
      </c>
      <c r="T151" s="240"/>
      <c r="U151" s="115">
        <v>0</v>
      </c>
      <c r="V151" s="884"/>
      <c r="W151" s="874">
        <v>0</v>
      </c>
      <c r="X151" s="884"/>
      <c r="Y151" s="874">
        <v>0</v>
      </c>
      <c r="Z151" s="241"/>
      <c r="AA151" s="116">
        <v>0</v>
      </c>
      <c r="AB151" s="239"/>
      <c r="AC151" s="116">
        <v>0</v>
      </c>
      <c r="AD151" s="242"/>
      <c r="AE151" s="117">
        <v>0</v>
      </c>
      <c r="AF151" s="1228">
        <v>0</v>
      </c>
      <c r="AG151" s="1228">
        <v>0</v>
      </c>
      <c r="AH151" s="1229">
        <v>0</v>
      </c>
      <c r="AI151" s="80"/>
    </row>
    <row r="152" spans="1:35" x14ac:dyDescent="0.2">
      <c r="A152" s="1462">
        <v>143</v>
      </c>
      <c r="B152" s="1097" t="s">
        <v>143</v>
      </c>
      <c r="C152" s="1185">
        <v>264</v>
      </c>
      <c r="D152" s="1114">
        <v>32504732</v>
      </c>
      <c r="E152" s="1186">
        <v>3</v>
      </c>
      <c r="F152" s="1463">
        <v>350000</v>
      </c>
      <c r="G152" s="1098" t="s">
        <v>1050</v>
      </c>
      <c r="H152" s="1099" t="s">
        <v>839</v>
      </c>
      <c r="I152" s="1100"/>
      <c r="J152" s="1099"/>
      <c r="K152" s="1099"/>
      <c r="L152" s="1100"/>
      <c r="M152" s="1101"/>
      <c r="N152" s="1706"/>
      <c r="O152" s="80"/>
      <c r="P152" s="239" t="s">
        <v>318</v>
      </c>
      <c r="Q152" s="119">
        <v>345000</v>
      </c>
      <c r="R152" s="239"/>
      <c r="S152" s="114">
        <v>0</v>
      </c>
      <c r="T152" s="240"/>
      <c r="U152" s="115">
        <v>0</v>
      </c>
      <c r="V152" s="884"/>
      <c r="W152" s="874">
        <v>0</v>
      </c>
      <c r="X152" s="884"/>
      <c r="Y152" s="874">
        <v>0</v>
      </c>
      <c r="Z152" s="241"/>
      <c r="AA152" s="116">
        <v>0</v>
      </c>
      <c r="AB152" s="239"/>
      <c r="AC152" s="116">
        <v>0</v>
      </c>
      <c r="AD152" s="242"/>
      <c r="AE152" s="117">
        <v>0</v>
      </c>
      <c r="AF152" s="1228">
        <v>0</v>
      </c>
      <c r="AG152" s="1228">
        <v>0</v>
      </c>
      <c r="AH152" s="1229">
        <v>350000</v>
      </c>
      <c r="AI152" s="80"/>
    </row>
    <row r="153" spans="1:35" x14ac:dyDescent="0.2">
      <c r="A153" s="1462">
        <v>144</v>
      </c>
      <c r="B153" s="1097" t="s">
        <v>785</v>
      </c>
      <c r="C153" s="1185">
        <v>281</v>
      </c>
      <c r="D153" s="1114">
        <v>32403951</v>
      </c>
      <c r="E153" s="1186">
        <v>6</v>
      </c>
      <c r="F153" s="1463">
        <v>260000</v>
      </c>
      <c r="G153" s="1098" t="s">
        <v>1051</v>
      </c>
      <c r="H153" s="1099" t="s">
        <v>839</v>
      </c>
      <c r="I153" s="1100"/>
      <c r="J153" s="1099"/>
      <c r="K153" s="1099"/>
      <c r="L153" s="1100"/>
      <c r="M153" s="349"/>
      <c r="N153" s="1710"/>
      <c r="O153" s="80"/>
      <c r="P153" s="239" t="s">
        <v>318</v>
      </c>
      <c r="Q153" s="119">
        <v>263000</v>
      </c>
      <c r="R153" s="239"/>
      <c r="S153" s="114">
        <v>0</v>
      </c>
      <c r="T153" s="240"/>
      <c r="U153" s="115">
        <v>0</v>
      </c>
      <c r="V153" s="884"/>
      <c r="W153" s="874">
        <v>0</v>
      </c>
      <c r="X153" s="884"/>
      <c r="Y153" s="874">
        <v>0</v>
      </c>
      <c r="Z153" s="241"/>
      <c r="AA153" s="116">
        <v>0</v>
      </c>
      <c r="AB153" s="239"/>
      <c r="AC153" s="116">
        <v>0</v>
      </c>
      <c r="AD153" s="242"/>
      <c r="AE153" s="117">
        <v>0</v>
      </c>
      <c r="AF153" s="1228">
        <v>0</v>
      </c>
      <c r="AG153" s="1228">
        <v>0</v>
      </c>
      <c r="AH153" s="1229">
        <v>260000</v>
      </c>
      <c r="AI153" s="80"/>
    </row>
    <row r="154" spans="1:35" x14ac:dyDescent="0.2">
      <c r="A154" s="1462">
        <v>145</v>
      </c>
      <c r="B154" s="1097" t="s">
        <v>144</v>
      </c>
      <c r="C154" s="1185">
        <v>180</v>
      </c>
      <c r="D154" s="1114">
        <v>42871237</v>
      </c>
      <c r="E154" s="1186">
        <v>8</v>
      </c>
      <c r="F154" s="1463">
        <v>750000</v>
      </c>
      <c r="G154" s="1098" t="s">
        <v>1052</v>
      </c>
      <c r="H154" s="1099" t="s">
        <v>839</v>
      </c>
      <c r="I154" s="1100"/>
      <c r="J154" s="1099"/>
      <c r="K154" s="1099"/>
      <c r="L154" s="1100"/>
      <c r="M154" s="349"/>
      <c r="N154" s="1710"/>
      <c r="O154" s="80"/>
      <c r="P154" s="239" t="s">
        <v>318</v>
      </c>
      <c r="Q154" s="119">
        <v>746000</v>
      </c>
      <c r="R154" s="239"/>
      <c r="S154" s="114">
        <v>0</v>
      </c>
      <c r="T154" s="240"/>
      <c r="U154" s="115">
        <v>0</v>
      </c>
      <c r="V154" s="884"/>
      <c r="W154" s="874">
        <v>0</v>
      </c>
      <c r="X154" s="884"/>
      <c r="Y154" s="874">
        <v>0</v>
      </c>
      <c r="Z154" s="241"/>
      <c r="AA154" s="116">
        <v>0</v>
      </c>
      <c r="AB154" s="239"/>
      <c r="AC154" s="116">
        <v>0</v>
      </c>
      <c r="AD154" s="242"/>
      <c r="AE154" s="117">
        <v>0</v>
      </c>
      <c r="AF154" s="1228">
        <v>0</v>
      </c>
      <c r="AG154" s="1228">
        <v>0</v>
      </c>
      <c r="AH154" s="1229">
        <v>750000</v>
      </c>
      <c r="AI154" s="80"/>
    </row>
    <row r="155" spans="1:35" x14ac:dyDescent="0.2">
      <c r="A155" s="1462">
        <v>146</v>
      </c>
      <c r="B155" s="1097" t="s">
        <v>249</v>
      </c>
      <c r="C155" s="1185">
        <v>311</v>
      </c>
      <c r="D155" s="1114">
        <v>21378911</v>
      </c>
      <c r="E155" s="1186">
        <v>4</v>
      </c>
      <c r="F155" s="1463">
        <v>500000</v>
      </c>
      <c r="G155" s="1362" t="s">
        <v>1053</v>
      </c>
      <c r="H155" s="1099" t="s">
        <v>760</v>
      </c>
      <c r="I155" s="1100">
        <v>45912</v>
      </c>
      <c r="J155" s="1099"/>
      <c r="K155" s="1099"/>
      <c r="L155" s="1100"/>
      <c r="M155" s="349"/>
      <c r="N155" s="1100"/>
      <c r="O155" s="80"/>
      <c r="P155" s="239" t="s">
        <v>318</v>
      </c>
      <c r="Q155" s="119">
        <v>499000</v>
      </c>
      <c r="R155" s="239"/>
      <c r="S155" s="114">
        <v>0</v>
      </c>
      <c r="T155" s="240"/>
      <c r="U155" s="115">
        <v>0</v>
      </c>
      <c r="V155" s="884"/>
      <c r="W155" s="874">
        <v>0</v>
      </c>
      <c r="X155" s="884"/>
      <c r="Y155" s="874">
        <v>0</v>
      </c>
      <c r="Z155" s="241"/>
      <c r="AA155" s="116">
        <v>0</v>
      </c>
      <c r="AB155" s="239"/>
      <c r="AC155" s="116">
        <v>0</v>
      </c>
      <c r="AD155" s="242"/>
      <c r="AE155" s="117">
        <v>0</v>
      </c>
      <c r="AF155" s="1228">
        <v>0</v>
      </c>
      <c r="AG155" s="1228">
        <v>0</v>
      </c>
      <c r="AH155" s="1229">
        <v>500000</v>
      </c>
      <c r="AI155" s="80"/>
    </row>
    <row r="156" spans="1:35" x14ac:dyDescent="0.2">
      <c r="A156" s="1462">
        <v>147</v>
      </c>
      <c r="B156" s="1097" t="s">
        <v>145</v>
      </c>
      <c r="C156" s="1185">
        <v>241</v>
      </c>
      <c r="D156" s="1114">
        <v>43073222</v>
      </c>
      <c r="E156" s="1186">
        <v>8</v>
      </c>
      <c r="F156" s="1463">
        <v>500000</v>
      </c>
      <c r="G156" s="1362" t="s">
        <v>1053</v>
      </c>
      <c r="H156" s="1099" t="s">
        <v>760</v>
      </c>
      <c r="I156" s="1100">
        <v>45912</v>
      </c>
      <c r="J156" s="1099"/>
      <c r="K156" s="1099"/>
      <c r="L156" s="1100"/>
      <c r="M156" s="349"/>
      <c r="N156" s="1100"/>
      <c r="O156" s="80"/>
      <c r="P156" s="239" t="s">
        <v>318</v>
      </c>
      <c r="Q156" s="119">
        <v>499000</v>
      </c>
      <c r="R156" s="239"/>
      <c r="S156" s="114">
        <v>0</v>
      </c>
      <c r="T156" s="240"/>
      <c r="U156" s="115">
        <v>0</v>
      </c>
      <c r="V156" s="884"/>
      <c r="W156" s="874">
        <v>0</v>
      </c>
      <c r="X156" s="884"/>
      <c r="Y156" s="874">
        <v>0</v>
      </c>
      <c r="Z156" s="241"/>
      <c r="AA156" s="116">
        <v>0</v>
      </c>
      <c r="AB156" s="239"/>
      <c r="AC156" s="116">
        <v>0</v>
      </c>
      <c r="AD156" s="242"/>
      <c r="AE156" s="117">
        <v>0</v>
      </c>
      <c r="AF156" s="1228">
        <v>0</v>
      </c>
      <c r="AG156" s="1228">
        <v>0</v>
      </c>
      <c r="AH156" s="1229">
        <v>500000</v>
      </c>
      <c r="AI156" s="80"/>
    </row>
    <row r="157" spans="1:35" x14ac:dyDescent="0.2">
      <c r="A157" s="1462">
        <v>148</v>
      </c>
      <c r="B157" s="1097" t="s">
        <v>146</v>
      </c>
      <c r="C157" s="1185">
        <v>182</v>
      </c>
      <c r="D157" s="1114">
        <v>21371978</v>
      </c>
      <c r="E157" s="1186">
        <v>5</v>
      </c>
      <c r="F157" s="1463">
        <v>1370000</v>
      </c>
      <c r="G157" s="1098" t="s">
        <v>1054</v>
      </c>
      <c r="H157" s="1099" t="s">
        <v>761</v>
      </c>
      <c r="I157" s="1100">
        <v>45959</v>
      </c>
      <c r="J157" s="1099"/>
      <c r="K157" s="1099"/>
      <c r="L157" s="1100"/>
      <c r="M157" s="349"/>
      <c r="N157" s="1710"/>
      <c r="O157" s="80"/>
      <c r="P157" s="239" t="s">
        <v>318</v>
      </c>
      <c r="Q157" s="119">
        <v>1366000</v>
      </c>
      <c r="R157" s="239"/>
      <c r="S157" s="114">
        <v>0</v>
      </c>
      <c r="T157" s="240"/>
      <c r="U157" s="115">
        <v>0</v>
      </c>
      <c r="V157" s="884"/>
      <c r="W157" s="874">
        <v>0</v>
      </c>
      <c r="X157" s="884"/>
      <c r="Y157" s="874">
        <v>0</v>
      </c>
      <c r="Z157" s="241"/>
      <c r="AA157" s="116">
        <v>0</v>
      </c>
      <c r="AB157" s="239"/>
      <c r="AC157" s="116">
        <v>0</v>
      </c>
      <c r="AD157" s="242"/>
      <c r="AE157" s="117">
        <v>0</v>
      </c>
      <c r="AF157" s="1228">
        <v>0</v>
      </c>
      <c r="AG157" s="1228">
        <v>0</v>
      </c>
      <c r="AH157" s="1229">
        <v>1370000</v>
      </c>
      <c r="AI157" s="80"/>
    </row>
    <row r="158" spans="1:35" x14ac:dyDescent="0.2">
      <c r="A158" s="1462">
        <v>149</v>
      </c>
      <c r="B158" s="1097" t="s">
        <v>361</v>
      </c>
      <c r="C158" s="1185">
        <v>183</v>
      </c>
      <c r="D158" s="1114">
        <v>8226721</v>
      </c>
      <c r="E158" s="1186">
        <v>2</v>
      </c>
      <c r="F158" s="1463">
        <v>230000</v>
      </c>
      <c r="G158" s="1362" t="s">
        <v>1055</v>
      </c>
      <c r="H158" s="1099" t="s">
        <v>839</v>
      </c>
      <c r="I158" s="1100"/>
      <c r="J158" s="1099"/>
      <c r="K158" s="1099"/>
      <c r="L158" s="1100"/>
      <c r="M158" s="349"/>
      <c r="N158" s="1710"/>
      <c r="O158" s="80"/>
      <c r="P158" s="239" t="s">
        <v>318</v>
      </c>
      <c r="Q158" s="119">
        <v>230000</v>
      </c>
      <c r="R158" s="239"/>
      <c r="S158" s="114">
        <v>0</v>
      </c>
      <c r="T158" s="240"/>
      <c r="U158" s="115">
        <v>0</v>
      </c>
      <c r="V158" s="884"/>
      <c r="W158" s="874">
        <v>0</v>
      </c>
      <c r="X158" s="884"/>
      <c r="Y158" s="874">
        <v>0</v>
      </c>
      <c r="Z158" s="241"/>
      <c r="AA158" s="116">
        <v>0</v>
      </c>
      <c r="AB158" s="239"/>
      <c r="AC158" s="116">
        <v>0</v>
      </c>
      <c r="AD158" s="242"/>
      <c r="AE158" s="117">
        <v>0</v>
      </c>
      <c r="AF158" s="1228">
        <v>0</v>
      </c>
      <c r="AG158" s="1228">
        <v>0</v>
      </c>
      <c r="AH158" s="1229">
        <v>230000</v>
      </c>
      <c r="AI158" s="80"/>
    </row>
    <row r="159" spans="1:35" x14ac:dyDescent="0.2">
      <c r="A159" s="1462">
        <v>150</v>
      </c>
      <c r="B159" s="1493" t="s">
        <v>651</v>
      </c>
      <c r="C159" s="1185">
        <v>201</v>
      </c>
      <c r="D159" s="1114">
        <v>32476227</v>
      </c>
      <c r="E159" s="1186">
        <v>4</v>
      </c>
      <c r="F159" s="1463">
        <v>120000</v>
      </c>
      <c r="G159" s="1362" t="s">
        <v>1056</v>
      </c>
      <c r="H159" s="1099" t="s">
        <v>839</v>
      </c>
      <c r="I159" s="1100"/>
      <c r="J159" s="1099"/>
      <c r="K159" s="1099"/>
      <c r="L159" s="1100"/>
      <c r="M159" s="349"/>
      <c r="N159" s="1710"/>
      <c r="O159" s="80"/>
      <c r="P159" s="239" t="s">
        <v>318</v>
      </c>
      <c r="Q159" s="646">
        <v>115000</v>
      </c>
      <c r="R159" s="239"/>
      <c r="S159" s="114">
        <v>0</v>
      </c>
      <c r="T159" s="240"/>
      <c r="U159" s="115">
        <v>0</v>
      </c>
      <c r="V159" s="884"/>
      <c r="W159" s="874">
        <v>0</v>
      </c>
      <c r="X159" s="884"/>
      <c r="Y159" s="874">
        <v>0</v>
      </c>
      <c r="Z159" s="241"/>
      <c r="AA159" s="116">
        <v>0</v>
      </c>
      <c r="AB159" s="239"/>
      <c r="AC159" s="116">
        <v>0</v>
      </c>
      <c r="AD159" s="242"/>
      <c r="AE159" s="117">
        <v>0</v>
      </c>
      <c r="AF159" s="1228">
        <v>0</v>
      </c>
      <c r="AG159" s="1228">
        <v>0</v>
      </c>
      <c r="AH159" s="1229">
        <v>120000</v>
      </c>
      <c r="AI159" s="80"/>
    </row>
    <row r="160" spans="1:35" x14ac:dyDescent="0.2">
      <c r="A160" s="1462">
        <v>151</v>
      </c>
      <c r="B160" s="1493" t="s">
        <v>645</v>
      </c>
      <c r="C160" s="1185">
        <v>205</v>
      </c>
      <c r="D160" s="1114">
        <v>42969424</v>
      </c>
      <c r="E160" s="1186">
        <v>1</v>
      </c>
      <c r="F160" s="1463">
        <v>120000</v>
      </c>
      <c r="G160" s="1362" t="s">
        <v>1057</v>
      </c>
      <c r="H160" s="1099" t="s">
        <v>839</v>
      </c>
      <c r="I160" s="1100"/>
      <c r="J160" s="1099"/>
      <c r="K160" s="1099"/>
      <c r="L160" s="1100"/>
      <c r="M160" s="349"/>
      <c r="N160" s="1710"/>
      <c r="O160" s="80"/>
      <c r="P160" s="239" t="s">
        <v>318</v>
      </c>
      <c r="Q160" s="646">
        <v>115000</v>
      </c>
      <c r="R160" s="239"/>
      <c r="S160" s="114">
        <v>0</v>
      </c>
      <c r="T160" s="240"/>
      <c r="U160" s="115">
        <v>0</v>
      </c>
      <c r="V160" s="884"/>
      <c r="W160" s="874">
        <v>0</v>
      </c>
      <c r="X160" s="884"/>
      <c r="Y160" s="874">
        <v>0</v>
      </c>
      <c r="Z160" s="241"/>
      <c r="AA160" s="116">
        <v>0</v>
      </c>
      <c r="AB160" s="239"/>
      <c r="AC160" s="116">
        <v>0</v>
      </c>
      <c r="AD160" s="242"/>
      <c r="AE160" s="117">
        <v>0</v>
      </c>
      <c r="AF160" s="1228">
        <v>0</v>
      </c>
      <c r="AG160" s="1228">
        <v>0</v>
      </c>
      <c r="AH160" s="1229">
        <v>120000</v>
      </c>
      <c r="AI160" s="80"/>
    </row>
    <row r="161" spans="1:35" x14ac:dyDescent="0.2">
      <c r="A161" s="1462">
        <v>152</v>
      </c>
      <c r="B161" s="1491" t="s">
        <v>359</v>
      </c>
      <c r="C161" s="1678">
        <v>188</v>
      </c>
      <c r="D161" s="1114">
        <v>70567656</v>
      </c>
      <c r="E161" s="1186">
        <v>1</v>
      </c>
      <c r="F161" s="1463">
        <v>450000</v>
      </c>
      <c r="G161" s="1362" t="s">
        <v>1058</v>
      </c>
      <c r="H161" s="1099" t="s">
        <v>761</v>
      </c>
      <c r="I161" s="1100">
        <v>45959</v>
      </c>
      <c r="J161" s="1099"/>
      <c r="K161" s="1099"/>
      <c r="L161" s="1100"/>
      <c r="M161" s="349"/>
      <c r="N161" s="1710"/>
      <c r="O161" s="80"/>
      <c r="P161" s="239" t="s">
        <v>318</v>
      </c>
      <c r="Q161" s="119">
        <v>448000</v>
      </c>
      <c r="R161" s="239"/>
      <c r="S161" s="114">
        <v>0</v>
      </c>
      <c r="T161" s="240"/>
      <c r="U161" s="115">
        <v>0</v>
      </c>
      <c r="V161" s="884"/>
      <c r="W161" s="874">
        <v>0</v>
      </c>
      <c r="X161" s="884"/>
      <c r="Y161" s="874">
        <v>0</v>
      </c>
      <c r="Z161" s="241"/>
      <c r="AA161" s="116">
        <v>0</v>
      </c>
      <c r="AB161" s="239"/>
      <c r="AC161" s="116">
        <v>0</v>
      </c>
      <c r="AD161" s="242"/>
      <c r="AE161" s="117">
        <v>0</v>
      </c>
      <c r="AF161" s="1228">
        <v>0</v>
      </c>
      <c r="AG161" s="1228">
        <v>0</v>
      </c>
      <c r="AH161" s="1229">
        <v>450000</v>
      </c>
      <c r="AI161" s="80"/>
    </row>
    <row r="162" spans="1:35" x14ac:dyDescent="0.2">
      <c r="A162" s="1462">
        <v>153</v>
      </c>
      <c r="B162" s="1097" t="s">
        <v>149</v>
      </c>
      <c r="C162" s="1185">
        <v>189</v>
      </c>
      <c r="D162" s="1114">
        <v>42877800</v>
      </c>
      <c r="E162" s="1186">
        <v>2</v>
      </c>
      <c r="F162" s="1463">
        <v>2040000</v>
      </c>
      <c r="G162" s="1362" t="s">
        <v>1069</v>
      </c>
      <c r="H162" s="1099" t="s">
        <v>761</v>
      </c>
      <c r="I162" s="1100">
        <v>45959</v>
      </c>
      <c r="J162" s="1099"/>
      <c r="K162" s="1099"/>
      <c r="L162" s="1100"/>
      <c r="M162" s="349"/>
      <c r="N162" s="1710"/>
      <c r="O162" s="80"/>
      <c r="P162" s="239" t="s">
        <v>318</v>
      </c>
      <c r="Q162" s="119">
        <v>844000</v>
      </c>
      <c r="R162" s="239" t="s">
        <v>318</v>
      </c>
      <c r="S162" s="114">
        <v>422000</v>
      </c>
      <c r="T162" s="240"/>
      <c r="U162" s="115">
        <v>0</v>
      </c>
      <c r="V162" s="884"/>
      <c r="W162" s="874">
        <v>0</v>
      </c>
      <c r="X162" s="884"/>
      <c r="Y162" s="874">
        <v>0</v>
      </c>
      <c r="Z162" s="241"/>
      <c r="AA162" s="116">
        <v>0</v>
      </c>
      <c r="AB162" s="239"/>
      <c r="AC162" s="116">
        <v>0</v>
      </c>
      <c r="AD162" s="242" t="s">
        <v>318</v>
      </c>
      <c r="AE162" s="117">
        <v>253200</v>
      </c>
      <c r="AF162" s="1228">
        <v>524582.99712041917</v>
      </c>
      <c r="AG162" s="1228">
        <v>0</v>
      </c>
      <c r="AH162" s="1229">
        <v>2040000</v>
      </c>
      <c r="AI162" s="80"/>
    </row>
    <row r="163" spans="1:35" x14ac:dyDescent="0.2">
      <c r="A163" s="1462">
        <v>154</v>
      </c>
      <c r="B163" s="1097" t="s">
        <v>150</v>
      </c>
      <c r="C163" s="1185">
        <v>190</v>
      </c>
      <c r="D163" s="1114">
        <v>21717463</v>
      </c>
      <c r="E163" s="1186">
        <v>1</v>
      </c>
      <c r="F163" s="1463">
        <v>730000</v>
      </c>
      <c r="G163" s="1098" t="s">
        <v>1052</v>
      </c>
      <c r="H163" s="1099" t="s">
        <v>839</v>
      </c>
      <c r="I163" s="1100"/>
      <c r="J163" s="1099"/>
      <c r="K163" s="1099"/>
      <c r="L163" s="1100"/>
      <c r="M163" s="349"/>
      <c r="N163" s="1710"/>
      <c r="O163" s="80"/>
      <c r="P163" s="239" t="s">
        <v>318</v>
      </c>
      <c r="Q163" s="119">
        <v>729000</v>
      </c>
      <c r="R163" s="239"/>
      <c r="S163" s="114">
        <v>0</v>
      </c>
      <c r="T163" s="240"/>
      <c r="U163" s="115">
        <v>0</v>
      </c>
      <c r="V163" s="884"/>
      <c r="W163" s="874">
        <v>0</v>
      </c>
      <c r="X163" s="884"/>
      <c r="Y163" s="874">
        <v>0</v>
      </c>
      <c r="Z163" s="241"/>
      <c r="AA163" s="116">
        <v>0</v>
      </c>
      <c r="AB163" s="239"/>
      <c r="AC163" s="116">
        <v>0</v>
      </c>
      <c r="AD163" s="242"/>
      <c r="AE163" s="117">
        <v>0</v>
      </c>
      <c r="AF163" s="1228">
        <v>0</v>
      </c>
      <c r="AG163" s="1228">
        <v>0</v>
      </c>
      <c r="AH163" s="1229">
        <v>730000</v>
      </c>
      <c r="AI163" s="80"/>
    </row>
    <row r="164" spans="1:35" x14ac:dyDescent="0.2">
      <c r="A164" s="1462">
        <v>155</v>
      </c>
      <c r="B164" s="1097" t="s">
        <v>455</v>
      </c>
      <c r="C164" s="1185">
        <v>192</v>
      </c>
      <c r="D164" s="1114">
        <v>21717467</v>
      </c>
      <c r="E164" s="1186">
        <v>0</v>
      </c>
      <c r="F164" s="618">
        <v>730000</v>
      </c>
      <c r="G164" s="1362" t="s">
        <v>1059</v>
      </c>
      <c r="H164" s="1099" t="s">
        <v>839</v>
      </c>
      <c r="I164" s="1100"/>
      <c r="J164" s="1099"/>
      <c r="K164" s="1099"/>
      <c r="L164" s="1100"/>
      <c r="M164" s="349"/>
      <c r="N164" s="1710"/>
      <c r="O164" s="80"/>
      <c r="P164" s="239" t="s">
        <v>318</v>
      </c>
      <c r="Q164" s="119">
        <v>729000</v>
      </c>
      <c r="R164" s="239"/>
      <c r="S164" s="114">
        <v>0</v>
      </c>
      <c r="T164" s="240"/>
      <c r="U164" s="115">
        <v>0</v>
      </c>
      <c r="V164" s="884"/>
      <c r="W164" s="874">
        <v>0</v>
      </c>
      <c r="X164" s="884"/>
      <c r="Y164" s="874">
        <v>0</v>
      </c>
      <c r="Z164" s="241"/>
      <c r="AA164" s="116">
        <v>0</v>
      </c>
      <c r="AB164" s="239"/>
      <c r="AC164" s="116">
        <v>0</v>
      </c>
      <c r="AD164" s="242"/>
      <c r="AE164" s="117">
        <v>0</v>
      </c>
      <c r="AF164" s="1228">
        <v>0</v>
      </c>
      <c r="AG164" s="1228">
        <v>0</v>
      </c>
      <c r="AH164" s="1229">
        <v>730000</v>
      </c>
      <c r="AI164" s="80"/>
    </row>
    <row r="165" spans="1:35" x14ac:dyDescent="0.2">
      <c r="A165" s="1462">
        <v>156</v>
      </c>
      <c r="B165" s="1097" t="s">
        <v>152</v>
      </c>
      <c r="C165" s="1185">
        <v>193</v>
      </c>
      <c r="D165" s="1114">
        <v>32326870</v>
      </c>
      <c r="E165" s="1186">
        <v>8</v>
      </c>
      <c r="F165" s="618">
        <v>470000</v>
      </c>
      <c r="G165" s="1362" t="s">
        <v>1070</v>
      </c>
      <c r="H165" s="1099" t="s">
        <v>839</v>
      </c>
      <c r="I165" s="1100"/>
      <c r="J165" s="1099"/>
      <c r="K165" s="1099"/>
      <c r="L165" s="1100"/>
      <c r="M165" s="349"/>
      <c r="N165" s="1710"/>
      <c r="O165" s="80"/>
      <c r="P165" s="239" t="s">
        <v>318</v>
      </c>
      <c r="Q165" s="119">
        <v>471000</v>
      </c>
      <c r="R165" s="239"/>
      <c r="S165" s="114">
        <v>0</v>
      </c>
      <c r="T165" s="240"/>
      <c r="U165" s="115">
        <v>0</v>
      </c>
      <c r="V165" s="884"/>
      <c r="W165" s="874">
        <v>0</v>
      </c>
      <c r="X165" s="884"/>
      <c r="Y165" s="874">
        <v>0</v>
      </c>
      <c r="Z165" s="241"/>
      <c r="AA165" s="116">
        <v>0</v>
      </c>
      <c r="AB165" s="239"/>
      <c r="AC165" s="116">
        <v>0</v>
      </c>
      <c r="AD165" s="242"/>
      <c r="AE165" s="117">
        <v>0</v>
      </c>
      <c r="AF165" s="1228">
        <v>0</v>
      </c>
      <c r="AG165" s="1228">
        <v>0</v>
      </c>
      <c r="AH165" s="1229">
        <v>470000</v>
      </c>
      <c r="AI165" s="80"/>
    </row>
    <row r="166" spans="1:35" x14ac:dyDescent="0.2">
      <c r="A166" s="1462">
        <v>157</v>
      </c>
      <c r="B166" s="1097" t="s">
        <v>153</v>
      </c>
      <c r="C166" s="1185">
        <v>194</v>
      </c>
      <c r="D166" s="1114">
        <v>70562691</v>
      </c>
      <c r="E166" s="1186">
        <v>5</v>
      </c>
      <c r="F166" s="618">
        <v>470000</v>
      </c>
      <c r="G166" s="1362" t="s">
        <v>1071</v>
      </c>
      <c r="H166" s="1099" t="s">
        <v>839</v>
      </c>
      <c r="I166" s="1100"/>
      <c r="J166" s="1099"/>
      <c r="K166" s="1099"/>
      <c r="L166" s="1100"/>
      <c r="M166" s="349"/>
      <c r="N166" s="1710"/>
      <c r="O166" s="80"/>
      <c r="P166" s="239" t="s">
        <v>318</v>
      </c>
      <c r="Q166" s="119">
        <v>471000</v>
      </c>
      <c r="R166" s="239"/>
      <c r="S166" s="114">
        <v>0</v>
      </c>
      <c r="T166" s="240"/>
      <c r="U166" s="115">
        <v>0</v>
      </c>
      <c r="V166" s="884"/>
      <c r="W166" s="874">
        <v>0</v>
      </c>
      <c r="X166" s="884"/>
      <c r="Y166" s="874">
        <v>0</v>
      </c>
      <c r="Z166" s="241"/>
      <c r="AA166" s="116">
        <v>0</v>
      </c>
      <c r="AB166" s="239"/>
      <c r="AC166" s="116">
        <v>0</v>
      </c>
      <c r="AD166" s="242"/>
      <c r="AE166" s="117">
        <v>0</v>
      </c>
      <c r="AF166" s="1228">
        <v>0</v>
      </c>
      <c r="AG166" s="1228">
        <v>0</v>
      </c>
      <c r="AH166" s="1229">
        <v>470000</v>
      </c>
      <c r="AI166" s="80"/>
    </row>
    <row r="167" spans="1:35" x14ac:dyDescent="0.2">
      <c r="A167" s="1462">
        <v>158</v>
      </c>
      <c r="B167" s="1097" t="s">
        <v>154</v>
      </c>
      <c r="C167" s="1185">
        <v>197</v>
      </c>
      <c r="D167" s="1114">
        <v>21354620</v>
      </c>
      <c r="E167" s="1186">
        <v>2</v>
      </c>
      <c r="F167" s="618">
        <v>1550000</v>
      </c>
      <c r="G167" s="1098" t="s">
        <v>995</v>
      </c>
      <c r="H167" s="1099" t="s">
        <v>839</v>
      </c>
      <c r="I167" s="1100"/>
      <c r="J167" s="1099"/>
      <c r="K167" s="1099"/>
      <c r="L167" s="1100"/>
      <c r="M167" s="349"/>
      <c r="N167" s="1710"/>
      <c r="O167" s="80"/>
      <c r="P167" s="239" t="s">
        <v>318</v>
      </c>
      <c r="Q167" s="119">
        <v>816000</v>
      </c>
      <c r="R167" s="239"/>
      <c r="S167" s="114">
        <v>0</v>
      </c>
      <c r="T167" s="240"/>
      <c r="U167" s="115">
        <v>0</v>
      </c>
      <c r="V167" s="884"/>
      <c r="W167" s="874">
        <v>0</v>
      </c>
      <c r="X167" s="884"/>
      <c r="Y167" s="874">
        <v>0</v>
      </c>
      <c r="Z167" s="241"/>
      <c r="AA167" s="116">
        <v>0</v>
      </c>
      <c r="AB167" s="239"/>
      <c r="AC167" s="116">
        <v>0</v>
      </c>
      <c r="AD167" s="242" t="s">
        <v>318</v>
      </c>
      <c r="AE167" s="117">
        <v>244800</v>
      </c>
      <c r="AF167" s="1228">
        <v>484582.99712041923</v>
      </c>
      <c r="AG167" s="1228">
        <v>0</v>
      </c>
      <c r="AH167" s="1229">
        <v>1550000</v>
      </c>
      <c r="AI167" s="80"/>
    </row>
    <row r="168" spans="1:35" x14ac:dyDescent="0.2">
      <c r="A168" s="1462">
        <v>159</v>
      </c>
      <c r="B168" s="1097" t="s">
        <v>155</v>
      </c>
      <c r="C168" s="1185">
        <v>198</v>
      </c>
      <c r="D168" s="1114">
        <v>8291095</v>
      </c>
      <c r="E168" s="1186">
        <v>6</v>
      </c>
      <c r="F168" s="618">
        <v>450000</v>
      </c>
      <c r="G168" s="1362" t="s">
        <v>1072</v>
      </c>
      <c r="H168" s="1099" t="s">
        <v>839</v>
      </c>
      <c r="I168" s="1100"/>
      <c r="J168" s="1099"/>
      <c r="K168" s="1099"/>
      <c r="L168" s="1100"/>
      <c r="M168" s="349"/>
      <c r="N168" s="1710"/>
      <c r="O168" s="80"/>
      <c r="P168" s="239" t="s">
        <v>318</v>
      </c>
      <c r="Q168" s="119">
        <v>448000</v>
      </c>
      <c r="R168" s="239"/>
      <c r="S168" s="114">
        <v>0</v>
      </c>
      <c r="T168" s="240"/>
      <c r="U168" s="115">
        <v>0</v>
      </c>
      <c r="V168" s="884"/>
      <c r="W168" s="874">
        <v>0</v>
      </c>
      <c r="X168" s="884"/>
      <c r="Y168" s="874">
        <v>0</v>
      </c>
      <c r="Z168" s="241"/>
      <c r="AA168" s="116">
        <v>0</v>
      </c>
      <c r="AB168" s="239"/>
      <c r="AC168" s="116">
        <v>0</v>
      </c>
      <c r="AD168" s="242"/>
      <c r="AE168" s="117">
        <v>0</v>
      </c>
      <c r="AF168" s="1228">
        <v>0</v>
      </c>
      <c r="AG168" s="1228">
        <v>0</v>
      </c>
      <c r="AH168" s="1229">
        <v>450000</v>
      </c>
      <c r="AI168" s="80"/>
    </row>
    <row r="169" spans="1:35" x14ac:dyDescent="0.2">
      <c r="A169" s="1462">
        <v>160</v>
      </c>
      <c r="B169" s="1097" t="s">
        <v>156</v>
      </c>
      <c r="C169" s="1185">
        <v>199</v>
      </c>
      <c r="D169" s="1114">
        <v>32403117</v>
      </c>
      <c r="E169" s="1186">
        <v>1</v>
      </c>
      <c r="F169" s="1800">
        <v>0</v>
      </c>
      <c r="G169" s="1802"/>
      <c r="H169" s="1805" t="s">
        <v>1085</v>
      </c>
      <c r="I169" s="1100"/>
      <c r="J169" s="1099"/>
      <c r="K169" s="1099"/>
      <c r="L169" s="1100"/>
      <c r="M169" s="349"/>
      <c r="N169" s="1710"/>
      <c r="O169" s="80"/>
      <c r="P169" s="239" t="s">
        <v>266</v>
      </c>
      <c r="Q169" s="119">
        <v>0</v>
      </c>
      <c r="R169" s="239"/>
      <c r="S169" s="114">
        <v>0</v>
      </c>
      <c r="T169" s="240"/>
      <c r="U169" s="115">
        <v>0</v>
      </c>
      <c r="V169" s="884"/>
      <c r="W169" s="874">
        <v>0</v>
      </c>
      <c r="X169" s="884"/>
      <c r="Y169" s="874">
        <v>0</v>
      </c>
      <c r="Z169" s="241"/>
      <c r="AA169" s="116">
        <v>0</v>
      </c>
      <c r="AB169" s="239"/>
      <c r="AC169" s="116">
        <v>0</v>
      </c>
      <c r="AD169" s="242"/>
      <c r="AE169" s="117">
        <v>0</v>
      </c>
      <c r="AF169" s="1228">
        <v>0</v>
      </c>
      <c r="AG169" s="1228">
        <v>0</v>
      </c>
      <c r="AH169" s="1229">
        <v>0</v>
      </c>
      <c r="AI169" s="80"/>
    </row>
    <row r="170" spans="1:35" x14ac:dyDescent="0.2">
      <c r="A170" s="1462">
        <v>161</v>
      </c>
      <c r="B170" s="1097" t="s">
        <v>157</v>
      </c>
      <c r="C170" s="1185">
        <v>200</v>
      </c>
      <c r="D170" s="1114">
        <v>700004170</v>
      </c>
      <c r="E170" s="1186">
        <v>1</v>
      </c>
      <c r="F170" s="618">
        <v>470000</v>
      </c>
      <c r="G170" s="1098" t="s">
        <v>1073</v>
      </c>
      <c r="H170" s="1099" t="s">
        <v>761</v>
      </c>
      <c r="I170" s="1100">
        <v>45959</v>
      </c>
      <c r="J170" s="1099"/>
      <c r="K170" s="1099"/>
      <c r="L170" s="1100"/>
      <c r="M170" s="349"/>
      <c r="N170" s="1710"/>
      <c r="O170" s="80"/>
      <c r="P170" s="239" t="s">
        <v>318</v>
      </c>
      <c r="Q170" s="119">
        <v>471000</v>
      </c>
      <c r="R170" s="239"/>
      <c r="S170" s="114">
        <v>0</v>
      </c>
      <c r="T170" s="240"/>
      <c r="U170" s="115">
        <v>0</v>
      </c>
      <c r="V170" s="884"/>
      <c r="W170" s="874">
        <v>0</v>
      </c>
      <c r="X170" s="884"/>
      <c r="Y170" s="874">
        <v>0</v>
      </c>
      <c r="Z170" s="241"/>
      <c r="AA170" s="116">
        <v>0</v>
      </c>
      <c r="AB170" s="239"/>
      <c r="AC170" s="116">
        <v>0</v>
      </c>
      <c r="AD170" s="242"/>
      <c r="AE170" s="117">
        <v>0</v>
      </c>
      <c r="AF170" s="1228">
        <v>0</v>
      </c>
      <c r="AG170" s="1228">
        <v>0</v>
      </c>
      <c r="AH170" s="1229">
        <v>470000</v>
      </c>
      <c r="AI170" s="80"/>
    </row>
    <row r="171" spans="1:35" x14ac:dyDescent="0.2">
      <c r="A171" s="1462">
        <v>162</v>
      </c>
      <c r="B171" s="1097" t="s">
        <v>403</v>
      </c>
      <c r="C171" s="1185">
        <v>117</v>
      </c>
      <c r="D171" s="1114">
        <v>70875845</v>
      </c>
      <c r="E171" s="1186">
        <v>6</v>
      </c>
      <c r="F171" s="618">
        <v>350000</v>
      </c>
      <c r="G171" s="1362" t="s">
        <v>1074</v>
      </c>
      <c r="H171" s="1099" t="s">
        <v>761</v>
      </c>
      <c r="I171" s="1100">
        <v>45959</v>
      </c>
      <c r="J171" s="1099"/>
      <c r="K171" s="1099"/>
      <c r="L171" s="1100"/>
      <c r="M171" s="349"/>
      <c r="N171" s="1710"/>
      <c r="O171" s="80"/>
      <c r="P171" s="239" t="s">
        <v>318</v>
      </c>
      <c r="Q171" s="119">
        <v>345000</v>
      </c>
      <c r="R171" s="239"/>
      <c r="S171" s="114">
        <v>0</v>
      </c>
      <c r="T171" s="240"/>
      <c r="U171" s="115">
        <v>0</v>
      </c>
      <c r="V171" s="884"/>
      <c r="W171" s="874">
        <v>0</v>
      </c>
      <c r="X171" s="884"/>
      <c r="Y171" s="874">
        <v>0</v>
      </c>
      <c r="Z171" s="241"/>
      <c r="AA171" s="116">
        <v>0</v>
      </c>
      <c r="AB171" s="239"/>
      <c r="AC171" s="116">
        <v>0</v>
      </c>
      <c r="AD171" s="242"/>
      <c r="AE171" s="117">
        <v>0</v>
      </c>
      <c r="AF171" s="1228">
        <v>0</v>
      </c>
      <c r="AG171" s="1228">
        <v>0</v>
      </c>
      <c r="AH171" s="1229">
        <v>350000</v>
      </c>
      <c r="AI171" s="80"/>
    </row>
    <row r="172" spans="1:35" x14ac:dyDescent="0.2">
      <c r="A172" s="1462">
        <v>163</v>
      </c>
      <c r="B172" s="1097" t="s">
        <v>158</v>
      </c>
      <c r="C172" s="1185">
        <v>240</v>
      </c>
      <c r="D172" s="1114">
        <v>42795956</v>
      </c>
      <c r="E172" s="1186">
        <v>1</v>
      </c>
      <c r="F172" s="618">
        <v>350000</v>
      </c>
      <c r="G172" s="1362" t="s">
        <v>1076</v>
      </c>
      <c r="H172" s="1099" t="s">
        <v>761</v>
      </c>
      <c r="I172" s="1100">
        <v>45959</v>
      </c>
      <c r="J172" s="1099"/>
      <c r="K172" s="1099"/>
      <c r="L172" s="1100"/>
      <c r="M172" s="349"/>
      <c r="N172" s="1710"/>
      <c r="O172" s="80"/>
      <c r="P172" s="239" t="s">
        <v>318</v>
      </c>
      <c r="Q172" s="119">
        <v>345000</v>
      </c>
      <c r="R172" s="239"/>
      <c r="S172" s="114">
        <v>0</v>
      </c>
      <c r="T172" s="240"/>
      <c r="U172" s="115">
        <v>0</v>
      </c>
      <c r="V172" s="884"/>
      <c r="W172" s="874">
        <v>0</v>
      </c>
      <c r="X172" s="884"/>
      <c r="Y172" s="874">
        <v>0</v>
      </c>
      <c r="Z172" s="241"/>
      <c r="AA172" s="116">
        <v>0</v>
      </c>
      <c r="AB172" s="239"/>
      <c r="AC172" s="116">
        <v>0</v>
      </c>
      <c r="AD172" s="242"/>
      <c r="AE172" s="117">
        <v>0</v>
      </c>
      <c r="AF172" s="1228">
        <v>0</v>
      </c>
      <c r="AG172" s="1228">
        <v>0</v>
      </c>
      <c r="AH172" s="1229">
        <v>350000</v>
      </c>
      <c r="AI172" s="80"/>
    </row>
    <row r="173" spans="1:35" x14ac:dyDescent="0.2">
      <c r="A173" s="1462">
        <v>164</v>
      </c>
      <c r="B173" s="1097" t="s">
        <v>159</v>
      </c>
      <c r="C173" s="1185">
        <v>202</v>
      </c>
      <c r="D173" s="1114">
        <v>42795057</v>
      </c>
      <c r="E173" s="1186">
        <v>3</v>
      </c>
      <c r="F173" s="618">
        <v>350000</v>
      </c>
      <c r="G173" s="1362" t="s">
        <v>1077</v>
      </c>
      <c r="H173" s="1099" t="s">
        <v>761</v>
      </c>
      <c r="I173" s="1100">
        <v>45959</v>
      </c>
      <c r="J173" s="1099"/>
      <c r="K173" s="1099"/>
      <c r="L173" s="1100"/>
      <c r="M173" s="349"/>
      <c r="N173" s="1710"/>
      <c r="O173" s="80"/>
      <c r="P173" s="239" t="s">
        <v>318</v>
      </c>
      <c r="Q173" s="119">
        <v>345000</v>
      </c>
      <c r="R173" s="239"/>
      <c r="S173" s="114">
        <v>0</v>
      </c>
      <c r="T173" s="240"/>
      <c r="U173" s="115">
        <v>0</v>
      </c>
      <c r="V173" s="884"/>
      <c r="W173" s="874">
        <v>0</v>
      </c>
      <c r="X173" s="884"/>
      <c r="Y173" s="874">
        <v>0</v>
      </c>
      <c r="Z173" s="241"/>
      <c r="AA173" s="116">
        <v>0</v>
      </c>
      <c r="AB173" s="239"/>
      <c r="AC173" s="116">
        <v>0</v>
      </c>
      <c r="AD173" s="242"/>
      <c r="AE173" s="117">
        <v>0</v>
      </c>
      <c r="AF173" s="1228">
        <v>0</v>
      </c>
      <c r="AG173" s="1228">
        <v>0</v>
      </c>
      <c r="AH173" s="1229">
        <v>350000</v>
      </c>
      <c r="AI173" s="80"/>
    </row>
    <row r="174" spans="1:35" x14ac:dyDescent="0.2">
      <c r="A174" s="1462">
        <v>165</v>
      </c>
      <c r="B174" s="1097" t="s">
        <v>160</v>
      </c>
      <c r="C174" s="1185">
        <v>203</v>
      </c>
      <c r="D174" s="1114">
        <v>71641349</v>
      </c>
      <c r="E174" s="1186">
        <v>3</v>
      </c>
      <c r="F174" s="618">
        <v>1710000</v>
      </c>
      <c r="G174" s="1098" t="s">
        <v>1004</v>
      </c>
      <c r="H174" s="1099" t="s">
        <v>761</v>
      </c>
      <c r="I174" s="1100">
        <v>45959</v>
      </c>
      <c r="J174" s="1099"/>
      <c r="K174" s="1099"/>
      <c r="L174" s="1100"/>
      <c r="M174" s="349"/>
      <c r="N174" s="1710"/>
      <c r="O174" s="80"/>
      <c r="P174" s="239" t="s">
        <v>318</v>
      </c>
      <c r="Q174" s="119">
        <v>471000</v>
      </c>
      <c r="R174" s="884" t="s">
        <v>318</v>
      </c>
      <c r="S174" s="874">
        <v>236000</v>
      </c>
      <c r="T174" s="884"/>
      <c r="U174" s="874">
        <v>0</v>
      </c>
      <c r="V174" s="884"/>
      <c r="W174" s="874">
        <v>0</v>
      </c>
      <c r="X174" s="884"/>
      <c r="Y174" s="874">
        <v>0</v>
      </c>
      <c r="Z174" s="884"/>
      <c r="AA174" s="874">
        <v>0</v>
      </c>
      <c r="AB174" s="884"/>
      <c r="AC174" s="874">
        <v>0</v>
      </c>
      <c r="AD174" s="884" t="s">
        <v>318</v>
      </c>
      <c r="AE174" s="874">
        <v>141300</v>
      </c>
      <c r="AF174" s="874">
        <v>865332.9890388191</v>
      </c>
      <c r="AG174" s="874">
        <v>0</v>
      </c>
      <c r="AH174" s="1229">
        <v>1710000</v>
      </c>
      <c r="AI174" s="80"/>
    </row>
    <row r="175" spans="1:35" x14ac:dyDescent="0.2">
      <c r="A175" s="1462">
        <v>166</v>
      </c>
      <c r="B175" s="1097" t="s">
        <v>162</v>
      </c>
      <c r="C175" s="1185">
        <v>220</v>
      </c>
      <c r="D175" s="1114">
        <v>43976629</v>
      </c>
      <c r="E175" s="1186">
        <v>7</v>
      </c>
      <c r="F175" s="618">
        <v>500000</v>
      </c>
      <c r="G175" s="1362" t="s">
        <v>1075</v>
      </c>
      <c r="H175" s="1099" t="s">
        <v>761</v>
      </c>
      <c r="I175" s="1100">
        <v>45959</v>
      </c>
      <c r="J175" s="1099" t="s">
        <v>453</v>
      </c>
      <c r="K175" s="1099" t="s">
        <v>762</v>
      </c>
      <c r="L175" s="1100">
        <v>45959</v>
      </c>
      <c r="M175" s="349"/>
      <c r="N175" s="1710"/>
      <c r="O175" s="80"/>
      <c r="P175" s="239" t="s">
        <v>318</v>
      </c>
      <c r="Q175" s="119">
        <v>499000</v>
      </c>
      <c r="R175" s="239"/>
      <c r="S175" s="114">
        <v>0</v>
      </c>
      <c r="T175" s="240"/>
      <c r="U175" s="115">
        <v>0</v>
      </c>
      <c r="V175" s="884"/>
      <c r="W175" s="874">
        <v>0</v>
      </c>
      <c r="X175" s="884"/>
      <c r="Y175" s="874">
        <v>0</v>
      </c>
      <c r="Z175" s="241"/>
      <c r="AA175" s="116">
        <v>0</v>
      </c>
      <c r="AB175" s="239"/>
      <c r="AC175" s="116">
        <v>0</v>
      </c>
      <c r="AD175" s="242"/>
      <c r="AE175" s="117">
        <v>0</v>
      </c>
      <c r="AF175" s="1228">
        <v>0</v>
      </c>
      <c r="AG175" s="1228">
        <v>0</v>
      </c>
      <c r="AH175" s="1229">
        <v>500000</v>
      </c>
      <c r="AI175" s="80"/>
    </row>
    <row r="176" spans="1:35" x14ac:dyDescent="0.2">
      <c r="A176" s="1462">
        <v>167</v>
      </c>
      <c r="B176" s="1494" t="s">
        <v>316</v>
      </c>
      <c r="C176" s="1678">
        <v>335</v>
      </c>
      <c r="D176" s="1114">
        <v>98496653</v>
      </c>
      <c r="E176" s="1186">
        <v>4</v>
      </c>
      <c r="F176" s="618">
        <v>160000</v>
      </c>
      <c r="G176" s="1362" t="s">
        <v>1079</v>
      </c>
      <c r="H176" s="1099" t="s">
        <v>761</v>
      </c>
      <c r="I176" s="1100">
        <v>45959</v>
      </c>
      <c r="J176" s="1099"/>
      <c r="K176" s="1099"/>
      <c r="L176" s="1100"/>
      <c r="M176" s="349"/>
      <c r="N176" s="1710"/>
      <c r="O176" s="80"/>
      <c r="P176" s="239" t="s">
        <v>318</v>
      </c>
      <c r="Q176" s="119">
        <v>161000</v>
      </c>
      <c r="R176" s="239"/>
      <c r="S176" s="114">
        <v>0</v>
      </c>
      <c r="T176" s="240"/>
      <c r="U176" s="115">
        <v>0</v>
      </c>
      <c r="V176" s="884"/>
      <c r="W176" s="874">
        <v>0</v>
      </c>
      <c r="X176" s="884"/>
      <c r="Y176" s="874">
        <v>0</v>
      </c>
      <c r="Z176" s="241"/>
      <c r="AA176" s="116">
        <v>0</v>
      </c>
      <c r="AB176" s="239"/>
      <c r="AC176" s="116">
        <v>0</v>
      </c>
      <c r="AD176" s="242"/>
      <c r="AE176" s="117">
        <v>0</v>
      </c>
      <c r="AF176" s="1228">
        <v>0</v>
      </c>
      <c r="AG176" s="1228">
        <v>0</v>
      </c>
      <c r="AH176" s="1229">
        <v>160000</v>
      </c>
      <c r="AI176" s="80"/>
    </row>
    <row r="177" spans="1:35" x14ac:dyDescent="0.2">
      <c r="A177" s="1462">
        <v>168</v>
      </c>
      <c r="B177" s="1097" t="s">
        <v>169</v>
      </c>
      <c r="C177" s="1185">
        <v>278</v>
      </c>
      <c r="D177" s="1114">
        <v>71629287</v>
      </c>
      <c r="E177" s="1186">
        <v>6</v>
      </c>
      <c r="F177" s="618">
        <v>470000</v>
      </c>
      <c r="G177" s="1362" t="s">
        <v>1078</v>
      </c>
      <c r="H177" s="1099" t="s">
        <v>839</v>
      </c>
      <c r="I177" s="1100"/>
      <c r="J177" s="1099"/>
      <c r="K177" s="1099"/>
      <c r="L177" s="1100"/>
      <c r="M177" s="349"/>
      <c r="N177" s="1710"/>
      <c r="O177" s="80"/>
      <c r="P177" s="239" t="s">
        <v>318</v>
      </c>
      <c r="Q177" s="119">
        <v>471000</v>
      </c>
      <c r="R177" s="239"/>
      <c r="S177" s="114">
        <v>0</v>
      </c>
      <c r="T177" s="240"/>
      <c r="U177" s="115">
        <v>0</v>
      </c>
      <c r="V177" s="884"/>
      <c r="W177" s="874">
        <v>0</v>
      </c>
      <c r="X177" s="884"/>
      <c r="Y177" s="874">
        <v>0</v>
      </c>
      <c r="Z177" s="241"/>
      <c r="AA177" s="116">
        <v>0</v>
      </c>
      <c r="AB177" s="239"/>
      <c r="AC177" s="116">
        <v>0</v>
      </c>
      <c r="AD177" s="242"/>
      <c r="AE177" s="117">
        <v>0</v>
      </c>
      <c r="AF177" s="1228">
        <v>0</v>
      </c>
      <c r="AG177" s="1228">
        <v>0</v>
      </c>
      <c r="AH177" s="1229">
        <v>470000</v>
      </c>
      <c r="AI177" s="80"/>
    </row>
    <row r="178" spans="1:35" x14ac:dyDescent="0.2">
      <c r="A178" s="1462">
        <v>169</v>
      </c>
      <c r="B178" s="1097" t="s">
        <v>778</v>
      </c>
      <c r="C178" s="1185">
        <v>363</v>
      </c>
      <c r="D178" s="1114">
        <v>43903734</v>
      </c>
      <c r="E178" s="1186">
        <v>1</v>
      </c>
      <c r="F178" s="618">
        <v>260000</v>
      </c>
      <c r="G178" s="1362" t="s">
        <v>1080</v>
      </c>
      <c r="H178" s="1099" t="s">
        <v>839</v>
      </c>
      <c r="I178" s="1100"/>
      <c r="J178" s="1099"/>
      <c r="K178" s="1099"/>
      <c r="L178" s="1100"/>
      <c r="M178" s="349"/>
      <c r="N178" s="1710"/>
      <c r="O178" s="80"/>
      <c r="P178" s="239" t="s">
        <v>318</v>
      </c>
      <c r="Q178" s="119">
        <v>263000</v>
      </c>
      <c r="R178" s="239"/>
      <c r="S178" s="114">
        <v>0</v>
      </c>
      <c r="T178" s="240"/>
      <c r="U178" s="115">
        <v>0</v>
      </c>
      <c r="V178" s="884"/>
      <c r="W178" s="874">
        <v>0</v>
      </c>
      <c r="X178" s="884"/>
      <c r="Y178" s="874">
        <v>0</v>
      </c>
      <c r="Z178" s="241"/>
      <c r="AA178" s="116">
        <v>0</v>
      </c>
      <c r="AB178" s="239"/>
      <c r="AC178" s="116">
        <v>0</v>
      </c>
      <c r="AD178" s="242"/>
      <c r="AE178" s="117">
        <v>0</v>
      </c>
      <c r="AF178" s="1228">
        <v>0</v>
      </c>
      <c r="AG178" s="1228">
        <v>0</v>
      </c>
      <c r="AH178" s="1229">
        <v>260000</v>
      </c>
      <c r="AI178" s="80"/>
    </row>
    <row r="179" spans="1:35" x14ac:dyDescent="0.2">
      <c r="A179" s="1462">
        <v>170</v>
      </c>
      <c r="B179" s="1791" t="s">
        <v>987</v>
      </c>
      <c r="C179" s="1185">
        <v>364</v>
      </c>
      <c r="D179" s="1114">
        <v>1152199401</v>
      </c>
      <c r="E179" s="1186">
        <v>8</v>
      </c>
      <c r="F179" s="618">
        <v>160000</v>
      </c>
      <c r="G179" s="1362"/>
      <c r="H179" s="1099"/>
      <c r="I179" s="1100"/>
      <c r="J179" s="1099"/>
      <c r="K179" s="1099"/>
      <c r="L179" s="1262"/>
      <c r="M179" s="349"/>
      <c r="N179" s="1710"/>
      <c r="O179" s="80"/>
      <c r="P179" s="239" t="s">
        <v>318</v>
      </c>
      <c r="Q179" s="119">
        <v>158000</v>
      </c>
      <c r="R179" s="239"/>
      <c r="S179" s="114">
        <v>0</v>
      </c>
      <c r="T179" s="240"/>
      <c r="U179" s="115">
        <v>0</v>
      </c>
      <c r="V179" s="884"/>
      <c r="W179" s="874">
        <v>0</v>
      </c>
      <c r="X179" s="884"/>
      <c r="Y179" s="874">
        <v>0</v>
      </c>
      <c r="Z179" s="241"/>
      <c r="AA179" s="116">
        <v>0</v>
      </c>
      <c r="AB179" s="239"/>
      <c r="AC179" s="116">
        <v>0</v>
      </c>
      <c r="AD179" s="242"/>
      <c r="AE179" s="117">
        <v>0</v>
      </c>
      <c r="AF179" s="1228">
        <v>0</v>
      </c>
      <c r="AG179" s="1228">
        <v>0</v>
      </c>
      <c r="AH179" s="1229">
        <v>160000</v>
      </c>
      <c r="AI179" s="80"/>
    </row>
    <row r="180" spans="1:35" x14ac:dyDescent="0.2">
      <c r="A180" s="1462"/>
      <c r="B180" s="1711"/>
      <c r="C180" s="1712"/>
      <c r="D180" s="1713"/>
      <c r="E180" s="1714"/>
      <c r="F180" s="618">
        <v>0</v>
      </c>
      <c r="G180" s="1362"/>
      <c r="H180" s="1099"/>
      <c r="I180" s="1100"/>
      <c r="J180" s="1099"/>
      <c r="K180" s="1099"/>
      <c r="L180" s="1262"/>
      <c r="M180" s="349"/>
      <c r="N180" s="1710"/>
      <c r="O180" s="80"/>
      <c r="P180" s="239"/>
      <c r="Q180" s="119">
        <v>0</v>
      </c>
      <c r="R180" s="239"/>
      <c r="S180" s="114">
        <v>0</v>
      </c>
      <c r="T180" s="240"/>
      <c r="U180" s="115">
        <v>0</v>
      </c>
      <c r="V180" s="884"/>
      <c r="W180" s="874">
        <v>0</v>
      </c>
      <c r="X180" s="884"/>
      <c r="Y180" s="874">
        <v>0</v>
      </c>
      <c r="Z180" s="241"/>
      <c r="AA180" s="116">
        <v>0</v>
      </c>
      <c r="AB180" s="239"/>
      <c r="AC180" s="116">
        <v>0</v>
      </c>
      <c r="AD180" s="242"/>
      <c r="AE180" s="117">
        <v>0</v>
      </c>
      <c r="AF180" s="1228">
        <v>0</v>
      </c>
      <c r="AG180" s="1228">
        <v>0</v>
      </c>
      <c r="AH180" s="1229">
        <v>0</v>
      </c>
      <c r="AI180" s="80"/>
    </row>
    <row r="181" spans="1:35" x14ac:dyDescent="0.2">
      <c r="A181" s="1462"/>
      <c r="B181" s="1711"/>
      <c r="C181" s="1712"/>
      <c r="D181" s="1713"/>
      <c r="E181" s="1714"/>
      <c r="F181" s="618">
        <v>0</v>
      </c>
      <c r="G181" s="1362"/>
      <c r="H181" s="1099"/>
      <c r="I181" s="1100"/>
      <c r="J181" s="1099"/>
      <c r="K181" s="1099"/>
      <c r="L181" s="1262"/>
      <c r="M181" s="349"/>
      <c r="N181" s="1710"/>
      <c r="O181" s="80"/>
      <c r="P181" s="239"/>
      <c r="Q181" s="119">
        <v>0</v>
      </c>
      <c r="R181" s="239"/>
      <c r="S181" s="114">
        <v>0</v>
      </c>
      <c r="T181" s="240"/>
      <c r="U181" s="115">
        <v>0</v>
      </c>
      <c r="V181" s="884"/>
      <c r="W181" s="874">
        <v>0</v>
      </c>
      <c r="X181" s="884"/>
      <c r="Y181" s="874">
        <v>0</v>
      </c>
      <c r="Z181" s="241"/>
      <c r="AA181" s="116">
        <v>0</v>
      </c>
      <c r="AB181" s="239"/>
      <c r="AC181" s="116">
        <v>0</v>
      </c>
      <c r="AD181" s="242"/>
      <c r="AE181" s="117">
        <v>0</v>
      </c>
      <c r="AF181" s="1228">
        <v>0</v>
      </c>
      <c r="AG181" s="1228">
        <v>0</v>
      </c>
      <c r="AH181" s="1229">
        <v>0</v>
      </c>
      <c r="AI181" s="80"/>
    </row>
    <row r="182" spans="1:35" x14ac:dyDescent="0.2">
      <c r="A182" s="1462"/>
      <c r="B182" s="1711"/>
      <c r="C182" s="1712"/>
      <c r="D182" s="1713"/>
      <c r="E182" s="1714"/>
      <c r="F182" s="618">
        <v>0</v>
      </c>
      <c r="G182" s="1362"/>
      <c r="H182" s="1099"/>
      <c r="I182" s="1100"/>
      <c r="J182" s="1099"/>
      <c r="K182" s="1099"/>
      <c r="L182" s="1262"/>
      <c r="M182" s="349"/>
      <c r="N182" s="1710"/>
      <c r="O182" s="80"/>
      <c r="P182" s="239"/>
      <c r="Q182" s="119">
        <v>0</v>
      </c>
      <c r="R182" s="239"/>
      <c r="S182" s="114">
        <v>0</v>
      </c>
      <c r="T182" s="240"/>
      <c r="U182" s="115">
        <v>0</v>
      </c>
      <c r="V182" s="884"/>
      <c r="W182" s="874">
        <v>0</v>
      </c>
      <c r="X182" s="884"/>
      <c r="Y182" s="874">
        <v>0</v>
      </c>
      <c r="Z182" s="241"/>
      <c r="AA182" s="116">
        <v>0</v>
      </c>
      <c r="AB182" s="239"/>
      <c r="AC182" s="116">
        <v>0</v>
      </c>
      <c r="AD182" s="242"/>
      <c r="AE182" s="117">
        <v>0</v>
      </c>
      <c r="AF182" s="1228">
        <v>0</v>
      </c>
      <c r="AG182" s="1228">
        <v>0</v>
      </c>
      <c r="AH182" s="1229">
        <v>0</v>
      </c>
      <c r="AI182" s="80"/>
    </row>
    <row r="183" spans="1:35" x14ac:dyDescent="0.2">
      <c r="A183" s="1462"/>
      <c r="B183" s="1711"/>
      <c r="C183" s="1712"/>
      <c r="D183" s="1713"/>
      <c r="E183" s="1714"/>
      <c r="F183" s="618">
        <v>0</v>
      </c>
      <c r="G183" s="1362"/>
      <c r="H183" s="1099"/>
      <c r="I183" s="1100"/>
      <c r="J183" s="1099"/>
      <c r="K183" s="1099"/>
      <c r="L183" s="1262"/>
      <c r="M183" s="349"/>
      <c r="N183" s="1710"/>
      <c r="O183" s="80"/>
      <c r="P183" s="239"/>
      <c r="Q183" s="119">
        <v>0</v>
      </c>
      <c r="R183" s="239"/>
      <c r="S183" s="114">
        <v>0</v>
      </c>
      <c r="T183" s="240"/>
      <c r="U183" s="115">
        <v>0</v>
      </c>
      <c r="V183" s="884"/>
      <c r="W183" s="874">
        <v>0</v>
      </c>
      <c r="X183" s="884"/>
      <c r="Y183" s="874">
        <v>0</v>
      </c>
      <c r="Z183" s="241"/>
      <c r="AA183" s="116">
        <v>0</v>
      </c>
      <c r="AB183" s="239"/>
      <c r="AC183" s="116">
        <v>0</v>
      </c>
      <c r="AD183" s="242"/>
      <c r="AE183" s="117">
        <v>0</v>
      </c>
      <c r="AF183" s="1228">
        <v>0</v>
      </c>
      <c r="AG183" s="1228">
        <v>0</v>
      </c>
      <c r="AH183" s="1229">
        <v>0</v>
      </c>
      <c r="AI183" s="80"/>
    </row>
    <row r="184" spans="1:35" x14ac:dyDescent="0.2">
      <c r="A184" s="1462"/>
      <c r="B184" s="1711"/>
      <c r="C184" s="1712"/>
      <c r="D184" s="1713"/>
      <c r="E184" s="1714"/>
      <c r="F184" s="618">
        <v>0</v>
      </c>
      <c r="G184" s="1362"/>
      <c r="H184" s="1099"/>
      <c r="I184" s="1100"/>
      <c r="J184" s="1099"/>
      <c r="K184" s="1099"/>
      <c r="L184" s="1262"/>
      <c r="M184" s="349"/>
      <c r="N184" s="1710"/>
      <c r="O184" s="80"/>
      <c r="P184" s="239"/>
      <c r="Q184" s="119">
        <v>0</v>
      </c>
      <c r="R184" s="239"/>
      <c r="S184" s="114">
        <v>0</v>
      </c>
      <c r="T184" s="240"/>
      <c r="U184" s="115">
        <v>0</v>
      </c>
      <c r="V184" s="884"/>
      <c r="W184" s="874">
        <v>0</v>
      </c>
      <c r="X184" s="884"/>
      <c r="Y184" s="874">
        <v>0</v>
      </c>
      <c r="Z184" s="241"/>
      <c r="AA184" s="116">
        <v>0</v>
      </c>
      <c r="AB184" s="239"/>
      <c r="AC184" s="116">
        <v>0</v>
      </c>
      <c r="AD184" s="242"/>
      <c r="AE184" s="117">
        <v>0</v>
      </c>
      <c r="AF184" s="1228">
        <v>0</v>
      </c>
      <c r="AG184" s="1228">
        <v>0</v>
      </c>
      <c r="AH184" s="1229">
        <v>0</v>
      </c>
      <c r="AI184" s="80"/>
    </row>
    <row r="185" spans="1:35" x14ac:dyDescent="0.2">
      <c r="A185" s="1462"/>
      <c r="B185" s="1711"/>
      <c r="C185" s="1712"/>
      <c r="D185" s="1713"/>
      <c r="E185" s="1714"/>
      <c r="F185" s="618">
        <v>0</v>
      </c>
      <c r="G185" s="1362"/>
      <c r="H185" s="1099"/>
      <c r="I185" s="1100"/>
      <c r="J185" s="1099"/>
      <c r="K185" s="1099"/>
      <c r="L185" s="1262"/>
      <c r="M185" s="349"/>
      <c r="N185" s="1710"/>
      <c r="O185" s="80"/>
      <c r="P185" s="1227"/>
      <c r="Q185" s="119">
        <v>0</v>
      </c>
      <c r="R185" s="239"/>
      <c r="S185" s="114">
        <v>0</v>
      </c>
      <c r="T185" s="240"/>
      <c r="U185" s="115">
        <v>0</v>
      </c>
      <c r="V185" s="884"/>
      <c r="W185" s="874">
        <v>0</v>
      </c>
      <c r="X185" s="884"/>
      <c r="Y185" s="874">
        <v>0</v>
      </c>
      <c r="Z185" s="241"/>
      <c r="AA185" s="116">
        <v>0</v>
      </c>
      <c r="AB185" s="239"/>
      <c r="AC185" s="116">
        <v>0</v>
      </c>
      <c r="AD185" s="242"/>
      <c r="AE185" s="117">
        <v>0</v>
      </c>
      <c r="AF185" s="1228">
        <v>0</v>
      </c>
      <c r="AG185" s="1228">
        <v>0</v>
      </c>
      <c r="AH185" s="1229">
        <v>0</v>
      </c>
      <c r="AI185" s="80"/>
    </row>
    <row r="186" spans="1:35" x14ac:dyDescent="0.2">
      <c r="A186" s="1462"/>
      <c r="B186" s="1711"/>
      <c r="C186" s="1712"/>
      <c r="D186" s="1713"/>
      <c r="E186" s="1714"/>
      <c r="F186" s="618">
        <v>0</v>
      </c>
      <c r="G186" s="1362"/>
      <c r="H186" s="1099"/>
      <c r="I186" s="1100"/>
      <c r="J186" s="1099"/>
      <c r="K186" s="1099"/>
      <c r="L186" s="1262"/>
      <c r="M186" s="349"/>
      <c r="N186" s="1710"/>
      <c r="O186" s="80"/>
      <c r="P186" s="1227"/>
      <c r="Q186" s="119">
        <v>0</v>
      </c>
      <c r="R186" s="239"/>
      <c r="S186" s="114">
        <v>0</v>
      </c>
      <c r="T186" s="240"/>
      <c r="U186" s="115">
        <v>0</v>
      </c>
      <c r="V186" s="884"/>
      <c r="W186" s="874">
        <v>0</v>
      </c>
      <c r="X186" s="884"/>
      <c r="Y186" s="874">
        <v>0</v>
      </c>
      <c r="Z186" s="241"/>
      <c r="AA186" s="116">
        <v>0</v>
      </c>
      <c r="AB186" s="239"/>
      <c r="AC186" s="116">
        <v>0</v>
      </c>
      <c r="AD186" s="242"/>
      <c r="AE186" s="117">
        <v>0</v>
      </c>
      <c r="AF186" s="1228">
        <v>0</v>
      </c>
      <c r="AG186" s="1228">
        <v>0</v>
      </c>
      <c r="AH186" s="1229">
        <v>0</v>
      </c>
      <c r="AI186" s="80"/>
    </row>
    <row r="187" spans="1:35" x14ac:dyDescent="0.2">
      <c r="A187" s="1462"/>
      <c r="B187" s="1711"/>
      <c r="C187" s="1712"/>
      <c r="D187" s="1713"/>
      <c r="E187" s="1714"/>
      <c r="F187" s="618">
        <v>0</v>
      </c>
      <c r="G187" s="1362"/>
      <c r="H187" s="1099"/>
      <c r="I187" s="1100"/>
      <c r="J187" s="1099"/>
      <c r="K187" s="1099"/>
      <c r="L187" s="1262"/>
      <c r="M187" s="349"/>
      <c r="N187" s="1710"/>
      <c r="O187" s="80"/>
      <c r="P187" s="1227"/>
      <c r="Q187" s="119">
        <v>0</v>
      </c>
      <c r="R187" s="239"/>
      <c r="S187" s="114">
        <v>0</v>
      </c>
      <c r="T187" s="240"/>
      <c r="U187" s="115">
        <v>0</v>
      </c>
      <c r="V187" s="884"/>
      <c r="W187" s="874">
        <v>0</v>
      </c>
      <c r="X187" s="884"/>
      <c r="Y187" s="874">
        <v>0</v>
      </c>
      <c r="Z187" s="241"/>
      <c r="AA187" s="116">
        <v>0</v>
      </c>
      <c r="AB187" s="239"/>
      <c r="AC187" s="116">
        <v>0</v>
      </c>
      <c r="AD187" s="242"/>
      <c r="AE187" s="117">
        <v>0</v>
      </c>
      <c r="AF187" s="1228">
        <v>0</v>
      </c>
      <c r="AG187" s="1228">
        <v>0</v>
      </c>
      <c r="AH187" s="1229">
        <v>0</v>
      </c>
      <c r="AI187" s="80"/>
    </row>
    <row r="188" spans="1:35" ht="13.5" thickBot="1" x14ac:dyDescent="0.25">
      <c r="A188" s="632"/>
      <c r="B188" s="755"/>
      <c r="C188" s="511"/>
      <c r="D188" s="633"/>
      <c r="E188" s="634"/>
      <c r="F188" s="319"/>
      <c r="G188" s="590"/>
      <c r="H188" s="619"/>
      <c r="I188" s="620"/>
      <c r="J188" s="619"/>
      <c r="K188" s="619"/>
      <c r="L188" s="621"/>
      <c r="M188" s="622"/>
      <c r="N188" s="1715"/>
      <c r="O188" s="80"/>
      <c r="P188" s="305"/>
      <c r="Q188" s="186"/>
      <c r="R188" s="187"/>
      <c r="S188" s="188"/>
      <c r="T188" s="189"/>
      <c r="U188" s="190"/>
      <c r="V188" s="885"/>
      <c r="W188" s="875"/>
      <c r="X188" s="885"/>
      <c r="Y188" s="875"/>
      <c r="Z188" s="191"/>
      <c r="AA188" s="192"/>
      <c r="AB188" s="186"/>
      <c r="AC188" s="193"/>
      <c r="AD188" s="194"/>
      <c r="AE188" s="194"/>
      <c r="AF188" s="209"/>
      <c r="AG188" s="209"/>
      <c r="AH188" s="325"/>
      <c r="AI188" s="80"/>
    </row>
    <row r="189" spans="1:35" ht="13.5" thickBot="1" x14ac:dyDescent="0.25">
      <c r="A189" s="82"/>
      <c r="B189" s="359"/>
      <c r="D189" s="82"/>
      <c r="F189" s="90"/>
      <c r="L189" s="91"/>
      <c r="O189" s="80"/>
      <c r="Q189" s="99"/>
      <c r="R189" s="674"/>
      <c r="S189" s="199"/>
      <c r="T189" s="98"/>
      <c r="U189" s="146"/>
      <c r="V189" s="103"/>
      <c r="W189" s="148"/>
      <c r="X189" s="103"/>
      <c r="Y189" s="148"/>
      <c r="Z189" s="864"/>
      <c r="AA189" s="865"/>
      <c r="AB189" s="100"/>
      <c r="AC189" s="101"/>
      <c r="AD189" s="100"/>
      <c r="AE189" s="100"/>
      <c r="AF189" s="150"/>
      <c r="AG189" s="150"/>
      <c r="AH189" s="89"/>
      <c r="AI189" s="80"/>
    </row>
    <row r="190" spans="1:35" ht="13.5" thickBot="1" x14ac:dyDescent="0.25">
      <c r="A190" s="130" t="s">
        <v>289</v>
      </c>
      <c r="B190" s="756"/>
      <c r="C190" s="485"/>
      <c r="D190" s="276"/>
      <c r="E190" s="390"/>
      <c r="F190" s="244">
        <v>107750000</v>
      </c>
      <c r="H190" s="611"/>
      <c r="I190" s="612">
        <v>107750000</v>
      </c>
      <c r="L190" s="23"/>
      <c r="O190" s="80"/>
      <c r="P190" s="1258"/>
      <c r="Q190" s="866">
        <v>85021000</v>
      </c>
      <c r="R190" s="867"/>
      <c r="S190" s="866">
        <v>6140000</v>
      </c>
      <c r="T190" s="867"/>
      <c r="U190" s="866">
        <v>5872000</v>
      </c>
      <c r="V190" s="880"/>
      <c r="W190" s="869"/>
      <c r="X190" s="880"/>
      <c r="Y190" s="869"/>
      <c r="Z190" s="867"/>
      <c r="AA190" s="866">
        <v>0</v>
      </c>
      <c r="AB190" s="867"/>
      <c r="AC190" s="866">
        <v>0</v>
      </c>
      <c r="AD190" s="867"/>
      <c r="AE190" s="866">
        <v>4880100</v>
      </c>
      <c r="AF190" s="868">
        <v>5895067.3579001008</v>
      </c>
      <c r="AG190" s="866">
        <v>0</v>
      </c>
      <c r="AH190" s="244">
        <v>107980000</v>
      </c>
      <c r="AI190" s="80"/>
    </row>
    <row r="191" spans="1:35" x14ac:dyDescent="0.2">
      <c r="A191" s="674"/>
      <c r="B191" s="757"/>
      <c r="C191" s="512"/>
      <c r="D191" s="82"/>
      <c r="F191" s="90"/>
      <c r="L191" s="91"/>
      <c r="O191" s="80"/>
      <c r="Q191" s="73"/>
      <c r="R191" s="83"/>
      <c r="S191" s="84"/>
      <c r="U191" s="85"/>
      <c r="W191" s="90"/>
      <c r="Y191" s="90"/>
      <c r="Z191" s="86"/>
      <c r="AA191" s="87"/>
      <c r="AB191" s="88"/>
      <c r="AD191" s="88"/>
      <c r="AE191" s="88"/>
      <c r="AF191" s="206"/>
      <c r="AG191" s="206"/>
      <c r="AH191" s="89"/>
      <c r="AI191" s="80"/>
    </row>
    <row r="192" spans="1:35" x14ac:dyDescent="0.2">
      <c r="A192" s="7"/>
      <c r="B192" s="758"/>
      <c r="C192" s="198">
        <v>169</v>
      </c>
      <c r="D192" s="67"/>
      <c r="E192" s="210"/>
      <c r="F192" s="66"/>
      <c r="G192" s="179"/>
      <c r="H192" s="179"/>
      <c r="I192" s="600"/>
      <c r="J192" s="37"/>
      <c r="K192" s="37"/>
      <c r="L192" s="96"/>
      <c r="M192" s="198"/>
      <c r="N192" s="198"/>
      <c r="O192" s="80"/>
      <c r="P192" s="1259"/>
      <c r="Q192" s="93"/>
      <c r="R192" s="92"/>
      <c r="S192" s="69"/>
      <c r="T192" s="92"/>
      <c r="U192" s="69"/>
      <c r="V192" s="477"/>
      <c r="W192" s="66"/>
      <c r="X192" s="477"/>
      <c r="Y192" s="66"/>
      <c r="Z192" s="93"/>
      <c r="AA192" s="69"/>
      <c r="AB192" s="69"/>
      <c r="AC192" s="94"/>
      <c r="AD192" s="69"/>
      <c r="AE192" s="69"/>
      <c r="AF192" s="207"/>
      <c r="AG192" s="207"/>
      <c r="AH192" s="95"/>
      <c r="AI192" s="80"/>
    </row>
    <row r="193" spans="1:35" x14ac:dyDescent="0.2">
      <c r="A193" s="65"/>
      <c r="B193" s="157"/>
      <c r="C193" s="222"/>
      <c r="D193" s="61"/>
      <c r="E193" s="60"/>
      <c r="F193" s="103"/>
      <c r="G193" s="180"/>
      <c r="H193" s="180"/>
      <c r="I193" s="601"/>
      <c r="J193" s="44"/>
      <c r="K193" s="44"/>
      <c r="L193" s="104"/>
      <c r="M193" s="199"/>
      <c r="N193" s="199"/>
      <c r="O193" s="80"/>
      <c r="P193" s="674"/>
      <c r="Q193" s="99"/>
      <c r="R193" s="98"/>
      <c r="S193" s="100"/>
      <c r="T193" s="98"/>
      <c r="U193" s="100"/>
      <c r="V193" s="103"/>
      <c r="W193" s="148"/>
      <c r="X193" s="103"/>
      <c r="Y193" s="148"/>
      <c r="Z193" s="99"/>
      <c r="AA193" s="100"/>
      <c r="AB193" s="100"/>
      <c r="AC193" s="101"/>
      <c r="AD193" s="100"/>
      <c r="AE193" s="100"/>
      <c r="AF193" s="150"/>
      <c r="AG193" s="150"/>
      <c r="AH193" s="102"/>
      <c r="AI193" s="80"/>
    </row>
    <row r="194" spans="1:35" ht="15.75" thickBot="1" x14ac:dyDescent="0.25">
      <c r="A194" s="113" t="s">
        <v>3</v>
      </c>
      <c r="B194" s="359"/>
      <c r="D194" s="82"/>
      <c r="F194" s="65"/>
      <c r="G194" s="180"/>
      <c r="H194" s="180"/>
      <c r="I194" s="601"/>
      <c r="J194" s="44"/>
      <c r="K194" s="44"/>
      <c r="L194" s="105"/>
      <c r="M194" s="199"/>
      <c r="N194" s="199"/>
      <c r="O194" s="80"/>
      <c r="P194" s="674"/>
      <c r="Q194" s="324"/>
      <c r="R194" s="98"/>
      <c r="S194" s="324"/>
      <c r="T194" s="98"/>
      <c r="U194" s="324"/>
      <c r="V194" s="103"/>
      <c r="W194" s="65"/>
      <c r="X194" s="103"/>
      <c r="Y194" s="65"/>
      <c r="Z194" s="99"/>
      <c r="AA194" s="324"/>
      <c r="AB194" s="324"/>
      <c r="AC194" s="101"/>
      <c r="AD194" s="324"/>
      <c r="AE194" s="324"/>
      <c r="AF194" s="208"/>
      <c r="AG194" s="208"/>
      <c r="AH194" s="120"/>
      <c r="AI194" s="80"/>
    </row>
    <row r="195" spans="1:35" x14ac:dyDescent="0.2">
      <c r="A195" s="1646">
        <v>1</v>
      </c>
      <c r="B195" s="1681" t="s">
        <v>175</v>
      </c>
      <c r="C195" s="1673">
        <v>12</v>
      </c>
      <c r="D195" s="1675">
        <v>800076166</v>
      </c>
      <c r="E195" s="816">
        <v>2</v>
      </c>
      <c r="F195" s="615">
        <v>820000</v>
      </c>
      <c r="G195" s="1098" t="s">
        <v>995</v>
      </c>
      <c r="H195" s="570"/>
      <c r="I195" s="906"/>
      <c r="J195" s="827"/>
      <c r="K195" s="827"/>
      <c r="L195" s="828"/>
      <c r="M195" s="1716"/>
      <c r="N195" s="1717"/>
      <c r="O195" s="80"/>
      <c r="P195" s="1225" t="s">
        <v>318</v>
      </c>
      <c r="Q195" s="182">
        <v>820000</v>
      </c>
      <c r="R195" s="235"/>
      <c r="S195" s="183">
        <v>0</v>
      </c>
      <c r="T195" s="1490" t="s">
        <v>266</v>
      </c>
      <c r="U195" s="1864">
        <v>0</v>
      </c>
      <c r="V195" s="883"/>
      <c r="W195" s="873">
        <v>0</v>
      </c>
      <c r="X195" s="883"/>
      <c r="Y195" s="873">
        <v>0</v>
      </c>
      <c r="Z195" s="235"/>
      <c r="AA195" s="185">
        <v>0</v>
      </c>
      <c r="AB195" s="235"/>
      <c r="AC195" s="185">
        <v>0</v>
      </c>
      <c r="AD195" s="238"/>
      <c r="AE195" s="264">
        <v>0</v>
      </c>
      <c r="AF195" s="205">
        <v>0</v>
      </c>
      <c r="AG195" s="205">
        <v>0</v>
      </c>
      <c r="AH195" s="1226">
        <v>820000</v>
      </c>
      <c r="AI195" s="80"/>
    </row>
    <row r="196" spans="1:35" x14ac:dyDescent="0.2">
      <c r="A196" s="1718">
        <v>2</v>
      </c>
      <c r="B196" s="1137" t="s">
        <v>674</v>
      </c>
      <c r="C196" s="1185">
        <v>258</v>
      </c>
      <c r="D196" s="1187">
        <v>900625975</v>
      </c>
      <c r="E196" s="1186">
        <v>3</v>
      </c>
      <c r="F196" s="1463">
        <v>0</v>
      </c>
      <c r="G196" s="823"/>
      <c r="H196" s="144"/>
      <c r="I196" s="144"/>
      <c r="J196" s="1719"/>
      <c r="K196" s="1537"/>
      <c r="L196" s="1720"/>
      <c r="M196" s="1101"/>
      <c r="N196" s="1706"/>
      <c r="O196" s="80"/>
      <c r="P196" s="1227"/>
      <c r="Q196" s="119">
        <v>0</v>
      </c>
      <c r="R196" s="239"/>
      <c r="S196" s="114">
        <v>0</v>
      </c>
      <c r="T196" s="884"/>
      <c r="U196" s="115">
        <v>0</v>
      </c>
      <c r="V196" s="884"/>
      <c r="W196" s="874">
        <v>0</v>
      </c>
      <c r="X196" s="884"/>
      <c r="Y196" s="874">
        <v>0</v>
      </c>
      <c r="Z196" s="239"/>
      <c r="AA196" s="116">
        <v>0</v>
      </c>
      <c r="AB196" s="239"/>
      <c r="AC196" s="116">
        <v>0</v>
      </c>
      <c r="AD196" s="242"/>
      <c r="AE196" s="117">
        <v>0</v>
      </c>
      <c r="AF196" s="1228">
        <v>0</v>
      </c>
      <c r="AG196" s="1228">
        <v>0</v>
      </c>
      <c r="AH196" s="1229">
        <v>0</v>
      </c>
      <c r="AI196" s="80"/>
    </row>
    <row r="197" spans="1:35" ht="25.5" x14ac:dyDescent="0.2">
      <c r="A197" s="1718">
        <v>3</v>
      </c>
      <c r="B197" s="1137" t="s">
        <v>177</v>
      </c>
      <c r="C197" s="1185">
        <v>15</v>
      </c>
      <c r="D197" s="1187">
        <v>890921312</v>
      </c>
      <c r="E197" s="1186">
        <v>4</v>
      </c>
      <c r="F197" s="1463">
        <v>820000</v>
      </c>
      <c r="G197" s="1098" t="s">
        <v>995</v>
      </c>
      <c r="H197" s="144"/>
      <c r="I197" s="144"/>
      <c r="J197" s="1721"/>
      <c r="K197" s="1722"/>
      <c r="L197" s="1720"/>
      <c r="M197" s="1266"/>
      <c r="N197" s="1706"/>
      <c r="O197" s="80"/>
      <c r="P197" s="1227" t="s">
        <v>318</v>
      </c>
      <c r="Q197" s="119">
        <v>820000</v>
      </c>
      <c r="R197" s="239"/>
      <c r="S197" s="114">
        <v>0</v>
      </c>
      <c r="T197" s="1265" t="s">
        <v>266</v>
      </c>
      <c r="U197" s="857">
        <v>0</v>
      </c>
      <c r="V197" s="884"/>
      <c r="W197" s="874">
        <v>0</v>
      </c>
      <c r="X197" s="884"/>
      <c r="Y197" s="874">
        <v>0</v>
      </c>
      <c r="Z197" s="240"/>
      <c r="AA197" s="116">
        <v>0</v>
      </c>
      <c r="AB197" s="239"/>
      <c r="AC197" s="116">
        <v>0</v>
      </c>
      <c r="AD197" s="242"/>
      <c r="AE197" s="117">
        <v>0</v>
      </c>
      <c r="AF197" s="1228">
        <v>0</v>
      </c>
      <c r="AG197" s="1228">
        <v>0</v>
      </c>
      <c r="AH197" s="1229">
        <v>820000</v>
      </c>
      <c r="AI197" s="80"/>
    </row>
    <row r="198" spans="1:35" ht="25.5" x14ac:dyDescent="0.2">
      <c r="A198" s="1718">
        <v>4</v>
      </c>
      <c r="B198" s="1204" t="s">
        <v>181</v>
      </c>
      <c r="C198" s="1263">
        <v>21</v>
      </c>
      <c r="D198" s="1735">
        <v>890910754</v>
      </c>
      <c r="E198" s="1820">
        <v>9</v>
      </c>
      <c r="F198" s="1736">
        <v>1850000</v>
      </c>
      <c r="G198" s="1821" t="s">
        <v>1081</v>
      </c>
      <c r="H198" s="1822"/>
      <c r="I198" s="1822"/>
      <c r="J198" s="1823"/>
      <c r="K198" s="1824"/>
      <c r="L198" s="1825"/>
      <c r="M198" s="1826"/>
      <c r="N198" s="1827"/>
      <c r="O198" s="1828"/>
      <c r="P198" s="1829" t="s">
        <v>318</v>
      </c>
      <c r="Q198" s="345">
        <v>1423500</v>
      </c>
      <c r="R198" s="854"/>
      <c r="S198" s="855">
        <v>0</v>
      </c>
      <c r="T198" s="905" t="s">
        <v>318</v>
      </c>
      <c r="U198" s="857">
        <v>427050</v>
      </c>
      <c r="V198" s="884"/>
      <c r="W198" s="874">
        <v>0</v>
      </c>
      <c r="X198" s="884"/>
      <c r="Y198" s="874">
        <v>0</v>
      </c>
      <c r="Z198" s="239"/>
      <c r="AA198" s="116">
        <v>0</v>
      </c>
      <c r="AB198" s="239"/>
      <c r="AC198" s="116">
        <v>0</v>
      </c>
      <c r="AD198" s="242"/>
      <c r="AE198" s="117">
        <v>0</v>
      </c>
      <c r="AF198" s="1228">
        <v>0</v>
      </c>
      <c r="AG198" s="1228">
        <v>0</v>
      </c>
      <c r="AH198" s="1229">
        <v>1850000</v>
      </c>
      <c r="AI198" s="80"/>
    </row>
    <row r="199" spans="1:35" x14ac:dyDescent="0.2">
      <c r="A199" s="1718">
        <v>5</v>
      </c>
      <c r="B199" s="1137" t="s">
        <v>189</v>
      </c>
      <c r="C199" s="1185">
        <v>31</v>
      </c>
      <c r="D199" s="1187">
        <v>890927723</v>
      </c>
      <c r="E199" s="1186">
        <v>5</v>
      </c>
      <c r="F199" s="1463">
        <v>0</v>
      </c>
      <c r="G199" s="823"/>
      <c r="H199" s="144"/>
      <c r="I199" s="144"/>
      <c r="J199" s="1721"/>
      <c r="K199" s="1722"/>
      <c r="L199" s="1720"/>
      <c r="M199" s="1101"/>
      <c r="N199" s="1706"/>
      <c r="O199" s="80"/>
      <c r="P199" s="1227"/>
      <c r="Q199" s="119">
        <v>0</v>
      </c>
      <c r="R199" s="239"/>
      <c r="S199" s="114">
        <v>0</v>
      </c>
      <c r="T199" s="240"/>
      <c r="U199" s="115">
        <v>0</v>
      </c>
      <c r="V199" s="884"/>
      <c r="W199" s="874">
        <v>0</v>
      </c>
      <c r="X199" s="884"/>
      <c r="Y199" s="874">
        <v>0</v>
      </c>
      <c r="Z199" s="239"/>
      <c r="AA199" s="116">
        <v>0</v>
      </c>
      <c r="AB199" s="239"/>
      <c r="AC199" s="116">
        <v>0</v>
      </c>
      <c r="AD199" s="242"/>
      <c r="AE199" s="117">
        <v>0</v>
      </c>
      <c r="AF199" s="1228">
        <v>0</v>
      </c>
      <c r="AG199" s="1228">
        <v>0</v>
      </c>
      <c r="AH199" s="1229">
        <v>0</v>
      </c>
      <c r="AI199" s="80"/>
    </row>
    <row r="200" spans="1:35" x14ac:dyDescent="0.2">
      <c r="A200" s="1718">
        <v>6</v>
      </c>
      <c r="B200" s="1137" t="s">
        <v>193</v>
      </c>
      <c r="C200" s="1185">
        <v>302</v>
      </c>
      <c r="D200" s="1187">
        <v>900835266</v>
      </c>
      <c r="E200" s="1186">
        <v>0</v>
      </c>
      <c r="F200" s="1463">
        <v>1050000</v>
      </c>
      <c r="G200" s="823" t="s">
        <v>1065</v>
      </c>
      <c r="H200" s="144"/>
      <c r="I200" s="144"/>
      <c r="J200" s="1721"/>
      <c r="K200" s="1722"/>
      <c r="L200" s="1720"/>
      <c r="M200" s="1266"/>
      <c r="N200" s="1706"/>
      <c r="O200" s="80"/>
      <c r="P200" s="1227" t="s">
        <v>318</v>
      </c>
      <c r="Q200" s="119">
        <v>599000</v>
      </c>
      <c r="R200" s="239"/>
      <c r="S200" s="114">
        <v>0</v>
      </c>
      <c r="T200" s="1647" t="s">
        <v>318</v>
      </c>
      <c r="U200" s="115">
        <v>449000</v>
      </c>
      <c r="V200" s="884"/>
      <c r="W200" s="874">
        <v>0</v>
      </c>
      <c r="X200" s="884"/>
      <c r="Y200" s="874">
        <v>0</v>
      </c>
      <c r="Z200" s="239"/>
      <c r="AA200" s="116">
        <v>0</v>
      </c>
      <c r="AB200" s="239"/>
      <c r="AC200" s="116">
        <v>0</v>
      </c>
      <c r="AD200" s="242"/>
      <c r="AE200" s="117">
        <v>0</v>
      </c>
      <c r="AF200" s="1228">
        <v>0</v>
      </c>
      <c r="AG200" s="1228">
        <v>0</v>
      </c>
      <c r="AH200" s="1229">
        <v>1050000</v>
      </c>
      <c r="AI200" s="80"/>
    </row>
    <row r="201" spans="1:35" x14ac:dyDescent="0.2">
      <c r="A201" s="1718"/>
      <c r="B201" s="1137"/>
      <c r="C201" s="1185"/>
      <c r="D201" s="1187"/>
      <c r="E201" s="1186">
        <v>0</v>
      </c>
      <c r="F201" s="1463">
        <v>0</v>
      </c>
      <c r="G201" s="823"/>
      <c r="H201" s="144"/>
      <c r="I201" s="144"/>
      <c r="J201" s="1721"/>
      <c r="K201" s="1722"/>
      <c r="L201" s="1720"/>
      <c r="M201" s="1101"/>
      <c r="N201" s="1706"/>
      <c r="O201" s="80"/>
      <c r="P201" s="1227"/>
      <c r="Q201" s="119">
        <v>0</v>
      </c>
      <c r="R201" s="239"/>
      <c r="S201" s="114">
        <v>0</v>
      </c>
      <c r="T201" s="240"/>
      <c r="U201" s="115">
        <v>0</v>
      </c>
      <c r="V201" s="884"/>
      <c r="W201" s="874">
        <v>0</v>
      </c>
      <c r="X201" s="884"/>
      <c r="Y201" s="874">
        <v>0</v>
      </c>
      <c r="Z201" s="239"/>
      <c r="AA201" s="116">
        <v>0</v>
      </c>
      <c r="AB201" s="239"/>
      <c r="AC201" s="116">
        <v>0</v>
      </c>
      <c r="AD201" s="242"/>
      <c r="AE201" s="117">
        <v>0</v>
      </c>
      <c r="AF201" s="1228">
        <v>0</v>
      </c>
      <c r="AG201" s="1228">
        <v>0</v>
      </c>
      <c r="AH201" s="1229">
        <v>0</v>
      </c>
      <c r="AI201" s="80"/>
    </row>
    <row r="202" spans="1:35" x14ac:dyDescent="0.2">
      <c r="A202" s="1718"/>
      <c r="B202" s="1137"/>
      <c r="C202" s="1185"/>
      <c r="D202" s="1138"/>
      <c r="E202" s="1186">
        <v>0</v>
      </c>
      <c r="F202" s="1463">
        <v>0</v>
      </c>
      <c r="G202" s="823"/>
      <c r="H202" s="144"/>
      <c r="I202" s="144"/>
      <c r="J202" s="1721"/>
      <c r="K202" s="1722"/>
      <c r="L202" s="1720"/>
      <c r="M202" s="1101"/>
      <c r="N202" s="1706"/>
      <c r="O202" s="80"/>
      <c r="P202" s="1227"/>
      <c r="Q202" s="119">
        <v>0</v>
      </c>
      <c r="R202" s="239"/>
      <c r="S202" s="114">
        <v>0</v>
      </c>
      <c r="T202" s="240"/>
      <c r="U202" s="115">
        <v>0</v>
      </c>
      <c r="V202" s="884"/>
      <c r="W202" s="874">
        <v>0</v>
      </c>
      <c r="X202" s="884"/>
      <c r="Y202" s="874">
        <v>0</v>
      </c>
      <c r="Z202" s="239"/>
      <c r="AA202" s="116">
        <v>0</v>
      </c>
      <c r="AB202" s="239"/>
      <c r="AC202" s="116">
        <v>0</v>
      </c>
      <c r="AD202" s="242"/>
      <c r="AE202" s="117">
        <v>0</v>
      </c>
      <c r="AF202" s="1228">
        <v>0</v>
      </c>
      <c r="AG202" s="1228">
        <v>0</v>
      </c>
      <c r="AH202" s="1229">
        <v>0</v>
      </c>
      <c r="AI202" s="80"/>
    </row>
    <row r="203" spans="1:35" x14ac:dyDescent="0.2">
      <c r="A203" s="1718"/>
      <c r="B203" s="1137"/>
      <c r="C203" s="1185"/>
      <c r="D203" s="1138"/>
      <c r="E203" s="1186">
        <v>0</v>
      </c>
      <c r="F203" s="1463">
        <v>0</v>
      </c>
      <c r="G203" s="823"/>
      <c r="H203" s="144"/>
      <c r="I203" s="144"/>
      <c r="J203" s="1721"/>
      <c r="K203" s="1722"/>
      <c r="L203" s="1720"/>
      <c r="M203" s="1101"/>
      <c r="N203" s="1706"/>
      <c r="O203" s="80"/>
      <c r="P203" s="1227"/>
      <c r="Q203" s="119">
        <v>0</v>
      </c>
      <c r="R203" s="239"/>
      <c r="S203" s="114">
        <v>0</v>
      </c>
      <c r="T203" s="240"/>
      <c r="U203" s="115">
        <v>0</v>
      </c>
      <c r="V203" s="884"/>
      <c r="W203" s="874">
        <v>0</v>
      </c>
      <c r="X203" s="884"/>
      <c r="Y203" s="874">
        <v>0</v>
      </c>
      <c r="Z203" s="239"/>
      <c r="AA203" s="116">
        <v>0</v>
      </c>
      <c r="AB203" s="239"/>
      <c r="AC203" s="116">
        <v>0</v>
      </c>
      <c r="AD203" s="242"/>
      <c r="AE203" s="117">
        <v>0</v>
      </c>
      <c r="AF203" s="1228">
        <v>0</v>
      </c>
      <c r="AG203" s="1228">
        <v>0</v>
      </c>
      <c r="AH203" s="1229">
        <v>0</v>
      </c>
      <c r="AI203" s="80"/>
    </row>
    <row r="204" spans="1:35" x14ac:dyDescent="0.2">
      <c r="A204" s="1718"/>
      <c r="B204" s="1137"/>
      <c r="C204" s="1185"/>
      <c r="D204" s="1156"/>
      <c r="E204" s="1186">
        <v>0</v>
      </c>
      <c r="F204" s="1463">
        <v>0</v>
      </c>
      <c r="G204" s="823"/>
      <c r="H204" s="144"/>
      <c r="I204" s="144"/>
      <c r="J204" s="1721"/>
      <c r="K204" s="1722"/>
      <c r="L204" s="1720"/>
      <c r="M204" s="1101"/>
      <c r="N204" s="1706"/>
      <c r="O204" s="80"/>
      <c r="P204" s="1227"/>
      <c r="Q204" s="119">
        <v>0</v>
      </c>
      <c r="R204" s="239"/>
      <c r="S204" s="114">
        <v>0</v>
      </c>
      <c r="T204" s="240"/>
      <c r="U204" s="115">
        <v>0</v>
      </c>
      <c r="V204" s="884"/>
      <c r="W204" s="874">
        <v>0</v>
      </c>
      <c r="X204" s="884"/>
      <c r="Y204" s="874">
        <v>0</v>
      </c>
      <c r="Z204" s="239"/>
      <c r="AA204" s="116">
        <v>0</v>
      </c>
      <c r="AB204" s="239"/>
      <c r="AC204" s="116">
        <v>0</v>
      </c>
      <c r="AD204" s="242"/>
      <c r="AE204" s="117">
        <v>0</v>
      </c>
      <c r="AF204" s="1228">
        <v>0</v>
      </c>
      <c r="AG204" s="1228">
        <v>0</v>
      </c>
      <c r="AH204" s="1229">
        <v>0</v>
      </c>
      <c r="AI204" s="80"/>
    </row>
    <row r="205" spans="1:35" x14ac:dyDescent="0.2">
      <c r="A205" s="1718"/>
      <c r="B205" s="1137"/>
      <c r="C205" s="1185"/>
      <c r="D205" s="1138"/>
      <c r="E205" s="1186">
        <v>0</v>
      </c>
      <c r="F205" s="1463">
        <v>0</v>
      </c>
      <c r="G205" s="823"/>
      <c r="H205" s="144"/>
      <c r="I205" s="144"/>
      <c r="J205" s="1721"/>
      <c r="K205" s="1722"/>
      <c r="L205" s="1720"/>
      <c r="M205" s="1101"/>
      <c r="N205" s="1706"/>
      <c r="O205" s="80"/>
      <c r="P205" s="1227"/>
      <c r="Q205" s="119">
        <v>0</v>
      </c>
      <c r="R205" s="239"/>
      <c r="S205" s="114">
        <v>0</v>
      </c>
      <c r="T205" s="240"/>
      <c r="U205" s="115">
        <v>0</v>
      </c>
      <c r="V205" s="884"/>
      <c r="W205" s="874">
        <v>0</v>
      </c>
      <c r="X205" s="884"/>
      <c r="Y205" s="874">
        <v>0</v>
      </c>
      <c r="Z205" s="239"/>
      <c r="AA205" s="116">
        <v>0</v>
      </c>
      <c r="AB205" s="239"/>
      <c r="AC205" s="116">
        <v>0</v>
      </c>
      <c r="AD205" s="242"/>
      <c r="AE205" s="117">
        <v>0</v>
      </c>
      <c r="AF205" s="1228">
        <v>0</v>
      </c>
      <c r="AG205" s="1228">
        <v>0</v>
      </c>
      <c r="AH205" s="1229">
        <v>0</v>
      </c>
      <c r="AI205" s="80"/>
    </row>
    <row r="206" spans="1:35" x14ac:dyDescent="0.2">
      <c r="A206" s="1718"/>
      <c r="B206" s="1137"/>
      <c r="C206" s="1202"/>
      <c r="D206" s="1138"/>
      <c r="E206" s="1714"/>
      <c r="F206" s="1463"/>
      <c r="G206" s="823"/>
      <c r="H206" s="144"/>
      <c r="I206" s="144"/>
      <c r="J206" s="1721"/>
      <c r="K206" s="1722"/>
      <c r="L206" s="1720"/>
      <c r="M206" s="1101"/>
      <c r="N206" s="1706"/>
      <c r="O206" s="80"/>
      <c r="P206" s="1227"/>
      <c r="Q206" s="119">
        <v>0</v>
      </c>
      <c r="R206" s="239"/>
      <c r="S206" s="114">
        <v>0</v>
      </c>
      <c r="T206" s="240"/>
      <c r="U206" s="115">
        <v>0</v>
      </c>
      <c r="V206" s="884"/>
      <c r="W206" s="874">
        <v>0</v>
      </c>
      <c r="X206" s="884"/>
      <c r="Y206" s="874">
        <v>0</v>
      </c>
      <c r="Z206" s="239"/>
      <c r="AA206" s="116">
        <v>0</v>
      </c>
      <c r="AB206" s="239"/>
      <c r="AC206" s="116">
        <v>0</v>
      </c>
      <c r="AD206" s="242"/>
      <c r="AE206" s="117">
        <v>0</v>
      </c>
      <c r="AF206" s="1228">
        <v>0</v>
      </c>
      <c r="AG206" s="1228">
        <v>0</v>
      </c>
      <c r="AH206" s="1229">
        <v>0</v>
      </c>
      <c r="AI206" s="80"/>
    </row>
    <row r="207" spans="1:35" x14ac:dyDescent="0.2">
      <c r="A207" s="1718"/>
      <c r="B207" s="1137"/>
      <c r="C207" s="1202"/>
      <c r="D207" s="1138"/>
      <c r="E207" s="1714"/>
      <c r="F207" s="1463"/>
      <c r="G207" s="823"/>
      <c r="H207" s="144"/>
      <c r="I207" s="144"/>
      <c r="J207" s="1721"/>
      <c r="K207" s="1722"/>
      <c r="L207" s="1720"/>
      <c r="M207" s="1101"/>
      <c r="N207" s="1706"/>
      <c r="O207" s="80"/>
      <c r="P207" s="1227"/>
      <c r="Q207" s="119">
        <v>0</v>
      </c>
      <c r="R207" s="239"/>
      <c r="S207" s="114">
        <v>0</v>
      </c>
      <c r="T207" s="240"/>
      <c r="U207" s="115">
        <v>0</v>
      </c>
      <c r="V207" s="884"/>
      <c r="W207" s="874">
        <v>0</v>
      </c>
      <c r="X207" s="884"/>
      <c r="Y207" s="874">
        <v>0</v>
      </c>
      <c r="Z207" s="239"/>
      <c r="AA207" s="116">
        <v>0</v>
      </c>
      <c r="AB207" s="239"/>
      <c r="AC207" s="116">
        <v>0</v>
      </c>
      <c r="AD207" s="242"/>
      <c r="AE207" s="117">
        <v>0</v>
      </c>
      <c r="AF207" s="1228">
        <v>0</v>
      </c>
      <c r="AG207" s="1228">
        <v>0</v>
      </c>
      <c r="AH207" s="1229">
        <v>0</v>
      </c>
      <c r="AI207" s="80"/>
    </row>
    <row r="208" spans="1:35" x14ac:dyDescent="0.2">
      <c r="A208" s="1718"/>
      <c r="B208" s="1137"/>
      <c r="C208" s="1202"/>
      <c r="D208" s="1138"/>
      <c r="E208" s="1714"/>
      <c r="F208" s="1463"/>
      <c r="G208" s="823"/>
      <c r="H208" s="144"/>
      <c r="I208" s="144"/>
      <c r="J208" s="1721"/>
      <c r="K208" s="1722"/>
      <c r="L208" s="1720"/>
      <c r="M208" s="1101"/>
      <c r="N208" s="1706"/>
      <c r="O208" s="80"/>
      <c r="P208" s="1227"/>
      <c r="Q208" s="119">
        <v>0</v>
      </c>
      <c r="R208" s="239"/>
      <c r="S208" s="114">
        <v>0</v>
      </c>
      <c r="T208" s="240"/>
      <c r="U208" s="115">
        <v>0</v>
      </c>
      <c r="V208" s="884"/>
      <c r="W208" s="874">
        <v>0</v>
      </c>
      <c r="X208" s="884"/>
      <c r="Y208" s="874">
        <v>0</v>
      </c>
      <c r="Z208" s="239"/>
      <c r="AA208" s="116">
        <v>0</v>
      </c>
      <c r="AB208" s="239"/>
      <c r="AC208" s="116">
        <v>0</v>
      </c>
      <c r="AD208" s="242"/>
      <c r="AE208" s="117">
        <v>0</v>
      </c>
      <c r="AF208" s="1228">
        <v>0</v>
      </c>
      <c r="AG208" s="1228">
        <v>0</v>
      </c>
      <c r="AH208" s="1229">
        <v>0</v>
      </c>
      <c r="AI208" s="80"/>
    </row>
    <row r="209" spans="1:35" x14ac:dyDescent="0.2">
      <c r="A209" s="1718"/>
      <c r="B209" s="1137"/>
      <c r="C209" s="1202"/>
      <c r="D209" s="1138"/>
      <c r="E209" s="1714"/>
      <c r="F209" s="1463"/>
      <c r="G209" s="823"/>
      <c r="H209" s="144"/>
      <c r="I209" s="144"/>
      <c r="J209" s="1721"/>
      <c r="K209" s="1722"/>
      <c r="L209" s="1720"/>
      <c r="M209" s="1101"/>
      <c r="N209" s="1706"/>
      <c r="O209" s="80"/>
      <c r="P209" s="1227"/>
      <c r="Q209" s="119">
        <v>0</v>
      </c>
      <c r="R209" s="239"/>
      <c r="S209" s="114">
        <v>0</v>
      </c>
      <c r="T209" s="240"/>
      <c r="U209" s="115">
        <v>0</v>
      </c>
      <c r="V209" s="884"/>
      <c r="W209" s="874">
        <v>0</v>
      </c>
      <c r="X209" s="884"/>
      <c r="Y209" s="874">
        <v>0</v>
      </c>
      <c r="Z209" s="239"/>
      <c r="AA209" s="116">
        <v>0</v>
      </c>
      <c r="AB209" s="239"/>
      <c r="AC209" s="116">
        <v>0</v>
      </c>
      <c r="AD209" s="242"/>
      <c r="AE209" s="117">
        <v>0</v>
      </c>
      <c r="AF209" s="1228">
        <v>0</v>
      </c>
      <c r="AG209" s="1228">
        <v>0</v>
      </c>
      <c r="AH209" s="1229">
        <v>0</v>
      </c>
      <c r="AI209" s="80"/>
    </row>
    <row r="210" spans="1:35" x14ac:dyDescent="0.2">
      <c r="A210" s="1718"/>
      <c r="B210" s="1137"/>
      <c r="C210" s="1202"/>
      <c r="D210" s="1138"/>
      <c r="E210" s="1714"/>
      <c r="F210" s="1463"/>
      <c r="G210" s="823"/>
      <c r="H210" s="144"/>
      <c r="I210" s="144"/>
      <c r="J210" s="1721"/>
      <c r="K210" s="1722"/>
      <c r="L210" s="1720"/>
      <c r="M210" s="1101"/>
      <c r="N210" s="1706"/>
      <c r="O210" s="80"/>
      <c r="P210" s="1227"/>
      <c r="Q210" s="119">
        <v>0</v>
      </c>
      <c r="R210" s="239"/>
      <c r="S210" s="114">
        <v>0</v>
      </c>
      <c r="T210" s="240"/>
      <c r="U210" s="115">
        <v>0</v>
      </c>
      <c r="V210" s="884"/>
      <c r="W210" s="874">
        <v>0</v>
      </c>
      <c r="X210" s="884"/>
      <c r="Y210" s="874">
        <v>0</v>
      </c>
      <c r="Z210" s="239"/>
      <c r="AA210" s="116">
        <v>0</v>
      </c>
      <c r="AB210" s="239"/>
      <c r="AC210" s="116">
        <v>0</v>
      </c>
      <c r="AD210" s="242"/>
      <c r="AE210" s="117">
        <v>0</v>
      </c>
      <c r="AF210" s="1228">
        <v>0</v>
      </c>
      <c r="AG210" s="1228">
        <v>0</v>
      </c>
      <c r="AH210" s="1229">
        <v>0</v>
      </c>
      <c r="AI210" s="80"/>
    </row>
    <row r="211" spans="1:35" x14ac:dyDescent="0.2">
      <c r="A211" s="1718"/>
      <c r="B211" s="1137"/>
      <c r="C211" s="1202"/>
      <c r="D211" s="1138"/>
      <c r="E211" s="1714"/>
      <c r="F211" s="1463"/>
      <c r="G211" s="823"/>
      <c r="H211" s="144"/>
      <c r="I211" s="144"/>
      <c r="J211" s="1721"/>
      <c r="K211" s="1722"/>
      <c r="L211" s="1720"/>
      <c r="M211" s="1101"/>
      <c r="N211" s="1706"/>
      <c r="O211" s="80"/>
      <c r="P211" s="1227"/>
      <c r="Q211" s="119">
        <v>0</v>
      </c>
      <c r="R211" s="239"/>
      <c r="S211" s="114">
        <v>0</v>
      </c>
      <c r="T211" s="240"/>
      <c r="U211" s="115">
        <v>0</v>
      </c>
      <c r="V211" s="884"/>
      <c r="W211" s="874">
        <v>0</v>
      </c>
      <c r="X211" s="884"/>
      <c r="Y211" s="874">
        <v>0</v>
      </c>
      <c r="Z211" s="239"/>
      <c r="AA211" s="116">
        <v>0</v>
      </c>
      <c r="AB211" s="239"/>
      <c r="AC211" s="116">
        <v>0</v>
      </c>
      <c r="AD211" s="242"/>
      <c r="AE211" s="117">
        <v>0</v>
      </c>
      <c r="AF211" s="1228">
        <v>0</v>
      </c>
      <c r="AG211" s="1228">
        <v>0</v>
      </c>
      <c r="AH211" s="1229">
        <v>0</v>
      </c>
      <c r="AI211" s="80"/>
    </row>
    <row r="212" spans="1:35" ht="13.5" thickBot="1" x14ac:dyDescent="0.25">
      <c r="A212" s="650"/>
      <c r="B212" s="755"/>
      <c r="C212" s="517"/>
      <c r="D212" s="651"/>
      <c r="E212" s="634"/>
      <c r="F212" s="829"/>
      <c r="G212" s="824"/>
      <c r="H212" s="181"/>
      <c r="I212" s="602"/>
      <c r="J212" s="142"/>
      <c r="K212" s="606"/>
      <c r="L212" s="143"/>
      <c r="M212" s="1723"/>
      <c r="N212" s="1724"/>
      <c r="O212" s="80"/>
      <c r="P212" s="1260"/>
      <c r="Q212" s="129"/>
      <c r="R212" s="129"/>
      <c r="S212" s="129"/>
      <c r="T212" s="129"/>
      <c r="U212" s="129"/>
      <c r="V212" s="886"/>
      <c r="W212" s="876"/>
      <c r="X212" s="886"/>
      <c r="Y212" s="876"/>
      <c r="Z212" s="129"/>
      <c r="AA212" s="129"/>
      <c r="AB212" s="129"/>
      <c r="AC212" s="252"/>
      <c r="AD212" s="129"/>
      <c r="AE212" s="129"/>
      <c r="AF212" s="326"/>
      <c r="AG212" s="326"/>
      <c r="AH212" s="325"/>
      <c r="AI212" s="80"/>
    </row>
    <row r="213" spans="1:35" ht="13.5" thickBot="1" x14ac:dyDescent="0.25">
      <c r="D213" s="825"/>
      <c r="E213" s="826"/>
      <c r="O213" s="80"/>
      <c r="AI213" s="80"/>
    </row>
    <row r="214" spans="1:35" ht="13.5" thickBot="1" x14ac:dyDescent="0.25">
      <c r="A214" s="130" t="s">
        <v>290</v>
      </c>
      <c r="B214" s="756"/>
      <c r="C214" s="485"/>
      <c r="D214" s="276"/>
      <c r="E214" s="390"/>
      <c r="F214" s="229">
        <v>4540000</v>
      </c>
      <c r="L214" s="23"/>
      <c r="O214" s="80"/>
      <c r="P214" s="1261">
        <v>0</v>
      </c>
      <c r="Q214" s="229">
        <v>3662500</v>
      </c>
      <c r="R214" s="229">
        <v>0</v>
      </c>
      <c r="S214" s="229">
        <v>0</v>
      </c>
      <c r="T214" s="229">
        <v>0</v>
      </c>
      <c r="U214" s="229">
        <v>876050</v>
      </c>
      <c r="V214" s="881">
        <v>0</v>
      </c>
      <c r="W214" s="647"/>
      <c r="X214" s="881">
        <v>0</v>
      </c>
      <c r="Y214" s="647"/>
      <c r="Z214" s="229">
        <v>0</v>
      </c>
      <c r="AA214" s="229">
        <v>0</v>
      </c>
      <c r="AB214" s="229">
        <v>0</v>
      </c>
      <c r="AC214" s="229">
        <v>0</v>
      </c>
      <c r="AD214" s="229">
        <v>0</v>
      </c>
      <c r="AE214" s="229">
        <v>0</v>
      </c>
      <c r="AF214" s="507">
        <v>0</v>
      </c>
      <c r="AG214" s="229">
        <v>0</v>
      </c>
      <c r="AH214" s="229">
        <v>4540000</v>
      </c>
      <c r="AI214" s="80"/>
    </row>
    <row r="215" spans="1:35" x14ac:dyDescent="0.2">
      <c r="A215" s="65"/>
      <c r="B215" s="760"/>
      <c r="C215" s="513"/>
      <c r="D215" s="65"/>
      <c r="E215" s="158"/>
      <c r="F215" s="145"/>
      <c r="G215" s="148"/>
      <c r="H215" s="148"/>
      <c r="I215" s="603"/>
      <c r="J215" s="65"/>
      <c r="K215" s="65"/>
      <c r="L215" s="65"/>
      <c r="M215" s="199"/>
      <c r="N215" s="199"/>
      <c r="O215" s="80"/>
      <c r="P215" s="145"/>
      <c r="Q215" s="65"/>
      <c r="R215" s="65"/>
      <c r="S215" s="65"/>
      <c r="T215" s="65"/>
      <c r="U215" s="65"/>
      <c r="V215" s="103"/>
      <c r="W215" s="65"/>
      <c r="X215" s="103"/>
      <c r="Y215" s="65"/>
      <c r="Z215" s="65"/>
      <c r="AA215" s="65"/>
      <c r="AB215" s="65"/>
      <c r="AC215" s="65"/>
      <c r="AD215" s="65"/>
      <c r="AE215" s="65"/>
      <c r="AF215" s="208"/>
      <c r="AG215" s="208"/>
      <c r="AH215" s="65"/>
      <c r="AI215" s="80"/>
    </row>
    <row r="216" spans="1:35" x14ac:dyDescent="0.2">
      <c r="A216" s="151" t="s">
        <v>291</v>
      </c>
      <c r="B216" s="152"/>
      <c r="C216" s="1524">
        <v>6</v>
      </c>
      <c r="D216" s="1523">
        <v>175</v>
      </c>
      <c r="E216" s="211"/>
      <c r="F216" s="151">
        <v>112290000</v>
      </c>
      <c r="G216" s="151"/>
      <c r="H216" s="151"/>
      <c r="I216" s="604"/>
      <c r="J216" s="151"/>
      <c r="K216" s="151"/>
      <c r="L216" s="151"/>
      <c r="M216" s="151"/>
      <c r="N216" s="151"/>
      <c r="O216" s="151"/>
      <c r="P216" s="198"/>
      <c r="Q216" s="151">
        <v>88683500</v>
      </c>
      <c r="R216" s="151"/>
      <c r="S216" s="151">
        <v>6140000</v>
      </c>
      <c r="T216" s="151"/>
      <c r="U216" s="151">
        <v>6748050</v>
      </c>
      <c r="V216" s="477"/>
      <c r="W216" s="66"/>
      <c r="X216" s="477"/>
      <c r="Y216" s="66"/>
      <c r="Z216" s="151"/>
      <c r="AA216" s="151">
        <v>0</v>
      </c>
      <c r="AB216" s="151"/>
      <c r="AC216" s="151">
        <v>0</v>
      </c>
      <c r="AD216" s="151"/>
      <c r="AE216" s="151">
        <v>4880100</v>
      </c>
      <c r="AF216" s="207">
        <v>5895067.3579001008</v>
      </c>
      <c r="AG216" s="151">
        <v>0</v>
      </c>
      <c r="AH216" s="151">
        <v>112520000</v>
      </c>
      <c r="AI216" s="80"/>
    </row>
    <row r="217" spans="1:35" x14ac:dyDescent="0.2">
      <c r="A217" s="65"/>
      <c r="B217" s="351"/>
      <c r="C217" s="514"/>
      <c r="D217" s="78"/>
      <c r="E217" s="60"/>
      <c r="F217" s="148"/>
      <c r="G217" s="149"/>
      <c r="H217" s="149"/>
      <c r="I217" s="605"/>
      <c r="J217" s="149"/>
      <c r="K217" s="149"/>
      <c r="L217" s="150"/>
      <c r="M217" s="199"/>
      <c r="N217" s="199"/>
      <c r="O217" s="65"/>
      <c r="P217" s="199"/>
      <c r="Q217" s="100"/>
      <c r="R217" s="146"/>
      <c r="S217" s="100"/>
      <c r="T217" s="146"/>
      <c r="U217" s="100"/>
      <c r="V217" s="103"/>
      <c r="W217" s="148"/>
      <c r="X217" s="103"/>
      <c r="Y217" s="148"/>
      <c r="Z217" s="100"/>
      <c r="AA217" s="100"/>
      <c r="AB217" s="100"/>
      <c r="AC217" s="147"/>
      <c r="AD217" s="100"/>
      <c r="AE217" s="100"/>
      <c r="AF217" s="150"/>
      <c r="AG217" s="150"/>
      <c r="AH217" s="120"/>
      <c r="AI217" s="80"/>
    </row>
    <row r="218" spans="1:35" x14ac:dyDescent="0.2">
      <c r="A218" s="74" t="s">
        <v>490</v>
      </c>
      <c r="D218" s="70">
        <v>175</v>
      </c>
      <c r="F218" s="74">
        <v>112290000</v>
      </c>
      <c r="AI218" s="80"/>
    </row>
    <row r="219" spans="1:35" x14ac:dyDescent="0.2">
      <c r="AI219" s="80"/>
    </row>
    <row r="220" spans="1:35" x14ac:dyDescent="0.2">
      <c r="A220" s="74" t="s">
        <v>491</v>
      </c>
      <c r="D220" s="70">
        <v>48</v>
      </c>
      <c r="F220" s="74">
        <v>121229000</v>
      </c>
      <c r="AI220" s="80"/>
    </row>
    <row r="221" spans="1:35" x14ac:dyDescent="0.2">
      <c r="B221" s="940" t="s">
        <v>896</v>
      </c>
      <c r="C221" s="940"/>
      <c r="D221" s="940">
        <v>223</v>
      </c>
      <c r="F221" s="940">
        <v>233519000</v>
      </c>
      <c r="AI221" s="80"/>
    </row>
    <row r="222" spans="1:35" x14ac:dyDescent="0.2">
      <c r="A222" s="74" t="s">
        <v>609</v>
      </c>
      <c r="D222" s="70">
        <v>234</v>
      </c>
      <c r="AI222" s="80"/>
    </row>
    <row r="223" spans="1:35" x14ac:dyDescent="0.2">
      <c r="A223" s="74" t="s">
        <v>610</v>
      </c>
      <c r="D223" s="70">
        <v>0</v>
      </c>
      <c r="AI223" s="80"/>
    </row>
    <row r="224" spans="1:35" x14ac:dyDescent="0.2">
      <c r="D224" s="655">
        <v>234</v>
      </c>
      <c r="AI224" s="80"/>
    </row>
    <row r="225" spans="1:35" x14ac:dyDescent="0.2">
      <c r="A225" s="74" t="s">
        <v>679</v>
      </c>
      <c r="D225" s="70">
        <v>-16</v>
      </c>
      <c r="AI225" s="80"/>
    </row>
    <row r="226" spans="1:35" x14ac:dyDescent="0.2">
      <c r="D226" s="655">
        <v>218</v>
      </c>
      <c r="AI226" s="80"/>
    </row>
    <row r="227" spans="1:35" ht="25.5" x14ac:dyDescent="0.2">
      <c r="C227" s="941" t="s">
        <v>680</v>
      </c>
      <c r="D227" s="939">
        <v>5</v>
      </c>
      <c r="AI227" s="80"/>
    </row>
    <row r="228" spans="1:35" x14ac:dyDescent="0.2">
      <c r="AI228" s="80"/>
    </row>
    <row r="235" spans="1:35" x14ac:dyDescent="0.2">
      <c r="A235" s="1700" t="s">
        <v>895</v>
      </c>
      <c r="B235" s="1701"/>
    </row>
    <row r="237" spans="1:35" x14ac:dyDescent="0.2">
      <c r="A237" s="616">
        <v>1</v>
      </c>
      <c r="B237" s="695" t="s">
        <v>91</v>
      </c>
      <c r="C237" s="490">
        <v>132</v>
      </c>
      <c r="D237" s="834">
        <v>8264986</v>
      </c>
      <c r="E237" s="497">
        <v>9</v>
      </c>
      <c r="F237" s="608">
        <v>0</v>
      </c>
      <c r="G237" s="1098"/>
      <c r="H237" s="609"/>
      <c r="I237" s="610"/>
      <c r="J237" s="609"/>
      <c r="K237" s="609"/>
      <c r="L237" s="610"/>
      <c r="M237" s="569"/>
      <c r="N237" s="617"/>
      <c r="O237" s="80"/>
      <c r="P237" s="239"/>
      <c r="Q237" s="119">
        <v>0</v>
      </c>
      <c r="R237" s="239"/>
      <c r="S237" s="1632">
        <v>0</v>
      </c>
      <c r="T237" s="240"/>
      <c r="U237" s="115">
        <v>0</v>
      </c>
      <c r="V237" s="884"/>
      <c r="W237" s="874">
        <v>0</v>
      </c>
      <c r="X237" s="884"/>
      <c r="Y237" s="874">
        <v>0</v>
      </c>
      <c r="Z237" s="241"/>
      <c r="AA237" s="116">
        <v>0</v>
      </c>
      <c r="AB237" s="239"/>
      <c r="AC237" s="116">
        <v>0</v>
      </c>
      <c r="AD237" s="242"/>
      <c r="AE237" s="117">
        <v>0</v>
      </c>
      <c r="AF237" s="1228">
        <v>0</v>
      </c>
      <c r="AG237" s="1228">
        <v>0</v>
      </c>
      <c r="AH237" s="1229">
        <v>0</v>
      </c>
      <c r="AI237" s="80"/>
    </row>
    <row r="238" spans="1:35" x14ac:dyDescent="0.2">
      <c r="A238" s="616">
        <v>2</v>
      </c>
      <c r="B238" s="695" t="s">
        <v>92</v>
      </c>
      <c r="C238" s="490">
        <v>133</v>
      </c>
      <c r="D238" s="834">
        <v>95022700775</v>
      </c>
      <c r="E238" s="497">
        <v>3</v>
      </c>
      <c r="F238" s="608">
        <v>0</v>
      </c>
      <c r="G238" s="1098"/>
      <c r="H238" s="609"/>
      <c r="I238" s="610"/>
      <c r="J238" s="609"/>
      <c r="K238" s="609"/>
      <c r="L238" s="610"/>
      <c r="M238" s="569"/>
      <c r="N238" s="617"/>
      <c r="O238" s="80"/>
      <c r="P238" s="239"/>
      <c r="Q238" s="119">
        <v>0</v>
      </c>
      <c r="R238" s="239"/>
      <c r="S238" s="114">
        <v>0</v>
      </c>
      <c r="T238" s="240"/>
      <c r="U238" s="115">
        <v>0</v>
      </c>
      <c r="V238" s="884"/>
      <c r="W238" s="874">
        <v>0</v>
      </c>
      <c r="X238" s="884"/>
      <c r="Y238" s="874">
        <v>0</v>
      </c>
      <c r="Z238" s="241"/>
      <c r="AA238" s="116">
        <v>0</v>
      </c>
      <c r="AB238" s="239"/>
      <c r="AC238" s="116">
        <v>0</v>
      </c>
      <c r="AD238" s="242"/>
      <c r="AE238" s="117">
        <v>0</v>
      </c>
      <c r="AF238" s="1228">
        <v>0</v>
      </c>
      <c r="AG238" s="1228">
        <v>0</v>
      </c>
      <c r="AH238" s="1229">
        <v>0</v>
      </c>
      <c r="AI238" s="80"/>
    </row>
    <row r="239" spans="1:35" x14ac:dyDescent="0.2">
      <c r="A239" s="616">
        <v>3</v>
      </c>
      <c r="B239" s="695" t="s">
        <v>93</v>
      </c>
      <c r="C239" s="490">
        <v>134</v>
      </c>
      <c r="D239" s="834">
        <v>1152198312</v>
      </c>
      <c r="E239" s="497">
        <v>6</v>
      </c>
      <c r="F239" s="608">
        <v>0</v>
      </c>
      <c r="G239" s="1098"/>
      <c r="H239" s="609"/>
      <c r="I239" s="610"/>
      <c r="J239" s="609"/>
      <c r="K239" s="609"/>
      <c r="L239" s="610"/>
      <c r="M239" s="569"/>
      <c r="N239" s="617"/>
      <c r="O239" s="80"/>
      <c r="P239" s="239"/>
      <c r="Q239" s="119">
        <v>0</v>
      </c>
      <c r="R239" s="239"/>
      <c r="S239" s="114">
        <v>0</v>
      </c>
      <c r="T239" s="240"/>
      <c r="U239" s="115">
        <v>0</v>
      </c>
      <c r="V239" s="884"/>
      <c r="W239" s="874">
        <v>0</v>
      </c>
      <c r="X239" s="884"/>
      <c r="Y239" s="874">
        <v>0</v>
      </c>
      <c r="Z239" s="241"/>
      <c r="AA239" s="116">
        <v>0</v>
      </c>
      <c r="AB239" s="239"/>
      <c r="AC239" s="116">
        <v>0</v>
      </c>
      <c r="AD239" s="242"/>
      <c r="AE239" s="117">
        <v>0</v>
      </c>
      <c r="AF239" s="1228">
        <v>0</v>
      </c>
      <c r="AG239" s="1228">
        <v>0</v>
      </c>
      <c r="AH239" s="1229">
        <v>0</v>
      </c>
      <c r="AI239" s="80"/>
    </row>
    <row r="240" spans="1:35" x14ac:dyDescent="0.2">
      <c r="A240" s="616">
        <v>4</v>
      </c>
      <c r="B240" s="695" t="s">
        <v>140</v>
      </c>
      <c r="C240" s="490">
        <v>177</v>
      </c>
      <c r="D240" s="834">
        <v>70058618</v>
      </c>
      <c r="E240" s="497">
        <v>6</v>
      </c>
      <c r="F240" s="608">
        <v>0</v>
      </c>
      <c r="G240" s="1098"/>
      <c r="H240" s="1099"/>
      <c r="I240" s="1100"/>
      <c r="J240" s="1099"/>
      <c r="K240" s="1099"/>
      <c r="L240" s="1100"/>
      <c r="M240" s="569"/>
      <c r="N240" s="617"/>
      <c r="O240" s="80"/>
      <c r="P240" s="239"/>
      <c r="Q240" s="119">
        <v>0</v>
      </c>
      <c r="R240" s="239"/>
      <c r="S240" s="114">
        <v>0</v>
      </c>
      <c r="T240" s="240"/>
      <c r="U240" s="115">
        <v>0</v>
      </c>
      <c r="V240" s="884"/>
      <c r="W240" s="874">
        <v>0</v>
      </c>
      <c r="X240" s="884"/>
      <c r="Y240" s="874">
        <v>0</v>
      </c>
      <c r="Z240" s="241"/>
      <c r="AA240" s="116">
        <v>0</v>
      </c>
      <c r="AB240" s="239"/>
      <c r="AC240" s="116">
        <v>0</v>
      </c>
      <c r="AD240" s="242"/>
      <c r="AE240" s="117">
        <v>0</v>
      </c>
      <c r="AF240" s="1228">
        <v>0</v>
      </c>
      <c r="AG240" s="1228">
        <v>0</v>
      </c>
      <c r="AH240" s="1229">
        <v>0</v>
      </c>
      <c r="AI240" s="80"/>
    </row>
    <row r="241" spans="1:35" x14ac:dyDescent="0.2">
      <c r="A241" s="616">
        <v>5</v>
      </c>
      <c r="B241" s="695" t="s">
        <v>147</v>
      </c>
      <c r="C241" s="490">
        <v>185</v>
      </c>
      <c r="D241" s="834">
        <v>43041519</v>
      </c>
      <c r="E241" s="497">
        <v>2</v>
      </c>
      <c r="F241" s="608">
        <v>0</v>
      </c>
      <c r="G241" s="1098"/>
      <c r="H241" s="609"/>
      <c r="I241" s="610"/>
      <c r="J241" s="609"/>
      <c r="K241" s="609"/>
      <c r="L241" s="610"/>
      <c r="M241" s="349"/>
      <c r="N241" s="595"/>
      <c r="O241" s="80"/>
      <c r="P241" s="239"/>
      <c r="Q241" s="119">
        <v>0</v>
      </c>
      <c r="R241" s="239"/>
      <c r="S241" s="114">
        <v>0</v>
      </c>
      <c r="T241" s="240"/>
      <c r="U241" s="115">
        <v>0</v>
      </c>
      <c r="V241" s="884"/>
      <c r="W241" s="874">
        <v>0</v>
      </c>
      <c r="X241" s="884"/>
      <c r="Y241" s="874">
        <v>0</v>
      </c>
      <c r="Z241" s="241"/>
      <c r="AA241" s="116">
        <v>0</v>
      </c>
      <c r="AB241" s="239"/>
      <c r="AC241" s="116">
        <v>0</v>
      </c>
      <c r="AD241" s="242"/>
      <c r="AE241" s="117">
        <v>0</v>
      </c>
      <c r="AF241" s="1228">
        <v>0</v>
      </c>
      <c r="AG241" s="1228">
        <v>0</v>
      </c>
      <c r="AH241" s="1229">
        <v>0</v>
      </c>
      <c r="AI241" s="80"/>
    </row>
  </sheetData>
  <conditionalFormatting sqref="A179">
    <cfRule type="expression" dxfId="41" priority="2">
      <formula>$J179="OK/"</formula>
    </cfRule>
  </conditionalFormatting>
  <conditionalFormatting sqref="A9:I88 A89:H89 A90:I178">
    <cfRule type="expression" dxfId="40" priority="5">
      <formula>$J9="OK/"</formula>
    </cfRule>
  </conditionalFormatting>
  <conditionalFormatting sqref="E179">
    <cfRule type="expression" dxfId="39" priority="1">
      <formula>$J179="OK/"</formula>
    </cfRule>
  </conditionalFormatting>
  <conditionalFormatting sqref="H1:H1048576">
    <cfRule type="expression" dxfId="38" priority="6">
      <formula>H1="PENDIENTE"</formula>
    </cfRule>
  </conditionalFormatting>
  <conditionalFormatting sqref="J9:J20 J22:J179">
    <cfRule type="expression" dxfId="37" priority="8">
      <formula>$J9="OK/"</formula>
    </cfRule>
  </conditionalFormatting>
  <conditionalFormatting sqref="J237:J241">
    <cfRule type="expression" dxfId="36" priority="7">
      <formula>$J237="OK/"</formula>
    </cfRule>
  </conditionalFormatting>
  <conditionalFormatting sqref="L119">
    <cfRule type="expression" dxfId="35" priority="4">
      <formula>$J119="OK/"</formula>
    </cfRule>
  </conditionalFormatting>
  <conditionalFormatting sqref="N155:N156">
    <cfRule type="expression" dxfId="34" priority="3">
      <formula>$J155="OK/"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C4DB-FA19-4F45-9D0C-B3F51655A731}">
  <sheetPr codeName="Hoja8">
    <tabColor rgb="FFFF0000"/>
  </sheetPr>
  <dimension ref="A1:BC287"/>
  <sheetViews>
    <sheetView showGridLines="0" topLeftCell="B1" zoomScale="80" zoomScaleNormal="80" workbookViewId="0">
      <pane ySplit="5" topLeftCell="A84" activePane="bottomLeft" state="frozen"/>
      <selection pane="bottomLeft" activeCell="R179" sqref="R179"/>
    </sheetView>
  </sheetViews>
  <sheetFormatPr baseColWidth="10" defaultColWidth="11.5546875" defaultRowHeight="12.75" x14ac:dyDescent="0.2"/>
  <cols>
    <col min="1" max="1" width="8.6640625" style="293" customWidth="1"/>
    <col min="2" max="2" width="39.33203125" style="292" customWidth="1"/>
    <col min="3" max="3" width="11.5546875" style="292"/>
    <col min="4" max="4" width="15.5546875" style="292" customWidth="1"/>
    <col min="5" max="5" width="4.5546875" style="292" customWidth="1"/>
    <col min="6" max="6" width="16.88671875" style="295" customWidth="1"/>
    <col min="7" max="7" width="12.33203125" style="1249" customWidth="1"/>
    <col min="8" max="8" width="15" style="295" customWidth="1"/>
    <col min="9" max="9" width="5.77734375" style="670" customWidth="1"/>
    <col min="10" max="10" width="12.6640625" style="145" customWidth="1"/>
    <col min="11" max="11" width="12.21875" style="358" customWidth="1"/>
    <col min="12" max="12" width="12.6640625" style="222" customWidth="1"/>
    <col min="13" max="13" width="14.109375" style="98" customWidth="1"/>
    <col min="14" max="14" width="12.77734375" style="671" customWidth="1"/>
    <col min="15" max="15" width="14" style="676" customWidth="1"/>
    <col min="16" max="16" width="12.33203125" style="677" customWidth="1"/>
    <col min="17" max="17" width="12.33203125" style="681" customWidth="1"/>
    <col min="18" max="18" width="11.5546875" style="65" customWidth="1"/>
    <col min="19" max="19" width="20.77734375" style="157" customWidth="1"/>
    <col min="20" max="20" width="5.77734375" style="65" customWidth="1"/>
    <col min="21" max="21" width="11.5546875" style="65" customWidth="1"/>
    <col min="22" max="22" width="11.5546875" style="199"/>
    <col min="23" max="23" width="5.77734375" style="199" customWidth="1"/>
    <col min="24" max="24" width="11.5546875" style="145" customWidth="1"/>
    <col min="25" max="25" width="5.77734375" style="199" customWidth="1"/>
    <col min="26" max="26" width="12.77734375" style="145" customWidth="1"/>
    <col min="27" max="27" width="5.77734375" style="199" customWidth="1"/>
    <col min="28" max="28" width="11.5546875" style="145" customWidth="1"/>
    <col min="29" max="29" width="1.77734375" style="65" customWidth="1"/>
    <col min="30" max="30" width="5.77734375" style="65" customWidth="1"/>
    <col min="31" max="31" width="13.44140625" style="291" customWidth="1"/>
    <col min="32" max="32" width="5.77734375" style="291" customWidth="1"/>
    <col min="33" max="33" width="13.44140625" style="291" customWidth="1"/>
    <col min="34" max="34" width="5.77734375" style="291" customWidth="1"/>
    <col min="35" max="35" width="11.5546875" style="291"/>
    <col min="36" max="36" width="5.77734375" style="291" customWidth="1"/>
    <col min="37" max="37" width="13.44140625" style="291" customWidth="1"/>
    <col min="38" max="39" width="13.44140625" style="291" bestFit="1" customWidth="1"/>
    <col min="40" max="40" width="17.44140625" style="291" customWidth="1"/>
    <col min="41" max="47" width="11.5546875" style="291"/>
    <col min="48" max="48" width="11.5546875" style="291" customWidth="1"/>
    <col min="49" max="49" width="11.5546875" style="291"/>
    <col min="50" max="50" width="1.77734375" style="291" customWidth="1"/>
    <col min="51" max="51" width="11.5546875" style="291"/>
    <col min="52" max="52" width="41.21875" style="291" bestFit="1" customWidth="1"/>
    <col min="53" max="54" width="13" style="291" bestFit="1" customWidth="1"/>
    <col min="55" max="55" width="12.109375" style="291" bestFit="1" customWidth="1"/>
    <col min="56" max="16384" width="11.5546875" style="291"/>
  </cols>
  <sheetData>
    <row r="1" spans="1:52" ht="15" x14ac:dyDescent="0.2">
      <c r="A1" s="845" t="s">
        <v>352</v>
      </c>
      <c r="AC1" s="294"/>
      <c r="AX1" s="335"/>
    </row>
    <row r="2" spans="1:52" ht="15.75" thickBot="1" x14ac:dyDescent="0.25">
      <c r="A2" s="296" t="s">
        <v>372</v>
      </c>
      <c r="P2" s="678"/>
      <c r="Q2" s="682"/>
      <c r="AC2" s="294"/>
      <c r="AD2" s="148"/>
      <c r="AX2" s="335"/>
    </row>
    <row r="3" spans="1:52" ht="15" x14ac:dyDescent="0.2">
      <c r="A3" s="265" t="s">
        <v>720</v>
      </c>
      <c r="H3" s="1245" t="s">
        <v>623</v>
      </c>
      <c r="I3" s="1653"/>
      <c r="J3" s="1234"/>
      <c r="K3" s="1234"/>
      <c r="L3" s="1234"/>
      <c r="M3" s="1234"/>
      <c r="N3" s="1234"/>
      <c r="O3" s="1234"/>
      <c r="P3" s="1234"/>
      <c r="Q3" s="1234"/>
      <c r="R3" s="1234"/>
      <c r="S3" s="1234"/>
      <c r="T3" s="1234"/>
      <c r="U3" s="1235"/>
      <c r="V3" s="1246" t="s">
        <v>380</v>
      </c>
      <c r="W3" s="1247"/>
      <c r="X3" s="1247"/>
      <c r="Y3" s="1247"/>
      <c r="Z3" s="1247"/>
      <c r="AA3" s="1247"/>
      <c r="AB3" s="1248"/>
      <c r="AC3" s="294"/>
      <c r="AD3" s="395" t="s">
        <v>891</v>
      </c>
      <c r="AX3" s="335"/>
    </row>
    <row r="4" spans="1:52" ht="13.5" thickBot="1" x14ac:dyDescent="0.25">
      <c r="A4" s="708"/>
      <c r="B4" s="709"/>
      <c r="C4" s="709"/>
      <c r="D4" s="709"/>
      <c r="E4" s="709"/>
      <c r="F4" s="334"/>
      <c r="G4" s="674"/>
      <c r="H4" s="1236" t="s">
        <v>721</v>
      </c>
      <c r="I4" s="1655"/>
      <c r="J4" s="722">
        <v>9.2799999999999994E-2</v>
      </c>
      <c r="L4" s="723">
        <v>9.2799999999999994E-2</v>
      </c>
      <c r="P4" s="724">
        <v>9.2799999999999994E-2</v>
      </c>
      <c r="R4" s="725">
        <v>9.2799999999999994E-2</v>
      </c>
      <c r="U4" s="726">
        <v>9.2799999999999994E-2</v>
      </c>
      <c r="V4" s="749"/>
      <c r="AB4" s="717"/>
      <c r="AC4" s="335"/>
      <c r="AD4" s="158"/>
      <c r="AE4" s="1233"/>
      <c r="AF4" s="65"/>
      <c r="AG4" s="1233"/>
      <c r="AH4" s="65"/>
      <c r="AI4" s="65"/>
      <c r="AJ4" s="158"/>
      <c r="AK4" s="1233"/>
      <c r="AL4" s="65"/>
      <c r="AM4" s="1233"/>
      <c r="AX4" s="335"/>
    </row>
    <row r="5" spans="1:52" s="343" customFormat="1" ht="32.25" thickBot="1" x14ac:dyDescent="0.25">
      <c r="A5" s="1573" t="s">
        <v>2</v>
      </c>
      <c r="B5" s="1574" t="s">
        <v>353</v>
      </c>
      <c r="C5" s="833" t="s">
        <v>419</v>
      </c>
      <c r="D5" s="832" t="s">
        <v>280</v>
      </c>
      <c r="E5" s="833" t="s">
        <v>333</v>
      </c>
      <c r="F5" s="1516" t="s">
        <v>371</v>
      </c>
      <c r="G5" s="1575" t="s">
        <v>758</v>
      </c>
      <c r="H5" s="1576" t="s">
        <v>757</v>
      </c>
      <c r="I5" s="1577" t="s">
        <v>374</v>
      </c>
      <c r="J5" s="1577" t="s">
        <v>377</v>
      </c>
      <c r="K5" s="1578" t="s">
        <v>374</v>
      </c>
      <c r="L5" s="1578" t="s">
        <v>378</v>
      </c>
      <c r="M5" s="1579" t="s">
        <v>463</v>
      </c>
      <c r="N5" s="1579" t="s">
        <v>375</v>
      </c>
      <c r="O5" s="1580" t="s">
        <v>463</v>
      </c>
      <c r="P5" s="1580" t="s">
        <v>464</v>
      </c>
      <c r="Q5" s="1581" t="s">
        <v>466</v>
      </c>
      <c r="R5" s="223" t="s">
        <v>392</v>
      </c>
      <c r="S5" s="223" t="s">
        <v>393</v>
      </c>
      <c r="T5" s="1578" t="s">
        <v>374</v>
      </c>
      <c r="U5" s="1582" t="s">
        <v>373</v>
      </c>
      <c r="V5" s="1583" t="s">
        <v>389</v>
      </c>
      <c r="W5" s="1577" t="s">
        <v>374</v>
      </c>
      <c r="X5" s="1577" t="s">
        <v>622</v>
      </c>
      <c r="Y5" s="1577" t="s">
        <v>374</v>
      </c>
      <c r="Z5" s="1577" t="s">
        <v>621</v>
      </c>
      <c r="AA5" s="1577" t="s">
        <v>374</v>
      </c>
      <c r="AB5" s="1584" t="s">
        <v>626</v>
      </c>
      <c r="AC5" s="294"/>
      <c r="AD5" s="378" t="s">
        <v>374</v>
      </c>
      <c r="AE5" s="378" t="s">
        <v>377</v>
      </c>
      <c r="AF5" s="378" t="s">
        <v>374</v>
      </c>
      <c r="AG5" s="378" t="s">
        <v>378</v>
      </c>
      <c r="AH5" s="378" t="s">
        <v>374</v>
      </c>
      <c r="AI5" s="378" t="s">
        <v>375</v>
      </c>
      <c r="AJ5" s="378" t="s">
        <v>463</v>
      </c>
      <c r="AK5" s="378" t="s">
        <v>464</v>
      </c>
      <c r="AL5" s="378" t="s">
        <v>466</v>
      </c>
      <c r="AM5" s="378" t="s">
        <v>392</v>
      </c>
      <c r="AN5" s="379" t="s">
        <v>393</v>
      </c>
      <c r="AO5" s="378" t="s">
        <v>374</v>
      </c>
      <c r="AP5" s="378" t="s">
        <v>373</v>
      </c>
      <c r="AQ5" s="380" t="s">
        <v>389</v>
      </c>
      <c r="AR5" s="380" t="s">
        <v>374</v>
      </c>
      <c r="AS5" s="380" t="s">
        <v>388</v>
      </c>
      <c r="AT5" s="380" t="s">
        <v>374</v>
      </c>
      <c r="AU5" s="380" t="s">
        <v>386</v>
      </c>
      <c r="AV5" s="380" t="s">
        <v>374</v>
      </c>
      <c r="AW5" s="380" t="s">
        <v>387</v>
      </c>
      <c r="AX5" s="335"/>
      <c r="AZ5" s="1514" t="s">
        <v>821</v>
      </c>
    </row>
    <row r="6" spans="1:52" x14ac:dyDescent="0.2">
      <c r="A6" s="719"/>
      <c r="B6" s="710"/>
      <c r="C6" s="710"/>
      <c r="D6" s="710"/>
      <c r="E6" s="1519"/>
      <c r="F6" s="720"/>
      <c r="G6" s="1250"/>
      <c r="H6" s="1238"/>
      <c r="I6" s="1656"/>
      <c r="U6" s="221"/>
      <c r="V6" s="749"/>
      <c r="AB6" s="717"/>
      <c r="AC6" s="335"/>
      <c r="AD6" s="158"/>
      <c r="AE6" s="222"/>
      <c r="AF6" s="65"/>
      <c r="AG6" s="65"/>
      <c r="AH6" s="65"/>
      <c r="AI6" s="65"/>
      <c r="AJ6" s="158"/>
      <c r="AK6" s="65"/>
      <c r="AL6" s="65"/>
      <c r="AM6" s="65"/>
      <c r="AN6" s="157"/>
      <c r="AO6" s="65"/>
      <c r="AP6" s="65"/>
      <c r="AQ6" s="145"/>
      <c r="AR6" s="145"/>
      <c r="AS6" s="145"/>
      <c r="AT6" s="145"/>
      <c r="AU6" s="145"/>
      <c r="AV6" s="145"/>
      <c r="AW6" s="145"/>
      <c r="AX6" s="335"/>
    </row>
    <row r="7" spans="1:52" x14ac:dyDescent="0.2">
      <c r="A7" s="1184">
        <v>1</v>
      </c>
      <c r="B7" s="1097" t="s">
        <v>4</v>
      </c>
      <c r="C7" s="1185">
        <v>41</v>
      </c>
      <c r="D7" s="1114">
        <v>22126399</v>
      </c>
      <c r="E7" s="1520">
        <v>5</v>
      </c>
      <c r="F7" s="1517">
        <v>0</v>
      </c>
      <c r="G7" s="1251">
        <v>0</v>
      </c>
      <c r="H7" s="1240">
        <v>0</v>
      </c>
      <c r="I7" s="1147">
        <v>1E-3</v>
      </c>
      <c r="J7" s="383">
        <v>0</v>
      </c>
      <c r="K7" s="487">
        <v>1E-3</v>
      </c>
      <c r="L7" s="487">
        <v>0</v>
      </c>
      <c r="M7" s="927"/>
      <c r="N7" s="672">
        <v>0</v>
      </c>
      <c r="O7" s="389">
        <v>1E-3</v>
      </c>
      <c r="P7" s="1092">
        <v>0</v>
      </c>
      <c r="Q7" s="1093">
        <v>0</v>
      </c>
      <c r="R7" s="381">
        <v>0</v>
      </c>
      <c r="S7" s="382"/>
      <c r="T7" s="381"/>
      <c r="U7" s="624"/>
      <c r="V7" s="569">
        <v>0</v>
      </c>
      <c r="W7" s="607"/>
      <c r="X7" s="383"/>
      <c r="Y7" s="607"/>
      <c r="Z7" s="383"/>
      <c r="AA7" s="607"/>
      <c r="AB7" s="718"/>
      <c r="AC7" s="335"/>
      <c r="AD7" s="389">
        <v>1E-3</v>
      </c>
      <c r="AE7" s="381">
        <v>1E-3</v>
      </c>
      <c r="AF7" s="389">
        <v>1E-3</v>
      </c>
      <c r="AG7" s="381">
        <v>1E-3</v>
      </c>
      <c r="AH7" s="389">
        <v>1E-3</v>
      </c>
      <c r="AI7" s="381">
        <v>1E-3</v>
      </c>
      <c r="AJ7" s="389">
        <v>1E-3</v>
      </c>
      <c r="AK7" s="381">
        <v>1E-3</v>
      </c>
      <c r="AL7" s="381">
        <v>1E-3</v>
      </c>
      <c r="AM7" s="381">
        <v>1E-3</v>
      </c>
      <c r="AN7" s="381">
        <v>1E-3</v>
      </c>
      <c r="AO7" s="381">
        <v>1E-3</v>
      </c>
      <c r="AP7" s="381">
        <v>1E-3</v>
      </c>
      <c r="AQ7" s="381">
        <v>1E-3</v>
      </c>
      <c r="AR7" s="381">
        <v>1E-3</v>
      </c>
      <c r="AS7" s="381">
        <v>1E-3</v>
      </c>
      <c r="AT7" s="381">
        <v>1E-3</v>
      </c>
      <c r="AU7" s="381">
        <v>1E-3</v>
      </c>
      <c r="AV7" s="381">
        <v>1E-3</v>
      </c>
      <c r="AW7" s="381">
        <v>1E-3</v>
      </c>
      <c r="AX7" s="335"/>
      <c r="AZ7" s="1097" t="s">
        <v>4</v>
      </c>
    </row>
    <row r="8" spans="1:52" x14ac:dyDescent="0.2">
      <c r="A8" s="1184">
        <v>2</v>
      </c>
      <c r="B8" s="1137" t="s">
        <v>360</v>
      </c>
      <c r="C8" s="1185">
        <v>346</v>
      </c>
      <c r="D8" s="1114">
        <v>71581755</v>
      </c>
      <c r="E8" s="1520">
        <v>2</v>
      </c>
      <c r="F8" s="1517">
        <v>0</v>
      </c>
      <c r="G8" s="1251">
        <v>0</v>
      </c>
      <c r="H8" s="1240">
        <v>0</v>
      </c>
      <c r="I8" s="1147">
        <v>1E-3</v>
      </c>
      <c r="J8" s="383">
        <v>0</v>
      </c>
      <c r="K8" s="487">
        <v>1E-3</v>
      </c>
      <c r="L8" s="487">
        <v>0</v>
      </c>
      <c r="M8" s="927"/>
      <c r="N8" s="672">
        <v>0</v>
      </c>
      <c r="O8" s="389">
        <v>1E-3</v>
      </c>
      <c r="P8" s="1092">
        <v>0</v>
      </c>
      <c r="Q8" s="1093">
        <v>0</v>
      </c>
      <c r="R8" s="381">
        <v>0</v>
      </c>
      <c r="S8" s="382"/>
      <c r="T8" s="381"/>
      <c r="U8" s="624"/>
      <c r="V8" s="569">
        <v>0</v>
      </c>
      <c r="W8" s="607"/>
      <c r="X8" s="383"/>
      <c r="Y8" s="607"/>
      <c r="Z8" s="383"/>
      <c r="AA8" s="607"/>
      <c r="AB8" s="718"/>
      <c r="AC8" s="335"/>
      <c r="AD8" s="389">
        <v>1E-3</v>
      </c>
      <c r="AE8" s="381">
        <v>1E-3</v>
      </c>
      <c r="AF8" s="389">
        <v>1E-3</v>
      </c>
      <c r="AG8" s="381">
        <v>1E-3</v>
      </c>
      <c r="AH8" s="389">
        <v>1E-3</v>
      </c>
      <c r="AI8" s="381">
        <v>1E-3</v>
      </c>
      <c r="AJ8" s="389">
        <v>1E-3</v>
      </c>
      <c r="AK8" s="381">
        <v>1E-3</v>
      </c>
      <c r="AL8" s="381">
        <v>1E-3</v>
      </c>
      <c r="AM8" s="381">
        <v>1E-3</v>
      </c>
      <c r="AN8" s="381">
        <v>1E-3</v>
      </c>
      <c r="AO8" s="381">
        <v>1E-3</v>
      </c>
      <c r="AP8" s="381">
        <v>1E-3</v>
      </c>
      <c r="AQ8" s="381">
        <v>1E-3</v>
      </c>
      <c r="AR8" s="381">
        <v>1E-3</v>
      </c>
      <c r="AS8" s="381">
        <v>1E-3</v>
      </c>
      <c r="AT8" s="381">
        <v>1E-3</v>
      </c>
      <c r="AU8" s="381">
        <v>1E-3</v>
      </c>
      <c r="AV8" s="381">
        <v>1E-3</v>
      </c>
      <c r="AW8" s="381">
        <v>1E-3</v>
      </c>
      <c r="AX8" s="335"/>
      <c r="AZ8" s="1137" t="s">
        <v>360</v>
      </c>
    </row>
    <row r="9" spans="1:52" x14ac:dyDescent="0.2">
      <c r="A9" s="1184">
        <v>3</v>
      </c>
      <c r="B9" s="1097" t="s">
        <v>198</v>
      </c>
      <c r="C9" s="1185">
        <v>300</v>
      </c>
      <c r="D9" s="1114">
        <v>70116694</v>
      </c>
      <c r="E9" s="1520">
        <v>5</v>
      </c>
      <c r="F9" s="1517">
        <v>0</v>
      </c>
      <c r="G9" s="1251">
        <v>0</v>
      </c>
      <c r="H9" s="1240">
        <v>0</v>
      </c>
      <c r="I9" s="1147">
        <v>1E-3</v>
      </c>
      <c r="J9" s="383">
        <v>0</v>
      </c>
      <c r="K9" s="487">
        <v>1E-3</v>
      </c>
      <c r="L9" s="487">
        <v>0</v>
      </c>
      <c r="M9" s="927"/>
      <c r="N9" s="672">
        <v>0</v>
      </c>
      <c r="O9" s="389">
        <v>1E-3</v>
      </c>
      <c r="P9" s="1092">
        <v>0</v>
      </c>
      <c r="Q9" s="1093">
        <v>0</v>
      </c>
      <c r="R9" s="381">
        <v>0</v>
      </c>
      <c r="S9" s="382"/>
      <c r="T9" s="381"/>
      <c r="U9" s="624"/>
      <c r="V9" s="569">
        <v>0</v>
      </c>
      <c r="W9" s="607"/>
      <c r="X9" s="383"/>
      <c r="Y9" s="607"/>
      <c r="Z9" s="383"/>
      <c r="AA9" s="607"/>
      <c r="AB9" s="718"/>
      <c r="AC9" s="335"/>
      <c r="AD9" s="389">
        <v>1E-3</v>
      </c>
      <c r="AE9" s="381">
        <v>1E-3</v>
      </c>
      <c r="AF9" s="389">
        <v>1E-3</v>
      </c>
      <c r="AG9" s="381">
        <v>1E-3</v>
      </c>
      <c r="AH9" s="389">
        <v>1E-3</v>
      </c>
      <c r="AI9" s="381">
        <v>1E-3</v>
      </c>
      <c r="AJ9" s="389">
        <v>1E-3</v>
      </c>
      <c r="AK9" s="381">
        <v>1E-3</v>
      </c>
      <c r="AL9" s="381">
        <v>1E-3</v>
      </c>
      <c r="AM9" s="381">
        <v>1E-3</v>
      </c>
      <c r="AN9" s="381">
        <v>1E-3</v>
      </c>
      <c r="AO9" s="381">
        <v>1E-3</v>
      </c>
      <c r="AP9" s="381">
        <v>1E-3</v>
      </c>
      <c r="AQ9" s="381">
        <v>1E-3</v>
      </c>
      <c r="AR9" s="381">
        <v>1E-3</v>
      </c>
      <c r="AS9" s="381">
        <v>1E-3</v>
      </c>
      <c r="AT9" s="381">
        <v>1E-3</v>
      </c>
      <c r="AU9" s="381">
        <v>1E-3</v>
      </c>
      <c r="AV9" s="381">
        <v>1E-3</v>
      </c>
      <c r="AW9" s="381">
        <v>1E-3</v>
      </c>
      <c r="AX9" s="335"/>
      <c r="AZ9" s="1097" t="s">
        <v>198</v>
      </c>
    </row>
    <row r="10" spans="1:52" x14ac:dyDescent="0.2">
      <c r="A10" s="1184">
        <v>4</v>
      </c>
      <c r="B10" s="1097" t="s">
        <v>5</v>
      </c>
      <c r="C10" s="1185">
        <v>217</v>
      </c>
      <c r="D10" s="1114">
        <v>3349249</v>
      </c>
      <c r="E10" s="1520">
        <v>7</v>
      </c>
      <c r="F10" s="1517">
        <v>0</v>
      </c>
      <c r="G10" s="1251">
        <v>0</v>
      </c>
      <c r="H10" s="1240">
        <v>0</v>
      </c>
      <c r="I10" s="1147">
        <v>1E-3</v>
      </c>
      <c r="J10" s="383">
        <v>0</v>
      </c>
      <c r="K10" s="487">
        <v>1E-3</v>
      </c>
      <c r="L10" s="487">
        <v>0</v>
      </c>
      <c r="M10" s="927"/>
      <c r="N10" s="672">
        <v>0</v>
      </c>
      <c r="O10" s="389">
        <v>1E-3</v>
      </c>
      <c r="P10" s="1092">
        <v>0</v>
      </c>
      <c r="Q10" s="1093">
        <v>0</v>
      </c>
      <c r="R10" s="381">
        <v>0</v>
      </c>
      <c r="S10" s="382"/>
      <c r="T10" s="381"/>
      <c r="U10" s="624"/>
      <c r="V10" s="569">
        <v>0</v>
      </c>
      <c r="W10" s="607"/>
      <c r="X10" s="383"/>
      <c r="Y10" s="607"/>
      <c r="Z10" s="383"/>
      <c r="AA10" s="607"/>
      <c r="AB10" s="718"/>
      <c r="AC10" s="335"/>
      <c r="AD10" s="389">
        <v>1E-3</v>
      </c>
      <c r="AE10" s="381">
        <v>1E-3</v>
      </c>
      <c r="AF10" s="389">
        <v>1E-3</v>
      </c>
      <c r="AG10" s="381">
        <v>1E-3</v>
      </c>
      <c r="AH10" s="389">
        <v>1E-3</v>
      </c>
      <c r="AI10" s="381">
        <v>1E-3</v>
      </c>
      <c r="AJ10" s="389">
        <v>1E-3</v>
      </c>
      <c r="AK10" s="381">
        <v>1E-3</v>
      </c>
      <c r="AL10" s="381">
        <v>1E-3</v>
      </c>
      <c r="AM10" s="381">
        <v>1E-3</v>
      </c>
      <c r="AN10" s="381">
        <v>1E-3</v>
      </c>
      <c r="AO10" s="381">
        <v>1E-3</v>
      </c>
      <c r="AP10" s="381">
        <v>1E-3</v>
      </c>
      <c r="AQ10" s="381">
        <v>1E-3</v>
      </c>
      <c r="AR10" s="381">
        <v>1E-3</v>
      </c>
      <c r="AS10" s="381">
        <v>1E-3</v>
      </c>
      <c r="AT10" s="381">
        <v>1E-3</v>
      </c>
      <c r="AU10" s="381">
        <v>1E-3</v>
      </c>
      <c r="AV10" s="381">
        <v>1E-3</v>
      </c>
      <c r="AW10" s="381">
        <v>1E-3</v>
      </c>
      <c r="AX10" s="335"/>
      <c r="AZ10" s="1097" t="s">
        <v>5</v>
      </c>
    </row>
    <row r="11" spans="1:52" x14ac:dyDescent="0.2">
      <c r="A11" s="1184">
        <v>5</v>
      </c>
      <c r="B11" s="1491" t="s">
        <v>356</v>
      </c>
      <c r="C11" s="1185">
        <v>43</v>
      </c>
      <c r="D11" s="1114">
        <v>71632774</v>
      </c>
      <c r="E11" s="1520">
        <v>2</v>
      </c>
      <c r="F11" s="1517">
        <v>70000</v>
      </c>
      <c r="G11" s="1251">
        <v>0</v>
      </c>
      <c r="H11" s="1240">
        <v>70000</v>
      </c>
      <c r="I11" s="1147">
        <v>1E-3</v>
      </c>
      <c r="J11" s="383">
        <v>0</v>
      </c>
      <c r="K11" s="487">
        <v>1E-3</v>
      </c>
      <c r="L11" s="487">
        <v>0</v>
      </c>
      <c r="M11" s="927"/>
      <c r="N11" s="672">
        <v>0</v>
      </c>
      <c r="O11" s="389" t="s">
        <v>318</v>
      </c>
      <c r="P11" s="1092">
        <v>70000</v>
      </c>
      <c r="Q11" s="1093">
        <v>0</v>
      </c>
      <c r="R11" s="381">
        <v>0</v>
      </c>
      <c r="S11" s="382"/>
      <c r="T11" s="381"/>
      <c r="U11" s="624"/>
      <c r="V11" s="569">
        <v>0</v>
      </c>
      <c r="W11" s="607"/>
      <c r="X11" s="383"/>
      <c r="Y11" s="607"/>
      <c r="Z11" s="383"/>
      <c r="AA11" s="607"/>
      <c r="AB11" s="718"/>
      <c r="AC11" s="335"/>
      <c r="AD11" s="389">
        <v>1E-3</v>
      </c>
      <c r="AE11" s="381">
        <v>1E-3</v>
      </c>
      <c r="AF11" s="389">
        <v>1E-3</v>
      </c>
      <c r="AG11" s="381">
        <v>1E-3</v>
      </c>
      <c r="AH11" s="389">
        <v>1E-3</v>
      </c>
      <c r="AI11" s="381">
        <v>1E-3</v>
      </c>
      <c r="AJ11" s="389" t="s">
        <v>318</v>
      </c>
      <c r="AK11" s="381">
        <v>60000</v>
      </c>
      <c r="AL11" s="381">
        <v>1E-3</v>
      </c>
      <c r="AM11" s="381">
        <v>1E-3</v>
      </c>
      <c r="AN11" s="381">
        <v>1E-3</v>
      </c>
      <c r="AO11" s="381">
        <v>1E-3</v>
      </c>
      <c r="AP11" s="381">
        <v>1E-3</v>
      </c>
      <c r="AQ11" s="381">
        <v>1E-3</v>
      </c>
      <c r="AR11" s="381">
        <v>1E-3</v>
      </c>
      <c r="AS11" s="381">
        <v>1E-3</v>
      </c>
      <c r="AT11" s="381">
        <v>1E-3</v>
      </c>
      <c r="AU11" s="381">
        <v>1E-3</v>
      </c>
      <c r="AV11" s="381">
        <v>1E-3</v>
      </c>
      <c r="AW11" s="381">
        <v>1E-3</v>
      </c>
      <c r="AX11" s="335"/>
      <c r="AZ11" s="1491" t="s">
        <v>356</v>
      </c>
    </row>
    <row r="12" spans="1:52" x14ac:dyDescent="0.2">
      <c r="A12" s="1184">
        <v>6</v>
      </c>
      <c r="B12" s="1097" t="s">
        <v>7</v>
      </c>
      <c r="C12" s="1185">
        <v>44</v>
      </c>
      <c r="D12" s="1114">
        <v>21315528</v>
      </c>
      <c r="E12" s="1520">
        <v>6</v>
      </c>
      <c r="F12" s="1517">
        <v>0</v>
      </c>
      <c r="G12" s="1251">
        <v>0</v>
      </c>
      <c r="H12" s="1240">
        <v>0</v>
      </c>
      <c r="I12" s="1147">
        <v>1E-3</v>
      </c>
      <c r="J12" s="383">
        <v>0</v>
      </c>
      <c r="K12" s="487">
        <v>1E-3</v>
      </c>
      <c r="L12" s="487">
        <v>0</v>
      </c>
      <c r="M12" s="927"/>
      <c r="N12" s="672">
        <v>0</v>
      </c>
      <c r="O12" s="389">
        <v>1E-3</v>
      </c>
      <c r="P12" s="1092">
        <v>0</v>
      </c>
      <c r="Q12" s="1093">
        <v>0</v>
      </c>
      <c r="R12" s="381">
        <v>0</v>
      </c>
      <c r="S12" s="382"/>
      <c r="T12" s="381"/>
      <c r="U12" s="624"/>
      <c r="V12" s="569">
        <v>0</v>
      </c>
      <c r="W12" s="607"/>
      <c r="X12" s="383"/>
      <c r="Y12" s="607"/>
      <c r="Z12" s="383"/>
      <c r="AA12" s="607"/>
      <c r="AB12" s="718"/>
      <c r="AC12" s="335"/>
      <c r="AD12" s="389">
        <v>1E-3</v>
      </c>
      <c r="AE12" s="381">
        <v>1E-3</v>
      </c>
      <c r="AF12" s="389">
        <v>1E-3</v>
      </c>
      <c r="AG12" s="381">
        <v>1E-3</v>
      </c>
      <c r="AH12" s="389">
        <v>1E-3</v>
      </c>
      <c r="AI12" s="381">
        <v>1E-3</v>
      </c>
      <c r="AJ12" s="389">
        <v>1E-3</v>
      </c>
      <c r="AK12" s="381">
        <v>1E-3</v>
      </c>
      <c r="AL12" s="381">
        <v>1E-3</v>
      </c>
      <c r="AM12" s="381">
        <v>1E-3</v>
      </c>
      <c r="AN12" s="381">
        <v>1E-3</v>
      </c>
      <c r="AO12" s="381">
        <v>1E-3</v>
      </c>
      <c r="AP12" s="381">
        <v>1E-3</v>
      </c>
      <c r="AQ12" s="381">
        <v>1E-3</v>
      </c>
      <c r="AR12" s="381">
        <v>1E-3</v>
      </c>
      <c r="AS12" s="381">
        <v>1E-3</v>
      </c>
      <c r="AT12" s="381">
        <v>1E-3</v>
      </c>
      <c r="AU12" s="381">
        <v>1E-3</v>
      </c>
      <c r="AV12" s="381">
        <v>1E-3</v>
      </c>
      <c r="AW12" s="381">
        <v>1E-3</v>
      </c>
      <c r="AX12" s="335"/>
      <c r="AZ12" s="1097" t="s">
        <v>7</v>
      </c>
    </row>
    <row r="13" spans="1:52" x14ac:dyDescent="0.2">
      <c r="A13" s="1184">
        <v>7</v>
      </c>
      <c r="B13" s="1097" t="s">
        <v>8</v>
      </c>
      <c r="C13" s="1185">
        <v>45</v>
      </c>
      <c r="D13" s="1114">
        <v>32336950</v>
      </c>
      <c r="E13" s="1520">
        <v>1</v>
      </c>
      <c r="F13" s="1517">
        <v>365920.80160000001</v>
      </c>
      <c r="G13" s="1251">
        <v>0</v>
      </c>
      <c r="H13" s="1240">
        <v>365920.80160000001</v>
      </c>
      <c r="I13" s="1148">
        <v>3</v>
      </c>
      <c r="J13" s="383">
        <v>365920.80160000001</v>
      </c>
      <c r="K13" s="487">
        <v>1E-3</v>
      </c>
      <c r="L13" s="487">
        <v>0</v>
      </c>
      <c r="M13" s="927"/>
      <c r="N13" s="672">
        <v>0</v>
      </c>
      <c r="O13" s="389">
        <v>1E-3</v>
      </c>
      <c r="P13" s="1092">
        <v>0</v>
      </c>
      <c r="Q13" s="1093">
        <v>0</v>
      </c>
      <c r="R13" s="381">
        <v>0</v>
      </c>
      <c r="S13" s="382"/>
      <c r="T13" s="381"/>
      <c r="U13" s="624"/>
      <c r="V13" s="569">
        <v>0</v>
      </c>
      <c r="W13" s="607"/>
      <c r="X13" s="383"/>
      <c r="Y13" s="607"/>
      <c r="Z13" s="383"/>
      <c r="AA13" s="607"/>
      <c r="AB13" s="718"/>
      <c r="AC13" s="335"/>
      <c r="AD13" s="389">
        <v>3</v>
      </c>
      <c r="AE13" s="381">
        <v>334847</v>
      </c>
      <c r="AF13" s="389">
        <v>1E-3</v>
      </c>
      <c r="AG13" s="381">
        <v>1E-3</v>
      </c>
      <c r="AH13" s="389">
        <v>1E-3</v>
      </c>
      <c r="AI13" s="381">
        <v>1E-3</v>
      </c>
      <c r="AJ13" s="389">
        <v>1E-3</v>
      </c>
      <c r="AK13" s="381">
        <v>1E-3</v>
      </c>
      <c r="AL13" s="381">
        <v>1E-3</v>
      </c>
      <c r="AM13" s="381">
        <v>1E-3</v>
      </c>
      <c r="AN13" s="381">
        <v>1E-3</v>
      </c>
      <c r="AO13" s="381">
        <v>1E-3</v>
      </c>
      <c r="AP13" s="381">
        <v>1E-3</v>
      </c>
      <c r="AQ13" s="381">
        <v>1E-3</v>
      </c>
      <c r="AR13" s="381">
        <v>1E-3</v>
      </c>
      <c r="AS13" s="381">
        <v>1E-3</v>
      </c>
      <c r="AT13" s="381">
        <v>1E-3</v>
      </c>
      <c r="AU13" s="381">
        <v>1E-3</v>
      </c>
      <c r="AV13" s="381">
        <v>1E-3</v>
      </c>
      <c r="AW13" s="381">
        <v>1E-3</v>
      </c>
      <c r="AX13" s="335"/>
      <c r="AZ13" s="1097" t="s">
        <v>8</v>
      </c>
    </row>
    <row r="14" spans="1:52" x14ac:dyDescent="0.2">
      <c r="A14" s="1184">
        <v>8</v>
      </c>
      <c r="B14" s="1433" t="s">
        <v>468</v>
      </c>
      <c r="C14" s="1185">
        <v>156</v>
      </c>
      <c r="D14" s="1114">
        <v>43079999</v>
      </c>
      <c r="E14" s="1520">
        <v>9</v>
      </c>
      <c r="F14" s="1517">
        <v>0</v>
      </c>
      <c r="G14" s="1251">
        <v>0</v>
      </c>
      <c r="H14" s="1240">
        <v>0</v>
      </c>
      <c r="I14" s="1147">
        <v>1E-3</v>
      </c>
      <c r="J14" s="383">
        <v>0</v>
      </c>
      <c r="K14" s="487">
        <v>1E-3</v>
      </c>
      <c r="L14" s="487">
        <v>0</v>
      </c>
      <c r="M14" s="927"/>
      <c r="N14" s="672">
        <v>0</v>
      </c>
      <c r="O14" s="389">
        <v>1E-3</v>
      </c>
      <c r="P14" s="1092">
        <v>0</v>
      </c>
      <c r="Q14" s="1093">
        <v>0</v>
      </c>
      <c r="R14" s="381">
        <v>0</v>
      </c>
      <c r="S14" s="382"/>
      <c r="T14" s="381"/>
      <c r="U14" s="624"/>
      <c r="V14" s="569">
        <v>0</v>
      </c>
      <c r="W14" s="607"/>
      <c r="X14" s="383"/>
      <c r="Y14" s="607"/>
      <c r="Z14" s="383"/>
      <c r="AA14" s="607"/>
      <c r="AB14" s="718"/>
      <c r="AC14" s="335"/>
      <c r="AD14" s="389">
        <v>1E-3</v>
      </c>
      <c r="AE14" s="381">
        <v>1E-3</v>
      </c>
      <c r="AF14" s="389">
        <v>1E-3</v>
      </c>
      <c r="AG14" s="381">
        <v>1E-3</v>
      </c>
      <c r="AH14" s="389">
        <v>1E-3</v>
      </c>
      <c r="AI14" s="381">
        <v>1E-3</v>
      </c>
      <c r="AJ14" s="389">
        <v>1E-3</v>
      </c>
      <c r="AK14" s="381">
        <v>1E-3</v>
      </c>
      <c r="AL14" s="381">
        <v>1E-3</v>
      </c>
      <c r="AM14" s="381">
        <v>1E-3</v>
      </c>
      <c r="AN14" s="381">
        <v>1E-3</v>
      </c>
      <c r="AO14" s="381">
        <v>1E-3</v>
      </c>
      <c r="AP14" s="381">
        <v>1E-3</v>
      </c>
      <c r="AQ14" s="381">
        <v>1E-3</v>
      </c>
      <c r="AR14" s="381">
        <v>1E-3</v>
      </c>
      <c r="AS14" s="381">
        <v>1E-3</v>
      </c>
      <c r="AT14" s="381">
        <v>1E-3</v>
      </c>
      <c r="AU14" s="381">
        <v>1E-3</v>
      </c>
      <c r="AV14" s="381">
        <v>1E-3</v>
      </c>
      <c r="AW14" s="381">
        <v>1E-3</v>
      </c>
      <c r="AX14" s="335"/>
      <c r="AZ14" s="1433" t="s">
        <v>468</v>
      </c>
    </row>
    <row r="15" spans="1:52" x14ac:dyDescent="0.2">
      <c r="A15" s="1184">
        <v>9</v>
      </c>
      <c r="B15" s="1433" t="s">
        <v>493</v>
      </c>
      <c r="C15" s="1185">
        <v>179</v>
      </c>
      <c r="D15" s="1114">
        <v>1017178784</v>
      </c>
      <c r="E15" s="1520">
        <v>3</v>
      </c>
      <c r="F15" s="1517">
        <v>0</v>
      </c>
      <c r="G15" s="1251">
        <v>0</v>
      </c>
      <c r="H15" s="1240">
        <v>0</v>
      </c>
      <c r="I15" s="1147">
        <v>1E-3</v>
      </c>
      <c r="J15" s="383">
        <v>0</v>
      </c>
      <c r="K15" s="487">
        <v>1E-3</v>
      </c>
      <c r="L15" s="487">
        <v>0</v>
      </c>
      <c r="M15" s="927"/>
      <c r="N15" s="672">
        <v>0</v>
      </c>
      <c r="O15" s="389">
        <v>1E-3</v>
      </c>
      <c r="P15" s="1092">
        <v>0</v>
      </c>
      <c r="Q15" s="1093">
        <v>0</v>
      </c>
      <c r="R15" s="381">
        <v>0</v>
      </c>
      <c r="S15" s="382"/>
      <c r="T15" s="381"/>
      <c r="U15" s="624"/>
      <c r="V15" s="569">
        <v>0</v>
      </c>
      <c r="W15" s="607"/>
      <c r="X15" s="383"/>
      <c r="Y15" s="607"/>
      <c r="Z15" s="383"/>
      <c r="AA15" s="607"/>
      <c r="AB15" s="718"/>
      <c r="AC15" s="335"/>
      <c r="AD15" s="389">
        <v>1E-3</v>
      </c>
      <c r="AE15" s="381">
        <v>1E-3</v>
      </c>
      <c r="AF15" s="389">
        <v>1E-3</v>
      </c>
      <c r="AG15" s="381">
        <v>1E-3</v>
      </c>
      <c r="AH15" s="389">
        <v>1E-3</v>
      </c>
      <c r="AI15" s="381">
        <v>1E-3</v>
      </c>
      <c r="AJ15" s="389">
        <v>1E-3</v>
      </c>
      <c r="AK15" s="381">
        <v>1E-3</v>
      </c>
      <c r="AL15" s="381">
        <v>1E-3</v>
      </c>
      <c r="AM15" s="381">
        <v>1E-3</v>
      </c>
      <c r="AN15" s="381">
        <v>1E-3</v>
      </c>
      <c r="AO15" s="381">
        <v>1E-3</v>
      </c>
      <c r="AP15" s="381">
        <v>1E-3</v>
      </c>
      <c r="AQ15" s="381">
        <v>1E-3</v>
      </c>
      <c r="AR15" s="381">
        <v>1E-3</v>
      </c>
      <c r="AS15" s="381">
        <v>1E-3</v>
      </c>
      <c r="AT15" s="381">
        <v>1E-3</v>
      </c>
      <c r="AU15" s="381">
        <v>1E-3</v>
      </c>
      <c r="AV15" s="381">
        <v>1E-3</v>
      </c>
      <c r="AW15" s="381">
        <v>1E-3</v>
      </c>
      <c r="AX15" s="335"/>
      <c r="AZ15" s="1433" t="s">
        <v>493</v>
      </c>
    </row>
    <row r="16" spans="1:52" x14ac:dyDescent="0.2">
      <c r="A16" s="1184">
        <v>10</v>
      </c>
      <c r="B16" s="1097" t="s">
        <v>9</v>
      </c>
      <c r="C16" s="1185">
        <v>48</v>
      </c>
      <c r="D16" s="1114">
        <v>32470755</v>
      </c>
      <c r="E16" s="1520">
        <v>4</v>
      </c>
      <c r="F16" s="1517">
        <v>70000</v>
      </c>
      <c r="G16" s="1251">
        <v>0</v>
      </c>
      <c r="H16" s="1240">
        <v>70000</v>
      </c>
      <c r="I16" s="1147">
        <v>1E-3</v>
      </c>
      <c r="J16" s="383">
        <v>0</v>
      </c>
      <c r="K16" s="487">
        <v>1E-3</v>
      </c>
      <c r="L16" s="487">
        <v>0</v>
      </c>
      <c r="M16" s="927"/>
      <c r="N16" s="672">
        <v>0</v>
      </c>
      <c r="O16" s="389" t="s">
        <v>318</v>
      </c>
      <c r="P16" s="1092">
        <v>70000</v>
      </c>
      <c r="Q16" s="1093">
        <v>0</v>
      </c>
      <c r="R16" s="381">
        <v>0</v>
      </c>
      <c r="S16" s="382"/>
      <c r="T16" s="381"/>
      <c r="U16" s="624"/>
      <c r="V16" s="569">
        <v>0</v>
      </c>
      <c r="W16" s="607"/>
      <c r="X16" s="383"/>
      <c r="Y16" s="607"/>
      <c r="Z16" s="383"/>
      <c r="AA16" s="607"/>
      <c r="AB16" s="718"/>
      <c r="AC16" s="335"/>
      <c r="AD16" s="389">
        <v>1E-3</v>
      </c>
      <c r="AE16" s="381">
        <v>1E-3</v>
      </c>
      <c r="AF16" s="389">
        <v>1E-3</v>
      </c>
      <c r="AG16" s="381">
        <v>1E-3</v>
      </c>
      <c r="AH16" s="389">
        <v>1E-3</v>
      </c>
      <c r="AI16" s="381">
        <v>1E-3</v>
      </c>
      <c r="AJ16" s="389" t="s">
        <v>318</v>
      </c>
      <c r="AK16" s="381">
        <v>60000</v>
      </c>
      <c r="AL16" s="381">
        <v>1E-3</v>
      </c>
      <c r="AM16" s="381">
        <v>1E-3</v>
      </c>
      <c r="AN16" s="381">
        <v>1E-3</v>
      </c>
      <c r="AO16" s="381">
        <v>1E-3</v>
      </c>
      <c r="AP16" s="381">
        <v>1E-3</v>
      </c>
      <c r="AQ16" s="381">
        <v>1E-3</v>
      </c>
      <c r="AR16" s="381">
        <v>1E-3</v>
      </c>
      <c r="AS16" s="381">
        <v>1E-3</v>
      </c>
      <c r="AT16" s="381">
        <v>1E-3</v>
      </c>
      <c r="AU16" s="381">
        <v>1E-3</v>
      </c>
      <c r="AV16" s="381">
        <v>1E-3</v>
      </c>
      <c r="AW16" s="381">
        <v>1E-3</v>
      </c>
      <c r="AX16" s="335"/>
      <c r="AZ16" s="1097" t="s">
        <v>9</v>
      </c>
    </row>
    <row r="17" spans="1:52" x14ac:dyDescent="0.2">
      <c r="A17" s="1184">
        <v>11</v>
      </c>
      <c r="B17" s="1097" t="s">
        <v>10</v>
      </c>
      <c r="C17" s="1185">
        <v>49</v>
      </c>
      <c r="D17" s="1114">
        <v>42889979</v>
      </c>
      <c r="E17" s="1520">
        <v>3</v>
      </c>
      <c r="F17" s="1517">
        <v>0</v>
      </c>
      <c r="G17" s="1251">
        <v>0</v>
      </c>
      <c r="H17" s="1240">
        <v>0</v>
      </c>
      <c r="I17" s="1147">
        <v>1E-3</v>
      </c>
      <c r="J17" s="383">
        <v>0</v>
      </c>
      <c r="K17" s="487">
        <v>1E-3</v>
      </c>
      <c r="L17" s="487">
        <v>0</v>
      </c>
      <c r="M17" s="927"/>
      <c r="N17" s="672">
        <v>0</v>
      </c>
      <c r="O17" s="389">
        <v>1E-3</v>
      </c>
      <c r="P17" s="1092">
        <v>0</v>
      </c>
      <c r="Q17" s="1093">
        <v>0</v>
      </c>
      <c r="R17" s="381">
        <v>0</v>
      </c>
      <c r="S17" s="382"/>
      <c r="T17" s="381"/>
      <c r="U17" s="624"/>
      <c r="V17" s="569">
        <v>0</v>
      </c>
      <c r="W17" s="607"/>
      <c r="X17" s="383"/>
      <c r="Y17" s="607"/>
      <c r="Z17" s="383"/>
      <c r="AA17" s="607"/>
      <c r="AB17" s="718"/>
      <c r="AC17" s="335"/>
      <c r="AD17" s="389">
        <v>1E-3</v>
      </c>
      <c r="AE17" s="381">
        <v>1E-3</v>
      </c>
      <c r="AF17" s="389">
        <v>1E-3</v>
      </c>
      <c r="AG17" s="381">
        <v>1E-3</v>
      </c>
      <c r="AH17" s="389">
        <v>1E-3</v>
      </c>
      <c r="AI17" s="381">
        <v>1E-3</v>
      </c>
      <c r="AJ17" s="389">
        <v>1E-3</v>
      </c>
      <c r="AK17" s="381">
        <v>1E-3</v>
      </c>
      <c r="AL17" s="381">
        <v>1E-3</v>
      </c>
      <c r="AM17" s="381">
        <v>1E-3</v>
      </c>
      <c r="AN17" s="381">
        <v>1E-3</v>
      </c>
      <c r="AO17" s="381">
        <v>1E-3</v>
      </c>
      <c r="AP17" s="381">
        <v>1E-3</v>
      </c>
      <c r="AQ17" s="381">
        <v>1E-3</v>
      </c>
      <c r="AR17" s="381">
        <v>1E-3</v>
      </c>
      <c r="AS17" s="381">
        <v>1E-3</v>
      </c>
      <c r="AT17" s="381">
        <v>1E-3</v>
      </c>
      <c r="AU17" s="381">
        <v>1E-3</v>
      </c>
      <c r="AV17" s="381">
        <v>1E-3</v>
      </c>
      <c r="AW17" s="381">
        <v>1E-3</v>
      </c>
      <c r="AX17" s="335"/>
      <c r="AZ17" s="1097" t="s">
        <v>10</v>
      </c>
    </row>
    <row r="18" spans="1:52" x14ac:dyDescent="0.2">
      <c r="A18" s="1184">
        <v>12</v>
      </c>
      <c r="B18" s="1097" t="s">
        <v>11</v>
      </c>
      <c r="C18" s="1185">
        <v>50</v>
      </c>
      <c r="D18" s="1114">
        <v>98554347</v>
      </c>
      <c r="E18" s="1520">
        <v>4</v>
      </c>
      <c r="F18" s="1517">
        <v>0</v>
      </c>
      <c r="G18" s="1251">
        <v>0</v>
      </c>
      <c r="H18" s="1240">
        <v>0</v>
      </c>
      <c r="I18" s="1147">
        <v>1E-3</v>
      </c>
      <c r="J18" s="383">
        <v>0</v>
      </c>
      <c r="K18" s="487">
        <v>1E-3</v>
      </c>
      <c r="L18" s="487">
        <v>0</v>
      </c>
      <c r="M18" s="927"/>
      <c r="N18" s="672">
        <v>0</v>
      </c>
      <c r="O18" s="389">
        <v>1E-3</v>
      </c>
      <c r="P18" s="1092">
        <v>0</v>
      </c>
      <c r="Q18" s="1093">
        <v>0</v>
      </c>
      <c r="R18" s="381">
        <v>0</v>
      </c>
      <c r="S18" s="382"/>
      <c r="T18" s="381"/>
      <c r="U18" s="624"/>
      <c r="V18" s="569">
        <v>0</v>
      </c>
      <c r="W18" s="607"/>
      <c r="X18" s="383"/>
      <c r="Y18" s="607"/>
      <c r="Z18" s="383"/>
      <c r="AA18" s="607"/>
      <c r="AB18" s="718"/>
      <c r="AC18" s="335"/>
      <c r="AD18" s="389">
        <v>1E-3</v>
      </c>
      <c r="AE18" s="381">
        <v>1E-3</v>
      </c>
      <c r="AF18" s="389">
        <v>1E-3</v>
      </c>
      <c r="AG18" s="381">
        <v>1E-3</v>
      </c>
      <c r="AH18" s="389">
        <v>1E-3</v>
      </c>
      <c r="AI18" s="381">
        <v>1E-3</v>
      </c>
      <c r="AJ18" s="389">
        <v>1E-3</v>
      </c>
      <c r="AK18" s="381">
        <v>1E-3</v>
      </c>
      <c r="AL18" s="381">
        <v>1E-3</v>
      </c>
      <c r="AM18" s="381">
        <v>1E-3</v>
      </c>
      <c r="AN18" s="381">
        <v>1E-3</v>
      </c>
      <c r="AO18" s="381">
        <v>1E-3</v>
      </c>
      <c r="AP18" s="381">
        <v>1E-3</v>
      </c>
      <c r="AQ18" s="381">
        <v>1E-3</v>
      </c>
      <c r="AR18" s="381">
        <v>1E-3</v>
      </c>
      <c r="AS18" s="381">
        <v>1E-3</v>
      </c>
      <c r="AT18" s="381">
        <v>1E-3</v>
      </c>
      <c r="AU18" s="381">
        <v>1E-3</v>
      </c>
      <c r="AV18" s="381">
        <v>1E-3</v>
      </c>
      <c r="AW18" s="381">
        <v>1E-3</v>
      </c>
      <c r="AX18" s="335"/>
      <c r="AZ18" s="1097" t="s">
        <v>11</v>
      </c>
    </row>
    <row r="19" spans="1:52" x14ac:dyDescent="0.2">
      <c r="A19" s="1184">
        <v>13</v>
      </c>
      <c r="B19" s="1097" t="s">
        <v>13</v>
      </c>
      <c r="C19" s="1185">
        <v>52</v>
      </c>
      <c r="D19" s="1114">
        <v>43431768</v>
      </c>
      <c r="E19" s="1520">
        <v>3</v>
      </c>
      <c r="F19" s="1517">
        <v>0</v>
      </c>
      <c r="G19" s="1251">
        <v>0</v>
      </c>
      <c r="H19" s="1240">
        <v>0</v>
      </c>
      <c r="I19" s="1147">
        <v>1E-3</v>
      </c>
      <c r="J19" s="383">
        <v>0</v>
      </c>
      <c r="K19" s="487">
        <v>1E-3</v>
      </c>
      <c r="L19" s="487">
        <v>0</v>
      </c>
      <c r="M19" s="927"/>
      <c r="N19" s="672">
        <v>0</v>
      </c>
      <c r="O19" s="389">
        <v>1E-3</v>
      </c>
      <c r="P19" s="1092">
        <v>0</v>
      </c>
      <c r="Q19" s="1093">
        <v>0</v>
      </c>
      <c r="R19" s="381">
        <v>0</v>
      </c>
      <c r="S19" s="382"/>
      <c r="T19" s="381"/>
      <c r="U19" s="624"/>
      <c r="V19" s="569">
        <v>0</v>
      </c>
      <c r="W19" s="607"/>
      <c r="X19" s="383"/>
      <c r="Y19" s="607"/>
      <c r="Z19" s="383"/>
      <c r="AA19" s="607"/>
      <c r="AB19" s="718"/>
      <c r="AC19" s="335"/>
      <c r="AD19" s="389">
        <v>1E-3</v>
      </c>
      <c r="AE19" s="381">
        <v>1E-3</v>
      </c>
      <c r="AF19" s="389">
        <v>1E-3</v>
      </c>
      <c r="AG19" s="381">
        <v>1E-3</v>
      </c>
      <c r="AH19" s="389">
        <v>1E-3</v>
      </c>
      <c r="AI19" s="381">
        <v>1E-3</v>
      </c>
      <c r="AJ19" s="389">
        <v>1E-3</v>
      </c>
      <c r="AK19" s="381">
        <v>1E-3</v>
      </c>
      <c r="AL19" s="381">
        <v>1E-3</v>
      </c>
      <c r="AM19" s="381">
        <v>1E-3</v>
      </c>
      <c r="AN19" s="381">
        <v>1E-3</v>
      </c>
      <c r="AO19" s="381">
        <v>1E-3</v>
      </c>
      <c r="AP19" s="381">
        <v>1E-3</v>
      </c>
      <c r="AQ19" s="381">
        <v>1E-3</v>
      </c>
      <c r="AR19" s="381">
        <v>1E-3</v>
      </c>
      <c r="AS19" s="381">
        <v>1E-3</v>
      </c>
      <c r="AT19" s="381">
        <v>1E-3</v>
      </c>
      <c r="AU19" s="381">
        <v>1E-3</v>
      </c>
      <c r="AV19" s="381">
        <v>1E-3</v>
      </c>
      <c r="AW19" s="381">
        <v>1E-3</v>
      </c>
      <c r="AX19" s="335"/>
      <c r="AZ19" s="1393" t="s">
        <v>13</v>
      </c>
    </row>
    <row r="20" spans="1:52" x14ac:dyDescent="0.2">
      <c r="A20" s="1184">
        <v>14</v>
      </c>
      <c r="B20" s="1137" t="s">
        <v>251</v>
      </c>
      <c r="C20" s="1185">
        <v>1</v>
      </c>
      <c r="D20" s="1114">
        <v>811032632</v>
      </c>
      <c r="E20" s="1520">
        <v>4</v>
      </c>
      <c r="F20" s="1517">
        <v>70000</v>
      </c>
      <c r="G20" s="1251">
        <v>0</v>
      </c>
      <c r="H20" s="1240">
        <v>70000</v>
      </c>
      <c r="I20" s="1147">
        <v>1E-3</v>
      </c>
      <c r="J20" s="383">
        <v>0</v>
      </c>
      <c r="K20" s="487">
        <v>1E-3</v>
      </c>
      <c r="L20" s="487">
        <v>0</v>
      </c>
      <c r="M20" s="927"/>
      <c r="N20" s="672">
        <v>0</v>
      </c>
      <c r="O20" s="389" t="s">
        <v>318</v>
      </c>
      <c r="P20" s="1092">
        <v>70000</v>
      </c>
      <c r="Q20" s="1093">
        <v>0</v>
      </c>
      <c r="R20" s="381">
        <v>0</v>
      </c>
      <c r="S20" s="382"/>
      <c r="T20" s="381"/>
      <c r="U20" s="624"/>
      <c r="V20" s="569">
        <v>0</v>
      </c>
      <c r="W20" s="607"/>
      <c r="X20" s="383"/>
      <c r="Y20" s="607"/>
      <c r="Z20" s="383"/>
      <c r="AA20" s="607"/>
      <c r="AB20" s="718"/>
      <c r="AC20" s="335"/>
      <c r="AD20" s="389">
        <v>1E-3</v>
      </c>
      <c r="AE20" s="381">
        <v>1E-3</v>
      </c>
      <c r="AF20" s="389">
        <v>1E-3</v>
      </c>
      <c r="AG20" s="381">
        <v>1E-3</v>
      </c>
      <c r="AH20" s="389">
        <v>1E-3</v>
      </c>
      <c r="AI20" s="381">
        <v>1E-3</v>
      </c>
      <c r="AJ20" s="389" t="s">
        <v>318</v>
      </c>
      <c r="AK20" s="381">
        <v>60000</v>
      </c>
      <c r="AL20" s="381">
        <v>1E-3</v>
      </c>
      <c r="AM20" s="381">
        <v>1E-3</v>
      </c>
      <c r="AN20" s="381">
        <v>1E-3</v>
      </c>
      <c r="AO20" s="381">
        <v>1E-3</v>
      </c>
      <c r="AP20" s="381">
        <v>1E-3</v>
      </c>
      <c r="AQ20" s="381">
        <v>1E-3</v>
      </c>
      <c r="AR20" s="381">
        <v>1E-3</v>
      </c>
      <c r="AS20" s="381">
        <v>1E-3</v>
      </c>
      <c r="AT20" s="381">
        <v>1E-3</v>
      </c>
      <c r="AU20" s="381">
        <v>1E-3</v>
      </c>
      <c r="AV20" s="381">
        <v>1E-3</v>
      </c>
      <c r="AW20" s="381">
        <v>1E-3</v>
      </c>
      <c r="AX20" s="335"/>
      <c r="AZ20" s="1137" t="s">
        <v>251</v>
      </c>
    </row>
    <row r="21" spans="1:52" x14ac:dyDescent="0.2">
      <c r="A21" s="1184">
        <v>15</v>
      </c>
      <c r="B21" s="1137" t="s">
        <v>336</v>
      </c>
      <c r="C21" s="1185">
        <v>260</v>
      </c>
      <c r="D21" s="1114">
        <v>43012007</v>
      </c>
      <c r="E21" s="1520">
        <v>1</v>
      </c>
      <c r="F21" s="1517">
        <v>0</v>
      </c>
      <c r="G21" s="1251">
        <v>0</v>
      </c>
      <c r="H21" s="1240">
        <v>0</v>
      </c>
      <c r="I21" s="1147">
        <v>1E-3</v>
      </c>
      <c r="J21" s="383">
        <v>0</v>
      </c>
      <c r="K21" s="487">
        <v>1E-3</v>
      </c>
      <c r="L21" s="487">
        <v>0</v>
      </c>
      <c r="M21" s="927"/>
      <c r="N21" s="672">
        <v>0</v>
      </c>
      <c r="O21" s="389">
        <v>1E-3</v>
      </c>
      <c r="P21" s="1092">
        <v>0</v>
      </c>
      <c r="Q21" s="1093">
        <v>0</v>
      </c>
      <c r="R21" s="381">
        <v>0</v>
      </c>
      <c r="S21" s="382"/>
      <c r="T21" s="381"/>
      <c r="U21" s="624"/>
      <c r="V21" s="569">
        <v>0</v>
      </c>
      <c r="W21" s="607"/>
      <c r="X21" s="383"/>
      <c r="Y21" s="607"/>
      <c r="Z21" s="383"/>
      <c r="AA21" s="607"/>
      <c r="AB21" s="718"/>
      <c r="AC21" s="335"/>
      <c r="AD21" s="389">
        <v>1E-3</v>
      </c>
      <c r="AE21" s="381">
        <v>1E-3</v>
      </c>
      <c r="AF21" s="389">
        <v>1E-3</v>
      </c>
      <c r="AG21" s="381">
        <v>1E-3</v>
      </c>
      <c r="AH21" s="389">
        <v>1E-3</v>
      </c>
      <c r="AI21" s="381">
        <v>1E-3</v>
      </c>
      <c r="AJ21" s="389">
        <v>1E-3</v>
      </c>
      <c r="AK21" s="381">
        <v>1E-3</v>
      </c>
      <c r="AL21" s="381">
        <v>1E-3</v>
      </c>
      <c r="AM21" s="381">
        <v>1E-3</v>
      </c>
      <c r="AN21" s="381">
        <v>1E-3</v>
      </c>
      <c r="AO21" s="381">
        <v>1E-3</v>
      </c>
      <c r="AP21" s="381">
        <v>1E-3</v>
      </c>
      <c r="AQ21" s="381">
        <v>1E-3</v>
      </c>
      <c r="AR21" s="381">
        <v>1E-3</v>
      </c>
      <c r="AS21" s="381">
        <v>1E-3</v>
      </c>
      <c r="AT21" s="381">
        <v>1E-3</v>
      </c>
      <c r="AU21" s="381">
        <v>1E-3</v>
      </c>
      <c r="AV21" s="381">
        <v>1E-3</v>
      </c>
      <c r="AW21" s="381">
        <v>1E-3</v>
      </c>
      <c r="AX21" s="335"/>
      <c r="AZ21" s="1137" t="s">
        <v>362</v>
      </c>
    </row>
    <row r="22" spans="1:52" x14ac:dyDescent="0.2">
      <c r="A22" s="1184">
        <v>16</v>
      </c>
      <c r="B22" s="1097" t="s">
        <v>15</v>
      </c>
      <c r="C22" s="1185">
        <v>56</v>
      </c>
      <c r="D22" s="1114">
        <v>87082052990</v>
      </c>
      <c r="E22" s="1520">
        <v>2</v>
      </c>
      <c r="F22" s="1517">
        <v>631552</v>
      </c>
      <c r="G22" s="1251">
        <v>0</v>
      </c>
      <c r="H22" s="1240">
        <v>631552</v>
      </c>
      <c r="I22" s="1148">
        <v>3</v>
      </c>
      <c r="J22" s="383">
        <v>371552</v>
      </c>
      <c r="K22" s="487">
        <v>1E-3</v>
      </c>
      <c r="L22" s="487">
        <v>0</v>
      </c>
      <c r="M22" s="927"/>
      <c r="N22" s="672">
        <v>0</v>
      </c>
      <c r="O22" s="389" t="s">
        <v>318</v>
      </c>
      <c r="P22" s="1092">
        <v>130000</v>
      </c>
      <c r="Q22" s="1093">
        <v>0</v>
      </c>
      <c r="R22" s="381">
        <v>130000</v>
      </c>
      <c r="S22" s="382"/>
      <c r="T22" s="381"/>
      <c r="U22" s="624"/>
      <c r="V22" s="569">
        <v>0</v>
      </c>
      <c r="W22" s="607"/>
      <c r="X22" s="383"/>
      <c r="Y22" s="607"/>
      <c r="Z22" s="383"/>
      <c r="AA22" s="607"/>
      <c r="AB22" s="718"/>
      <c r="AC22" s="335"/>
      <c r="AD22" s="389">
        <v>3</v>
      </c>
      <c r="AE22" s="381">
        <v>340000</v>
      </c>
      <c r="AF22" s="389">
        <v>1E-3</v>
      </c>
      <c r="AG22" s="381">
        <v>1E-3</v>
      </c>
      <c r="AH22" s="389">
        <v>1E-3</v>
      </c>
      <c r="AI22" s="381">
        <v>1E-3</v>
      </c>
      <c r="AJ22" s="389" t="s">
        <v>318</v>
      </c>
      <c r="AK22" s="381">
        <v>120000</v>
      </c>
      <c r="AL22" s="381">
        <v>1E-3</v>
      </c>
      <c r="AM22" s="381">
        <v>1E-3</v>
      </c>
      <c r="AN22" s="381">
        <v>1E-3</v>
      </c>
      <c r="AO22" s="381">
        <v>1E-3</v>
      </c>
      <c r="AP22" s="381">
        <v>1E-3</v>
      </c>
      <c r="AQ22" s="381">
        <v>1E-3</v>
      </c>
      <c r="AR22" s="381">
        <v>1E-3</v>
      </c>
      <c r="AS22" s="381">
        <v>1E-3</v>
      </c>
      <c r="AT22" s="381">
        <v>1E-3</v>
      </c>
      <c r="AU22" s="381">
        <v>1E-3</v>
      </c>
      <c r="AV22" s="381">
        <v>1E-3</v>
      </c>
      <c r="AW22" s="381">
        <v>1E-3</v>
      </c>
      <c r="AX22" s="335"/>
      <c r="AZ22" s="1393" t="s">
        <v>15</v>
      </c>
    </row>
    <row r="23" spans="1:52" x14ac:dyDescent="0.2">
      <c r="A23" s="1184">
        <v>17</v>
      </c>
      <c r="B23" s="1097" t="s">
        <v>647</v>
      </c>
      <c r="C23" s="1185">
        <v>218</v>
      </c>
      <c r="D23" s="1114">
        <v>1000416970</v>
      </c>
      <c r="E23" s="1520">
        <v>7</v>
      </c>
      <c r="F23" s="1517">
        <v>0</v>
      </c>
      <c r="G23" s="1251">
        <v>0</v>
      </c>
      <c r="H23" s="1240">
        <v>0</v>
      </c>
      <c r="I23" s="1147">
        <v>1E-3</v>
      </c>
      <c r="J23" s="383">
        <v>0</v>
      </c>
      <c r="K23" s="487">
        <v>1E-3</v>
      </c>
      <c r="L23" s="487">
        <v>0</v>
      </c>
      <c r="M23" s="927"/>
      <c r="N23" s="672">
        <v>0</v>
      </c>
      <c r="O23" s="389">
        <v>1E-3</v>
      </c>
      <c r="P23" s="1092">
        <v>0</v>
      </c>
      <c r="Q23" s="1093">
        <v>0</v>
      </c>
      <c r="R23" s="381">
        <v>0</v>
      </c>
      <c r="S23" s="382"/>
      <c r="T23" s="381"/>
      <c r="U23" s="624"/>
      <c r="V23" s="569">
        <v>0</v>
      </c>
      <c r="W23" s="607"/>
      <c r="X23" s="383"/>
      <c r="Y23" s="607"/>
      <c r="Z23" s="383"/>
      <c r="AA23" s="607"/>
      <c r="AB23" s="718"/>
      <c r="AC23" s="335"/>
      <c r="AD23" s="389">
        <v>1E-3</v>
      </c>
      <c r="AE23" s="381">
        <v>1E-3</v>
      </c>
      <c r="AF23" s="389">
        <v>1E-3</v>
      </c>
      <c r="AG23" s="381">
        <v>1E-3</v>
      </c>
      <c r="AH23" s="389">
        <v>1E-3</v>
      </c>
      <c r="AI23" s="381">
        <v>1E-3</v>
      </c>
      <c r="AJ23" s="389">
        <v>1E-3</v>
      </c>
      <c r="AK23" s="381">
        <v>1E-3</v>
      </c>
      <c r="AL23" s="381">
        <v>1E-3</v>
      </c>
      <c r="AM23" s="381">
        <v>1E-3</v>
      </c>
      <c r="AN23" s="381">
        <v>1E-3</v>
      </c>
      <c r="AO23" s="381">
        <v>1E-3</v>
      </c>
      <c r="AP23" s="381">
        <v>1E-3</v>
      </c>
      <c r="AQ23" s="381">
        <v>1E-3</v>
      </c>
      <c r="AR23" s="381">
        <v>1E-3</v>
      </c>
      <c r="AS23" s="381">
        <v>1E-3</v>
      </c>
      <c r="AT23" s="381">
        <v>1E-3</v>
      </c>
      <c r="AU23" s="381">
        <v>1E-3</v>
      </c>
      <c r="AV23" s="381">
        <v>1E-3</v>
      </c>
      <c r="AW23" s="381">
        <v>1E-3</v>
      </c>
      <c r="AX23" s="335"/>
      <c r="AZ23" s="1201" t="s">
        <v>647</v>
      </c>
    </row>
    <row r="24" spans="1:52" x14ac:dyDescent="0.2">
      <c r="A24" s="1184">
        <v>18</v>
      </c>
      <c r="B24" s="1491" t="s">
        <v>358</v>
      </c>
      <c r="C24" s="1185">
        <v>306</v>
      </c>
      <c r="D24" s="1114">
        <v>71788661</v>
      </c>
      <c r="E24" s="1520">
        <v>9</v>
      </c>
      <c r="F24" s="1517">
        <v>0</v>
      </c>
      <c r="G24" s="1251">
        <v>0</v>
      </c>
      <c r="H24" s="1240">
        <v>0</v>
      </c>
      <c r="I24" s="1147">
        <v>1E-3</v>
      </c>
      <c r="J24" s="383">
        <v>0</v>
      </c>
      <c r="K24" s="487">
        <v>1E-3</v>
      </c>
      <c r="L24" s="487">
        <v>0</v>
      </c>
      <c r="M24" s="927"/>
      <c r="N24" s="672">
        <v>0</v>
      </c>
      <c r="O24" s="389">
        <v>1E-3</v>
      </c>
      <c r="P24" s="1092">
        <v>0</v>
      </c>
      <c r="Q24" s="1093">
        <v>0</v>
      </c>
      <c r="R24" s="381">
        <v>0</v>
      </c>
      <c r="S24" s="382"/>
      <c r="T24" s="381"/>
      <c r="U24" s="624"/>
      <c r="V24" s="569">
        <v>0</v>
      </c>
      <c r="W24" s="607"/>
      <c r="X24" s="383"/>
      <c r="Y24" s="607"/>
      <c r="Z24" s="383"/>
      <c r="AA24" s="607"/>
      <c r="AB24" s="718"/>
      <c r="AC24" s="335"/>
      <c r="AD24" s="389">
        <v>1E-3</v>
      </c>
      <c r="AE24" s="381">
        <v>1E-3</v>
      </c>
      <c r="AF24" s="389">
        <v>1E-3</v>
      </c>
      <c r="AG24" s="381">
        <v>1E-3</v>
      </c>
      <c r="AH24" s="389">
        <v>1E-3</v>
      </c>
      <c r="AI24" s="381">
        <v>1E-3</v>
      </c>
      <c r="AJ24" s="389">
        <v>1E-3</v>
      </c>
      <c r="AK24" s="381">
        <v>1E-3</v>
      </c>
      <c r="AL24" s="381">
        <v>1E-3</v>
      </c>
      <c r="AM24" s="381">
        <v>1E-3</v>
      </c>
      <c r="AN24" s="381">
        <v>1E-3</v>
      </c>
      <c r="AO24" s="381">
        <v>1E-3</v>
      </c>
      <c r="AP24" s="381">
        <v>1E-3</v>
      </c>
      <c r="AQ24" s="381">
        <v>1E-3</v>
      </c>
      <c r="AR24" s="381">
        <v>1E-3</v>
      </c>
      <c r="AS24" s="381">
        <v>1E-3</v>
      </c>
      <c r="AT24" s="381">
        <v>1E-3</v>
      </c>
      <c r="AU24" s="381">
        <v>1E-3</v>
      </c>
      <c r="AV24" s="381">
        <v>1E-3</v>
      </c>
      <c r="AW24" s="381">
        <v>1E-3</v>
      </c>
      <c r="AX24" s="335"/>
      <c r="AZ24" s="1491" t="s">
        <v>358</v>
      </c>
    </row>
    <row r="25" spans="1:52" x14ac:dyDescent="0.2">
      <c r="A25" s="1184">
        <v>19</v>
      </c>
      <c r="B25" s="1097" t="s">
        <v>17</v>
      </c>
      <c r="C25" s="1185">
        <v>59</v>
      </c>
      <c r="D25" s="1114">
        <v>43255512</v>
      </c>
      <c r="E25" s="1520">
        <v>0</v>
      </c>
      <c r="F25" s="1517">
        <v>0</v>
      </c>
      <c r="G25" s="1251">
        <v>0</v>
      </c>
      <c r="H25" s="1240">
        <v>0</v>
      </c>
      <c r="I25" s="1147">
        <v>1E-3</v>
      </c>
      <c r="J25" s="383">
        <v>0</v>
      </c>
      <c r="K25" s="487">
        <v>1E-3</v>
      </c>
      <c r="L25" s="487">
        <v>0</v>
      </c>
      <c r="M25" s="927"/>
      <c r="N25" s="672">
        <v>0</v>
      </c>
      <c r="O25" s="389">
        <v>1E-3</v>
      </c>
      <c r="P25" s="1092">
        <v>0</v>
      </c>
      <c r="Q25" s="1093">
        <v>0</v>
      </c>
      <c r="R25" s="381">
        <v>0</v>
      </c>
      <c r="S25" s="382"/>
      <c r="T25" s="381"/>
      <c r="U25" s="624"/>
      <c r="V25" s="569">
        <v>0</v>
      </c>
      <c r="W25" s="607"/>
      <c r="X25" s="383"/>
      <c r="Y25" s="607"/>
      <c r="Z25" s="383"/>
      <c r="AA25" s="607"/>
      <c r="AB25" s="718"/>
      <c r="AC25" s="335"/>
      <c r="AD25" s="389">
        <v>1E-3</v>
      </c>
      <c r="AE25" s="381">
        <v>1E-3</v>
      </c>
      <c r="AF25" s="389">
        <v>1E-3</v>
      </c>
      <c r="AG25" s="381">
        <v>1E-3</v>
      </c>
      <c r="AH25" s="389">
        <v>1E-3</v>
      </c>
      <c r="AI25" s="381">
        <v>1E-3</v>
      </c>
      <c r="AJ25" s="389">
        <v>1E-3</v>
      </c>
      <c r="AK25" s="381">
        <v>1E-3</v>
      </c>
      <c r="AL25" s="381">
        <v>1E-3</v>
      </c>
      <c r="AM25" s="381">
        <v>1E-3</v>
      </c>
      <c r="AN25" s="381">
        <v>1E-3</v>
      </c>
      <c r="AO25" s="381">
        <v>1E-3</v>
      </c>
      <c r="AP25" s="381">
        <v>1E-3</v>
      </c>
      <c r="AQ25" s="381">
        <v>1E-3</v>
      </c>
      <c r="AR25" s="381">
        <v>1E-3</v>
      </c>
      <c r="AS25" s="381">
        <v>1E-3</v>
      </c>
      <c r="AT25" s="381">
        <v>1E-3</v>
      </c>
      <c r="AU25" s="381">
        <v>1E-3</v>
      </c>
      <c r="AV25" s="381">
        <v>1E-3</v>
      </c>
      <c r="AW25" s="381">
        <v>1E-3</v>
      </c>
      <c r="AX25" s="335"/>
      <c r="AZ25" s="1393" t="s">
        <v>17</v>
      </c>
    </row>
    <row r="26" spans="1:52" x14ac:dyDescent="0.2">
      <c r="A26" s="1184">
        <v>20</v>
      </c>
      <c r="B26" s="1097" t="s">
        <v>274</v>
      </c>
      <c r="C26" s="1185">
        <v>322</v>
      </c>
      <c r="D26" s="1114">
        <v>43820323</v>
      </c>
      <c r="E26" s="1520">
        <v>9</v>
      </c>
      <c r="F26" s="1517">
        <v>0</v>
      </c>
      <c r="G26" s="1251">
        <v>0</v>
      </c>
      <c r="H26" s="1240">
        <v>0</v>
      </c>
      <c r="I26" s="1147">
        <v>1E-3</v>
      </c>
      <c r="J26" s="383">
        <v>0</v>
      </c>
      <c r="K26" s="487">
        <v>1E-3</v>
      </c>
      <c r="L26" s="487">
        <v>0</v>
      </c>
      <c r="M26" s="927"/>
      <c r="N26" s="672">
        <v>0</v>
      </c>
      <c r="O26" s="389">
        <v>1E-3</v>
      </c>
      <c r="P26" s="1092">
        <v>0</v>
      </c>
      <c r="Q26" s="1093">
        <v>0</v>
      </c>
      <c r="R26" s="381">
        <v>0</v>
      </c>
      <c r="S26" s="382"/>
      <c r="T26" s="381"/>
      <c r="U26" s="624"/>
      <c r="V26" s="569">
        <v>0</v>
      </c>
      <c r="W26" s="607"/>
      <c r="X26" s="383"/>
      <c r="Y26" s="607"/>
      <c r="Z26" s="383"/>
      <c r="AA26" s="607"/>
      <c r="AB26" s="718"/>
      <c r="AC26" s="335"/>
      <c r="AD26" s="389">
        <v>1E-3</v>
      </c>
      <c r="AE26" s="381">
        <v>1E-3</v>
      </c>
      <c r="AF26" s="389">
        <v>1E-3</v>
      </c>
      <c r="AG26" s="381">
        <v>1E-3</v>
      </c>
      <c r="AH26" s="389">
        <v>1E-3</v>
      </c>
      <c r="AI26" s="381">
        <v>1E-3</v>
      </c>
      <c r="AJ26" s="389">
        <v>1E-3</v>
      </c>
      <c r="AK26" s="381">
        <v>1E-3</v>
      </c>
      <c r="AL26" s="381">
        <v>1E-3</v>
      </c>
      <c r="AM26" s="381">
        <v>1E-3</v>
      </c>
      <c r="AN26" s="381">
        <v>1E-3</v>
      </c>
      <c r="AO26" s="381">
        <v>1E-3</v>
      </c>
      <c r="AP26" s="381">
        <v>1E-3</v>
      </c>
      <c r="AQ26" s="381">
        <v>1E-3</v>
      </c>
      <c r="AR26" s="381">
        <v>1E-3</v>
      </c>
      <c r="AS26" s="381">
        <v>1E-3</v>
      </c>
      <c r="AT26" s="381">
        <v>1E-3</v>
      </c>
      <c r="AU26" s="381">
        <v>1E-3</v>
      </c>
      <c r="AV26" s="381">
        <v>1E-3</v>
      </c>
      <c r="AW26" s="381">
        <v>1E-3</v>
      </c>
      <c r="AX26" s="335"/>
      <c r="AZ26" s="1097" t="s">
        <v>274</v>
      </c>
    </row>
    <row r="27" spans="1:52" x14ac:dyDescent="0.2">
      <c r="A27" s="1184">
        <v>21</v>
      </c>
      <c r="B27" s="1097" t="s">
        <v>18</v>
      </c>
      <c r="C27" s="1185">
        <v>271</v>
      </c>
      <c r="D27" s="1114">
        <v>3322312</v>
      </c>
      <c r="E27" s="1520">
        <v>6</v>
      </c>
      <c r="F27" s="1517">
        <v>0</v>
      </c>
      <c r="G27" s="1251">
        <v>0</v>
      </c>
      <c r="H27" s="1240">
        <v>0</v>
      </c>
      <c r="I27" s="1147">
        <v>1E-3</v>
      </c>
      <c r="J27" s="383">
        <v>0</v>
      </c>
      <c r="K27" s="487">
        <v>1E-3</v>
      </c>
      <c r="L27" s="487">
        <v>0</v>
      </c>
      <c r="M27" s="927"/>
      <c r="N27" s="672">
        <v>0</v>
      </c>
      <c r="O27" s="389">
        <v>1E-3</v>
      </c>
      <c r="P27" s="1092">
        <v>0</v>
      </c>
      <c r="Q27" s="1093">
        <v>0</v>
      </c>
      <c r="R27" s="381">
        <v>0</v>
      </c>
      <c r="S27" s="382"/>
      <c r="T27" s="381"/>
      <c r="U27" s="624"/>
      <c r="V27" s="569">
        <v>0</v>
      </c>
      <c r="W27" s="607"/>
      <c r="X27" s="383"/>
      <c r="Y27" s="607"/>
      <c r="Z27" s="383"/>
      <c r="AA27" s="607"/>
      <c r="AB27" s="718"/>
      <c r="AC27" s="335"/>
      <c r="AD27" s="389">
        <v>1E-3</v>
      </c>
      <c r="AE27" s="381">
        <v>1E-3</v>
      </c>
      <c r="AF27" s="389">
        <v>1E-3</v>
      </c>
      <c r="AG27" s="381">
        <v>1E-3</v>
      </c>
      <c r="AH27" s="389">
        <v>1E-3</v>
      </c>
      <c r="AI27" s="381">
        <v>1E-3</v>
      </c>
      <c r="AJ27" s="389">
        <v>1E-3</v>
      </c>
      <c r="AK27" s="381">
        <v>1E-3</v>
      </c>
      <c r="AL27" s="381">
        <v>1E-3</v>
      </c>
      <c r="AM27" s="381">
        <v>1E-3</v>
      </c>
      <c r="AN27" s="381">
        <v>1E-3</v>
      </c>
      <c r="AO27" s="381">
        <v>1E-3</v>
      </c>
      <c r="AP27" s="381">
        <v>1E-3</v>
      </c>
      <c r="AQ27" s="381">
        <v>1E-3</v>
      </c>
      <c r="AR27" s="381">
        <v>1E-3</v>
      </c>
      <c r="AS27" s="381">
        <v>1E-3</v>
      </c>
      <c r="AT27" s="381">
        <v>1E-3</v>
      </c>
      <c r="AU27" s="381">
        <v>1E-3</v>
      </c>
      <c r="AV27" s="381">
        <v>1E-3</v>
      </c>
      <c r="AW27" s="381">
        <v>1E-3</v>
      </c>
      <c r="AX27" s="335"/>
      <c r="AZ27" s="1097" t="s">
        <v>18</v>
      </c>
    </row>
    <row r="28" spans="1:52" x14ac:dyDescent="0.2">
      <c r="A28" s="1184">
        <v>22</v>
      </c>
      <c r="B28" s="1097" t="s">
        <v>19</v>
      </c>
      <c r="C28" s="1185">
        <v>60</v>
      </c>
      <c r="D28" s="1114">
        <v>42793787</v>
      </c>
      <c r="E28" s="1520">
        <v>2</v>
      </c>
      <c r="F28" s="1517">
        <v>0</v>
      </c>
      <c r="G28" s="1251">
        <v>0</v>
      </c>
      <c r="H28" s="1240">
        <v>0</v>
      </c>
      <c r="I28" s="1147">
        <v>1E-3</v>
      </c>
      <c r="J28" s="383">
        <v>0</v>
      </c>
      <c r="K28" s="487">
        <v>1E-3</v>
      </c>
      <c r="L28" s="487">
        <v>0</v>
      </c>
      <c r="M28" s="927"/>
      <c r="N28" s="672">
        <v>0</v>
      </c>
      <c r="O28" s="389">
        <v>1E-3</v>
      </c>
      <c r="P28" s="1092">
        <v>0</v>
      </c>
      <c r="Q28" s="1093">
        <v>0</v>
      </c>
      <c r="R28" s="381">
        <v>0</v>
      </c>
      <c r="S28" s="382"/>
      <c r="T28" s="381"/>
      <c r="U28" s="624"/>
      <c r="V28" s="569">
        <v>0</v>
      </c>
      <c r="W28" s="607"/>
      <c r="X28" s="383"/>
      <c r="Y28" s="607"/>
      <c r="Z28" s="383"/>
      <c r="AA28" s="607"/>
      <c r="AB28" s="718"/>
      <c r="AC28" s="335"/>
      <c r="AD28" s="389">
        <v>1E-3</v>
      </c>
      <c r="AE28" s="381">
        <v>1E-3</v>
      </c>
      <c r="AF28" s="389">
        <v>1E-3</v>
      </c>
      <c r="AG28" s="381">
        <v>1E-3</v>
      </c>
      <c r="AH28" s="389">
        <v>1E-3</v>
      </c>
      <c r="AI28" s="381">
        <v>1E-3</v>
      </c>
      <c r="AJ28" s="389">
        <v>1E-3</v>
      </c>
      <c r="AK28" s="381">
        <v>1E-3</v>
      </c>
      <c r="AL28" s="381">
        <v>1E-3</v>
      </c>
      <c r="AM28" s="381">
        <v>1E-3</v>
      </c>
      <c r="AN28" s="381">
        <v>1E-3</v>
      </c>
      <c r="AO28" s="381">
        <v>1E-3</v>
      </c>
      <c r="AP28" s="381">
        <v>1E-3</v>
      </c>
      <c r="AQ28" s="381">
        <v>1E-3</v>
      </c>
      <c r="AR28" s="381">
        <v>1E-3</v>
      </c>
      <c r="AS28" s="381">
        <v>1E-3</v>
      </c>
      <c r="AT28" s="381">
        <v>1E-3</v>
      </c>
      <c r="AU28" s="381">
        <v>1E-3</v>
      </c>
      <c r="AV28" s="381">
        <v>1E-3</v>
      </c>
      <c r="AW28" s="381">
        <v>1E-3</v>
      </c>
      <c r="AX28" s="335"/>
      <c r="AZ28" s="1097" t="s">
        <v>19</v>
      </c>
    </row>
    <row r="29" spans="1:52" x14ac:dyDescent="0.2">
      <c r="A29" s="1184">
        <v>23</v>
      </c>
      <c r="B29" s="1097" t="s">
        <v>20</v>
      </c>
      <c r="C29" s="1185">
        <v>61</v>
      </c>
      <c r="D29" s="1114">
        <v>1035852107</v>
      </c>
      <c r="E29" s="1520">
        <v>3</v>
      </c>
      <c r="F29" s="1517">
        <v>0</v>
      </c>
      <c r="G29" s="1251">
        <v>0</v>
      </c>
      <c r="H29" s="1240">
        <v>0</v>
      </c>
      <c r="I29" s="1147">
        <v>1E-3</v>
      </c>
      <c r="J29" s="383">
        <v>0</v>
      </c>
      <c r="K29" s="487">
        <v>1E-3</v>
      </c>
      <c r="L29" s="487">
        <v>0</v>
      </c>
      <c r="M29" s="927"/>
      <c r="N29" s="672">
        <v>0</v>
      </c>
      <c r="O29" s="389">
        <v>1E-3</v>
      </c>
      <c r="P29" s="1092">
        <v>0</v>
      </c>
      <c r="Q29" s="1093">
        <v>0</v>
      </c>
      <c r="R29" s="381">
        <v>0</v>
      </c>
      <c r="S29" s="382"/>
      <c r="T29" s="381"/>
      <c r="U29" s="624"/>
      <c r="V29" s="569">
        <v>0</v>
      </c>
      <c r="W29" s="607"/>
      <c r="X29" s="383"/>
      <c r="Y29" s="607"/>
      <c r="Z29" s="383"/>
      <c r="AA29" s="607"/>
      <c r="AB29" s="718"/>
      <c r="AC29" s="335"/>
      <c r="AD29" s="389">
        <v>1E-3</v>
      </c>
      <c r="AE29" s="381">
        <v>1E-3</v>
      </c>
      <c r="AF29" s="389">
        <v>1E-3</v>
      </c>
      <c r="AG29" s="381">
        <v>1E-3</v>
      </c>
      <c r="AH29" s="389">
        <v>1E-3</v>
      </c>
      <c r="AI29" s="381">
        <v>1E-3</v>
      </c>
      <c r="AJ29" s="389">
        <v>1E-3</v>
      </c>
      <c r="AK29" s="381">
        <v>1E-3</v>
      </c>
      <c r="AL29" s="381">
        <v>1E-3</v>
      </c>
      <c r="AM29" s="381">
        <v>1E-3</v>
      </c>
      <c r="AN29" s="381">
        <v>1E-3</v>
      </c>
      <c r="AO29" s="381">
        <v>1E-3</v>
      </c>
      <c r="AP29" s="381">
        <v>1E-3</v>
      </c>
      <c r="AQ29" s="381">
        <v>1E-3</v>
      </c>
      <c r="AR29" s="381">
        <v>1E-3</v>
      </c>
      <c r="AS29" s="381">
        <v>1E-3</v>
      </c>
      <c r="AT29" s="381">
        <v>1E-3</v>
      </c>
      <c r="AU29" s="381">
        <v>1E-3</v>
      </c>
      <c r="AV29" s="381">
        <v>1E-3</v>
      </c>
      <c r="AW29" s="381">
        <v>1E-3</v>
      </c>
      <c r="AX29" s="335"/>
      <c r="AZ29" s="1492" t="s">
        <v>20</v>
      </c>
    </row>
    <row r="30" spans="1:52" x14ac:dyDescent="0.2">
      <c r="A30" s="1184">
        <v>24</v>
      </c>
      <c r="B30" s="1137" t="s">
        <v>173</v>
      </c>
      <c r="C30" s="1185">
        <v>246</v>
      </c>
      <c r="D30" s="1114">
        <v>900650238</v>
      </c>
      <c r="E30" s="1520">
        <v>9</v>
      </c>
      <c r="F30" s="1517">
        <v>310000</v>
      </c>
      <c r="G30" s="1251">
        <v>0</v>
      </c>
      <c r="H30" s="1240">
        <v>310000</v>
      </c>
      <c r="I30" s="1147">
        <v>1E-3</v>
      </c>
      <c r="J30" s="383">
        <v>0</v>
      </c>
      <c r="K30" s="487">
        <v>1E-3</v>
      </c>
      <c r="L30" s="487">
        <v>0</v>
      </c>
      <c r="M30" s="927"/>
      <c r="N30" s="672">
        <v>0</v>
      </c>
      <c r="O30" s="389" t="s">
        <v>318</v>
      </c>
      <c r="P30" s="1092">
        <v>70000</v>
      </c>
      <c r="Q30" s="1093">
        <v>0</v>
      </c>
      <c r="R30" s="1585">
        <v>240000</v>
      </c>
      <c r="S30" s="1586" t="s">
        <v>744</v>
      </c>
      <c r="T30" s="381"/>
      <c r="U30" s="624"/>
      <c r="V30" s="569">
        <v>0</v>
      </c>
      <c r="W30" s="607"/>
      <c r="X30" s="383"/>
      <c r="Y30" s="607"/>
      <c r="Z30" s="383"/>
      <c r="AA30" s="607"/>
      <c r="AB30" s="718"/>
      <c r="AC30" s="335"/>
      <c r="AD30" s="389">
        <v>1E-3</v>
      </c>
      <c r="AE30" s="381">
        <v>1E-3</v>
      </c>
      <c r="AF30" s="389">
        <v>1E-3</v>
      </c>
      <c r="AG30" s="381">
        <v>1E-3</v>
      </c>
      <c r="AH30" s="389">
        <v>1E-3</v>
      </c>
      <c r="AI30" s="381">
        <v>1E-3</v>
      </c>
      <c r="AJ30" s="389" t="s">
        <v>318</v>
      </c>
      <c r="AK30" s="381">
        <v>60000</v>
      </c>
      <c r="AL30" s="381">
        <v>0</v>
      </c>
      <c r="AM30" s="381">
        <v>240000</v>
      </c>
      <c r="AN30" s="381" t="s">
        <v>744</v>
      </c>
      <c r="AO30" s="381">
        <v>1E-3</v>
      </c>
      <c r="AP30" s="381">
        <v>1E-3</v>
      </c>
      <c r="AQ30" s="381">
        <v>1E-3</v>
      </c>
      <c r="AR30" s="381">
        <v>1E-3</v>
      </c>
      <c r="AS30" s="381">
        <v>1E-3</v>
      </c>
      <c r="AT30" s="381">
        <v>1E-3</v>
      </c>
      <c r="AU30" s="381">
        <v>1E-3</v>
      </c>
      <c r="AV30" s="381">
        <v>1E-3</v>
      </c>
      <c r="AW30" s="381">
        <v>1E-3</v>
      </c>
      <c r="AX30" s="335"/>
      <c r="AZ30" s="1137" t="s">
        <v>173</v>
      </c>
    </row>
    <row r="31" spans="1:52" x14ac:dyDescent="0.2">
      <c r="A31" s="1184">
        <v>25</v>
      </c>
      <c r="B31" s="1097" t="s">
        <v>21</v>
      </c>
      <c r="C31" s="1185">
        <v>62</v>
      </c>
      <c r="D31" s="1114">
        <v>43577753</v>
      </c>
      <c r="E31" s="1520">
        <v>0</v>
      </c>
      <c r="F31" s="1517">
        <v>0</v>
      </c>
      <c r="G31" s="1251">
        <v>0</v>
      </c>
      <c r="H31" s="1240">
        <v>0</v>
      </c>
      <c r="I31" s="1147">
        <v>1E-3</v>
      </c>
      <c r="J31" s="383">
        <v>0</v>
      </c>
      <c r="K31" s="487">
        <v>1E-3</v>
      </c>
      <c r="L31" s="487">
        <v>0</v>
      </c>
      <c r="M31" s="927"/>
      <c r="N31" s="672">
        <v>0</v>
      </c>
      <c r="O31" s="389">
        <v>1E-3</v>
      </c>
      <c r="P31" s="1092">
        <v>0</v>
      </c>
      <c r="Q31" s="1093">
        <v>0</v>
      </c>
      <c r="R31" s="381">
        <v>0</v>
      </c>
      <c r="S31" s="382"/>
      <c r="T31" s="381"/>
      <c r="U31" s="624"/>
      <c r="V31" s="569">
        <v>0</v>
      </c>
      <c r="W31" s="607"/>
      <c r="X31" s="383"/>
      <c r="Y31" s="607"/>
      <c r="Z31" s="383"/>
      <c r="AA31" s="607"/>
      <c r="AB31" s="718"/>
      <c r="AC31" s="335"/>
      <c r="AD31" s="389">
        <v>1E-3</v>
      </c>
      <c r="AE31" s="381">
        <v>1E-3</v>
      </c>
      <c r="AF31" s="389">
        <v>1E-3</v>
      </c>
      <c r="AG31" s="381">
        <v>1E-3</v>
      </c>
      <c r="AH31" s="389">
        <v>1E-3</v>
      </c>
      <c r="AI31" s="381">
        <v>1E-3</v>
      </c>
      <c r="AJ31" s="389">
        <v>1E-3</v>
      </c>
      <c r="AK31" s="381">
        <v>1E-3</v>
      </c>
      <c r="AL31" s="381">
        <v>1E-3</v>
      </c>
      <c r="AM31" s="381">
        <v>1E-3</v>
      </c>
      <c r="AN31" s="381">
        <v>1E-3</v>
      </c>
      <c r="AO31" s="381">
        <v>1E-3</v>
      </c>
      <c r="AP31" s="381">
        <v>1E-3</v>
      </c>
      <c r="AQ31" s="381">
        <v>1E-3</v>
      </c>
      <c r="AR31" s="381">
        <v>1E-3</v>
      </c>
      <c r="AS31" s="381">
        <v>1E-3</v>
      </c>
      <c r="AT31" s="381">
        <v>1E-3</v>
      </c>
      <c r="AU31" s="381">
        <v>1E-3</v>
      </c>
      <c r="AV31" s="381">
        <v>1E-3</v>
      </c>
      <c r="AW31" s="381">
        <v>1E-3</v>
      </c>
      <c r="AX31" s="335"/>
      <c r="AZ31" s="1097" t="s">
        <v>21</v>
      </c>
    </row>
    <row r="32" spans="1:52" x14ac:dyDescent="0.2">
      <c r="A32" s="1184">
        <v>26</v>
      </c>
      <c r="B32" s="1097" t="s">
        <v>22</v>
      </c>
      <c r="C32" s="1185">
        <v>63</v>
      </c>
      <c r="D32" s="1114">
        <v>71608158</v>
      </c>
      <c r="E32" s="1520">
        <v>4</v>
      </c>
      <c r="F32" s="1517">
        <v>0</v>
      </c>
      <c r="G32" s="1251">
        <v>0</v>
      </c>
      <c r="H32" s="1240">
        <v>0</v>
      </c>
      <c r="I32" s="1147">
        <v>1E-3</v>
      </c>
      <c r="J32" s="383">
        <v>0</v>
      </c>
      <c r="K32" s="487">
        <v>1E-3</v>
      </c>
      <c r="L32" s="487">
        <v>0</v>
      </c>
      <c r="M32" s="927"/>
      <c r="N32" s="672">
        <v>0</v>
      </c>
      <c r="O32" s="389">
        <v>1E-3</v>
      </c>
      <c r="P32" s="1092">
        <v>0</v>
      </c>
      <c r="Q32" s="1093">
        <v>0</v>
      </c>
      <c r="R32" s="381">
        <v>0</v>
      </c>
      <c r="S32" s="382"/>
      <c r="T32" s="381"/>
      <c r="U32" s="624"/>
      <c r="V32" s="569">
        <v>0</v>
      </c>
      <c r="W32" s="607"/>
      <c r="X32" s="383"/>
      <c r="Y32" s="607"/>
      <c r="Z32" s="383"/>
      <c r="AA32" s="607"/>
      <c r="AB32" s="718"/>
      <c r="AC32" s="335"/>
      <c r="AD32" s="389">
        <v>1E-3</v>
      </c>
      <c r="AE32" s="381">
        <v>1E-3</v>
      </c>
      <c r="AF32" s="389">
        <v>1E-3</v>
      </c>
      <c r="AG32" s="381">
        <v>1E-3</v>
      </c>
      <c r="AH32" s="389">
        <v>1E-3</v>
      </c>
      <c r="AI32" s="381">
        <v>1E-3</v>
      </c>
      <c r="AJ32" s="389">
        <v>1E-3</v>
      </c>
      <c r="AK32" s="381">
        <v>1E-3</v>
      </c>
      <c r="AL32" s="381">
        <v>1E-3</v>
      </c>
      <c r="AM32" s="381">
        <v>1E-3</v>
      </c>
      <c r="AN32" s="381">
        <v>1E-3</v>
      </c>
      <c r="AO32" s="381">
        <v>1E-3</v>
      </c>
      <c r="AP32" s="381">
        <v>1E-3</v>
      </c>
      <c r="AQ32" s="381">
        <v>1E-3</v>
      </c>
      <c r="AR32" s="381">
        <v>1E-3</v>
      </c>
      <c r="AS32" s="381">
        <v>1E-3</v>
      </c>
      <c r="AT32" s="381">
        <v>1E-3</v>
      </c>
      <c r="AU32" s="381">
        <v>1E-3</v>
      </c>
      <c r="AV32" s="381">
        <v>1E-3</v>
      </c>
      <c r="AW32" s="381">
        <v>1E-3</v>
      </c>
      <c r="AX32" s="335"/>
      <c r="AZ32" s="1097" t="s">
        <v>22</v>
      </c>
    </row>
    <row r="33" spans="1:52" x14ac:dyDescent="0.2">
      <c r="A33" s="1184">
        <v>27</v>
      </c>
      <c r="B33" s="1097" t="s">
        <v>23</v>
      </c>
      <c r="C33" s="1185">
        <v>65</v>
      </c>
      <c r="D33" s="1114">
        <v>3313365</v>
      </c>
      <c r="E33" s="1520">
        <v>8</v>
      </c>
      <c r="F33" s="1517">
        <v>509473.65540302848</v>
      </c>
      <c r="G33" s="1251">
        <v>0</v>
      </c>
      <c r="H33" s="1240">
        <v>509473.65540302848</v>
      </c>
      <c r="I33" s="1148">
        <v>3</v>
      </c>
      <c r="J33" s="383">
        <v>379473.65540302848</v>
      </c>
      <c r="K33" s="487">
        <v>1E-3</v>
      </c>
      <c r="L33" s="487">
        <v>0</v>
      </c>
      <c r="M33" s="927"/>
      <c r="N33" s="672">
        <v>0</v>
      </c>
      <c r="O33" s="389" t="s">
        <v>318</v>
      </c>
      <c r="P33" s="1092">
        <v>130000</v>
      </c>
      <c r="Q33" s="1093">
        <v>0</v>
      </c>
      <c r="R33" s="381">
        <v>0</v>
      </c>
      <c r="S33" s="382"/>
      <c r="T33" s="381"/>
      <c r="U33" s="624"/>
      <c r="V33" s="569">
        <v>0</v>
      </c>
      <c r="W33" s="607"/>
      <c r="X33" s="383"/>
      <c r="Y33" s="607"/>
      <c r="Z33" s="383"/>
      <c r="AA33" s="607"/>
      <c r="AB33" s="718"/>
      <c r="AC33" s="335"/>
      <c r="AD33" s="389">
        <v>3</v>
      </c>
      <c r="AE33" s="381">
        <v>347248.95260160003</v>
      </c>
      <c r="AF33" s="389">
        <v>1E-3</v>
      </c>
      <c r="AG33" s="381">
        <v>0</v>
      </c>
      <c r="AH33" s="389">
        <v>1E-3</v>
      </c>
      <c r="AI33" s="381">
        <v>0</v>
      </c>
      <c r="AJ33" s="389" t="s">
        <v>318</v>
      </c>
      <c r="AK33" s="381">
        <v>120000</v>
      </c>
      <c r="AL33" s="381">
        <v>1E-3</v>
      </c>
      <c r="AM33" s="381">
        <v>1E-3</v>
      </c>
      <c r="AN33" s="381">
        <v>1E-3</v>
      </c>
      <c r="AO33" s="381">
        <v>1E-3</v>
      </c>
      <c r="AP33" s="381">
        <v>1E-3</v>
      </c>
      <c r="AQ33" s="381">
        <v>1E-3</v>
      </c>
      <c r="AR33" s="381">
        <v>1E-3</v>
      </c>
      <c r="AS33" s="381">
        <v>1E-3</v>
      </c>
      <c r="AT33" s="381">
        <v>1E-3</v>
      </c>
      <c r="AU33" s="381">
        <v>1E-3</v>
      </c>
      <c r="AV33" s="381">
        <v>1E-3</v>
      </c>
      <c r="AW33" s="381">
        <v>1E-3</v>
      </c>
      <c r="AX33" s="335"/>
      <c r="AZ33" s="1097" t="s">
        <v>23</v>
      </c>
    </row>
    <row r="34" spans="1:52" x14ac:dyDescent="0.2">
      <c r="A34" s="1184">
        <v>28</v>
      </c>
      <c r="B34" s="1097" t="s">
        <v>24</v>
      </c>
      <c r="C34" s="1185">
        <v>67</v>
      </c>
      <c r="D34" s="1114">
        <v>5734197</v>
      </c>
      <c r="E34" s="1520">
        <v>0</v>
      </c>
      <c r="F34" s="1517">
        <v>0</v>
      </c>
      <c r="G34" s="1251">
        <v>0</v>
      </c>
      <c r="H34" s="1240">
        <v>0</v>
      </c>
      <c r="I34" s="1147">
        <v>1E-3</v>
      </c>
      <c r="J34" s="383">
        <v>0</v>
      </c>
      <c r="K34" s="487">
        <v>1E-3</v>
      </c>
      <c r="L34" s="487">
        <v>0</v>
      </c>
      <c r="M34" s="927"/>
      <c r="N34" s="672">
        <v>0</v>
      </c>
      <c r="O34" s="389">
        <v>1E-3</v>
      </c>
      <c r="P34" s="1092">
        <v>0</v>
      </c>
      <c r="Q34" s="1093">
        <v>0</v>
      </c>
      <c r="R34" s="381">
        <v>0</v>
      </c>
      <c r="S34" s="382"/>
      <c r="T34" s="381"/>
      <c r="U34" s="624"/>
      <c r="V34" s="569">
        <v>0</v>
      </c>
      <c r="W34" s="607"/>
      <c r="X34" s="383"/>
      <c r="Y34" s="607"/>
      <c r="Z34" s="383"/>
      <c r="AA34" s="607"/>
      <c r="AB34" s="718"/>
      <c r="AC34" s="335"/>
      <c r="AD34" s="389">
        <v>1E-3</v>
      </c>
      <c r="AE34" s="381">
        <v>1E-3</v>
      </c>
      <c r="AF34" s="389">
        <v>1E-3</v>
      </c>
      <c r="AG34" s="381">
        <v>1E-3</v>
      </c>
      <c r="AH34" s="389">
        <v>1E-3</v>
      </c>
      <c r="AI34" s="381">
        <v>1E-3</v>
      </c>
      <c r="AJ34" s="389">
        <v>1E-3</v>
      </c>
      <c r="AK34" s="381">
        <v>1E-3</v>
      </c>
      <c r="AL34" s="381">
        <v>1E-3</v>
      </c>
      <c r="AM34" s="381">
        <v>1E-3</v>
      </c>
      <c r="AN34" s="381">
        <v>1E-3</v>
      </c>
      <c r="AO34" s="381">
        <v>1E-3</v>
      </c>
      <c r="AP34" s="381">
        <v>1E-3</v>
      </c>
      <c r="AQ34" s="381">
        <v>1E-3</v>
      </c>
      <c r="AR34" s="381">
        <v>1E-3</v>
      </c>
      <c r="AS34" s="381">
        <v>1E-3</v>
      </c>
      <c r="AT34" s="381">
        <v>1E-3</v>
      </c>
      <c r="AU34" s="381">
        <v>1E-3</v>
      </c>
      <c r="AV34" s="381">
        <v>1E-3</v>
      </c>
      <c r="AW34" s="381">
        <v>1E-3</v>
      </c>
      <c r="AX34" s="335"/>
      <c r="AZ34" s="1097" t="s">
        <v>24</v>
      </c>
    </row>
    <row r="35" spans="1:52" x14ac:dyDescent="0.2">
      <c r="A35" s="1184">
        <v>29</v>
      </c>
      <c r="B35" s="1097" t="s">
        <v>26</v>
      </c>
      <c r="C35" s="1185">
        <v>68</v>
      </c>
      <c r="D35" s="1114">
        <v>43616958</v>
      </c>
      <c r="E35" s="1520">
        <v>1</v>
      </c>
      <c r="F35" s="1517">
        <v>0</v>
      </c>
      <c r="G35" s="1251">
        <v>0</v>
      </c>
      <c r="H35" s="1240">
        <v>0</v>
      </c>
      <c r="I35" s="1147">
        <v>1E-3</v>
      </c>
      <c r="J35" s="383">
        <v>0</v>
      </c>
      <c r="K35" s="487">
        <v>1E-3</v>
      </c>
      <c r="L35" s="487">
        <v>0</v>
      </c>
      <c r="M35" s="927"/>
      <c r="N35" s="672">
        <v>0</v>
      </c>
      <c r="O35" s="389">
        <v>1E-3</v>
      </c>
      <c r="P35" s="1092">
        <v>0</v>
      </c>
      <c r="Q35" s="1093">
        <v>0</v>
      </c>
      <c r="R35" s="381">
        <v>0</v>
      </c>
      <c r="S35" s="382"/>
      <c r="T35" s="381"/>
      <c r="U35" s="624"/>
      <c r="V35" s="569">
        <v>0</v>
      </c>
      <c r="W35" s="607"/>
      <c r="X35" s="383"/>
      <c r="Y35" s="607"/>
      <c r="Z35" s="383"/>
      <c r="AA35" s="607"/>
      <c r="AB35" s="718"/>
      <c r="AC35" s="335"/>
      <c r="AD35" s="389">
        <v>1E-3</v>
      </c>
      <c r="AE35" s="381">
        <v>1E-3</v>
      </c>
      <c r="AF35" s="389">
        <v>1E-3</v>
      </c>
      <c r="AG35" s="381">
        <v>1E-3</v>
      </c>
      <c r="AH35" s="389">
        <v>1E-3</v>
      </c>
      <c r="AI35" s="381">
        <v>1E-3</v>
      </c>
      <c r="AJ35" s="389">
        <v>1E-3</v>
      </c>
      <c r="AK35" s="381">
        <v>1E-3</v>
      </c>
      <c r="AL35" s="381">
        <v>1E-3</v>
      </c>
      <c r="AM35" s="381">
        <v>1E-3</v>
      </c>
      <c r="AN35" s="381">
        <v>1E-3</v>
      </c>
      <c r="AO35" s="381">
        <v>1E-3</v>
      </c>
      <c r="AP35" s="381">
        <v>1E-3</v>
      </c>
      <c r="AQ35" s="381">
        <v>1E-3</v>
      </c>
      <c r="AR35" s="381">
        <v>1E-3</v>
      </c>
      <c r="AS35" s="381">
        <v>1E-3</v>
      </c>
      <c r="AT35" s="381">
        <v>1E-3</v>
      </c>
      <c r="AU35" s="381">
        <v>1E-3</v>
      </c>
      <c r="AV35" s="381">
        <v>1E-3</v>
      </c>
      <c r="AW35" s="381">
        <v>1E-3</v>
      </c>
      <c r="AX35" s="335"/>
      <c r="AZ35" s="1097" t="s">
        <v>26</v>
      </c>
    </row>
    <row r="36" spans="1:52" x14ac:dyDescent="0.2">
      <c r="A36" s="1184">
        <v>30</v>
      </c>
      <c r="B36" s="1097" t="s">
        <v>25</v>
      </c>
      <c r="C36" s="1185">
        <v>13</v>
      </c>
      <c r="D36" s="1114">
        <v>32441185</v>
      </c>
      <c r="E36" s="1520">
        <v>2</v>
      </c>
      <c r="F36" s="1517">
        <v>0</v>
      </c>
      <c r="G36" s="1251">
        <v>0</v>
      </c>
      <c r="H36" s="1240">
        <v>0</v>
      </c>
      <c r="I36" s="1147">
        <v>1E-3</v>
      </c>
      <c r="J36" s="383">
        <v>0</v>
      </c>
      <c r="K36" s="487">
        <v>1E-3</v>
      </c>
      <c r="L36" s="487">
        <v>0</v>
      </c>
      <c r="M36" s="927"/>
      <c r="N36" s="672">
        <v>0</v>
      </c>
      <c r="O36" s="389">
        <v>1E-3</v>
      </c>
      <c r="P36" s="1092">
        <v>0</v>
      </c>
      <c r="Q36" s="1093">
        <v>0</v>
      </c>
      <c r="R36" s="381">
        <v>0</v>
      </c>
      <c r="S36" s="382"/>
      <c r="T36" s="381"/>
      <c r="U36" s="624"/>
      <c r="V36" s="569">
        <v>0</v>
      </c>
      <c r="W36" s="607"/>
      <c r="X36" s="383"/>
      <c r="Y36" s="607"/>
      <c r="Z36" s="383"/>
      <c r="AA36" s="607"/>
      <c r="AB36" s="718"/>
      <c r="AC36" s="335"/>
      <c r="AD36" s="389">
        <v>1E-3</v>
      </c>
      <c r="AE36" s="381">
        <v>1E-3</v>
      </c>
      <c r="AF36" s="389">
        <v>1E-3</v>
      </c>
      <c r="AG36" s="381">
        <v>1E-3</v>
      </c>
      <c r="AH36" s="389">
        <v>1E-3</v>
      </c>
      <c r="AI36" s="381">
        <v>1E-3</v>
      </c>
      <c r="AJ36" s="389">
        <v>1E-3</v>
      </c>
      <c r="AK36" s="381">
        <v>1E-3</v>
      </c>
      <c r="AL36" s="381">
        <v>1E-3</v>
      </c>
      <c r="AM36" s="381">
        <v>1E-3</v>
      </c>
      <c r="AN36" s="381">
        <v>1E-3</v>
      </c>
      <c r="AO36" s="381">
        <v>1E-3</v>
      </c>
      <c r="AP36" s="381">
        <v>1E-3</v>
      </c>
      <c r="AQ36" s="381">
        <v>1E-3</v>
      </c>
      <c r="AR36" s="381">
        <v>1E-3</v>
      </c>
      <c r="AS36" s="381">
        <v>1E-3</v>
      </c>
      <c r="AT36" s="381">
        <v>1E-3</v>
      </c>
      <c r="AU36" s="381">
        <v>1E-3</v>
      </c>
      <c r="AV36" s="381">
        <v>1E-3</v>
      </c>
      <c r="AW36" s="381">
        <v>1E-3</v>
      </c>
      <c r="AX36" s="335"/>
      <c r="AZ36" s="1097" t="s">
        <v>25</v>
      </c>
    </row>
    <row r="37" spans="1:52" x14ac:dyDescent="0.2">
      <c r="A37" s="1184">
        <v>31</v>
      </c>
      <c r="B37" s="1097" t="s">
        <v>28</v>
      </c>
      <c r="C37" s="1185">
        <v>69</v>
      </c>
      <c r="D37" s="1114">
        <v>21374070</v>
      </c>
      <c r="E37" s="1520">
        <v>7</v>
      </c>
      <c r="F37" s="1517">
        <v>0</v>
      </c>
      <c r="G37" s="1251">
        <v>0</v>
      </c>
      <c r="H37" s="1240">
        <v>0</v>
      </c>
      <c r="I37" s="1147">
        <v>1E-3</v>
      </c>
      <c r="J37" s="383">
        <v>0</v>
      </c>
      <c r="K37" s="487">
        <v>1E-3</v>
      </c>
      <c r="L37" s="487">
        <v>0</v>
      </c>
      <c r="M37" s="927"/>
      <c r="N37" s="672">
        <v>0</v>
      </c>
      <c r="O37" s="389">
        <v>1E-3</v>
      </c>
      <c r="P37" s="1092">
        <v>0</v>
      </c>
      <c r="Q37" s="1093">
        <v>0</v>
      </c>
      <c r="R37" s="381">
        <v>0</v>
      </c>
      <c r="S37" s="382"/>
      <c r="T37" s="381"/>
      <c r="U37" s="624"/>
      <c r="V37" s="569">
        <v>0</v>
      </c>
      <c r="W37" s="607"/>
      <c r="X37" s="383"/>
      <c r="Y37" s="607"/>
      <c r="Z37" s="383"/>
      <c r="AA37" s="607"/>
      <c r="AB37" s="718"/>
      <c r="AC37" s="335"/>
      <c r="AD37" s="389">
        <v>1E-3</v>
      </c>
      <c r="AE37" s="381">
        <v>1E-3</v>
      </c>
      <c r="AF37" s="389">
        <v>1E-3</v>
      </c>
      <c r="AG37" s="381">
        <v>1E-3</v>
      </c>
      <c r="AH37" s="389">
        <v>1E-3</v>
      </c>
      <c r="AI37" s="381">
        <v>1E-3</v>
      </c>
      <c r="AJ37" s="389">
        <v>1E-3</v>
      </c>
      <c r="AK37" s="381">
        <v>1E-3</v>
      </c>
      <c r="AL37" s="381">
        <v>1E-3</v>
      </c>
      <c r="AM37" s="381">
        <v>1E-3</v>
      </c>
      <c r="AN37" s="381">
        <v>1E-3</v>
      </c>
      <c r="AO37" s="381">
        <v>1E-3</v>
      </c>
      <c r="AP37" s="381">
        <v>1E-3</v>
      </c>
      <c r="AQ37" s="381">
        <v>1E-3</v>
      </c>
      <c r="AR37" s="381">
        <v>1E-3</v>
      </c>
      <c r="AS37" s="381">
        <v>1E-3</v>
      </c>
      <c r="AT37" s="381">
        <v>1E-3</v>
      </c>
      <c r="AU37" s="381">
        <v>1E-3</v>
      </c>
      <c r="AV37" s="381">
        <v>1E-3</v>
      </c>
      <c r="AW37" s="381">
        <v>1E-3</v>
      </c>
      <c r="AX37" s="335"/>
      <c r="AZ37" s="1097" t="s">
        <v>28</v>
      </c>
    </row>
    <row r="38" spans="1:52" x14ac:dyDescent="0.2">
      <c r="A38" s="1184">
        <v>32</v>
      </c>
      <c r="B38" s="1097" t="s">
        <v>30</v>
      </c>
      <c r="C38" s="1185">
        <v>71</v>
      </c>
      <c r="D38" s="1114">
        <v>71688257</v>
      </c>
      <c r="E38" s="1520">
        <v>7</v>
      </c>
      <c r="F38" s="1517">
        <v>70000</v>
      </c>
      <c r="G38" s="1251">
        <v>0</v>
      </c>
      <c r="H38" s="1240">
        <v>70000</v>
      </c>
      <c r="I38" s="1147">
        <v>1E-3</v>
      </c>
      <c r="J38" s="383">
        <v>0</v>
      </c>
      <c r="K38" s="487">
        <v>1E-3</v>
      </c>
      <c r="L38" s="487">
        <v>0</v>
      </c>
      <c r="M38" s="927"/>
      <c r="N38" s="672">
        <v>0</v>
      </c>
      <c r="O38" s="389" t="s">
        <v>318</v>
      </c>
      <c r="P38" s="1092">
        <v>70000</v>
      </c>
      <c r="Q38" s="1093">
        <v>0</v>
      </c>
      <c r="R38" s="381">
        <v>0</v>
      </c>
      <c r="S38" s="382"/>
      <c r="T38" s="381"/>
      <c r="U38" s="624"/>
      <c r="V38" s="569">
        <v>0</v>
      </c>
      <c r="W38" s="607"/>
      <c r="X38" s="383"/>
      <c r="Y38" s="607"/>
      <c r="Z38" s="383"/>
      <c r="AA38" s="607"/>
      <c r="AB38" s="718"/>
      <c r="AC38" s="335"/>
      <c r="AD38" s="389">
        <v>1E-3</v>
      </c>
      <c r="AE38" s="381">
        <v>1E-3</v>
      </c>
      <c r="AF38" s="389">
        <v>1E-3</v>
      </c>
      <c r="AG38" s="381">
        <v>1E-3</v>
      </c>
      <c r="AH38" s="389">
        <v>1E-3</v>
      </c>
      <c r="AI38" s="381">
        <v>1E-3</v>
      </c>
      <c r="AJ38" s="389" t="s">
        <v>318</v>
      </c>
      <c r="AK38" s="381">
        <v>60000</v>
      </c>
      <c r="AL38" s="381">
        <v>1E-3</v>
      </c>
      <c r="AM38" s="381">
        <v>1E-3</v>
      </c>
      <c r="AN38" s="381">
        <v>1E-3</v>
      </c>
      <c r="AO38" s="381">
        <v>1E-3</v>
      </c>
      <c r="AP38" s="381">
        <v>1E-3</v>
      </c>
      <c r="AQ38" s="381">
        <v>1E-3</v>
      </c>
      <c r="AR38" s="381">
        <v>1E-3</v>
      </c>
      <c r="AS38" s="381">
        <v>1E-3</v>
      </c>
      <c r="AT38" s="381">
        <v>1E-3</v>
      </c>
      <c r="AU38" s="381">
        <v>1E-3</v>
      </c>
      <c r="AV38" s="381">
        <v>1E-3</v>
      </c>
      <c r="AW38" s="381">
        <v>1E-3</v>
      </c>
      <c r="AX38" s="335"/>
      <c r="AZ38" s="1097" t="s">
        <v>30</v>
      </c>
    </row>
    <row r="39" spans="1:52" x14ac:dyDescent="0.2">
      <c r="A39" s="1184">
        <v>33</v>
      </c>
      <c r="B39" s="1097" t="s">
        <v>31</v>
      </c>
      <c r="C39" s="1185">
        <v>72</v>
      </c>
      <c r="D39" s="1114">
        <v>43584680</v>
      </c>
      <c r="E39" s="1520">
        <v>0</v>
      </c>
      <c r="F39" s="1517">
        <v>0</v>
      </c>
      <c r="G39" s="1251">
        <v>0</v>
      </c>
      <c r="H39" s="1240">
        <v>0</v>
      </c>
      <c r="I39" s="1147">
        <v>1E-3</v>
      </c>
      <c r="J39" s="383">
        <v>0</v>
      </c>
      <c r="K39" s="487">
        <v>1E-3</v>
      </c>
      <c r="L39" s="487">
        <v>0</v>
      </c>
      <c r="M39" s="927"/>
      <c r="N39" s="672">
        <v>0</v>
      </c>
      <c r="O39" s="389">
        <v>1E-3</v>
      </c>
      <c r="P39" s="1092">
        <v>0</v>
      </c>
      <c r="Q39" s="1093">
        <v>0</v>
      </c>
      <c r="R39" s="381">
        <v>0</v>
      </c>
      <c r="S39" s="382"/>
      <c r="T39" s="381"/>
      <c r="U39" s="624"/>
      <c r="V39" s="569">
        <v>0</v>
      </c>
      <c r="W39" s="607"/>
      <c r="X39" s="383"/>
      <c r="Y39" s="607"/>
      <c r="Z39" s="383"/>
      <c r="AA39" s="607"/>
      <c r="AB39" s="718"/>
      <c r="AC39" s="335"/>
      <c r="AD39" s="389">
        <v>1E-3</v>
      </c>
      <c r="AE39" s="381">
        <v>1E-3</v>
      </c>
      <c r="AF39" s="389">
        <v>1E-3</v>
      </c>
      <c r="AG39" s="381">
        <v>1E-3</v>
      </c>
      <c r="AH39" s="389">
        <v>1E-3</v>
      </c>
      <c r="AI39" s="381">
        <v>1E-3</v>
      </c>
      <c r="AJ39" s="389">
        <v>1E-3</v>
      </c>
      <c r="AK39" s="381">
        <v>1E-3</v>
      </c>
      <c r="AL39" s="381">
        <v>1E-3</v>
      </c>
      <c r="AM39" s="381">
        <v>1E-3</v>
      </c>
      <c r="AN39" s="381">
        <v>1E-3</v>
      </c>
      <c r="AO39" s="381">
        <v>1E-3</v>
      </c>
      <c r="AP39" s="381">
        <v>1E-3</v>
      </c>
      <c r="AQ39" s="381">
        <v>1E-3</v>
      </c>
      <c r="AR39" s="381">
        <v>1E-3</v>
      </c>
      <c r="AS39" s="381">
        <v>1E-3</v>
      </c>
      <c r="AT39" s="381">
        <v>1E-3</v>
      </c>
      <c r="AU39" s="381">
        <v>1E-3</v>
      </c>
      <c r="AV39" s="381">
        <v>1E-3</v>
      </c>
      <c r="AW39" s="381">
        <v>1E-3</v>
      </c>
      <c r="AX39" s="335"/>
      <c r="AZ39" s="1097" t="s">
        <v>31</v>
      </c>
    </row>
    <row r="40" spans="1:52" x14ac:dyDescent="0.2">
      <c r="A40" s="1184">
        <v>34</v>
      </c>
      <c r="B40" s="1097" t="s">
        <v>32</v>
      </c>
      <c r="C40" s="1185">
        <v>73</v>
      </c>
      <c r="D40" s="1114">
        <v>71715157</v>
      </c>
      <c r="E40" s="1520">
        <v>5</v>
      </c>
      <c r="F40" s="1517">
        <v>0</v>
      </c>
      <c r="G40" s="1251">
        <v>0</v>
      </c>
      <c r="H40" s="1240">
        <v>0</v>
      </c>
      <c r="I40" s="1147">
        <v>1E-3</v>
      </c>
      <c r="J40" s="383">
        <v>0</v>
      </c>
      <c r="K40" s="487">
        <v>1E-3</v>
      </c>
      <c r="L40" s="487">
        <v>0</v>
      </c>
      <c r="M40" s="927"/>
      <c r="N40" s="672">
        <v>0</v>
      </c>
      <c r="O40" s="389">
        <v>1E-3</v>
      </c>
      <c r="P40" s="1092">
        <v>0</v>
      </c>
      <c r="Q40" s="1093">
        <v>0</v>
      </c>
      <c r="R40" s="381">
        <v>0</v>
      </c>
      <c r="S40" s="382"/>
      <c r="T40" s="381"/>
      <c r="U40" s="624"/>
      <c r="V40" s="569">
        <v>0</v>
      </c>
      <c r="W40" s="607"/>
      <c r="X40" s="383"/>
      <c r="Y40" s="607"/>
      <c r="Z40" s="383"/>
      <c r="AA40" s="607"/>
      <c r="AB40" s="718"/>
      <c r="AC40" s="335"/>
      <c r="AD40" s="389">
        <v>1E-3</v>
      </c>
      <c r="AE40" s="381">
        <v>1E-3</v>
      </c>
      <c r="AF40" s="389">
        <v>1E-3</v>
      </c>
      <c r="AG40" s="381">
        <v>1E-3</v>
      </c>
      <c r="AH40" s="389">
        <v>1E-3</v>
      </c>
      <c r="AI40" s="381">
        <v>1E-3</v>
      </c>
      <c r="AJ40" s="389">
        <v>1E-3</v>
      </c>
      <c r="AK40" s="381">
        <v>1E-3</v>
      </c>
      <c r="AL40" s="381">
        <v>1E-3</v>
      </c>
      <c r="AM40" s="381">
        <v>1E-3</v>
      </c>
      <c r="AN40" s="381">
        <v>1E-3</v>
      </c>
      <c r="AO40" s="381">
        <v>1E-3</v>
      </c>
      <c r="AP40" s="381">
        <v>1E-3</v>
      </c>
      <c r="AQ40" s="381">
        <v>1E-3</v>
      </c>
      <c r="AR40" s="381">
        <v>1E-3</v>
      </c>
      <c r="AS40" s="381">
        <v>1E-3</v>
      </c>
      <c r="AT40" s="381">
        <v>1E-3</v>
      </c>
      <c r="AU40" s="381">
        <v>1E-3</v>
      </c>
      <c r="AV40" s="381">
        <v>1E-3</v>
      </c>
      <c r="AW40" s="381">
        <v>1E-3</v>
      </c>
      <c r="AX40" s="335"/>
      <c r="AZ40" s="1097" t="s">
        <v>32</v>
      </c>
    </row>
    <row r="41" spans="1:52" x14ac:dyDescent="0.2">
      <c r="A41" s="1184">
        <v>35</v>
      </c>
      <c r="B41" s="1097" t="s">
        <v>357</v>
      </c>
      <c r="C41" s="1185">
        <v>74</v>
      </c>
      <c r="D41" s="1114">
        <v>8237268</v>
      </c>
      <c r="E41" s="1520">
        <v>4</v>
      </c>
      <c r="F41" s="1517">
        <v>243947.3499019469</v>
      </c>
      <c r="G41" s="1251">
        <v>0</v>
      </c>
      <c r="H41" s="1240">
        <v>243947.3499019469</v>
      </c>
      <c r="I41" s="1148">
        <v>3</v>
      </c>
      <c r="J41" s="383">
        <v>243947.3499019469</v>
      </c>
      <c r="K41" s="487">
        <v>1E-3</v>
      </c>
      <c r="L41" s="487">
        <v>0</v>
      </c>
      <c r="M41" s="927"/>
      <c r="N41" s="672">
        <v>0</v>
      </c>
      <c r="O41" s="389">
        <v>1E-3</v>
      </c>
      <c r="P41" s="1092">
        <v>0</v>
      </c>
      <c r="Q41" s="1093">
        <v>0</v>
      </c>
      <c r="R41" s="381">
        <v>0</v>
      </c>
      <c r="S41" s="382"/>
      <c r="T41" s="381"/>
      <c r="U41" s="624"/>
      <c r="V41" s="569">
        <v>0</v>
      </c>
      <c r="W41" s="607"/>
      <c r="X41" s="383"/>
      <c r="Y41" s="607"/>
      <c r="Z41" s="383"/>
      <c r="AA41" s="607"/>
      <c r="AB41" s="718"/>
      <c r="AC41" s="335"/>
      <c r="AD41" s="389">
        <v>3</v>
      </c>
      <c r="AE41" s="381">
        <v>223231.4695296</v>
      </c>
      <c r="AF41" s="389">
        <v>1E-3</v>
      </c>
      <c r="AG41" s="381">
        <v>1E-3</v>
      </c>
      <c r="AH41" s="389">
        <v>1E-3</v>
      </c>
      <c r="AI41" s="381">
        <v>1E-3</v>
      </c>
      <c r="AJ41" s="389">
        <v>1E-3</v>
      </c>
      <c r="AK41" s="381">
        <v>1E-3</v>
      </c>
      <c r="AL41" s="381">
        <v>1E-3</v>
      </c>
      <c r="AM41" s="381">
        <v>1E-3</v>
      </c>
      <c r="AN41" s="381">
        <v>1E-3</v>
      </c>
      <c r="AO41" s="381">
        <v>1E-3</v>
      </c>
      <c r="AP41" s="381">
        <v>1E-3</v>
      </c>
      <c r="AQ41" s="381">
        <v>1E-3</v>
      </c>
      <c r="AR41" s="381">
        <v>1E-3</v>
      </c>
      <c r="AS41" s="381">
        <v>1E-3</v>
      </c>
      <c r="AT41" s="381">
        <v>1E-3</v>
      </c>
      <c r="AU41" s="381">
        <v>1E-3</v>
      </c>
      <c r="AV41" s="381">
        <v>1E-3</v>
      </c>
      <c r="AW41" s="381">
        <v>1E-3</v>
      </c>
      <c r="AX41" s="335"/>
      <c r="AZ41" s="1097" t="s">
        <v>357</v>
      </c>
    </row>
    <row r="42" spans="1:52" x14ac:dyDescent="0.2">
      <c r="A42" s="1184">
        <v>36</v>
      </c>
      <c r="B42" s="1097" t="s">
        <v>33</v>
      </c>
      <c r="C42" s="1185">
        <v>75</v>
      </c>
      <c r="D42" s="1114">
        <v>21829209</v>
      </c>
      <c r="E42" s="1520">
        <v>8</v>
      </c>
      <c r="F42" s="1517">
        <v>0</v>
      </c>
      <c r="G42" s="1251">
        <v>0</v>
      </c>
      <c r="H42" s="1240">
        <v>0</v>
      </c>
      <c r="I42" s="1147">
        <v>1E-3</v>
      </c>
      <c r="J42" s="383">
        <v>0</v>
      </c>
      <c r="K42" s="487">
        <v>1E-3</v>
      </c>
      <c r="L42" s="487">
        <v>0</v>
      </c>
      <c r="M42" s="927"/>
      <c r="N42" s="672">
        <v>0</v>
      </c>
      <c r="O42" s="389">
        <v>1E-3</v>
      </c>
      <c r="P42" s="1092">
        <v>0</v>
      </c>
      <c r="Q42" s="1093">
        <v>0</v>
      </c>
      <c r="R42" s="381">
        <v>0</v>
      </c>
      <c r="S42" s="382"/>
      <c r="T42" s="381"/>
      <c r="U42" s="624"/>
      <c r="V42" s="569">
        <v>0</v>
      </c>
      <c r="W42" s="607"/>
      <c r="X42" s="383"/>
      <c r="Y42" s="607"/>
      <c r="Z42" s="383"/>
      <c r="AA42" s="607"/>
      <c r="AB42" s="718"/>
      <c r="AC42" s="335"/>
      <c r="AD42" s="389">
        <v>1E-3</v>
      </c>
      <c r="AE42" s="381">
        <v>1E-3</v>
      </c>
      <c r="AF42" s="389">
        <v>1E-3</v>
      </c>
      <c r="AG42" s="381">
        <v>1E-3</v>
      </c>
      <c r="AH42" s="389">
        <v>1E-3</v>
      </c>
      <c r="AI42" s="381">
        <v>1E-3</v>
      </c>
      <c r="AJ42" s="389">
        <v>1E-3</v>
      </c>
      <c r="AK42" s="381">
        <v>1E-3</v>
      </c>
      <c r="AL42" s="381">
        <v>1E-3</v>
      </c>
      <c r="AM42" s="381">
        <v>1E-3</v>
      </c>
      <c r="AN42" s="381">
        <v>1E-3</v>
      </c>
      <c r="AO42" s="381">
        <v>1E-3</v>
      </c>
      <c r="AP42" s="381">
        <v>1E-3</v>
      </c>
      <c r="AQ42" s="381">
        <v>1E-3</v>
      </c>
      <c r="AR42" s="381">
        <v>1E-3</v>
      </c>
      <c r="AS42" s="381">
        <v>1E-3</v>
      </c>
      <c r="AT42" s="381">
        <v>1E-3</v>
      </c>
      <c r="AU42" s="381">
        <v>1E-3</v>
      </c>
      <c r="AV42" s="381">
        <v>1E-3</v>
      </c>
      <c r="AW42" s="381">
        <v>1E-3</v>
      </c>
      <c r="AX42" s="335"/>
      <c r="AZ42" s="1470" t="s">
        <v>33</v>
      </c>
    </row>
    <row r="43" spans="1:52" x14ac:dyDescent="0.2">
      <c r="A43" s="1184">
        <v>37</v>
      </c>
      <c r="B43" s="1097" t="s">
        <v>35</v>
      </c>
      <c r="C43" s="1185">
        <v>77</v>
      </c>
      <c r="D43" s="1114">
        <v>43525573</v>
      </c>
      <c r="E43" s="1520">
        <v>9</v>
      </c>
      <c r="F43" s="1517">
        <v>0</v>
      </c>
      <c r="G43" s="1251">
        <v>0</v>
      </c>
      <c r="H43" s="1240">
        <v>0</v>
      </c>
      <c r="I43" s="1147">
        <v>1E-3</v>
      </c>
      <c r="J43" s="383">
        <v>0</v>
      </c>
      <c r="K43" s="487">
        <v>1E-3</v>
      </c>
      <c r="L43" s="487">
        <v>0</v>
      </c>
      <c r="M43" s="927"/>
      <c r="N43" s="672">
        <v>0</v>
      </c>
      <c r="O43" s="389">
        <v>1E-3</v>
      </c>
      <c r="P43" s="1092">
        <v>0</v>
      </c>
      <c r="Q43" s="1093">
        <v>0</v>
      </c>
      <c r="R43" s="381">
        <v>0</v>
      </c>
      <c r="S43" s="382"/>
      <c r="T43" s="381"/>
      <c r="U43" s="624"/>
      <c r="V43" s="569">
        <v>0</v>
      </c>
      <c r="W43" s="607"/>
      <c r="X43" s="383"/>
      <c r="Y43" s="607"/>
      <c r="Z43" s="383"/>
      <c r="AA43" s="607"/>
      <c r="AB43" s="718"/>
      <c r="AC43" s="335"/>
      <c r="AD43" s="389">
        <v>1E-3</v>
      </c>
      <c r="AE43" s="381">
        <v>1E-3</v>
      </c>
      <c r="AF43" s="389">
        <v>1E-3</v>
      </c>
      <c r="AG43" s="381">
        <v>1E-3</v>
      </c>
      <c r="AH43" s="389">
        <v>1E-3</v>
      </c>
      <c r="AI43" s="381">
        <v>1E-3</v>
      </c>
      <c r="AJ43" s="389">
        <v>1E-3</v>
      </c>
      <c r="AK43" s="381">
        <v>1E-3</v>
      </c>
      <c r="AL43" s="381">
        <v>1E-3</v>
      </c>
      <c r="AM43" s="381">
        <v>1E-3</v>
      </c>
      <c r="AN43" s="381">
        <v>1E-3</v>
      </c>
      <c r="AO43" s="381">
        <v>1E-3</v>
      </c>
      <c r="AP43" s="381">
        <v>1E-3</v>
      </c>
      <c r="AQ43" s="381">
        <v>1E-3</v>
      </c>
      <c r="AR43" s="381">
        <v>1E-3</v>
      </c>
      <c r="AS43" s="381">
        <v>1E-3</v>
      </c>
      <c r="AT43" s="381">
        <v>1E-3</v>
      </c>
      <c r="AU43" s="381">
        <v>1E-3</v>
      </c>
      <c r="AV43" s="381">
        <v>1E-3</v>
      </c>
      <c r="AW43" s="381">
        <v>1E-3</v>
      </c>
      <c r="AX43" s="335"/>
      <c r="AZ43" s="1097" t="s">
        <v>35</v>
      </c>
    </row>
    <row r="44" spans="1:52" x14ac:dyDescent="0.2">
      <c r="A44" s="1184">
        <v>38</v>
      </c>
      <c r="B44" s="1137" t="s">
        <v>673</v>
      </c>
      <c r="C44" s="1185">
        <v>8</v>
      </c>
      <c r="D44" s="1114">
        <v>811028472</v>
      </c>
      <c r="E44" s="1520">
        <v>7</v>
      </c>
      <c r="F44" s="1517">
        <v>0</v>
      </c>
      <c r="G44" s="1251">
        <v>0</v>
      </c>
      <c r="H44" s="1240">
        <v>0</v>
      </c>
      <c r="I44" s="1147">
        <v>1E-3</v>
      </c>
      <c r="J44" s="383">
        <v>0</v>
      </c>
      <c r="K44" s="487">
        <v>1E-3</v>
      </c>
      <c r="L44" s="487">
        <v>0</v>
      </c>
      <c r="M44" s="927"/>
      <c r="N44" s="672">
        <v>0</v>
      </c>
      <c r="O44" s="389">
        <v>1E-3</v>
      </c>
      <c r="P44" s="1092">
        <v>0</v>
      </c>
      <c r="Q44" s="1093">
        <v>0</v>
      </c>
      <c r="R44" s="381">
        <v>0</v>
      </c>
      <c r="S44" s="382"/>
      <c r="T44" s="381"/>
      <c r="U44" s="624"/>
      <c r="V44" s="569">
        <v>0</v>
      </c>
      <c r="W44" s="607"/>
      <c r="X44" s="383"/>
      <c r="Y44" s="607"/>
      <c r="Z44" s="383"/>
      <c r="AA44" s="607"/>
      <c r="AB44" s="718"/>
      <c r="AC44" s="335"/>
      <c r="AD44" s="389">
        <v>1E-3</v>
      </c>
      <c r="AE44" s="381">
        <v>1E-3</v>
      </c>
      <c r="AF44" s="389">
        <v>1E-3</v>
      </c>
      <c r="AG44" s="381">
        <v>1E-3</v>
      </c>
      <c r="AH44" s="389">
        <v>1E-3</v>
      </c>
      <c r="AI44" s="381">
        <v>1E-3</v>
      </c>
      <c r="AJ44" s="389">
        <v>1E-3</v>
      </c>
      <c r="AK44" s="381">
        <v>1E-3</v>
      </c>
      <c r="AL44" s="381">
        <v>1E-3</v>
      </c>
      <c r="AM44" s="381">
        <v>1E-3</v>
      </c>
      <c r="AN44" s="381">
        <v>1E-3</v>
      </c>
      <c r="AO44" s="381">
        <v>1E-3</v>
      </c>
      <c r="AP44" s="381">
        <v>1E-3</v>
      </c>
      <c r="AQ44" s="381">
        <v>1E-3</v>
      </c>
      <c r="AR44" s="381">
        <v>1E-3</v>
      </c>
      <c r="AS44" s="381">
        <v>1E-3</v>
      </c>
      <c r="AT44" s="381">
        <v>1E-3</v>
      </c>
      <c r="AU44" s="381">
        <v>1E-3</v>
      </c>
      <c r="AV44" s="381">
        <v>1E-3</v>
      </c>
      <c r="AW44" s="381">
        <v>1E-3</v>
      </c>
      <c r="AX44" s="335"/>
      <c r="AZ44" s="1137" t="s">
        <v>673</v>
      </c>
    </row>
    <row r="45" spans="1:52" x14ac:dyDescent="0.2">
      <c r="A45" s="1184">
        <v>39</v>
      </c>
      <c r="B45" s="1137" t="s">
        <v>317</v>
      </c>
      <c r="C45" s="1185">
        <v>9</v>
      </c>
      <c r="D45" s="1114">
        <v>811017889</v>
      </c>
      <c r="E45" s="1520">
        <v>7</v>
      </c>
      <c r="F45" s="1517">
        <v>1674999.8827123302</v>
      </c>
      <c r="G45" s="1251">
        <v>0</v>
      </c>
      <c r="H45" s="1240">
        <v>1674999.8827123302</v>
      </c>
      <c r="I45" s="1148">
        <v>6</v>
      </c>
      <c r="J45" s="383">
        <v>731842.04970584053</v>
      </c>
      <c r="K45" s="712">
        <v>12</v>
      </c>
      <c r="L45" s="487">
        <v>813157.83300648979</v>
      </c>
      <c r="M45" s="927"/>
      <c r="N45" s="672">
        <v>0</v>
      </c>
      <c r="O45" s="389" t="s">
        <v>318</v>
      </c>
      <c r="P45" s="1092">
        <v>130000</v>
      </c>
      <c r="Q45" s="1093">
        <v>0</v>
      </c>
      <c r="R45" s="381">
        <v>0</v>
      </c>
      <c r="S45" s="382"/>
      <c r="T45" s="381"/>
      <c r="U45" s="624"/>
      <c r="V45" s="569">
        <v>0</v>
      </c>
      <c r="W45" s="607"/>
      <c r="X45" s="383"/>
      <c r="Y45" s="607"/>
      <c r="Z45" s="383"/>
      <c r="AA45" s="607"/>
      <c r="AB45" s="718"/>
      <c r="AC45" s="335"/>
      <c r="AD45" s="389">
        <v>6</v>
      </c>
      <c r="AE45" s="381">
        <v>669694.40858879988</v>
      </c>
      <c r="AF45" s="389">
        <v>12</v>
      </c>
      <c r="AG45" s="381">
        <v>744104.89843200007</v>
      </c>
      <c r="AH45" s="389">
        <v>1E-3</v>
      </c>
      <c r="AI45" s="381">
        <v>0</v>
      </c>
      <c r="AJ45" s="389" t="s">
        <v>318</v>
      </c>
      <c r="AK45" s="381">
        <v>120000</v>
      </c>
      <c r="AL45" s="381">
        <v>1E-3</v>
      </c>
      <c r="AM45" s="381">
        <v>1E-3</v>
      </c>
      <c r="AN45" s="381">
        <v>1E-3</v>
      </c>
      <c r="AO45" s="381">
        <v>1E-3</v>
      </c>
      <c r="AP45" s="381">
        <v>1E-3</v>
      </c>
      <c r="AQ45" s="381">
        <v>1E-3</v>
      </c>
      <c r="AR45" s="381">
        <v>1E-3</v>
      </c>
      <c r="AS45" s="381">
        <v>1E-3</v>
      </c>
      <c r="AT45" s="381">
        <v>1E-3</v>
      </c>
      <c r="AU45" s="381">
        <v>1E-3</v>
      </c>
      <c r="AV45" s="381">
        <v>1E-3</v>
      </c>
      <c r="AW45" s="381">
        <v>1E-3</v>
      </c>
      <c r="AX45" s="335"/>
      <c r="AZ45" s="1201" t="s">
        <v>317</v>
      </c>
    </row>
    <row r="46" spans="1:52" x14ac:dyDescent="0.2">
      <c r="A46" s="1184">
        <v>40</v>
      </c>
      <c r="B46" s="1097" t="s">
        <v>37</v>
      </c>
      <c r="C46" s="1185">
        <v>303</v>
      </c>
      <c r="D46" s="1114">
        <v>71750917</v>
      </c>
      <c r="E46" s="1520">
        <v>4</v>
      </c>
      <c r="F46" s="1517">
        <v>70000</v>
      </c>
      <c r="G46" s="1251">
        <v>0</v>
      </c>
      <c r="H46" s="1240">
        <v>70000</v>
      </c>
      <c r="I46" s="1147">
        <v>1E-3</v>
      </c>
      <c r="J46" s="383">
        <v>0</v>
      </c>
      <c r="K46" s="487">
        <v>1E-3</v>
      </c>
      <c r="L46" s="487">
        <v>0</v>
      </c>
      <c r="M46" s="927"/>
      <c r="N46" s="672">
        <v>0</v>
      </c>
      <c r="O46" s="389" t="s">
        <v>318</v>
      </c>
      <c r="P46" s="1092">
        <v>70000</v>
      </c>
      <c r="Q46" s="1093">
        <v>0</v>
      </c>
      <c r="R46" s="381">
        <v>0</v>
      </c>
      <c r="S46" s="382"/>
      <c r="T46" s="381"/>
      <c r="U46" s="624"/>
      <c r="V46" s="569">
        <v>0</v>
      </c>
      <c r="W46" s="607"/>
      <c r="X46" s="383"/>
      <c r="Y46" s="607"/>
      <c r="Z46" s="383"/>
      <c r="AA46" s="607"/>
      <c r="AB46" s="718"/>
      <c r="AC46" s="335"/>
      <c r="AD46" s="389">
        <v>1E-3</v>
      </c>
      <c r="AE46" s="381">
        <v>1E-3</v>
      </c>
      <c r="AF46" s="389">
        <v>1E-3</v>
      </c>
      <c r="AG46" s="381">
        <v>1E-3</v>
      </c>
      <c r="AH46" s="389">
        <v>1E-3</v>
      </c>
      <c r="AI46" s="381">
        <v>1E-3</v>
      </c>
      <c r="AJ46" s="389" t="s">
        <v>318</v>
      </c>
      <c r="AK46" s="381">
        <v>60000</v>
      </c>
      <c r="AL46" s="381">
        <v>1E-3</v>
      </c>
      <c r="AM46" s="381">
        <v>1E-3</v>
      </c>
      <c r="AN46" s="381">
        <v>1E-3</v>
      </c>
      <c r="AO46" s="381">
        <v>1E-3</v>
      </c>
      <c r="AP46" s="381">
        <v>1E-3</v>
      </c>
      <c r="AQ46" s="381">
        <v>1E-3</v>
      </c>
      <c r="AR46" s="381">
        <v>1E-3</v>
      </c>
      <c r="AS46" s="381">
        <v>1E-3</v>
      </c>
      <c r="AT46" s="381">
        <v>1E-3</v>
      </c>
      <c r="AU46" s="381">
        <v>1E-3</v>
      </c>
      <c r="AV46" s="381">
        <v>1E-3</v>
      </c>
      <c r="AW46" s="381">
        <v>1E-3</v>
      </c>
      <c r="AX46" s="335"/>
      <c r="AZ46" s="1097" t="s">
        <v>37</v>
      </c>
    </row>
    <row r="47" spans="1:52" x14ac:dyDescent="0.2">
      <c r="A47" s="1184">
        <v>41</v>
      </c>
      <c r="B47" s="1097" t="s">
        <v>335</v>
      </c>
      <c r="C47" s="1185">
        <v>348</v>
      </c>
      <c r="D47" s="1114">
        <v>42874922</v>
      </c>
      <c r="E47" s="1520">
        <v>9</v>
      </c>
      <c r="F47" s="1517">
        <v>0</v>
      </c>
      <c r="G47" s="1251">
        <v>0</v>
      </c>
      <c r="H47" s="1240">
        <v>0</v>
      </c>
      <c r="I47" s="1147">
        <v>1E-3</v>
      </c>
      <c r="J47" s="383">
        <v>0</v>
      </c>
      <c r="K47" s="487">
        <v>1E-3</v>
      </c>
      <c r="L47" s="487">
        <v>0</v>
      </c>
      <c r="M47" s="927"/>
      <c r="N47" s="672">
        <v>0</v>
      </c>
      <c r="O47" s="389">
        <v>1E-3</v>
      </c>
      <c r="P47" s="1092">
        <v>0</v>
      </c>
      <c r="Q47" s="1093">
        <v>0</v>
      </c>
      <c r="R47" s="381">
        <v>0</v>
      </c>
      <c r="S47" s="382"/>
      <c r="T47" s="381"/>
      <c r="U47" s="624"/>
      <c r="V47" s="569">
        <v>0</v>
      </c>
      <c r="W47" s="607"/>
      <c r="X47" s="383"/>
      <c r="Y47" s="607"/>
      <c r="Z47" s="383"/>
      <c r="AA47" s="607"/>
      <c r="AB47" s="718"/>
      <c r="AC47" s="335"/>
      <c r="AD47" s="389">
        <v>1E-3</v>
      </c>
      <c r="AE47" s="381">
        <v>1E-3</v>
      </c>
      <c r="AF47" s="389">
        <v>1E-3</v>
      </c>
      <c r="AG47" s="381">
        <v>1E-3</v>
      </c>
      <c r="AH47" s="389">
        <v>1E-3</v>
      </c>
      <c r="AI47" s="381">
        <v>1E-3</v>
      </c>
      <c r="AJ47" s="389">
        <v>1E-3</v>
      </c>
      <c r="AK47" s="381">
        <v>1E-3</v>
      </c>
      <c r="AL47" s="381">
        <v>1E-3</v>
      </c>
      <c r="AM47" s="381">
        <v>1E-3</v>
      </c>
      <c r="AN47" s="381">
        <v>1E-3</v>
      </c>
      <c r="AO47" s="381">
        <v>1E-3</v>
      </c>
      <c r="AP47" s="381">
        <v>1E-3</v>
      </c>
      <c r="AQ47" s="381">
        <v>1E-3</v>
      </c>
      <c r="AR47" s="381">
        <v>1E-3</v>
      </c>
      <c r="AS47" s="381">
        <v>1E-3</v>
      </c>
      <c r="AT47" s="381">
        <v>1E-3</v>
      </c>
      <c r="AU47" s="381">
        <v>1E-3</v>
      </c>
      <c r="AV47" s="381">
        <v>1E-3</v>
      </c>
      <c r="AW47" s="381">
        <v>1E-3</v>
      </c>
      <c r="AX47" s="335"/>
      <c r="AZ47" s="1097" t="s">
        <v>335</v>
      </c>
    </row>
    <row r="48" spans="1:52" x14ac:dyDescent="0.2">
      <c r="A48" s="1184">
        <v>42</v>
      </c>
      <c r="B48" s="1097" t="s">
        <v>324</v>
      </c>
      <c r="C48" s="1185">
        <v>338</v>
      </c>
      <c r="D48" s="1114">
        <v>42876443</v>
      </c>
      <c r="E48" s="1520">
        <v>1</v>
      </c>
      <c r="F48" s="1517">
        <v>150000</v>
      </c>
      <c r="G48" s="1251">
        <v>0</v>
      </c>
      <c r="H48" s="1240">
        <v>150000</v>
      </c>
      <c r="I48" s="1147">
        <v>1E-3</v>
      </c>
      <c r="J48" s="383">
        <v>0</v>
      </c>
      <c r="K48" s="487">
        <v>1E-3</v>
      </c>
      <c r="L48" s="487">
        <v>0</v>
      </c>
      <c r="M48" s="927"/>
      <c r="N48" s="672">
        <v>0</v>
      </c>
      <c r="O48" s="389">
        <v>1E-3</v>
      </c>
      <c r="P48" s="1092">
        <v>0</v>
      </c>
      <c r="Q48" s="1093">
        <v>0</v>
      </c>
      <c r="R48" s="381">
        <v>150000</v>
      </c>
      <c r="S48" s="382" t="s">
        <v>766</v>
      </c>
      <c r="T48" s="381"/>
      <c r="U48" s="624"/>
      <c r="V48" s="569">
        <v>0</v>
      </c>
      <c r="W48" s="607"/>
      <c r="X48" s="383"/>
      <c r="Y48" s="607"/>
      <c r="Z48" s="383"/>
      <c r="AA48" s="607"/>
      <c r="AB48" s="718"/>
      <c r="AC48" s="335"/>
      <c r="AD48" s="389">
        <v>1E-3</v>
      </c>
      <c r="AE48" s="381">
        <v>1E-3</v>
      </c>
      <c r="AF48" s="389">
        <v>1E-3</v>
      </c>
      <c r="AG48" s="381">
        <v>1E-3</v>
      </c>
      <c r="AH48" s="389">
        <v>1E-3</v>
      </c>
      <c r="AI48" s="381">
        <v>1E-3</v>
      </c>
      <c r="AJ48" s="389">
        <v>1E-3</v>
      </c>
      <c r="AK48" s="381">
        <v>1E-3</v>
      </c>
      <c r="AL48" s="381">
        <v>1E-3</v>
      </c>
      <c r="AM48" s="381">
        <v>1E-3</v>
      </c>
      <c r="AN48" s="381">
        <v>1E-3</v>
      </c>
      <c r="AO48" s="381">
        <v>1E-3</v>
      </c>
      <c r="AP48" s="381">
        <v>1E-3</v>
      </c>
      <c r="AQ48" s="381">
        <v>1E-3</v>
      </c>
      <c r="AR48" s="381">
        <v>1E-3</v>
      </c>
      <c r="AS48" s="381">
        <v>1E-3</v>
      </c>
      <c r="AT48" s="381">
        <v>1E-3</v>
      </c>
      <c r="AU48" s="381">
        <v>1E-3</v>
      </c>
      <c r="AV48" s="381">
        <v>1E-3</v>
      </c>
      <c r="AW48" s="381">
        <v>1E-3</v>
      </c>
      <c r="AX48" s="335"/>
      <c r="AZ48" s="1097" t="s">
        <v>324</v>
      </c>
    </row>
    <row r="49" spans="1:52" x14ac:dyDescent="0.2">
      <c r="A49" s="1184">
        <v>43</v>
      </c>
      <c r="B49" s="1097" t="s">
        <v>241</v>
      </c>
      <c r="C49" s="1185">
        <v>313</v>
      </c>
      <c r="D49" s="1114">
        <v>43502550</v>
      </c>
      <c r="E49" s="1520">
        <v>0</v>
      </c>
      <c r="F49" s="1517">
        <v>0</v>
      </c>
      <c r="G49" s="1251">
        <v>0</v>
      </c>
      <c r="H49" s="1240">
        <v>0</v>
      </c>
      <c r="I49" s="1147">
        <v>1E-3</v>
      </c>
      <c r="J49" s="383">
        <v>0</v>
      </c>
      <c r="K49" s="487">
        <v>1E-3</v>
      </c>
      <c r="L49" s="487">
        <v>0</v>
      </c>
      <c r="M49" s="927"/>
      <c r="N49" s="672">
        <v>0</v>
      </c>
      <c r="O49" s="389">
        <v>1E-3</v>
      </c>
      <c r="P49" s="1092">
        <v>0</v>
      </c>
      <c r="Q49" s="1093">
        <v>0</v>
      </c>
      <c r="R49" s="381">
        <v>0</v>
      </c>
      <c r="S49" s="382"/>
      <c r="T49" s="381"/>
      <c r="U49" s="624"/>
      <c r="V49" s="569">
        <v>0</v>
      </c>
      <c r="W49" s="607"/>
      <c r="X49" s="383"/>
      <c r="Y49" s="607"/>
      <c r="Z49" s="383"/>
      <c r="AA49" s="607"/>
      <c r="AB49" s="718"/>
      <c r="AC49" s="335"/>
      <c r="AD49" s="389">
        <v>1E-3</v>
      </c>
      <c r="AE49" s="381">
        <v>1E-3</v>
      </c>
      <c r="AF49" s="389">
        <v>1E-3</v>
      </c>
      <c r="AG49" s="381">
        <v>1E-3</v>
      </c>
      <c r="AH49" s="389">
        <v>1E-3</v>
      </c>
      <c r="AI49" s="381">
        <v>1E-3</v>
      </c>
      <c r="AJ49" s="389">
        <v>1E-3</v>
      </c>
      <c r="AK49" s="381">
        <v>1E-3</v>
      </c>
      <c r="AL49" s="381">
        <v>1E-3</v>
      </c>
      <c r="AM49" s="381">
        <v>1E-3</v>
      </c>
      <c r="AN49" s="381">
        <v>1E-3</v>
      </c>
      <c r="AO49" s="381">
        <v>1E-3</v>
      </c>
      <c r="AP49" s="381">
        <v>1E-3</v>
      </c>
      <c r="AQ49" s="381">
        <v>1E-3</v>
      </c>
      <c r="AR49" s="381">
        <v>1E-3</v>
      </c>
      <c r="AS49" s="381">
        <v>1E-3</v>
      </c>
      <c r="AT49" s="381">
        <v>1E-3</v>
      </c>
      <c r="AU49" s="381">
        <v>1E-3</v>
      </c>
      <c r="AV49" s="381">
        <v>1E-3</v>
      </c>
      <c r="AW49" s="381">
        <v>1E-3</v>
      </c>
      <c r="AX49" s="335"/>
      <c r="AZ49" s="1097" t="s">
        <v>241</v>
      </c>
    </row>
    <row r="50" spans="1:52" x14ac:dyDescent="0.2">
      <c r="A50" s="1184">
        <v>44</v>
      </c>
      <c r="B50" s="1097" t="s">
        <v>273</v>
      </c>
      <c r="C50" s="1185">
        <v>324</v>
      </c>
      <c r="D50" s="1114">
        <v>43221128</v>
      </c>
      <c r="E50" s="1520">
        <v>9</v>
      </c>
      <c r="F50" s="1517">
        <v>0</v>
      </c>
      <c r="G50" s="1251">
        <v>0</v>
      </c>
      <c r="H50" s="1240">
        <v>0</v>
      </c>
      <c r="I50" s="1147">
        <v>1E-3</v>
      </c>
      <c r="J50" s="383">
        <v>0</v>
      </c>
      <c r="K50" s="487">
        <v>1E-3</v>
      </c>
      <c r="L50" s="487">
        <v>0</v>
      </c>
      <c r="M50" s="927"/>
      <c r="N50" s="672">
        <v>0</v>
      </c>
      <c r="O50" s="389">
        <v>1E-3</v>
      </c>
      <c r="P50" s="1092">
        <v>0</v>
      </c>
      <c r="Q50" s="1093">
        <v>0</v>
      </c>
      <c r="R50" s="381">
        <v>0</v>
      </c>
      <c r="S50" s="382"/>
      <c r="T50" s="381"/>
      <c r="U50" s="624"/>
      <c r="V50" s="569">
        <v>0</v>
      </c>
      <c r="W50" s="607"/>
      <c r="X50" s="383"/>
      <c r="Y50" s="607"/>
      <c r="Z50" s="383"/>
      <c r="AA50" s="607"/>
      <c r="AB50" s="718"/>
      <c r="AC50" s="335"/>
      <c r="AD50" s="389">
        <v>1E-3</v>
      </c>
      <c r="AE50" s="381">
        <v>1E-3</v>
      </c>
      <c r="AF50" s="389">
        <v>1E-3</v>
      </c>
      <c r="AG50" s="381">
        <v>1E-3</v>
      </c>
      <c r="AH50" s="389">
        <v>1E-3</v>
      </c>
      <c r="AI50" s="381">
        <v>1E-3</v>
      </c>
      <c r="AJ50" s="389">
        <v>1E-3</v>
      </c>
      <c r="AK50" s="381">
        <v>1E-3</v>
      </c>
      <c r="AL50" s="381">
        <v>1E-3</v>
      </c>
      <c r="AM50" s="381">
        <v>1E-3</v>
      </c>
      <c r="AN50" s="381">
        <v>1E-3</v>
      </c>
      <c r="AO50" s="381">
        <v>1E-3</v>
      </c>
      <c r="AP50" s="381">
        <v>1E-3</v>
      </c>
      <c r="AQ50" s="381">
        <v>1E-3</v>
      </c>
      <c r="AR50" s="381">
        <v>1E-3</v>
      </c>
      <c r="AS50" s="381">
        <v>1E-3</v>
      </c>
      <c r="AT50" s="381">
        <v>1E-3</v>
      </c>
      <c r="AU50" s="381">
        <v>1E-3</v>
      </c>
      <c r="AV50" s="381">
        <v>1E-3</v>
      </c>
      <c r="AW50" s="381">
        <v>1E-3</v>
      </c>
      <c r="AX50" s="335"/>
      <c r="AZ50" s="1097" t="s">
        <v>273</v>
      </c>
    </row>
    <row r="51" spans="1:52" x14ac:dyDescent="0.2">
      <c r="A51" s="1184">
        <v>45</v>
      </c>
      <c r="B51" s="1097" t="s">
        <v>428</v>
      </c>
      <c r="C51" s="1185">
        <v>340</v>
      </c>
      <c r="D51" s="1114">
        <v>8215384</v>
      </c>
      <c r="E51" s="1520">
        <v>6</v>
      </c>
      <c r="F51" s="1517">
        <v>0</v>
      </c>
      <c r="G51" s="1251">
        <v>0</v>
      </c>
      <c r="H51" s="1240">
        <v>0</v>
      </c>
      <c r="I51" s="1147">
        <v>1E-3</v>
      </c>
      <c r="J51" s="383">
        <v>0</v>
      </c>
      <c r="K51" s="487">
        <v>1E-3</v>
      </c>
      <c r="L51" s="487">
        <v>0</v>
      </c>
      <c r="M51" s="927"/>
      <c r="N51" s="672">
        <v>0</v>
      </c>
      <c r="O51" s="389">
        <v>1E-3</v>
      </c>
      <c r="P51" s="1092">
        <v>0</v>
      </c>
      <c r="Q51" s="1093">
        <v>0</v>
      </c>
      <c r="R51" s="381">
        <v>0</v>
      </c>
      <c r="S51" s="382"/>
      <c r="T51" s="381"/>
      <c r="U51" s="624"/>
      <c r="V51" s="569">
        <v>0</v>
      </c>
      <c r="W51" s="607"/>
      <c r="X51" s="383"/>
      <c r="Y51" s="607"/>
      <c r="Z51" s="383"/>
      <c r="AA51" s="607"/>
      <c r="AB51" s="718"/>
      <c r="AC51" s="335"/>
      <c r="AD51" s="389">
        <v>1E-3</v>
      </c>
      <c r="AE51" s="381">
        <v>1E-3</v>
      </c>
      <c r="AF51" s="389">
        <v>1E-3</v>
      </c>
      <c r="AG51" s="381">
        <v>1E-3</v>
      </c>
      <c r="AH51" s="389">
        <v>1E-3</v>
      </c>
      <c r="AI51" s="381">
        <v>1E-3</v>
      </c>
      <c r="AJ51" s="389">
        <v>1E-3</v>
      </c>
      <c r="AK51" s="381">
        <v>1E-3</v>
      </c>
      <c r="AL51" s="381">
        <v>1E-3</v>
      </c>
      <c r="AM51" s="381">
        <v>1E-3</v>
      </c>
      <c r="AN51" s="381">
        <v>1E-3</v>
      </c>
      <c r="AO51" s="381">
        <v>1E-3</v>
      </c>
      <c r="AP51" s="381">
        <v>1E-3</v>
      </c>
      <c r="AQ51" s="381">
        <v>1E-3</v>
      </c>
      <c r="AR51" s="381">
        <v>1E-3</v>
      </c>
      <c r="AS51" s="381">
        <v>1E-3</v>
      </c>
      <c r="AT51" s="381">
        <v>1E-3</v>
      </c>
      <c r="AU51" s="381">
        <v>1E-3</v>
      </c>
      <c r="AV51" s="381">
        <v>1E-3</v>
      </c>
      <c r="AW51" s="381">
        <v>1E-3</v>
      </c>
      <c r="AX51" s="335"/>
      <c r="AZ51" s="1097" t="s">
        <v>428</v>
      </c>
    </row>
    <row r="52" spans="1:52" x14ac:dyDescent="0.2">
      <c r="A52" s="1184">
        <v>46</v>
      </c>
      <c r="B52" s="1097" t="s">
        <v>429</v>
      </c>
      <c r="C52" s="1185">
        <v>349</v>
      </c>
      <c r="D52" s="1114">
        <v>75072481</v>
      </c>
      <c r="E52" s="1520">
        <v>0</v>
      </c>
      <c r="F52" s="1517">
        <v>0</v>
      </c>
      <c r="G52" s="1251">
        <v>0</v>
      </c>
      <c r="H52" s="1240">
        <v>0</v>
      </c>
      <c r="I52" s="1147">
        <v>1E-3</v>
      </c>
      <c r="J52" s="383">
        <v>0</v>
      </c>
      <c r="K52" s="487">
        <v>1E-3</v>
      </c>
      <c r="L52" s="487">
        <v>0</v>
      </c>
      <c r="M52" s="927"/>
      <c r="N52" s="672">
        <v>0</v>
      </c>
      <c r="O52" s="389">
        <v>1E-3</v>
      </c>
      <c r="P52" s="1092">
        <v>0</v>
      </c>
      <c r="Q52" s="1093">
        <v>0</v>
      </c>
      <c r="R52" s="381">
        <v>0</v>
      </c>
      <c r="S52" s="382"/>
      <c r="T52" s="381"/>
      <c r="U52" s="624"/>
      <c r="V52" s="569">
        <v>0</v>
      </c>
      <c r="W52" s="607"/>
      <c r="X52" s="383"/>
      <c r="Y52" s="607"/>
      <c r="Z52" s="383"/>
      <c r="AA52" s="607"/>
      <c r="AB52" s="718"/>
      <c r="AC52" s="335"/>
      <c r="AD52" s="389">
        <v>1E-3</v>
      </c>
      <c r="AE52" s="381">
        <v>1E-3</v>
      </c>
      <c r="AF52" s="389">
        <v>1E-3</v>
      </c>
      <c r="AG52" s="381">
        <v>1E-3</v>
      </c>
      <c r="AH52" s="389">
        <v>1E-3</v>
      </c>
      <c r="AI52" s="381">
        <v>1E-3</v>
      </c>
      <c r="AJ52" s="389">
        <v>1E-3</v>
      </c>
      <c r="AK52" s="381">
        <v>1E-3</v>
      </c>
      <c r="AL52" s="381">
        <v>1E-3</v>
      </c>
      <c r="AM52" s="381">
        <v>1E-3</v>
      </c>
      <c r="AN52" s="381">
        <v>1E-3</v>
      </c>
      <c r="AO52" s="381">
        <v>1E-3</v>
      </c>
      <c r="AP52" s="381">
        <v>1E-3</v>
      </c>
      <c r="AQ52" s="381">
        <v>1E-3</v>
      </c>
      <c r="AR52" s="381">
        <v>1E-3</v>
      </c>
      <c r="AS52" s="381">
        <v>1E-3</v>
      </c>
      <c r="AT52" s="381">
        <v>1E-3</v>
      </c>
      <c r="AU52" s="381">
        <v>1E-3</v>
      </c>
      <c r="AV52" s="381">
        <v>1E-3</v>
      </c>
      <c r="AW52" s="381">
        <v>1E-3</v>
      </c>
      <c r="AX52" s="335"/>
      <c r="AZ52" s="1097" t="s">
        <v>429</v>
      </c>
    </row>
    <row r="53" spans="1:52" x14ac:dyDescent="0.2">
      <c r="A53" s="1184">
        <v>47</v>
      </c>
      <c r="B53" s="1097" t="s">
        <v>40</v>
      </c>
      <c r="C53" s="1185">
        <v>299</v>
      </c>
      <c r="D53" s="1114">
        <v>8105540</v>
      </c>
      <c r="E53" s="1520">
        <v>7</v>
      </c>
      <c r="F53" s="1517">
        <v>0</v>
      </c>
      <c r="G53" s="1251">
        <v>0</v>
      </c>
      <c r="H53" s="1240">
        <v>0</v>
      </c>
      <c r="I53" s="1147">
        <v>1E-3</v>
      </c>
      <c r="J53" s="383">
        <v>0</v>
      </c>
      <c r="K53" s="487">
        <v>1E-3</v>
      </c>
      <c r="L53" s="487">
        <v>0</v>
      </c>
      <c r="M53" s="927"/>
      <c r="N53" s="672">
        <v>0</v>
      </c>
      <c r="O53" s="389">
        <v>1E-3</v>
      </c>
      <c r="P53" s="1092">
        <v>0</v>
      </c>
      <c r="Q53" s="1093">
        <v>0</v>
      </c>
      <c r="R53" s="381">
        <v>0</v>
      </c>
      <c r="S53" s="382"/>
      <c r="T53" s="381"/>
      <c r="U53" s="624"/>
      <c r="V53" s="569">
        <v>0</v>
      </c>
      <c r="W53" s="607"/>
      <c r="X53" s="383"/>
      <c r="Y53" s="607"/>
      <c r="Z53" s="383"/>
      <c r="AA53" s="607"/>
      <c r="AB53" s="718"/>
      <c r="AC53" s="335"/>
      <c r="AD53" s="389">
        <v>1E-3</v>
      </c>
      <c r="AE53" s="381">
        <v>1E-3</v>
      </c>
      <c r="AF53" s="389">
        <v>1E-3</v>
      </c>
      <c r="AG53" s="381">
        <v>1E-3</v>
      </c>
      <c r="AH53" s="389">
        <v>1E-3</v>
      </c>
      <c r="AI53" s="381">
        <v>1E-3</v>
      </c>
      <c r="AJ53" s="389">
        <v>1E-3</v>
      </c>
      <c r="AK53" s="381">
        <v>1E-3</v>
      </c>
      <c r="AL53" s="381">
        <v>1E-3</v>
      </c>
      <c r="AM53" s="381">
        <v>1E-3</v>
      </c>
      <c r="AN53" s="381">
        <v>1E-3</v>
      </c>
      <c r="AO53" s="381">
        <v>1E-3</v>
      </c>
      <c r="AP53" s="381">
        <v>1E-3</v>
      </c>
      <c r="AQ53" s="381">
        <v>1E-3</v>
      </c>
      <c r="AR53" s="381">
        <v>1E-3</v>
      </c>
      <c r="AS53" s="381">
        <v>1E-3</v>
      </c>
      <c r="AT53" s="381">
        <v>1E-3</v>
      </c>
      <c r="AU53" s="381">
        <v>1E-3</v>
      </c>
      <c r="AV53" s="381">
        <v>1E-3</v>
      </c>
      <c r="AW53" s="381">
        <v>1E-3</v>
      </c>
      <c r="AX53" s="335"/>
      <c r="AZ53" s="1097" t="s">
        <v>40</v>
      </c>
    </row>
    <row r="54" spans="1:52" x14ac:dyDescent="0.2">
      <c r="A54" s="1184">
        <v>48</v>
      </c>
      <c r="B54" s="1097" t="s">
        <v>39</v>
      </c>
      <c r="C54" s="1185">
        <v>295</v>
      </c>
      <c r="D54" s="1114">
        <v>10059375</v>
      </c>
      <c r="E54" s="1520">
        <v>8</v>
      </c>
      <c r="F54" s="1517">
        <v>0</v>
      </c>
      <c r="G54" s="1251">
        <v>0</v>
      </c>
      <c r="H54" s="1240">
        <v>0</v>
      </c>
      <c r="I54" s="1147">
        <v>1E-3</v>
      </c>
      <c r="J54" s="383">
        <v>0</v>
      </c>
      <c r="K54" s="487">
        <v>1E-3</v>
      </c>
      <c r="L54" s="487">
        <v>0</v>
      </c>
      <c r="M54" s="927"/>
      <c r="N54" s="672">
        <v>0</v>
      </c>
      <c r="O54" s="389">
        <v>1E-3</v>
      </c>
      <c r="P54" s="1092">
        <v>0</v>
      </c>
      <c r="Q54" s="1093">
        <v>0</v>
      </c>
      <c r="R54" s="381">
        <v>0</v>
      </c>
      <c r="S54" s="382"/>
      <c r="T54" s="381"/>
      <c r="U54" s="624"/>
      <c r="V54" s="569">
        <v>0</v>
      </c>
      <c r="W54" s="607"/>
      <c r="X54" s="383"/>
      <c r="Y54" s="607"/>
      <c r="Z54" s="383"/>
      <c r="AA54" s="607"/>
      <c r="AB54" s="718"/>
      <c r="AC54" s="335"/>
      <c r="AD54" s="389">
        <v>1E-3</v>
      </c>
      <c r="AE54" s="381">
        <v>1E-3</v>
      </c>
      <c r="AF54" s="389">
        <v>1E-3</v>
      </c>
      <c r="AG54" s="381">
        <v>1E-3</v>
      </c>
      <c r="AH54" s="389">
        <v>1E-3</v>
      </c>
      <c r="AI54" s="381">
        <v>1E-3</v>
      </c>
      <c r="AJ54" s="389">
        <v>1E-3</v>
      </c>
      <c r="AK54" s="381">
        <v>1E-3</v>
      </c>
      <c r="AL54" s="381">
        <v>1E-3</v>
      </c>
      <c r="AM54" s="381">
        <v>1E-3</v>
      </c>
      <c r="AN54" s="381">
        <v>1E-3</v>
      </c>
      <c r="AO54" s="381">
        <v>1E-3</v>
      </c>
      <c r="AP54" s="381">
        <v>1E-3</v>
      </c>
      <c r="AQ54" s="381">
        <v>1E-3</v>
      </c>
      <c r="AR54" s="381">
        <v>1E-3</v>
      </c>
      <c r="AS54" s="381">
        <v>1E-3</v>
      </c>
      <c r="AT54" s="381">
        <v>1E-3</v>
      </c>
      <c r="AU54" s="381">
        <v>1E-3</v>
      </c>
      <c r="AV54" s="381">
        <v>1E-3</v>
      </c>
      <c r="AW54" s="381">
        <v>1E-3</v>
      </c>
      <c r="AX54" s="335"/>
      <c r="AZ54" s="1097" t="s">
        <v>39</v>
      </c>
    </row>
    <row r="55" spans="1:52" x14ac:dyDescent="0.2">
      <c r="A55" s="1184">
        <v>49</v>
      </c>
      <c r="B55" s="1097" t="s">
        <v>41</v>
      </c>
      <c r="C55" s="1185">
        <v>81</v>
      </c>
      <c r="D55" s="1114">
        <v>21378780</v>
      </c>
      <c r="E55" s="1520">
        <v>6</v>
      </c>
      <c r="F55" s="1517">
        <v>0</v>
      </c>
      <c r="G55" s="1251">
        <v>0</v>
      </c>
      <c r="H55" s="1240">
        <v>0</v>
      </c>
      <c r="I55" s="1147">
        <v>1E-3</v>
      </c>
      <c r="J55" s="383">
        <v>0</v>
      </c>
      <c r="K55" s="487">
        <v>1E-3</v>
      </c>
      <c r="L55" s="487">
        <v>0</v>
      </c>
      <c r="M55" s="927"/>
      <c r="N55" s="672">
        <v>0</v>
      </c>
      <c r="O55" s="389">
        <v>1E-3</v>
      </c>
      <c r="P55" s="1092">
        <v>0</v>
      </c>
      <c r="Q55" s="1093">
        <v>0</v>
      </c>
      <c r="R55" s="381">
        <v>0</v>
      </c>
      <c r="S55" s="382"/>
      <c r="T55" s="381"/>
      <c r="U55" s="624"/>
      <c r="V55" s="569">
        <v>0</v>
      </c>
      <c r="W55" s="607"/>
      <c r="X55" s="383"/>
      <c r="Y55" s="607"/>
      <c r="Z55" s="383"/>
      <c r="AA55" s="607"/>
      <c r="AB55" s="718"/>
      <c r="AC55" s="335"/>
      <c r="AD55" s="389">
        <v>1E-3</v>
      </c>
      <c r="AE55" s="381">
        <v>1E-3</v>
      </c>
      <c r="AF55" s="389">
        <v>1E-3</v>
      </c>
      <c r="AG55" s="381">
        <v>1E-3</v>
      </c>
      <c r="AH55" s="389">
        <v>1E-3</v>
      </c>
      <c r="AI55" s="381">
        <v>1E-3</v>
      </c>
      <c r="AJ55" s="389">
        <v>1E-3</v>
      </c>
      <c r="AK55" s="381">
        <v>1E-3</v>
      </c>
      <c r="AL55" s="381">
        <v>1E-3</v>
      </c>
      <c r="AM55" s="381">
        <v>1E-3</v>
      </c>
      <c r="AN55" s="381">
        <v>1E-3</v>
      </c>
      <c r="AO55" s="381">
        <v>1E-3</v>
      </c>
      <c r="AP55" s="381">
        <v>1E-3</v>
      </c>
      <c r="AQ55" s="381">
        <v>1E-3</v>
      </c>
      <c r="AR55" s="381">
        <v>1E-3</v>
      </c>
      <c r="AS55" s="381">
        <v>1E-3</v>
      </c>
      <c r="AT55" s="381">
        <v>1E-3</v>
      </c>
      <c r="AU55" s="381">
        <v>1E-3</v>
      </c>
      <c r="AV55" s="381">
        <v>1E-3</v>
      </c>
      <c r="AW55" s="381">
        <v>1E-3</v>
      </c>
      <c r="AX55" s="335"/>
      <c r="AZ55" s="1393" t="s">
        <v>41</v>
      </c>
    </row>
    <row r="56" spans="1:52" x14ac:dyDescent="0.2">
      <c r="A56" s="1184">
        <v>50</v>
      </c>
      <c r="B56" s="1198" t="s">
        <v>269</v>
      </c>
      <c r="C56" s="1185">
        <v>10</v>
      </c>
      <c r="D56" s="1114">
        <v>890911921</v>
      </c>
      <c r="E56" s="1520">
        <v>7</v>
      </c>
      <c r="F56" s="1517">
        <v>0</v>
      </c>
      <c r="G56" s="1251">
        <v>0</v>
      </c>
      <c r="H56" s="1240">
        <v>0</v>
      </c>
      <c r="I56" s="1147">
        <v>1E-3</v>
      </c>
      <c r="J56" s="383">
        <v>0</v>
      </c>
      <c r="K56" s="487">
        <v>1E-3</v>
      </c>
      <c r="L56" s="487">
        <v>0</v>
      </c>
      <c r="M56" s="927"/>
      <c r="N56" s="672">
        <v>0</v>
      </c>
      <c r="O56" s="389">
        <v>1E-3</v>
      </c>
      <c r="P56" s="1092">
        <v>0</v>
      </c>
      <c r="Q56" s="1093">
        <v>0</v>
      </c>
      <c r="R56" s="381">
        <v>0</v>
      </c>
      <c r="S56" s="382"/>
      <c r="T56" s="381"/>
      <c r="U56" s="624"/>
      <c r="V56" s="569">
        <v>0</v>
      </c>
      <c r="W56" s="607"/>
      <c r="X56" s="383"/>
      <c r="Y56" s="607"/>
      <c r="Z56" s="383"/>
      <c r="AA56" s="607"/>
      <c r="AB56" s="718"/>
      <c r="AC56" s="335"/>
      <c r="AD56" s="389">
        <v>1E-3</v>
      </c>
      <c r="AE56" s="381">
        <v>1E-3</v>
      </c>
      <c r="AF56" s="389">
        <v>1E-3</v>
      </c>
      <c r="AG56" s="381">
        <v>1E-3</v>
      </c>
      <c r="AH56" s="389">
        <v>1E-3</v>
      </c>
      <c r="AI56" s="381">
        <v>1E-3</v>
      </c>
      <c r="AJ56" s="389">
        <v>1E-3</v>
      </c>
      <c r="AK56" s="381">
        <v>1E-3</v>
      </c>
      <c r="AL56" s="381">
        <v>1E-3</v>
      </c>
      <c r="AM56" s="381">
        <v>1E-3</v>
      </c>
      <c r="AN56" s="381">
        <v>1E-3</v>
      </c>
      <c r="AO56" s="381">
        <v>1E-3</v>
      </c>
      <c r="AP56" s="381">
        <v>1E-3</v>
      </c>
      <c r="AQ56" s="381">
        <v>1E-3</v>
      </c>
      <c r="AR56" s="381">
        <v>1E-3</v>
      </c>
      <c r="AS56" s="381">
        <v>1E-3</v>
      </c>
      <c r="AT56" s="381">
        <v>1E-3</v>
      </c>
      <c r="AU56" s="381">
        <v>1E-3</v>
      </c>
      <c r="AV56" s="381">
        <v>1E-3</v>
      </c>
      <c r="AW56" s="381">
        <v>1E-3</v>
      </c>
      <c r="AX56" s="335"/>
      <c r="AZ56" s="1137" t="s">
        <v>269</v>
      </c>
    </row>
    <row r="57" spans="1:52" x14ac:dyDescent="0.2">
      <c r="A57" s="1184">
        <v>51</v>
      </c>
      <c r="B57" s="1097" t="s">
        <v>42</v>
      </c>
      <c r="C57" s="1185">
        <v>272</v>
      </c>
      <c r="D57" s="1114">
        <v>43832021</v>
      </c>
      <c r="E57" s="1520">
        <v>1</v>
      </c>
      <c r="F57" s="1517">
        <v>0</v>
      </c>
      <c r="G57" s="1251">
        <v>0</v>
      </c>
      <c r="H57" s="1240">
        <v>0</v>
      </c>
      <c r="I57" s="1147">
        <v>1E-3</v>
      </c>
      <c r="J57" s="383">
        <v>0</v>
      </c>
      <c r="K57" s="487">
        <v>1E-3</v>
      </c>
      <c r="L57" s="487">
        <v>0</v>
      </c>
      <c r="M57" s="927"/>
      <c r="N57" s="672">
        <v>0</v>
      </c>
      <c r="O57" s="389">
        <v>1E-3</v>
      </c>
      <c r="P57" s="1092">
        <v>0</v>
      </c>
      <c r="Q57" s="1093">
        <v>0</v>
      </c>
      <c r="R57" s="381">
        <v>0</v>
      </c>
      <c r="S57" s="382"/>
      <c r="T57" s="381"/>
      <c r="U57" s="624"/>
      <c r="V57" s="569">
        <v>0</v>
      </c>
      <c r="W57" s="607"/>
      <c r="X57" s="383"/>
      <c r="Y57" s="607"/>
      <c r="Z57" s="383"/>
      <c r="AA57" s="607"/>
      <c r="AB57" s="718"/>
      <c r="AC57" s="335"/>
      <c r="AD57" s="389">
        <v>1E-3</v>
      </c>
      <c r="AE57" s="381">
        <v>1E-3</v>
      </c>
      <c r="AF57" s="389">
        <v>1E-3</v>
      </c>
      <c r="AG57" s="381">
        <v>1E-3</v>
      </c>
      <c r="AH57" s="389">
        <v>1E-3</v>
      </c>
      <c r="AI57" s="381">
        <v>1E-3</v>
      </c>
      <c r="AJ57" s="389">
        <v>1E-3</v>
      </c>
      <c r="AK57" s="381">
        <v>1E-3</v>
      </c>
      <c r="AL57" s="381">
        <v>1E-3</v>
      </c>
      <c r="AM57" s="381">
        <v>1E-3</v>
      </c>
      <c r="AN57" s="381">
        <v>1E-3</v>
      </c>
      <c r="AO57" s="381">
        <v>1E-3</v>
      </c>
      <c r="AP57" s="381">
        <v>1E-3</v>
      </c>
      <c r="AQ57" s="381">
        <v>1E-3</v>
      </c>
      <c r="AR57" s="381">
        <v>1E-3</v>
      </c>
      <c r="AS57" s="381">
        <v>1E-3</v>
      </c>
      <c r="AT57" s="381">
        <v>1E-3</v>
      </c>
      <c r="AU57" s="381">
        <v>1E-3</v>
      </c>
      <c r="AV57" s="381">
        <v>1E-3</v>
      </c>
      <c r="AW57" s="381">
        <v>1E-3</v>
      </c>
      <c r="AX57" s="335"/>
      <c r="AZ57" s="1097" t="s">
        <v>42</v>
      </c>
    </row>
    <row r="58" spans="1:52" x14ac:dyDescent="0.2">
      <c r="A58" s="1184">
        <v>52</v>
      </c>
      <c r="B58" s="1097" t="s">
        <v>43</v>
      </c>
      <c r="C58" s="1185">
        <v>83</v>
      </c>
      <c r="D58" s="1114">
        <v>42684082</v>
      </c>
      <c r="E58" s="1520">
        <v>1</v>
      </c>
      <c r="F58" s="1517">
        <v>0</v>
      </c>
      <c r="G58" s="1251">
        <v>0</v>
      </c>
      <c r="H58" s="1240">
        <v>0</v>
      </c>
      <c r="I58" s="1147">
        <v>1E-3</v>
      </c>
      <c r="J58" s="383">
        <v>0</v>
      </c>
      <c r="K58" s="487">
        <v>1E-3</v>
      </c>
      <c r="L58" s="487">
        <v>0</v>
      </c>
      <c r="M58" s="927"/>
      <c r="N58" s="672">
        <v>0</v>
      </c>
      <c r="O58" s="389">
        <v>1E-3</v>
      </c>
      <c r="P58" s="1092">
        <v>0</v>
      </c>
      <c r="Q58" s="1093">
        <v>0</v>
      </c>
      <c r="R58" s="381">
        <v>0</v>
      </c>
      <c r="S58" s="382"/>
      <c r="T58" s="381"/>
      <c r="U58" s="624"/>
      <c r="V58" s="569">
        <v>0</v>
      </c>
      <c r="W58" s="607"/>
      <c r="X58" s="383"/>
      <c r="Y58" s="607"/>
      <c r="Z58" s="383"/>
      <c r="AA58" s="607"/>
      <c r="AB58" s="718"/>
      <c r="AC58" s="335"/>
      <c r="AD58" s="389">
        <v>1E-3</v>
      </c>
      <c r="AE58" s="381">
        <v>1E-3</v>
      </c>
      <c r="AF58" s="389">
        <v>1E-3</v>
      </c>
      <c r="AG58" s="381">
        <v>1E-3</v>
      </c>
      <c r="AH58" s="389">
        <v>1E-3</v>
      </c>
      <c r="AI58" s="381">
        <v>1E-3</v>
      </c>
      <c r="AJ58" s="389">
        <v>1E-3</v>
      </c>
      <c r="AK58" s="381">
        <v>1E-3</v>
      </c>
      <c r="AL58" s="381">
        <v>1E-3</v>
      </c>
      <c r="AM58" s="381">
        <v>1E-3</v>
      </c>
      <c r="AN58" s="381">
        <v>1E-3</v>
      </c>
      <c r="AO58" s="381">
        <v>1E-3</v>
      </c>
      <c r="AP58" s="381">
        <v>1E-3</v>
      </c>
      <c r="AQ58" s="381">
        <v>1E-3</v>
      </c>
      <c r="AR58" s="381">
        <v>1E-3</v>
      </c>
      <c r="AS58" s="381">
        <v>1E-3</v>
      </c>
      <c r="AT58" s="381">
        <v>1E-3</v>
      </c>
      <c r="AU58" s="381">
        <v>1E-3</v>
      </c>
      <c r="AV58" s="381">
        <v>1E-3</v>
      </c>
      <c r="AW58" s="381">
        <v>1E-3</v>
      </c>
      <c r="AX58" s="335"/>
      <c r="AZ58" s="1097" t="s">
        <v>43</v>
      </c>
    </row>
    <row r="59" spans="1:52" x14ac:dyDescent="0.2">
      <c r="A59" s="1184">
        <v>53</v>
      </c>
      <c r="B59" s="1097" t="s">
        <v>44</v>
      </c>
      <c r="C59" s="1185">
        <v>84</v>
      </c>
      <c r="D59" s="1114">
        <v>3309812</v>
      </c>
      <c r="E59" s="1520">
        <v>3</v>
      </c>
      <c r="F59" s="1517">
        <v>0</v>
      </c>
      <c r="G59" s="1251">
        <v>0</v>
      </c>
      <c r="H59" s="1240">
        <v>0</v>
      </c>
      <c r="I59" s="1147">
        <v>1E-3</v>
      </c>
      <c r="J59" s="383">
        <v>0</v>
      </c>
      <c r="K59" s="487">
        <v>1E-3</v>
      </c>
      <c r="L59" s="487">
        <v>0</v>
      </c>
      <c r="M59" s="927"/>
      <c r="N59" s="672">
        <v>0</v>
      </c>
      <c r="O59" s="389">
        <v>1E-3</v>
      </c>
      <c r="P59" s="1092">
        <v>0</v>
      </c>
      <c r="Q59" s="1093">
        <v>0</v>
      </c>
      <c r="R59" s="381">
        <v>0</v>
      </c>
      <c r="S59" s="382"/>
      <c r="T59" s="381"/>
      <c r="U59" s="624"/>
      <c r="V59" s="569">
        <v>0</v>
      </c>
      <c r="W59" s="607"/>
      <c r="X59" s="383"/>
      <c r="Y59" s="607"/>
      <c r="Z59" s="383"/>
      <c r="AA59" s="607"/>
      <c r="AB59" s="718"/>
      <c r="AC59" s="335"/>
      <c r="AD59" s="389">
        <v>1E-3</v>
      </c>
      <c r="AE59" s="381">
        <v>1E-3</v>
      </c>
      <c r="AF59" s="389">
        <v>1E-3</v>
      </c>
      <c r="AG59" s="381">
        <v>1E-3</v>
      </c>
      <c r="AH59" s="389">
        <v>1E-3</v>
      </c>
      <c r="AI59" s="381">
        <v>1E-3</v>
      </c>
      <c r="AJ59" s="389">
        <v>1E-3</v>
      </c>
      <c r="AK59" s="381">
        <v>1E-3</v>
      </c>
      <c r="AL59" s="381">
        <v>1E-3</v>
      </c>
      <c r="AM59" s="381">
        <v>1E-3</v>
      </c>
      <c r="AN59" s="381">
        <v>1E-3</v>
      </c>
      <c r="AO59" s="381">
        <v>1E-3</v>
      </c>
      <c r="AP59" s="381">
        <v>1E-3</v>
      </c>
      <c r="AQ59" s="381">
        <v>1E-3</v>
      </c>
      <c r="AR59" s="381">
        <v>1E-3</v>
      </c>
      <c r="AS59" s="381">
        <v>1E-3</v>
      </c>
      <c r="AT59" s="381">
        <v>1E-3</v>
      </c>
      <c r="AU59" s="381">
        <v>1E-3</v>
      </c>
      <c r="AV59" s="381">
        <v>1E-3</v>
      </c>
      <c r="AW59" s="381">
        <v>1E-3</v>
      </c>
      <c r="AX59" s="335"/>
      <c r="AZ59" s="1097" t="s">
        <v>44</v>
      </c>
    </row>
    <row r="60" spans="1:52" x14ac:dyDescent="0.2">
      <c r="A60" s="1184">
        <v>54</v>
      </c>
      <c r="B60" s="1097" t="s">
        <v>313</v>
      </c>
      <c r="C60" s="1185">
        <v>329</v>
      </c>
      <c r="D60" s="1114">
        <v>21344340</v>
      </c>
      <c r="E60" s="1520">
        <v>2</v>
      </c>
      <c r="F60" s="1517">
        <v>0</v>
      </c>
      <c r="G60" s="1251">
        <v>0</v>
      </c>
      <c r="H60" s="1240">
        <v>0</v>
      </c>
      <c r="I60" s="1147">
        <v>1E-3</v>
      </c>
      <c r="J60" s="383">
        <v>0</v>
      </c>
      <c r="K60" s="487">
        <v>1E-3</v>
      </c>
      <c r="L60" s="487">
        <v>0</v>
      </c>
      <c r="M60" s="927"/>
      <c r="N60" s="672">
        <v>0</v>
      </c>
      <c r="O60" s="389">
        <v>1E-3</v>
      </c>
      <c r="P60" s="1092">
        <v>0</v>
      </c>
      <c r="Q60" s="1093">
        <v>0</v>
      </c>
      <c r="R60" s="381">
        <v>0</v>
      </c>
      <c r="S60" s="382"/>
      <c r="T60" s="381"/>
      <c r="U60" s="624"/>
      <c r="V60" s="569">
        <v>0</v>
      </c>
      <c r="W60" s="607"/>
      <c r="X60" s="383"/>
      <c r="Y60" s="607"/>
      <c r="Z60" s="383"/>
      <c r="AA60" s="607"/>
      <c r="AB60" s="718"/>
      <c r="AC60" s="335"/>
      <c r="AD60" s="389">
        <v>1E-3</v>
      </c>
      <c r="AE60" s="381">
        <v>1E-3</v>
      </c>
      <c r="AF60" s="389">
        <v>1E-3</v>
      </c>
      <c r="AG60" s="381">
        <v>1E-3</v>
      </c>
      <c r="AH60" s="389">
        <v>1E-3</v>
      </c>
      <c r="AI60" s="381">
        <v>1E-3</v>
      </c>
      <c r="AJ60" s="389">
        <v>1E-3</v>
      </c>
      <c r="AK60" s="381">
        <v>1E-3</v>
      </c>
      <c r="AL60" s="381">
        <v>1E-3</v>
      </c>
      <c r="AM60" s="381">
        <v>1E-3</v>
      </c>
      <c r="AN60" s="381">
        <v>1E-3</v>
      </c>
      <c r="AO60" s="381">
        <v>1E-3</v>
      </c>
      <c r="AP60" s="381">
        <v>1E-3</v>
      </c>
      <c r="AQ60" s="381">
        <v>1E-3</v>
      </c>
      <c r="AR60" s="381">
        <v>1E-3</v>
      </c>
      <c r="AS60" s="381">
        <v>1E-3</v>
      </c>
      <c r="AT60" s="381">
        <v>1E-3</v>
      </c>
      <c r="AU60" s="381">
        <v>1E-3</v>
      </c>
      <c r="AV60" s="381">
        <v>1E-3</v>
      </c>
      <c r="AW60" s="381">
        <v>1E-3</v>
      </c>
      <c r="AX60" s="335"/>
      <c r="AZ60" s="1097" t="s">
        <v>313</v>
      </c>
    </row>
    <row r="61" spans="1:52" x14ac:dyDescent="0.2">
      <c r="A61" s="1184">
        <v>55</v>
      </c>
      <c r="B61" s="1097" t="s">
        <v>432</v>
      </c>
      <c r="C61" s="1185">
        <v>85</v>
      </c>
      <c r="D61" s="1114">
        <v>42888678</v>
      </c>
      <c r="E61" s="1520">
        <v>7</v>
      </c>
      <c r="F61" s="1517">
        <v>0</v>
      </c>
      <c r="G61" s="1251">
        <v>0</v>
      </c>
      <c r="H61" s="1240">
        <v>0</v>
      </c>
      <c r="I61" s="1147">
        <v>1E-3</v>
      </c>
      <c r="J61" s="383">
        <v>0</v>
      </c>
      <c r="K61" s="487">
        <v>1E-3</v>
      </c>
      <c r="L61" s="487">
        <v>0</v>
      </c>
      <c r="M61" s="927"/>
      <c r="N61" s="672">
        <v>0</v>
      </c>
      <c r="O61" s="389">
        <v>1E-3</v>
      </c>
      <c r="P61" s="1092">
        <v>0</v>
      </c>
      <c r="Q61" s="1093">
        <v>0</v>
      </c>
      <c r="R61" s="381">
        <v>0</v>
      </c>
      <c r="S61" s="382"/>
      <c r="T61" s="381"/>
      <c r="U61" s="624"/>
      <c r="V61" s="569">
        <v>0</v>
      </c>
      <c r="W61" s="607"/>
      <c r="X61" s="383"/>
      <c r="Y61" s="607"/>
      <c r="Z61" s="383"/>
      <c r="AA61" s="607"/>
      <c r="AB61" s="718"/>
      <c r="AC61" s="335"/>
      <c r="AD61" s="389">
        <v>1E-3</v>
      </c>
      <c r="AE61" s="381">
        <v>1E-3</v>
      </c>
      <c r="AF61" s="389">
        <v>1E-3</v>
      </c>
      <c r="AG61" s="381">
        <v>1E-3</v>
      </c>
      <c r="AH61" s="389">
        <v>1E-3</v>
      </c>
      <c r="AI61" s="381">
        <v>1E-3</v>
      </c>
      <c r="AJ61" s="389">
        <v>1E-3</v>
      </c>
      <c r="AK61" s="381">
        <v>1E-3</v>
      </c>
      <c r="AL61" s="381">
        <v>1E-3</v>
      </c>
      <c r="AM61" s="381">
        <v>1E-3</v>
      </c>
      <c r="AN61" s="381">
        <v>1E-3</v>
      </c>
      <c r="AO61" s="381">
        <v>1E-3</v>
      </c>
      <c r="AP61" s="381">
        <v>1E-3</v>
      </c>
      <c r="AQ61" s="381">
        <v>1E-3</v>
      </c>
      <c r="AR61" s="381">
        <v>1E-3</v>
      </c>
      <c r="AS61" s="381">
        <v>1E-3</v>
      </c>
      <c r="AT61" s="381">
        <v>1E-3</v>
      </c>
      <c r="AU61" s="381">
        <v>1E-3</v>
      </c>
      <c r="AV61" s="381">
        <v>1E-3</v>
      </c>
      <c r="AW61" s="381">
        <v>1E-3</v>
      </c>
      <c r="AX61" s="335"/>
      <c r="AZ61" s="1097" t="s">
        <v>432</v>
      </c>
    </row>
    <row r="62" spans="1:52" x14ac:dyDescent="0.2">
      <c r="A62" s="1184">
        <v>56</v>
      </c>
      <c r="B62" s="1097" t="s">
        <v>46</v>
      </c>
      <c r="C62" s="1185">
        <v>273</v>
      </c>
      <c r="D62" s="1114">
        <v>43870119</v>
      </c>
      <c r="E62" s="1520">
        <v>6</v>
      </c>
      <c r="F62" s="1517">
        <v>0</v>
      </c>
      <c r="G62" s="1251">
        <v>0</v>
      </c>
      <c r="H62" s="1240">
        <v>0</v>
      </c>
      <c r="I62" s="1147">
        <v>1E-3</v>
      </c>
      <c r="J62" s="383">
        <v>0</v>
      </c>
      <c r="K62" s="487">
        <v>1E-3</v>
      </c>
      <c r="L62" s="487">
        <v>0</v>
      </c>
      <c r="M62" s="927"/>
      <c r="N62" s="672">
        <v>0</v>
      </c>
      <c r="O62" s="389">
        <v>1E-3</v>
      </c>
      <c r="P62" s="1092">
        <v>0</v>
      </c>
      <c r="Q62" s="1093">
        <v>0</v>
      </c>
      <c r="R62" s="381">
        <v>0</v>
      </c>
      <c r="S62" s="382"/>
      <c r="T62" s="381"/>
      <c r="U62" s="624"/>
      <c r="V62" s="569">
        <v>0</v>
      </c>
      <c r="W62" s="607"/>
      <c r="X62" s="383"/>
      <c r="Y62" s="607"/>
      <c r="Z62" s="383"/>
      <c r="AA62" s="607"/>
      <c r="AB62" s="718"/>
      <c r="AC62" s="335"/>
      <c r="AD62" s="389">
        <v>1E-3</v>
      </c>
      <c r="AE62" s="381">
        <v>1E-3</v>
      </c>
      <c r="AF62" s="389">
        <v>1E-3</v>
      </c>
      <c r="AG62" s="381">
        <v>1E-3</v>
      </c>
      <c r="AH62" s="389">
        <v>1E-3</v>
      </c>
      <c r="AI62" s="381">
        <v>1E-3</v>
      </c>
      <c r="AJ62" s="389">
        <v>1E-3</v>
      </c>
      <c r="AK62" s="381">
        <v>1E-3</v>
      </c>
      <c r="AL62" s="381">
        <v>1E-3</v>
      </c>
      <c r="AM62" s="381">
        <v>1E-3</v>
      </c>
      <c r="AN62" s="381">
        <v>1E-3</v>
      </c>
      <c r="AO62" s="381">
        <v>1E-3</v>
      </c>
      <c r="AP62" s="381">
        <v>1E-3</v>
      </c>
      <c r="AQ62" s="381">
        <v>1E-3</v>
      </c>
      <c r="AR62" s="381">
        <v>1E-3</v>
      </c>
      <c r="AS62" s="381">
        <v>1E-3</v>
      </c>
      <c r="AT62" s="381">
        <v>1E-3</v>
      </c>
      <c r="AU62" s="381">
        <v>1E-3</v>
      </c>
      <c r="AV62" s="381">
        <v>1E-3</v>
      </c>
      <c r="AW62" s="381">
        <v>1E-3</v>
      </c>
      <c r="AX62" s="335"/>
      <c r="AZ62" s="1097" t="s">
        <v>46</v>
      </c>
    </row>
    <row r="63" spans="1:52" x14ac:dyDescent="0.2">
      <c r="A63" s="1184">
        <v>57</v>
      </c>
      <c r="B63" s="1097" t="s">
        <v>47</v>
      </c>
      <c r="C63" s="1185">
        <v>87</v>
      </c>
      <c r="D63" s="1114">
        <v>1000410740</v>
      </c>
      <c r="E63" s="1520">
        <v>2</v>
      </c>
      <c r="F63" s="1517">
        <v>0</v>
      </c>
      <c r="G63" s="1251">
        <v>0</v>
      </c>
      <c r="H63" s="1240">
        <v>0</v>
      </c>
      <c r="I63" s="1147">
        <v>1E-3</v>
      </c>
      <c r="J63" s="383">
        <v>0</v>
      </c>
      <c r="K63" s="487">
        <v>1E-3</v>
      </c>
      <c r="L63" s="487">
        <v>0</v>
      </c>
      <c r="M63" s="927"/>
      <c r="N63" s="672">
        <v>0</v>
      </c>
      <c r="O63" s="389">
        <v>1E-3</v>
      </c>
      <c r="P63" s="1092">
        <v>0</v>
      </c>
      <c r="Q63" s="1093">
        <v>0</v>
      </c>
      <c r="R63" s="381">
        <v>0</v>
      </c>
      <c r="S63" s="382"/>
      <c r="T63" s="381"/>
      <c r="U63" s="624"/>
      <c r="V63" s="569">
        <v>0</v>
      </c>
      <c r="W63" s="607"/>
      <c r="X63" s="383"/>
      <c r="Y63" s="607"/>
      <c r="Z63" s="383"/>
      <c r="AA63" s="607"/>
      <c r="AB63" s="718"/>
      <c r="AC63" s="335"/>
      <c r="AD63" s="389">
        <v>1E-3</v>
      </c>
      <c r="AE63" s="381">
        <v>1E-3</v>
      </c>
      <c r="AF63" s="389">
        <v>1E-3</v>
      </c>
      <c r="AG63" s="381">
        <v>1E-3</v>
      </c>
      <c r="AH63" s="389">
        <v>1E-3</v>
      </c>
      <c r="AI63" s="381">
        <v>1E-3</v>
      </c>
      <c r="AJ63" s="389">
        <v>1E-3</v>
      </c>
      <c r="AK63" s="381">
        <v>1E-3</v>
      </c>
      <c r="AL63" s="381">
        <v>1E-3</v>
      </c>
      <c r="AM63" s="381">
        <v>1E-3</v>
      </c>
      <c r="AN63" s="381">
        <v>1E-3</v>
      </c>
      <c r="AO63" s="381">
        <v>1E-3</v>
      </c>
      <c r="AP63" s="381">
        <v>1E-3</v>
      </c>
      <c r="AQ63" s="381">
        <v>1E-3</v>
      </c>
      <c r="AR63" s="381">
        <v>1E-3</v>
      </c>
      <c r="AS63" s="381">
        <v>1E-3</v>
      </c>
      <c r="AT63" s="381">
        <v>1E-3</v>
      </c>
      <c r="AU63" s="381">
        <v>1E-3</v>
      </c>
      <c r="AV63" s="381">
        <v>1E-3</v>
      </c>
      <c r="AW63" s="381">
        <v>1E-3</v>
      </c>
      <c r="AX63" s="335"/>
      <c r="AZ63" s="1097" t="s">
        <v>47</v>
      </c>
    </row>
    <row r="64" spans="1:52" x14ac:dyDescent="0.2">
      <c r="A64" s="1184">
        <v>58</v>
      </c>
      <c r="B64" s="1097" t="s">
        <v>48</v>
      </c>
      <c r="C64" s="1185">
        <v>88</v>
      </c>
      <c r="D64" s="1114">
        <v>1017922378</v>
      </c>
      <c r="E64" s="1520">
        <v>8</v>
      </c>
      <c r="F64" s="1517">
        <v>0</v>
      </c>
      <c r="G64" s="1251">
        <v>0</v>
      </c>
      <c r="H64" s="1240">
        <v>0</v>
      </c>
      <c r="I64" s="1147">
        <v>1E-3</v>
      </c>
      <c r="J64" s="383">
        <v>0</v>
      </c>
      <c r="K64" s="487">
        <v>1E-3</v>
      </c>
      <c r="L64" s="487">
        <v>0</v>
      </c>
      <c r="M64" s="927"/>
      <c r="N64" s="672">
        <v>0</v>
      </c>
      <c r="O64" s="389">
        <v>1E-3</v>
      </c>
      <c r="P64" s="1092">
        <v>0</v>
      </c>
      <c r="Q64" s="1093">
        <v>0</v>
      </c>
      <c r="R64" s="381">
        <v>0</v>
      </c>
      <c r="S64" s="382"/>
      <c r="T64" s="381"/>
      <c r="U64" s="624"/>
      <c r="V64" s="569">
        <v>0</v>
      </c>
      <c r="W64" s="607"/>
      <c r="X64" s="383"/>
      <c r="Y64" s="607"/>
      <c r="Z64" s="383"/>
      <c r="AA64" s="607"/>
      <c r="AB64" s="718"/>
      <c r="AC64" s="335"/>
      <c r="AD64" s="389">
        <v>1E-3</v>
      </c>
      <c r="AE64" s="381">
        <v>1E-3</v>
      </c>
      <c r="AF64" s="389">
        <v>1E-3</v>
      </c>
      <c r="AG64" s="381">
        <v>1E-3</v>
      </c>
      <c r="AH64" s="389">
        <v>1E-3</v>
      </c>
      <c r="AI64" s="381">
        <v>1E-3</v>
      </c>
      <c r="AJ64" s="389">
        <v>1E-3</v>
      </c>
      <c r="AK64" s="381">
        <v>1E-3</v>
      </c>
      <c r="AL64" s="381">
        <v>1E-3</v>
      </c>
      <c r="AM64" s="381">
        <v>1E-3</v>
      </c>
      <c r="AN64" s="381">
        <v>1E-3</v>
      </c>
      <c r="AO64" s="381">
        <v>1E-3</v>
      </c>
      <c r="AP64" s="381">
        <v>1E-3</v>
      </c>
      <c r="AQ64" s="381">
        <v>1E-3</v>
      </c>
      <c r="AR64" s="381">
        <v>1E-3</v>
      </c>
      <c r="AS64" s="381">
        <v>1E-3</v>
      </c>
      <c r="AT64" s="381">
        <v>1E-3</v>
      </c>
      <c r="AU64" s="381">
        <v>1E-3</v>
      </c>
      <c r="AV64" s="381">
        <v>1E-3</v>
      </c>
      <c r="AW64" s="381">
        <v>1E-3</v>
      </c>
      <c r="AX64" s="335"/>
      <c r="AZ64" s="1097" t="s">
        <v>48</v>
      </c>
    </row>
    <row r="65" spans="1:52" x14ac:dyDescent="0.2">
      <c r="A65" s="1184">
        <v>59</v>
      </c>
      <c r="B65" s="1097" t="s">
        <v>774</v>
      </c>
      <c r="C65" s="1185">
        <v>309</v>
      </c>
      <c r="D65" s="1114">
        <v>42780425</v>
      </c>
      <c r="E65" s="1520">
        <v>5</v>
      </c>
      <c r="F65" s="1517">
        <v>0</v>
      </c>
      <c r="G65" s="1251">
        <v>0</v>
      </c>
      <c r="H65" s="1240">
        <v>0</v>
      </c>
      <c r="I65" s="1147">
        <v>1E-3</v>
      </c>
      <c r="J65" s="383">
        <v>0</v>
      </c>
      <c r="K65" s="487">
        <v>1E-3</v>
      </c>
      <c r="L65" s="487">
        <v>0</v>
      </c>
      <c r="M65" s="927"/>
      <c r="N65" s="672">
        <v>0</v>
      </c>
      <c r="O65" s="389">
        <v>1E-3</v>
      </c>
      <c r="P65" s="1092">
        <v>0</v>
      </c>
      <c r="Q65" s="1093">
        <v>0</v>
      </c>
      <c r="R65" s="381">
        <v>0</v>
      </c>
      <c r="S65" s="382"/>
      <c r="T65" s="381"/>
      <c r="U65" s="624"/>
      <c r="V65" s="569">
        <v>0</v>
      </c>
      <c r="W65" s="607"/>
      <c r="X65" s="383"/>
      <c r="Y65" s="607"/>
      <c r="Z65" s="383"/>
      <c r="AA65" s="607"/>
      <c r="AB65" s="718"/>
      <c r="AC65" s="335"/>
      <c r="AD65" s="389">
        <v>1E-3</v>
      </c>
      <c r="AE65" s="381">
        <v>1E-3</v>
      </c>
      <c r="AF65" s="389">
        <v>1E-3</v>
      </c>
      <c r="AG65" s="381">
        <v>1E-3</v>
      </c>
      <c r="AH65" s="389">
        <v>1E-3</v>
      </c>
      <c r="AI65" s="381">
        <v>1E-3</v>
      </c>
      <c r="AJ65" s="389">
        <v>1E-3</v>
      </c>
      <c r="AK65" s="381">
        <v>1E-3</v>
      </c>
      <c r="AL65" s="381">
        <v>1E-3</v>
      </c>
      <c r="AM65" s="381">
        <v>1E-3</v>
      </c>
      <c r="AN65" s="381">
        <v>1E-3</v>
      </c>
      <c r="AO65" s="381">
        <v>1E-3</v>
      </c>
      <c r="AP65" s="381">
        <v>1E-3</v>
      </c>
      <c r="AQ65" s="381">
        <v>1E-3</v>
      </c>
      <c r="AR65" s="381">
        <v>1E-3</v>
      </c>
      <c r="AS65" s="381">
        <v>1E-3</v>
      </c>
      <c r="AT65" s="381">
        <v>1E-3</v>
      </c>
      <c r="AU65" s="381">
        <v>1E-3</v>
      </c>
      <c r="AV65" s="381">
        <v>1E-3</v>
      </c>
      <c r="AW65" s="381">
        <v>1E-3</v>
      </c>
      <c r="AX65" s="335"/>
      <c r="AZ65" s="1097" t="s">
        <v>774</v>
      </c>
    </row>
    <row r="66" spans="1:52" x14ac:dyDescent="0.2">
      <c r="A66" s="1184">
        <v>60</v>
      </c>
      <c r="B66" s="1097" t="s">
        <v>657</v>
      </c>
      <c r="C66" s="1185">
        <v>244</v>
      </c>
      <c r="D66" s="1114">
        <v>71227472</v>
      </c>
      <c r="E66" s="1520">
        <v>7</v>
      </c>
      <c r="F66" s="1517">
        <v>0</v>
      </c>
      <c r="G66" s="1251">
        <v>0</v>
      </c>
      <c r="H66" s="1240">
        <v>0</v>
      </c>
      <c r="I66" s="1147">
        <v>1E-3</v>
      </c>
      <c r="J66" s="383">
        <v>0</v>
      </c>
      <c r="K66" s="487">
        <v>1E-3</v>
      </c>
      <c r="L66" s="487">
        <v>0</v>
      </c>
      <c r="M66" s="927"/>
      <c r="N66" s="672">
        <v>0</v>
      </c>
      <c r="O66" s="389">
        <v>1E-3</v>
      </c>
      <c r="P66" s="1092">
        <v>0</v>
      </c>
      <c r="Q66" s="1093">
        <v>0</v>
      </c>
      <c r="R66" s="381">
        <v>0</v>
      </c>
      <c r="S66" s="382"/>
      <c r="T66" s="381"/>
      <c r="U66" s="624"/>
      <c r="V66" s="569">
        <v>0</v>
      </c>
      <c r="W66" s="607"/>
      <c r="X66" s="383"/>
      <c r="Y66" s="607"/>
      <c r="Z66" s="383"/>
      <c r="AA66" s="607"/>
      <c r="AB66" s="718"/>
      <c r="AC66" s="335"/>
      <c r="AD66" s="389">
        <v>1E-3</v>
      </c>
      <c r="AE66" s="381">
        <v>1E-3</v>
      </c>
      <c r="AF66" s="389">
        <v>1E-3</v>
      </c>
      <c r="AG66" s="381">
        <v>1E-3</v>
      </c>
      <c r="AH66" s="389">
        <v>1E-3</v>
      </c>
      <c r="AI66" s="381">
        <v>1E-3</v>
      </c>
      <c r="AJ66" s="389">
        <v>1E-3</v>
      </c>
      <c r="AK66" s="381">
        <v>1E-3</v>
      </c>
      <c r="AL66" s="381">
        <v>1E-3</v>
      </c>
      <c r="AM66" s="381">
        <v>1E-3</v>
      </c>
      <c r="AN66" s="381">
        <v>1E-3</v>
      </c>
      <c r="AO66" s="381">
        <v>1E-3</v>
      </c>
      <c r="AP66" s="381">
        <v>1E-3</v>
      </c>
      <c r="AQ66" s="381">
        <v>1E-3</v>
      </c>
      <c r="AR66" s="381">
        <v>1E-3</v>
      </c>
      <c r="AS66" s="381">
        <v>1E-3</v>
      </c>
      <c r="AT66" s="381">
        <v>1E-3</v>
      </c>
      <c r="AU66" s="381">
        <v>1E-3</v>
      </c>
      <c r="AV66" s="381">
        <v>1E-3</v>
      </c>
      <c r="AW66" s="381">
        <v>1E-3</v>
      </c>
      <c r="AX66" s="335"/>
      <c r="AZ66" s="1137" t="s">
        <v>657</v>
      </c>
    </row>
    <row r="67" spans="1:52" x14ac:dyDescent="0.2">
      <c r="A67" s="1184">
        <v>61</v>
      </c>
      <c r="B67" s="1097" t="s">
        <v>52</v>
      </c>
      <c r="C67" s="1185">
        <v>91</v>
      </c>
      <c r="D67" s="1114">
        <v>71639489</v>
      </c>
      <c r="E67" s="1520">
        <v>1</v>
      </c>
      <c r="F67" s="1517">
        <v>0</v>
      </c>
      <c r="G67" s="1251">
        <v>0</v>
      </c>
      <c r="H67" s="1240">
        <v>0</v>
      </c>
      <c r="I67" s="1147">
        <v>1E-3</v>
      </c>
      <c r="J67" s="383">
        <v>0</v>
      </c>
      <c r="K67" s="487">
        <v>1E-3</v>
      </c>
      <c r="L67" s="487">
        <v>0</v>
      </c>
      <c r="M67" s="927"/>
      <c r="N67" s="672">
        <v>0</v>
      </c>
      <c r="O67" s="389">
        <v>1E-3</v>
      </c>
      <c r="P67" s="1092">
        <v>0</v>
      </c>
      <c r="Q67" s="1093">
        <v>0</v>
      </c>
      <c r="R67" s="381">
        <v>0</v>
      </c>
      <c r="S67" s="382"/>
      <c r="T67" s="381"/>
      <c r="U67" s="624"/>
      <c r="V67" s="569">
        <v>0</v>
      </c>
      <c r="W67" s="607"/>
      <c r="X67" s="383"/>
      <c r="Y67" s="607"/>
      <c r="Z67" s="383"/>
      <c r="AA67" s="607"/>
      <c r="AB67" s="718"/>
      <c r="AC67" s="335"/>
      <c r="AD67" s="389">
        <v>1E-3</v>
      </c>
      <c r="AE67" s="381">
        <v>1E-3</v>
      </c>
      <c r="AF67" s="389">
        <v>1E-3</v>
      </c>
      <c r="AG67" s="381">
        <v>1E-3</v>
      </c>
      <c r="AH67" s="389">
        <v>1E-3</v>
      </c>
      <c r="AI67" s="381">
        <v>1E-3</v>
      </c>
      <c r="AJ67" s="389">
        <v>1E-3</v>
      </c>
      <c r="AK67" s="381">
        <v>1E-3</v>
      </c>
      <c r="AL67" s="381">
        <v>1E-3</v>
      </c>
      <c r="AM67" s="381">
        <v>1E-3</v>
      </c>
      <c r="AN67" s="381">
        <v>1E-3</v>
      </c>
      <c r="AO67" s="381">
        <v>1E-3</v>
      </c>
      <c r="AP67" s="381">
        <v>1E-3</v>
      </c>
      <c r="AQ67" s="381">
        <v>1E-3</v>
      </c>
      <c r="AR67" s="381">
        <v>1E-3</v>
      </c>
      <c r="AS67" s="381">
        <v>1E-3</v>
      </c>
      <c r="AT67" s="381">
        <v>1E-3</v>
      </c>
      <c r="AU67" s="381">
        <v>1E-3</v>
      </c>
      <c r="AV67" s="381">
        <v>1E-3</v>
      </c>
      <c r="AW67" s="381">
        <v>1E-3</v>
      </c>
      <c r="AX67" s="335"/>
      <c r="AZ67" s="1097" t="s">
        <v>52</v>
      </c>
    </row>
    <row r="68" spans="1:52" x14ac:dyDescent="0.2">
      <c r="A68" s="1184">
        <v>62</v>
      </c>
      <c r="B68" s="1097" t="s">
        <v>53</v>
      </c>
      <c r="C68" s="1185">
        <v>222</v>
      </c>
      <c r="D68" s="1114">
        <v>8268050</v>
      </c>
      <c r="E68" s="1520">
        <v>9</v>
      </c>
      <c r="F68" s="1517">
        <v>0</v>
      </c>
      <c r="G68" s="1251">
        <v>0</v>
      </c>
      <c r="H68" s="1240">
        <v>0</v>
      </c>
      <c r="I68" s="1147">
        <v>1E-3</v>
      </c>
      <c r="J68" s="383">
        <v>0</v>
      </c>
      <c r="K68" s="487">
        <v>1E-3</v>
      </c>
      <c r="L68" s="487">
        <v>0</v>
      </c>
      <c r="M68" s="927"/>
      <c r="N68" s="672">
        <v>0</v>
      </c>
      <c r="O68" s="389">
        <v>1E-3</v>
      </c>
      <c r="P68" s="1092">
        <v>0</v>
      </c>
      <c r="Q68" s="1093">
        <v>0</v>
      </c>
      <c r="R68" s="381">
        <v>0</v>
      </c>
      <c r="S68" s="382"/>
      <c r="T68" s="381"/>
      <c r="U68" s="624"/>
      <c r="V68" s="569">
        <v>0</v>
      </c>
      <c r="W68" s="607"/>
      <c r="X68" s="383"/>
      <c r="Y68" s="607"/>
      <c r="Z68" s="383"/>
      <c r="AA68" s="607"/>
      <c r="AB68" s="718"/>
      <c r="AC68" s="335"/>
      <c r="AD68" s="389">
        <v>1E-3</v>
      </c>
      <c r="AE68" s="381">
        <v>1E-3</v>
      </c>
      <c r="AF68" s="389">
        <v>1E-3</v>
      </c>
      <c r="AG68" s="381">
        <v>1E-3</v>
      </c>
      <c r="AH68" s="389">
        <v>1E-3</v>
      </c>
      <c r="AI68" s="381">
        <v>1E-3</v>
      </c>
      <c r="AJ68" s="389">
        <v>1E-3</v>
      </c>
      <c r="AK68" s="381">
        <v>1E-3</v>
      </c>
      <c r="AL68" s="381">
        <v>1E-3</v>
      </c>
      <c r="AM68" s="1585">
        <v>1500000</v>
      </c>
      <c r="AN68" s="1585" t="s">
        <v>745</v>
      </c>
      <c r="AO68" s="381">
        <v>1E-3</v>
      </c>
      <c r="AP68" s="381">
        <v>1E-3</v>
      </c>
      <c r="AQ68" s="381">
        <v>1E-3</v>
      </c>
      <c r="AR68" s="381">
        <v>1E-3</v>
      </c>
      <c r="AS68" s="381">
        <v>1E-3</v>
      </c>
      <c r="AT68" s="381">
        <v>1E-3</v>
      </c>
      <c r="AU68" s="381">
        <v>1E-3</v>
      </c>
      <c r="AV68" s="381">
        <v>1E-3</v>
      </c>
      <c r="AW68" s="381">
        <v>1E-3</v>
      </c>
      <c r="AX68" s="335"/>
      <c r="AZ68" s="1097" t="s">
        <v>53</v>
      </c>
    </row>
    <row r="69" spans="1:52" x14ac:dyDescent="0.2">
      <c r="A69" s="1184">
        <v>63</v>
      </c>
      <c r="B69" s="1097" t="s">
        <v>54</v>
      </c>
      <c r="C69" s="1185">
        <v>92</v>
      </c>
      <c r="D69" s="1114">
        <v>6053547</v>
      </c>
      <c r="E69" s="1520">
        <v>6</v>
      </c>
      <c r="F69" s="1517">
        <v>0</v>
      </c>
      <c r="G69" s="1251">
        <v>0</v>
      </c>
      <c r="H69" s="1240">
        <v>0</v>
      </c>
      <c r="I69" s="1147">
        <v>1E-3</v>
      </c>
      <c r="J69" s="383">
        <v>0</v>
      </c>
      <c r="K69" s="487">
        <v>1E-3</v>
      </c>
      <c r="L69" s="487">
        <v>0</v>
      </c>
      <c r="M69" s="927"/>
      <c r="N69" s="672">
        <v>0</v>
      </c>
      <c r="O69" s="389">
        <v>1E-3</v>
      </c>
      <c r="P69" s="1092">
        <v>0</v>
      </c>
      <c r="Q69" s="1093">
        <v>0</v>
      </c>
      <c r="R69" s="381">
        <v>0</v>
      </c>
      <c r="S69" s="382"/>
      <c r="T69" s="381"/>
      <c r="U69" s="624"/>
      <c r="V69" s="569">
        <v>0</v>
      </c>
      <c r="W69" s="607"/>
      <c r="X69" s="383"/>
      <c r="Y69" s="607"/>
      <c r="Z69" s="383"/>
      <c r="AA69" s="607"/>
      <c r="AB69" s="718"/>
      <c r="AC69" s="335"/>
      <c r="AD69" s="389">
        <v>1E-3</v>
      </c>
      <c r="AE69" s="381">
        <v>1E-3</v>
      </c>
      <c r="AF69" s="389">
        <v>1E-3</v>
      </c>
      <c r="AG69" s="381">
        <v>1E-3</v>
      </c>
      <c r="AH69" s="389">
        <v>1E-3</v>
      </c>
      <c r="AI69" s="381">
        <v>1E-3</v>
      </c>
      <c r="AJ69" s="389">
        <v>1E-3</v>
      </c>
      <c r="AK69" s="381">
        <v>1E-3</v>
      </c>
      <c r="AL69" s="381">
        <v>1E-3</v>
      </c>
      <c r="AM69" s="381">
        <v>1E-3</v>
      </c>
      <c r="AN69" s="381">
        <v>1E-3</v>
      </c>
      <c r="AO69" s="381">
        <v>1E-3</v>
      </c>
      <c r="AP69" s="381">
        <v>1E-3</v>
      </c>
      <c r="AQ69" s="381">
        <v>1E-3</v>
      </c>
      <c r="AR69" s="381">
        <v>1E-3</v>
      </c>
      <c r="AS69" s="381">
        <v>1E-3</v>
      </c>
      <c r="AT69" s="381">
        <v>1E-3</v>
      </c>
      <c r="AU69" s="381">
        <v>1E-3</v>
      </c>
      <c r="AV69" s="381">
        <v>1E-3</v>
      </c>
      <c r="AW69" s="381">
        <v>1E-3</v>
      </c>
      <c r="AX69" s="335"/>
      <c r="AZ69" s="1097" t="s">
        <v>54</v>
      </c>
    </row>
    <row r="70" spans="1:52" x14ac:dyDescent="0.2">
      <c r="A70" s="1184">
        <v>64</v>
      </c>
      <c r="B70" s="1097" t="s">
        <v>308</v>
      </c>
      <c r="C70" s="1185">
        <v>287</v>
      </c>
      <c r="D70" s="1114">
        <v>98661685</v>
      </c>
      <c r="E70" s="1520">
        <v>7</v>
      </c>
      <c r="F70" s="1517">
        <v>0</v>
      </c>
      <c r="G70" s="1251">
        <v>0</v>
      </c>
      <c r="H70" s="1240">
        <v>0</v>
      </c>
      <c r="I70" s="1147">
        <v>1E-3</v>
      </c>
      <c r="J70" s="383">
        <v>0</v>
      </c>
      <c r="K70" s="487">
        <v>1E-3</v>
      </c>
      <c r="L70" s="487">
        <v>0</v>
      </c>
      <c r="M70" s="927"/>
      <c r="N70" s="672">
        <v>0</v>
      </c>
      <c r="O70" s="389">
        <v>1E-3</v>
      </c>
      <c r="P70" s="1092">
        <v>0</v>
      </c>
      <c r="Q70" s="1093">
        <v>0</v>
      </c>
      <c r="R70" s="381">
        <v>0</v>
      </c>
      <c r="S70" s="382"/>
      <c r="T70" s="381"/>
      <c r="U70" s="624"/>
      <c r="V70" s="569">
        <v>0</v>
      </c>
      <c r="W70" s="607"/>
      <c r="X70" s="383"/>
      <c r="Y70" s="607"/>
      <c r="Z70" s="383"/>
      <c r="AA70" s="607"/>
      <c r="AB70" s="718"/>
      <c r="AC70" s="335"/>
      <c r="AD70" s="389">
        <v>1E-3</v>
      </c>
      <c r="AE70" s="381">
        <v>1E-3</v>
      </c>
      <c r="AF70" s="389">
        <v>1E-3</v>
      </c>
      <c r="AG70" s="381">
        <v>1E-3</v>
      </c>
      <c r="AH70" s="389">
        <v>1E-3</v>
      </c>
      <c r="AI70" s="381">
        <v>1E-3</v>
      </c>
      <c r="AJ70" s="389">
        <v>1E-3</v>
      </c>
      <c r="AK70" s="381">
        <v>1E-3</v>
      </c>
      <c r="AL70" s="381">
        <v>1E-3</v>
      </c>
      <c r="AM70" s="381">
        <v>1E-3</v>
      </c>
      <c r="AN70" s="381">
        <v>1E-3</v>
      </c>
      <c r="AO70" s="381">
        <v>1E-3</v>
      </c>
      <c r="AP70" s="381">
        <v>1E-3</v>
      </c>
      <c r="AQ70" s="381">
        <v>1E-3</v>
      </c>
      <c r="AR70" s="381">
        <v>1E-3</v>
      </c>
      <c r="AS70" s="381">
        <v>1E-3</v>
      </c>
      <c r="AT70" s="381">
        <v>1E-3</v>
      </c>
      <c r="AU70" s="381">
        <v>1E-3</v>
      </c>
      <c r="AV70" s="381">
        <v>1E-3</v>
      </c>
      <c r="AW70" s="381">
        <v>1E-3</v>
      </c>
      <c r="AX70" s="335"/>
      <c r="AZ70" s="1097" t="s">
        <v>308</v>
      </c>
    </row>
    <row r="71" spans="1:52" x14ac:dyDescent="0.2">
      <c r="A71" s="1184">
        <v>65</v>
      </c>
      <c r="B71" s="1097" t="s">
        <v>55</v>
      </c>
      <c r="C71" s="1185">
        <v>95</v>
      </c>
      <c r="D71" s="1114">
        <v>680956579</v>
      </c>
      <c r="E71" s="1520">
        <v>2</v>
      </c>
      <c r="F71" s="1517">
        <v>0</v>
      </c>
      <c r="G71" s="1251">
        <v>0</v>
      </c>
      <c r="H71" s="1240">
        <v>0</v>
      </c>
      <c r="I71" s="1147">
        <v>1E-3</v>
      </c>
      <c r="J71" s="383">
        <v>0</v>
      </c>
      <c r="K71" s="487">
        <v>1E-3</v>
      </c>
      <c r="L71" s="487">
        <v>0</v>
      </c>
      <c r="M71" s="927"/>
      <c r="N71" s="672">
        <v>0</v>
      </c>
      <c r="O71" s="389">
        <v>1E-3</v>
      </c>
      <c r="P71" s="1092">
        <v>0</v>
      </c>
      <c r="Q71" s="1093">
        <v>0</v>
      </c>
      <c r="R71" s="381">
        <v>0</v>
      </c>
      <c r="S71" s="382"/>
      <c r="T71" s="381"/>
      <c r="U71" s="624"/>
      <c r="V71" s="569">
        <v>0</v>
      </c>
      <c r="W71" s="607"/>
      <c r="X71" s="383"/>
      <c r="Y71" s="607"/>
      <c r="Z71" s="383"/>
      <c r="AA71" s="607"/>
      <c r="AB71" s="718"/>
      <c r="AC71" s="335"/>
      <c r="AD71" s="389">
        <v>1E-3</v>
      </c>
      <c r="AE71" s="381">
        <v>1E-3</v>
      </c>
      <c r="AF71" s="389">
        <v>1E-3</v>
      </c>
      <c r="AG71" s="381">
        <v>1E-3</v>
      </c>
      <c r="AH71" s="389">
        <v>1E-3</v>
      </c>
      <c r="AI71" s="381">
        <v>1E-3</v>
      </c>
      <c r="AJ71" s="389">
        <v>1E-3</v>
      </c>
      <c r="AK71" s="381">
        <v>1E-3</v>
      </c>
      <c r="AL71" s="381">
        <v>1E-3</v>
      </c>
      <c r="AM71" s="381">
        <v>1E-3</v>
      </c>
      <c r="AN71" s="381">
        <v>1E-3</v>
      </c>
      <c r="AO71" s="381">
        <v>1E-3</v>
      </c>
      <c r="AP71" s="381">
        <v>1E-3</v>
      </c>
      <c r="AQ71" s="381">
        <v>1E-3</v>
      </c>
      <c r="AR71" s="381">
        <v>1E-3</v>
      </c>
      <c r="AS71" s="381">
        <v>1E-3</v>
      </c>
      <c r="AT71" s="381">
        <v>1E-3</v>
      </c>
      <c r="AU71" s="381">
        <v>1E-3</v>
      </c>
      <c r="AV71" s="381">
        <v>1E-3</v>
      </c>
      <c r="AW71" s="381">
        <v>1E-3</v>
      </c>
      <c r="AX71" s="335"/>
      <c r="AZ71" s="1097" t="s">
        <v>55</v>
      </c>
    </row>
    <row r="72" spans="1:52" x14ac:dyDescent="0.2">
      <c r="A72" s="1184">
        <v>66</v>
      </c>
      <c r="B72" s="1097" t="s">
        <v>56</v>
      </c>
      <c r="C72" s="1185">
        <v>96</v>
      </c>
      <c r="D72" s="1114">
        <v>43747351</v>
      </c>
      <c r="E72" s="1520">
        <v>3</v>
      </c>
      <c r="F72" s="1517">
        <v>435921.02485292032</v>
      </c>
      <c r="G72" s="1251">
        <v>0</v>
      </c>
      <c r="H72" s="1240">
        <v>435921.02485292032</v>
      </c>
      <c r="I72" s="1148">
        <v>3</v>
      </c>
      <c r="J72" s="383">
        <v>365921.02485292032</v>
      </c>
      <c r="K72" s="487">
        <v>1E-3</v>
      </c>
      <c r="L72" s="487">
        <v>0</v>
      </c>
      <c r="M72" s="927"/>
      <c r="N72" s="672">
        <v>0</v>
      </c>
      <c r="O72" s="389" t="s">
        <v>318</v>
      </c>
      <c r="P72" s="1092">
        <v>70000</v>
      </c>
      <c r="Q72" s="1093">
        <v>0</v>
      </c>
      <c r="R72" s="381">
        <v>0</v>
      </c>
      <c r="S72" s="382"/>
      <c r="T72" s="381"/>
      <c r="U72" s="624"/>
      <c r="V72" s="569">
        <v>0</v>
      </c>
      <c r="W72" s="607"/>
      <c r="X72" s="383"/>
      <c r="Y72" s="607"/>
      <c r="Z72" s="383"/>
      <c r="AA72" s="607"/>
      <c r="AB72" s="718"/>
      <c r="AC72" s="335"/>
      <c r="AD72" s="389">
        <v>3</v>
      </c>
      <c r="AE72" s="381">
        <v>334847.2042944</v>
      </c>
      <c r="AF72" s="389">
        <v>1E-3</v>
      </c>
      <c r="AG72" s="381">
        <v>0</v>
      </c>
      <c r="AH72" s="389">
        <v>1E-3</v>
      </c>
      <c r="AI72" s="381">
        <v>0</v>
      </c>
      <c r="AJ72" s="389" t="s">
        <v>318</v>
      </c>
      <c r="AK72" s="381">
        <v>60000</v>
      </c>
      <c r="AL72" s="381">
        <v>1E-3</v>
      </c>
      <c r="AM72" s="381">
        <v>1E-3</v>
      </c>
      <c r="AN72" s="381">
        <v>1E-3</v>
      </c>
      <c r="AO72" s="381">
        <v>1E-3</v>
      </c>
      <c r="AP72" s="381">
        <v>1E-3</v>
      </c>
      <c r="AQ72" s="381">
        <v>1E-3</v>
      </c>
      <c r="AR72" s="381">
        <v>1E-3</v>
      </c>
      <c r="AS72" s="381">
        <v>1E-3</v>
      </c>
      <c r="AT72" s="381">
        <v>1E-3</v>
      </c>
      <c r="AU72" s="381">
        <v>1E-3</v>
      </c>
      <c r="AV72" s="381">
        <v>1E-3</v>
      </c>
      <c r="AW72" s="381">
        <v>1E-3</v>
      </c>
      <c r="AX72" s="335"/>
      <c r="AZ72" s="1097" t="s">
        <v>56</v>
      </c>
    </row>
    <row r="73" spans="1:52" x14ac:dyDescent="0.2">
      <c r="A73" s="1184">
        <v>67</v>
      </c>
      <c r="B73" s="1097" t="s">
        <v>57</v>
      </c>
      <c r="C73" s="1185">
        <v>97</v>
      </c>
      <c r="D73" s="1114">
        <v>43628330</v>
      </c>
      <c r="E73" s="1520">
        <v>9</v>
      </c>
      <c r="F73" s="1517">
        <v>435921.02485292032</v>
      </c>
      <c r="G73" s="1251">
        <v>0</v>
      </c>
      <c r="H73" s="1240">
        <v>435921.02485292032</v>
      </c>
      <c r="I73" s="1148">
        <v>3</v>
      </c>
      <c r="J73" s="383">
        <v>365921.02485292032</v>
      </c>
      <c r="K73" s="487">
        <v>1E-3</v>
      </c>
      <c r="L73" s="487">
        <v>0</v>
      </c>
      <c r="M73" s="927"/>
      <c r="N73" s="672">
        <v>0</v>
      </c>
      <c r="O73" s="389" t="s">
        <v>318</v>
      </c>
      <c r="P73" s="1092">
        <v>70000</v>
      </c>
      <c r="Q73" s="1093">
        <v>0</v>
      </c>
      <c r="R73" s="381">
        <v>0</v>
      </c>
      <c r="S73" s="382"/>
      <c r="T73" s="381"/>
      <c r="U73" s="624"/>
      <c r="V73" s="569">
        <v>0</v>
      </c>
      <c r="W73" s="607"/>
      <c r="X73" s="383"/>
      <c r="Y73" s="607"/>
      <c r="Z73" s="383"/>
      <c r="AA73" s="607"/>
      <c r="AB73" s="718"/>
      <c r="AC73" s="335"/>
      <c r="AD73" s="389">
        <v>3</v>
      </c>
      <c r="AE73" s="381">
        <v>334847.2042944</v>
      </c>
      <c r="AF73" s="389">
        <v>1E-3</v>
      </c>
      <c r="AG73" s="381">
        <v>0</v>
      </c>
      <c r="AH73" s="389">
        <v>1E-3</v>
      </c>
      <c r="AI73" s="381">
        <v>0</v>
      </c>
      <c r="AJ73" s="389" t="s">
        <v>318</v>
      </c>
      <c r="AK73" s="381">
        <v>60000</v>
      </c>
      <c r="AL73" s="381">
        <v>1E-3</v>
      </c>
      <c r="AM73" s="1585">
        <v>200000</v>
      </c>
      <c r="AN73" s="1585" t="s">
        <v>746</v>
      </c>
      <c r="AO73" s="381">
        <v>1E-3</v>
      </c>
      <c r="AP73" s="381">
        <v>1E-3</v>
      </c>
      <c r="AQ73" s="381">
        <v>1E-3</v>
      </c>
      <c r="AR73" s="381">
        <v>1E-3</v>
      </c>
      <c r="AS73" s="381">
        <v>1E-3</v>
      </c>
      <c r="AT73" s="381">
        <v>1E-3</v>
      </c>
      <c r="AU73" s="381">
        <v>1E-3</v>
      </c>
      <c r="AV73" s="381">
        <v>1E-3</v>
      </c>
      <c r="AW73" s="381">
        <v>1E-3</v>
      </c>
      <c r="AX73" s="335"/>
      <c r="AZ73" s="1097" t="s">
        <v>57</v>
      </c>
    </row>
    <row r="74" spans="1:52" x14ac:dyDescent="0.2">
      <c r="A74" s="1184">
        <v>68</v>
      </c>
      <c r="B74" s="1097" t="s">
        <v>58</v>
      </c>
      <c r="C74" s="1185">
        <v>98</v>
      </c>
      <c r="D74" s="1114">
        <v>43739786</v>
      </c>
      <c r="E74" s="1520">
        <v>1</v>
      </c>
      <c r="F74" s="1517">
        <v>0</v>
      </c>
      <c r="G74" s="1251">
        <v>0</v>
      </c>
      <c r="H74" s="1240">
        <v>0</v>
      </c>
      <c r="I74" s="1147">
        <v>1E-3</v>
      </c>
      <c r="J74" s="383">
        <v>0</v>
      </c>
      <c r="K74" s="487">
        <v>1E-3</v>
      </c>
      <c r="L74" s="487">
        <v>0</v>
      </c>
      <c r="M74" s="927"/>
      <c r="N74" s="672">
        <v>0</v>
      </c>
      <c r="O74" s="389">
        <v>1E-3</v>
      </c>
      <c r="P74" s="1092">
        <v>0</v>
      </c>
      <c r="Q74" s="1093">
        <v>0</v>
      </c>
      <c r="R74" s="381">
        <v>0</v>
      </c>
      <c r="S74" s="382"/>
      <c r="T74" s="381"/>
      <c r="U74" s="624"/>
      <c r="V74" s="569">
        <v>0</v>
      </c>
      <c r="W74" s="607"/>
      <c r="X74" s="383"/>
      <c r="Y74" s="607"/>
      <c r="Z74" s="383"/>
      <c r="AA74" s="607"/>
      <c r="AB74" s="718"/>
      <c r="AC74" s="335"/>
      <c r="AD74" s="389">
        <v>1E-3</v>
      </c>
      <c r="AE74" s="381">
        <v>1E-3</v>
      </c>
      <c r="AF74" s="389">
        <v>1E-3</v>
      </c>
      <c r="AG74" s="381">
        <v>1E-3</v>
      </c>
      <c r="AH74" s="389">
        <v>1E-3</v>
      </c>
      <c r="AI74" s="381">
        <v>1E-3</v>
      </c>
      <c r="AJ74" s="389">
        <v>1E-3</v>
      </c>
      <c r="AK74" s="381">
        <v>1E-3</v>
      </c>
      <c r="AL74" s="381">
        <v>1E-3</v>
      </c>
      <c r="AM74" s="381">
        <v>1E-3</v>
      </c>
      <c r="AN74" s="381">
        <v>1E-3</v>
      </c>
      <c r="AO74" s="381">
        <v>1E-3</v>
      </c>
      <c r="AP74" s="381">
        <v>1E-3</v>
      </c>
      <c r="AQ74" s="381">
        <v>1E-3</v>
      </c>
      <c r="AR74" s="381">
        <v>1E-3</v>
      </c>
      <c r="AS74" s="381">
        <v>1E-3</v>
      </c>
      <c r="AT74" s="381">
        <v>1E-3</v>
      </c>
      <c r="AU74" s="381">
        <v>1E-3</v>
      </c>
      <c r="AV74" s="381">
        <v>1E-3</v>
      </c>
      <c r="AW74" s="381">
        <v>1E-3</v>
      </c>
      <c r="AX74" s="335"/>
      <c r="AZ74" s="1097" t="s">
        <v>58</v>
      </c>
    </row>
    <row r="75" spans="1:52" x14ac:dyDescent="0.2">
      <c r="A75" s="1184">
        <v>69</v>
      </c>
      <c r="B75" s="1137" t="s">
        <v>175</v>
      </c>
      <c r="C75" s="1185">
        <v>12</v>
      </c>
      <c r="D75" s="1114">
        <v>800076166</v>
      </c>
      <c r="E75" s="1520">
        <v>2</v>
      </c>
      <c r="F75" s="1517">
        <v>0</v>
      </c>
      <c r="G75" s="1251">
        <v>0</v>
      </c>
      <c r="H75" s="1240">
        <v>0</v>
      </c>
      <c r="I75" s="1147">
        <v>1E-3</v>
      </c>
      <c r="J75" s="383">
        <v>0</v>
      </c>
      <c r="K75" s="487">
        <v>1E-3</v>
      </c>
      <c r="L75" s="487">
        <v>0</v>
      </c>
      <c r="M75" s="927"/>
      <c r="N75" s="672">
        <v>0</v>
      </c>
      <c r="O75" s="389">
        <v>1E-3</v>
      </c>
      <c r="P75" s="1092">
        <v>0</v>
      </c>
      <c r="Q75" s="1093">
        <v>0</v>
      </c>
      <c r="R75" s="381">
        <v>0</v>
      </c>
      <c r="S75" s="382"/>
      <c r="T75" s="381"/>
      <c r="U75" s="624"/>
      <c r="V75" s="569">
        <v>0</v>
      </c>
      <c r="W75" s="607"/>
      <c r="X75" s="383"/>
      <c r="Y75" s="607"/>
      <c r="Z75" s="383"/>
      <c r="AA75" s="607"/>
      <c r="AB75" s="718"/>
      <c r="AC75" s="335"/>
      <c r="AD75" s="389">
        <v>1E-3</v>
      </c>
      <c r="AE75" s="381">
        <v>1E-3</v>
      </c>
      <c r="AF75" s="389">
        <v>1E-3</v>
      </c>
      <c r="AG75" s="381">
        <v>1E-3</v>
      </c>
      <c r="AH75" s="389">
        <v>1E-3</v>
      </c>
      <c r="AI75" s="381">
        <v>1E-3</v>
      </c>
      <c r="AJ75" s="389">
        <v>1E-3</v>
      </c>
      <c r="AK75" s="381">
        <v>1E-3</v>
      </c>
      <c r="AL75" s="381">
        <v>1E-3</v>
      </c>
      <c r="AM75" s="381">
        <v>1E-3</v>
      </c>
      <c r="AN75" s="381">
        <v>1E-3</v>
      </c>
      <c r="AO75" s="381">
        <v>1E-3</v>
      </c>
      <c r="AP75" s="381">
        <v>1E-3</v>
      </c>
      <c r="AQ75" s="381">
        <v>1E-3</v>
      </c>
      <c r="AR75" s="381">
        <v>1E-3</v>
      </c>
      <c r="AS75" s="381">
        <v>1E-3</v>
      </c>
      <c r="AT75" s="381">
        <v>1E-3</v>
      </c>
      <c r="AU75" s="381">
        <v>1E-3</v>
      </c>
      <c r="AV75" s="381">
        <v>1E-3</v>
      </c>
      <c r="AW75" s="381">
        <v>1E-3</v>
      </c>
      <c r="AX75" s="335"/>
      <c r="AZ75" s="1137" t="s">
        <v>175</v>
      </c>
    </row>
    <row r="76" spans="1:52" x14ac:dyDescent="0.2">
      <c r="A76" s="1184">
        <v>70</v>
      </c>
      <c r="B76" s="1097" t="s">
        <v>409</v>
      </c>
      <c r="C76" s="1185">
        <v>46</v>
      </c>
      <c r="D76" s="1114">
        <v>43079748</v>
      </c>
      <c r="E76" s="1520">
        <v>7</v>
      </c>
      <c r="F76" s="1517">
        <v>0</v>
      </c>
      <c r="G76" s="1251">
        <v>0</v>
      </c>
      <c r="H76" s="1240">
        <v>0</v>
      </c>
      <c r="I76" s="1147">
        <v>1E-3</v>
      </c>
      <c r="J76" s="383">
        <v>0</v>
      </c>
      <c r="K76" s="487">
        <v>1E-3</v>
      </c>
      <c r="L76" s="487">
        <v>0</v>
      </c>
      <c r="M76" s="927"/>
      <c r="N76" s="672">
        <v>0</v>
      </c>
      <c r="O76" s="389">
        <v>1E-3</v>
      </c>
      <c r="P76" s="1092">
        <v>0</v>
      </c>
      <c r="Q76" s="1093">
        <v>0</v>
      </c>
      <c r="R76" s="381">
        <v>0</v>
      </c>
      <c r="S76" s="382"/>
      <c r="T76" s="381"/>
      <c r="U76" s="624"/>
      <c r="V76" s="569">
        <v>0</v>
      </c>
      <c r="W76" s="607"/>
      <c r="X76" s="383"/>
      <c r="Y76" s="607"/>
      <c r="Z76" s="383"/>
      <c r="AA76" s="607"/>
      <c r="AB76" s="718"/>
      <c r="AC76" s="335"/>
      <c r="AD76" s="389">
        <v>1E-3</v>
      </c>
      <c r="AE76" s="381">
        <v>1E-3</v>
      </c>
      <c r="AF76" s="389">
        <v>1E-3</v>
      </c>
      <c r="AG76" s="381">
        <v>1E-3</v>
      </c>
      <c r="AH76" s="389">
        <v>1E-3</v>
      </c>
      <c r="AI76" s="381">
        <v>1E-3</v>
      </c>
      <c r="AJ76" s="389">
        <v>1E-3</v>
      </c>
      <c r="AK76" s="381">
        <v>1E-3</v>
      </c>
      <c r="AL76" s="381">
        <v>1E-3</v>
      </c>
      <c r="AM76" s="381">
        <v>1E-3</v>
      </c>
      <c r="AN76" s="381">
        <v>1E-3</v>
      </c>
      <c r="AO76" s="381">
        <v>1E-3</v>
      </c>
      <c r="AP76" s="381">
        <v>1E-3</v>
      </c>
      <c r="AQ76" s="381">
        <v>1E-3</v>
      </c>
      <c r="AR76" s="381">
        <v>1E-3</v>
      </c>
      <c r="AS76" s="381">
        <v>1E-3</v>
      </c>
      <c r="AT76" s="381">
        <v>1E-3</v>
      </c>
      <c r="AU76" s="381">
        <v>1E-3</v>
      </c>
      <c r="AV76" s="381">
        <v>1E-3</v>
      </c>
      <c r="AW76" s="381">
        <v>1E-3</v>
      </c>
      <c r="AX76" s="335"/>
      <c r="AZ76" s="1097" t="s">
        <v>409</v>
      </c>
    </row>
    <row r="77" spans="1:52" x14ac:dyDescent="0.2">
      <c r="A77" s="1184">
        <v>71</v>
      </c>
      <c r="B77" s="1097" t="s">
        <v>390</v>
      </c>
      <c r="C77" s="1185">
        <v>54</v>
      </c>
      <c r="D77" s="1114">
        <v>43422834</v>
      </c>
      <c r="E77" s="1520">
        <v>3</v>
      </c>
      <c r="F77" s="1517">
        <v>0</v>
      </c>
      <c r="G77" s="1251">
        <v>0</v>
      </c>
      <c r="H77" s="1240">
        <v>0</v>
      </c>
      <c r="I77" s="1147">
        <v>1E-3</v>
      </c>
      <c r="J77" s="383">
        <v>0</v>
      </c>
      <c r="K77" s="487">
        <v>1E-3</v>
      </c>
      <c r="L77" s="487">
        <v>0</v>
      </c>
      <c r="M77" s="927"/>
      <c r="N77" s="672">
        <v>0</v>
      </c>
      <c r="O77" s="389">
        <v>1E-3</v>
      </c>
      <c r="P77" s="1092">
        <v>0</v>
      </c>
      <c r="Q77" s="1093">
        <v>0</v>
      </c>
      <c r="R77" s="381">
        <v>0</v>
      </c>
      <c r="S77" s="382"/>
      <c r="T77" s="381"/>
      <c r="U77" s="624"/>
      <c r="V77" s="569">
        <v>0</v>
      </c>
      <c r="W77" s="607"/>
      <c r="X77" s="383"/>
      <c r="Y77" s="607"/>
      <c r="Z77" s="383"/>
      <c r="AA77" s="607"/>
      <c r="AB77" s="718"/>
      <c r="AC77" s="335"/>
      <c r="AD77" s="389">
        <v>1E-3</v>
      </c>
      <c r="AE77" s="381">
        <v>1E-3</v>
      </c>
      <c r="AF77" s="389">
        <v>1E-3</v>
      </c>
      <c r="AG77" s="381">
        <v>1E-3</v>
      </c>
      <c r="AH77" s="389">
        <v>1E-3</v>
      </c>
      <c r="AI77" s="381">
        <v>1E-3</v>
      </c>
      <c r="AJ77" s="389">
        <v>1E-3</v>
      </c>
      <c r="AK77" s="381">
        <v>1E-3</v>
      </c>
      <c r="AL77" s="381">
        <v>1E-3</v>
      </c>
      <c r="AM77" s="381">
        <v>1E-3</v>
      </c>
      <c r="AN77" s="381">
        <v>1E-3</v>
      </c>
      <c r="AO77" s="381">
        <v>1E-3</v>
      </c>
      <c r="AP77" s="381">
        <v>1E-3</v>
      </c>
      <c r="AQ77" s="381">
        <v>1E-3</v>
      </c>
      <c r="AR77" s="381">
        <v>1E-3</v>
      </c>
      <c r="AS77" s="381">
        <v>1E-3</v>
      </c>
      <c r="AT77" s="381">
        <v>1E-3</v>
      </c>
      <c r="AU77" s="381">
        <v>1E-3</v>
      </c>
      <c r="AV77" s="381">
        <v>1E-3</v>
      </c>
      <c r="AW77" s="381">
        <v>1E-3</v>
      </c>
      <c r="AX77" s="335"/>
      <c r="AZ77" s="1393" t="s">
        <v>390</v>
      </c>
    </row>
    <row r="78" spans="1:52" x14ac:dyDescent="0.2">
      <c r="A78" s="1184">
        <v>72</v>
      </c>
      <c r="B78" s="1097" t="s">
        <v>59</v>
      </c>
      <c r="C78" s="1185">
        <v>99</v>
      </c>
      <c r="D78" s="1114">
        <v>43422711</v>
      </c>
      <c r="E78" s="1520">
        <v>6</v>
      </c>
      <c r="F78" s="1517">
        <v>0</v>
      </c>
      <c r="G78" s="1251">
        <v>0</v>
      </c>
      <c r="H78" s="1240">
        <v>0</v>
      </c>
      <c r="I78" s="1147">
        <v>1E-3</v>
      </c>
      <c r="J78" s="383">
        <v>0</v>
      </c>
      <c r="K78" s="487">
        <v>1E-3</v>
      </c>
      <c r="L78" s="487">
        <v>0</v>
      </c>
      <c r="M78" s="927"/>
      <c r="N78" s="672">
        <v>0</v>
      </c>
      <c r="O78" s="389">
        <v>1E-3</v>
      </c>
      <c r="P78" s="1092">
        <v>0</v>
      </c>
      <c r="Q78" s="1093">
        <v>0</v>
      </c>
      <c r="R78" s="381">
        <v>0</v>
      </c>
      <c r="S78" s="382"/>
      <c r="T78" s="381"/>
      <c r="U78" s="624"/>
      <c r="V78" s="569">
        <v>0</v>
      </c>
      <c r="W78" s="607"/>
      <c r="X78" s="383"/>
      <c r="Y78" s="607"/>
      <c r="Z78" s="383"/>
      <c r="AA78" s="607"/>
      <c r="AB78" s="718"/>
      <c r="AC78" s="335"/>
      <c r="AD78" s="389">
        <v>1E-3</v>
      </c>
      <c r="AE78" s="381">
        <v>1E-3</v>
      </c>
      <c r="AF78" s="389">
        <v>1E-3</v>
      </c>
      <c r="AG78" s="381">
        <v>1E-3</v>
      </c>
      <c r="AH78" s="389">
        <v>1E-3</v>
      </c>
      <c r="AI78" s="381">
        <v>1E-3</v>
      </c>
      <c r="AJ78" s="389">
        <v>1E-3</v>
      </c>
      <c r="AK78" s="381">
        <v>1E-3</v>
      </c>
      <c r="AL78" s="381">
        <v>1E-3</v>
      </c>
      <c r="AM78" s="381">
        <v>1E-3</v>
      </c>
      <c r="AN78" s="381">
        <v>1E-3</v>
      </c>
      <c r="AO78" s="381">
        <v>1E-3</v>
      </c>
      <c r="AP78" s="381">
        <v>1E-3</v>
      </c>
      <c r="AQ78" s="381">
        <v>1E-3</v>
      </c>
      <c r="AR78" s="381">
        <v>1E-3</v>
      </c>
      <c r="AS78" s="381">
        <v>1E-3</v>
      </c>
      <c r="AT78" s="381">
        <v>1E-3</v>
      </c>
      <c r="AU78" s="381">
        <v>1E-3</v>
      </c>
      <c r="AV78" s="381">
        <v>1E-3</v>
      </c>
      <c r="AW78" s="381">
        <v>1E-3</v>
      </c>
      <c r="AX78" s="335"/>
      <c r="AZ78" s="1393" t="s">
        <v>59</v>
      </c>
    </row>
    <row r="79" spans="1:52" x14ac:dyDescent="0.2">
      <c r="A79" s="1184">
        <v>73</v>
      </c>
      <c r="B79" s="1097" t="s">
        <v>650</v>
      </c>
      <c r="C79" s="1185">
        <v>233</v>
      </c>
      <c r="D79" s="1114">
        <v>71274022</v>
      </c>
      <c r="E79" s="1520">
        <v>6</v>
      </c>
      <c r="F79" s="1517">
        <v>0</v>
      </c>
      <c r="G79" s="1251">
        <v>0</v>
      </c>
      <c r="H79" s="1240">
        <v>0</v>
      </c>
      <c r="I79" s="1147">
        <v>1E-3</v>
      </c>
      <c r="J79" s="383">
        <v>0</v>
      </c>
      <c r="K79" s="487">
        <v>1E-3</v>
      </c>
      <c r="L79" s="487">
        <v>0</v>
      </c>
      <c r="M79" s="927"/>
      <c r="N79" s="672">
        <v>0</v>
      </c>
      <c r="O79" s="389">
        <v>1E-3</v>
      </c>
      <c r="P79" s="1092">
        <v>0</v>
      </c>
      <c r="Q79" s="1093">
        <v>0</v>
      </c>
      <c r="R79" s="381">
        <v>0</v>
      </c>
      <c r="S79" s="382"/>
      <c r="T79" s="381"/>
      <c r="U79" s="624"/>
      <c r="V79" s="569">
        <v>0</v>
      </c>
      <c r="W79" s="607"/>
      <c r="X79" s="383"/>
      <c r="Y79" s="607"/>
      <c r="Z79" s="383"/>
      <c r="AA79" s="607"/>
      <c r="AB79" s="718"/>
      <c r="AC79" s="335"/>
      <c r="AD79" s="389">
        <v>1E-3</v>
      </c>
      <c r="AE79" s="381">
        <v>1E-3</v>
      </c>
      <c r="AF79" s="389">
        <v>1E-3</v>
      </c>
      <c r="AG79" s="381">
        <v>1E-3</v>
      </c>
      <c r="AH79" s="389">
        <v>1E-3</v>
      </c>
      <c r="AI79" s="381">
        <v>1E-3</v>
      </c>
      <c r="AJ79" s="389">
        <v>1E-3</v>
      </c>
      <c r="AK79" s="381">
        <v>1E-3</v>
      </c>
      <c r="AL79" s="381">
        <v>1E-3</v>
      </c>
      <c r="AM79" s="381">
        <v>1E-3</v>
      </c>
      <c r="AN79" s="381">
        <v>1E-3</v>
      </c>
      <c r="AO79" s="381">
        <v>1E-3</v>
      </c>
      <c r="AP79" s="381">
        <v>1E-3</v>
      </c>
      <c r="AQ79" s="381">
        <v>1E-3</v>
      </c>
      <c r="AR79" s="381">
        <v>1E-3</v>
      </c>
      <c r="AS79" s="381">
        <v>1E-3</v>
      </c>
      <c r="AT79" s="381">
        <v>1E-3</v>
      </c>
      <c r="AU79" s="381">
        <v>1E-3</v>
      </c>
      <c r="AV79" s="381">
        <v>1E-3</v>
      </c>
      <c r="AW79" s="381">
        <v>1E-3</v>
      </c>
      <c r="AX79" s="335"/>
      <c r="AZ79" s="1137" t="s">
        <v>650</v>
      </c>
    </row>
    <row r="80" spans="1:52" x14ac:dyDescent="0.2">
      <c r="A80" s="1184">
        <v>74</v>
      </c>
      <c r="B80" s="1097" t="s">
        <v>294</v>
      </c>
      <c r="C80" s="1185">
        <v>330</v>
      </c>
      <c r="D80" s="1114">
        <v>3473739</v>
      </c>
      <c r="E80" s="1520">
        <v>4</v>
      </c>
      <c r="F80" s="1517">
        <v>0</v>
      </c>
      <c r="G80" s="1251">
        <v>0</v>
      </c>
      <c r="H80" s="1240">
        <v>0</v>
      </c>
      <c r="I80" s="1147">
        <v>1E-3</v>
      </c>
      <c r="J80" s="383">
        <v>0</v>
      </c>
      <c r="K80" s="487">
        <v>1E-3</v>
      </c>
      <c r="L80" s="487">
        <v>0</v>
      </c>
      <c r="M80" s="927"/>
      <c r="N80" s="672">
        <v>0</v>
      </c>
      <c r="O80" s="389">
        <v>1E-3</v>
      </c>
      <c r="P80" s="1092">
        <v>0</v>
      </c>
      <c r="Q80" s="1093">
        <v>0</v>
      </c>
      <c r="R80" s="381">
        <v>0</v>
      </c>
      <c r="S80" s="382"/>
      <c r="T80" s="381"/>
      <c r="U80" s="624"/>
      <c r="V80" s="569">
        <v>0</v>
      </c>
      <c r="W80" s="607"/>
      <c r="X80" s="383"/>
      <c r="Y80" s="607"/>
      <c r="Z80" s="383"/>
      <c r="AA80" s="607"/>
      <c r="AB80" s="718"/>
      <c r="AC80" s="335"/>
      <c r="AD80" s="389">
        <v>1E-3</v>
      </c>
      <c r="AE80" s="381">
        <v>1E-3</v>
      </c>
      <c r="AF80" s="389">
        <v>1E-3</v>
      </c>
      <c r="AG80" s="381">
        <v>1E-3</v>
      </c>
      <c r="AH80" s="389">
        <v>1E-3</v>
      </c>
      <c r="AI80" s="381">
        <v>1E-3</v>
      </c>
      <c r="AJ80" s="389">
        <v>1E-3</v>
      </c>
      <c r="AK80" s="381">
        <v>1E-3</v>
      </c>
      <c r="AL80" s="381">
        <v>1E-3</v>
      </c>
      <c r="AM80" s="381">
        <v>1E-3</v>
      </c>
      <c r="AN80" s="381">
        <v>1E-3</v>
      </c>
      <c r="AO80" s="381">
        <v>1E-3</v>
      </c>
      <c r="AP80" s="381">
        <v>1E-3</v>
      </c>
      <c r="AQ80" s="381">
        <v>1E-3</v>
      </c>
      <c r="AR80" s="381">
        <v>1E-3</v>
      </c>
      <c r="AS80" s="381">
        <v>1E-3</v>
      </c>
      <c r="AT80" s="381">
        <v>1E-3</v>
      </c>
      <c r="AU80" s="381">
        <v>1E-3</v>
      </c>
      <c r="AV80" s="381">
        <v>1E-3</v>
      </c>
      <c r="AW80" s="381">
        <v>1E-3</v>
      </c>
      <c r="AX80" s="335"/>
      <c r="AZ80" s="1097" t="s">
        <v>294</v>
      </c>
    </row>
    <row r="81" spans="1:52" x14ac:dyDescent="0.2">
      <c r="A81" s="1184">
        <v>75</v>
      </c>
      <c r="B81" s="1097" t="s">
        <v>62</v>
      </c>
      <c r="C81" s="1185">
        <v>223</v>
      </c>
      <c r="D81" s="1114">
        <v>1037601220</v>
      </c>
      <c r="E81" s="1520">
        <v>9</v>
      </c>
      <c r="F81" s="1517">
        <v>0</v>
      </c>
      <c r="G81" s="1251">
        <v>0</v>
      </c>
      <c r="H81" s="1240">
        <v>0</v>
      </c>
      <c r="I81" s="1147">
        <v>1E-3</v>
      </c>
      <c r="J81" s="383">
        <v>0</v>
      </c>
      <c r="K81" s="487">
        <v>1E-3</v>
      </c>
      <c r="L81" s="487">
        <v>0</v>
      </c>
      <c r="M81" s="927"/>
      <c r="N81" s="672">
        <v>0</v>
      </c>
      <c r="O81" s="389">
        <v>1E-3</v>
      </c>
      <c r="P81" s="1092">
        <v>0</v>
      </c>
      <c r="Q81" s="1093">
        <v>0</v>
      </c>
      <c r="R81" s="381">
        <v>0</v>
      </c>
      <c r="S81" s="382"/>
      <c r="T81" s="381"/>
      <c r="U81" s="624"/>
      <c r="V81" s="569">
        <v>0</v>
      </c>
      <c r="W81" s="607"/>
      <c r="X81" s="383"/>
      <c r="Y81" s="607"/>
      <c r="Z81" s="383"/>
      <c r="AA81" s="607"/>
      <c r="AB81" s="718"/>
      <c r="AC81" s="335"/>
      <c r="AD81" s="389">
        <v>1E-3</v>
      </c>
      <c r="AE81" s="381">
        <v>1E-3</v>
      </c>
      <c r="AF81" s="389">
        <v>1E-3</v>
      </c>
      <c r="AG81" s="381">
        <v>1E-3</v>
      </c>
      <c r="AH81" s="389">
        <v>1E-3</v>
      </c>
      <c r="AI81" s="381">
        <v>1E-3</v>
      </c>
      <c r="AJ81" s="389">
        <v>1E-3</v>
      </c>
      <c r="AK81" s="381">
        <v>1E-3</v>
      </c>
      <c r="AL81" s="381">
        <v>1E-3</v>
      </c>
      <c r="AM81" s="381">
        <v>1E-3</v>
      </c>
      <c r="AN81" s="381">
        <v>1E-3</v>
      </c>
      <c r="AO81" s="381">
        <v>1E-3</v>
      </c>
      <c r="AP81" s="381">
        <v>1E-3</v>
      </c>
      <c r="AQ81" s="381">
        <v>1E-3</v>
      </c>
      <c r="AR81" s="381">
        <v>1E-3</v>
      </c>
      <c r="AS81" s="381">
        <v>1E-3</v>
      </c>
      <c r="AT81" s="381">
        <v>1E-3</v>
      </c>
      <c r="AU81" s="381">
        <v>1E-3</v>
      </c>
      <c r="AV81" s="381">
        <v>1E-3</v>
      </c>
      <c r="AW81" s="381">
        <v>1E-3</v>
      </c>
      <c r="AX81" s="335"/>
      <c r="AZ81" s="1097" t="s">
        <v>62</v>
      </c>
    </row>
    <row r="82" spans="1:52" x14ac:dyDescent="0.2">
      <c r="A82" s="1184">
        <v>76</v>
      </c>
      <c r="B82" s="1097" t="s">
        <v>63</v>
      </c>
      <c r="C82" s="1185">
        <v>101</v>
      </c>
      <c r="D82" s="1114">
        <v>15502980</v>
      </c>
      <c r="E82" s="1520">
        <v>2</v>
      </c>
      <c r="F82" s="1517">
        <v>509473.65540302848</v>
      </c>
      <c r="G82" s="1251">
        <v>0</v>
      </c>
      <c r="H82" s="1240">
        <v>509473.65540302848</v>
      </c>
      <c r="I82" s="1148">
        <v>3</v>
      </c>
      <c r="J82" s="383">
        <v>379473.65540302848</v>
      </c>
      <c r="K82" s="487">
        <v>1E-3</v>
      </c>
      <c r="L82" s="487">
        <v>0</v>
      </c>
      <c r="M82" s="927"/>
      <c r="N82" s="672">
        <v>0</v>
      </c>
      <c r="O82" s="389" t="s">
        <v>318</v>
      </c>
      <c r="P82" s="1092">
        <v>130000</v>
      </c>
      <c r="Q82" s="1093">
        <v>0</v>
      </c>
      <c r="R82" s="381">
        <v>0</v>
      </c>
      <c r="S82" s="382"/>
      <c r="T82" s="381"/>
      <c r="U82" s="624"/>
      <c r="V82" s="569">
        <v>0</v>
      </c>
      <c r="W82" s="607"/>
      <c r="X82" s="383"/>
      <c r="Y82" s="607"/>
      <c r="Z82" s="383"/>
      <c r="AA82" s="607"/>
      <c r="AB82" s="718"/>
      <c r="AC82" s="335"/>
      <c r="AD82" s="389">
        <v>3</v>
      </c>
      <c r="AE82" s="381">
        <v>347248.95260160003</v>
      </c>
      <c r="AF82" s="389">
        <v>1E-3</v>
      </c>
      <c r="AG82" s="381">
        <v>0</v>
      </c>
      <c r="AH82" s="389">
        <v>1E-3</v>
      </c>
      <c r="AI82" s="381">
        <v>0</v>
      </c>
      <c r="AJ82" s="389" t="s">
        <v>318</v>
      </c>
      <c r="AK82" s="381">
        <v>120000</v>
      </c>
      <c r="AL82" s="381">
        <v>1E-3</v>
      </c>
      <c r="AM82" s="381">
        <v>1E-3</v>
      </c>
      <c r="AN82" s="381">
        <v>1E-3</v>
      </c>
      <c r="AO82" s="381">
        <v>1E-3</v>
      </c>
      <c r="AP82" s="381">
        <v>1E-3</v>
      </c>
      <c r="AQ82" s="381">
        <v>1E-3</v>
      </c>
      <c r="AR82" s="381">
        <v>1E-3</v>
      </c>
      <c r="AS82" s="381">
        <v>1E-3</v>
      </c>
      <c r="AT82" s="381">
        <v>1E-3</v>
      </c>
      <c r="AU82" s="381">
        <v>1E-3</v>
      </c>
      <c r="AV82" s="381">
        <v>1E-3</v>
      </c>
      <c r="AW82" s="381">
        <v>1E-3</v>
      </c>
      <c r="AX82" s="335"/>
      <c r="AZ82" s="1097" t="s">
        <v>63</v>
      </c>
    </row>
    <row r="83" spans="1:52" x14ac:dyDescent="0.2">
      <c r="A83" s="1184">
        <v>77</v>
      </c>
      <c r="B83" s="1097" t="s">
        <v>65</v>
      </c>
      <c r="C83" s="1185">
        <v>263</v>
      </c>
      <c r="D83" s="1114">
        <v>42681418</v>
      </c>
      <c r="E83" s="1520">
        <v>9</v>
      </c>
      <c r="F83" s="1517">
        <v>0</v>
      </c>
      <c r="G83" s="1251">
        <v>0</v>
      </c>
      <c r="H83" s="1240">
        <v>0</v>
      </c>
      <c r="I83" s="1147">
        <v>1E-3</v>
      </c>
      <c r="J83" s="383">
        <v>0</v>
      </c>
      <c r="K83" s="487">
        <v>1E-3</v>
      </c>
      <c r="L83" s="487">
        <v>0</v>
      </c>
      <c r="M83" s="927"/>
      <c r="N83" s="672">
        <v>0</v>
      </c>
      <c r="O83" s="389">
        <v>1E-3</v>
      </c>
      <c r="P83" s="1092">
        <v>0</v>
      </c>
      <c r="Q83" s="1093">
        <v>0</v>
      </c>
      <c r="R83" s="381">
        <v>0</v>
      </c>
      <c r="S83" s="382"/>
      <c r="T83" s="381"/>
      <c r="U83" s="624"/>
      <c r="V83" s="569">
        <v>0</v>
      </c>
      <c r="W83" s="607"/>
      <c r="X83" s="383"/>
      <c r="Y83" s="607"/>
      <c r="Z83" s="383"/>
      <c r="AA83" s="607"/>
      <c r="AB83" s="718"/>
      <c r="AC83" s="335"/>
      <c r="AD83" s="389">
        <v>1E-3</v>
      </c>
      <c r="AE83" s="381">
        <v>1E-3</v>
      </c>
      <c r="AF83" s="389">
        <v>1E-3</v>
      </c>
      <c r="AG83" s="381">
        <v>1E-3</v>
      </c>
      <c r="AH83" s="389">
        <v>1E-3</v>
      </c>
      <c r="AI83" s="381">
        <v>1E-3</v>
      </c>
      <c r="AJ83" s="389">
        <v>1E-3</v>
      </c>
      <c r="AK83" s="381">
        <v>1E-3</v>
      </c>
      <c r="AL83" s="381">
        <v>1E-3</v>
      </c>
      <c r="AM83" s="381">
        <v>1E-3</v>
      </c>
      <c r="AN83" s="381">
        <v>1E-3</v>
      </c>
      <c r="AO83" s="381">
        <v>1E-3</v>
      </c>
      <c r="AP83" s="381">
        <v>1E-3</v>
      </c>
      <c r="AQ83" s="381">
        <v>1E-3</v>
      </c>
      <c r="AR83" s="381">
        <v>1E-3</v>
      </c>
      <c r="AS83" s="381">
        <v>1E-3</v>
      </c>
      <c r="AT83" s="381">
        <v>1E-3</v>
      </c>
      <c r="AU83" s="381">
        <v>1E-3</v>
      </c>
      <c r="AV83" s="381">
        <v>1E-3</v>
      </c>
      <c r="AW83" s="381">
        <v>1E-3</v>
      </c>
      <c r="AX83" s="335"/>
      <c r="AZ83" s="1097" t="s">
        <v>65</v>
      </c>
    </row>
    <row r="84" spans="1:52" x14ac:dyDescent="0.2">
      <c r="A84" s="1184">
        <v>78</v>
      </c>
      <c r="B84" s="1097" t="s">
        <v>406</v>
      </c>
      <c r="C84" s="1185">
        <v>57</v>
      </c>
      <c r="D84" s="1114">
        <v>32415325</v>
      </c>
      <c r="E84" s="1520">
        <v>7</v>
      </c>
      <c r="F84" s="1517">
        <v>0</v>
      </c>
      <c r="G84" s="1251">
        <v>0</v>
      </c>
      <c r="H84" s="1240">
        <v>0</v>
      </c>
      <c r="I84" s="1147">
        <v>1E-3</v>
      </c>
      <c r="J84" s="383">
        <v>0</v>
      </c>
      <c r="K84" s="487">
        <v>1E-3</v>
      </c>
      <c r="L84" s="487">
        <v>0</v>
      </c>
      <c r="M84" s="927"/>
      <c r="N84" s="672">
        <v>0</v>
      </c>
      <c r="O84" s="389">
        <v>1E-3</v>
      </c>
      <c r="P84" s="1092">
        <v>0</v>
      </c>
      <c r="Q84" s="1093">
        <v>0</v>
      </c>
      <c r="R84" s="381">
        <v>0</v>
      </c>
      <c r="S84" s="382"/>
      <c r="T84" s="381"/>
      <c r="U84" s="624"/>
      <c r="V84" s="569">
        <v>0</v>
      </c>
      <c r="W84" s="607"/>
      <c r="X84" s="383"/>
      <c r="Y84" s="607"/>
      <c r="Z84" s="383"/>
      <c r="AA84" s="607"/>
      <c r="AB84" s="718"/>
      <c r="AC84" s="335"/>
      <c r="AD84" s="389">
        <v>1E-3</v>
      </c>
      <c r="AE84" s="381">
        <v>1E-3</v>
      </c>
      <c r="AF84" s="389">
        <v>1E-3</v>
      </c>
      <c r="AG84" s="381">
        <v>1E-3</v>
      </c>
      <c r="AH84" s="389">
        <v>1E-3</v>
      </c>
      <c r="AI84" s="381">
        <v>1E-3</v>
      </c>
      <c r="AJ84" s="389">
        <v>1E-3</v>
      </c>
      <c r="AK84" s="381">
        <v>1E-3</v>
      </c>
      <c r="AL84" s="381">
        <v>1E-3</v>
      </c>
      <c r="AM84" s="381">
        <v>1E-3</v>
      </c>
      <c r="AN84" s="381">
        <v>1E-3</v>
      </c>
      <c r="AO84" s="381">
        <v>1E-3</v>
      </c>
      <c r="AP84" s="381">
        <v>1E-3</v>
      </c>
      <c r="AQ84" s="381">
        <v>1E-3</v>
      </c>
      <c r="AR84" s="381">
        <v>1E-3</v>
      </c>
      <c r="AS84" s="381">
        <v>1E-3</v>
      </c>
      <c r="AT84" s="381">
        <v>1E-3</v>
      </c>
      <c r="AU84" s="381">
        <v>1E-3</v>
      </c>
      <c r="AV84" s="381">
        <v>1E-3</v>
      </c>
      <c r="AW84" s="381">
        <v>1E-3</v>
      </c>
      <c r="AX84" s="335"/>
      <c r="AZ84" s="1097" t="s">
        <v>406</v>
      </c>
    </row>
    <row r="85" spans="1:52" x14ac:dyDescent="0.2">
      <c r="A85" s="1184">
        <v>79</v>
      </c>
      <c r="B85" s="1097" t="s">
        <v>384</v>
      </c>
      <c r="C85" s="1185">
        <v>24</v>
      </c>
      <c r="D85" s="1114">
        <v>15925921</v>
      </c>
      <c r="E85" s="1520">
        <v>3</v>
      </c>
      <c r="F85" s="1517">
        <v>0</v>
      </c>
      <c r="G85" s="1251">
        <v>0</v>
      </c>
      <c r="H85" s="1240">
        <v>0</v>
      </c>
      <c r="I85" s="1147">
        <v>1E-3</v>
      </c>
      <c r="J85" s="383">
        <v>0</v>
      </c>
      <c r="K85" s="487">
        <v>1E-3</v>
      </c>
      <c r="L85" s="487">
        <v>0</v>
      </c>
      <c r="M85" s="927"/>
      <c r="N85" s="672">
        <v>0</v>
      </c>
      <c r="O85" s="389">
        <v>1E-3</v>
      </c>
      <c r="P85" s="1092">
        <v>0</v>
      </c>
      <c r="Q85" s="1093">
        <v>0</v>
      </c>
      <c r="R85" s="381">
        <v>0</v>
      </c>
      <c r="S85" s="382"/>
      <c r="T85" s="381"/>
      <c r="U85" s="624"/>
      <c r="V85" s="569">
        <v>0</v>
      </c>
      <c r="W85" s="607"/>
      <c r="X85" s="383"/>
      <c r="Y85" s="607"/>
      <c r="Z85" s="383"/>
      <c r="AA85" s="607"/>
      <c r="AB85" s="718"/>
      <c r="AC85" s="335"/>
      <c r="AD85" s="389">
        <v>1E-3</v>
      </c>
      <c r="AE85" s="381">
        <v>1E-3</v>
      </c>
      <c r="AF85" s="389">
        <v>1E-3</v>
      </c>
      <c r="AG85" s="381">
        <v>1E-3</v>
      </c>
      <c r="AH85" s="389">
        <v>1E-3</v>
      </c>
      <c r="AI85" s="381">
        <v>1E-3</v>
      </c>
      <c r="AJ85" s="389">
        <v>1E-3</v>
      </c>
      <c r="AK85" s="381">
        <v>1E-3</v>
      </c>
      <c r="AL85" s="381">
        <v>1E-3</v>
      </c>
      <c r="AM85" s="381">
        <v>1E-3</v>
      </c>
      <c r="AN85" s="381">
        <v>1E-3</v>
      </c>
      <c r="AO85" s="381">
        <v>1E-3</v>
      </c>
      <c r="AP85" s="381">
        <v>1E-3</v>
      </c>
      <c r="AQ85" s="381">
        <v>1E-3</v>
      </c>
      <c r="AR85" s="381">
        <v>1E-3</v>
      </c>
      <c r="AS85" s="381">
        <v>1E-3</v>
      </c>
      <c r="AT85" s="381">
        <v>1E-3</v>
      </c>
      <c r="AU85" s="381">
        <v>1E-3</v>
      </c>
      <c r="AV85" s="381">
        <v>1E-3</v>
      </c>
      <c r="AW85" s="381">
        <v>1E-3</v>
      </c>
      <c r="AX85" s="335"/>
      <c r="AZ85" s="1097" t="s">
        <v>384</v>
      </c>
    </row>
    <row r="86" spans="1:52" x14ac:dyDescent="0.2">
      <c r="A86" s="1184">
        <v>80</v>
      </c>
      <c r="B86" s="1097" t="s">
        <v>67</v>
      </c>
      <c r="C86" s="1185">
        <v>110</v>
      </c>
      <c r="D86" s="1114">
        <v>98619761</v>
      </c>
      <c r="E86" s="1520">
        <v>1</v>
      </c>
      <c r="F86" s="1517">
        <v>0</v>
      </c>
      <c r="G86" s="1251">
        <v>0</v>
      </c>
      <c r="H86" s="1240">
        <v>0</v>
      </c>
      <c r="I86" s="1147">
        <v>1E-3</v>
      </c>
      <c r="J86" s="383">
        <v>0</v>
      </c>
      <c r="K86" s="487">
        <v>1E-3</v>
      </c>
      <c r="L86" s="487">
        <v>0</v>
      </c>
      <c r="M86" s="927"/>
      <c r="N86" s="672">
        <v>0</v>
      </c>
      <c r="O86" s="389">
        <v>1E-3</v>
      </c>
      <c r="P86" s="1092">
        <v>0</v>
      </c>
      <c r="Q86" s="1093">
        <v>0</v>
      </c>
      <c r="R86" s="381">
        <v>0</v>
      </c>
      <c r="S86" s="382"/>
      <c r="T86" s="381"/>
      <c r="U86" s="624"/>
      <c r="V86" s="569">
        <v>0</v>
      </c>
      <c r="W86" s="607"/>
      <c r="X86" s="383"/>
      <c r="Y86" s="607"/>
      <c r="Z86" s="383"/>
      <c r="AA86" s="607"/>
      <c r="AB86" s="718"/>
      <c r="AC86" s="335"/>
      <c r="AD86" s="389">
        <v>1E-3</v>
      </c>
      <c r="AE86" s="381">
        <v>1E-3</v>
      </c>
      <c r="AF86" s="389">
        <v>1E-3</v>
      </c>
      <c r="AG86" s="381">
        <v>1E-3</v>
      </c>
      <c r="AH86" s="389">
        <v>1E-3</v>
      </c>
      <c r="AI86" s="381">
        <v>1E-3</v>
      </c>
      <c r="AJ86" s="389">
        <v>1E-3</v>
      </c>
      <c r="AK86" s="381">
        <v>1E-3</v>
      </c>
      <c r="AL86" s="381">
        <v>1E-3</v>
      </c>
      <c r="AM86" s="381">
        <v>1E-3</v>
      </c>
      <c r="AN86" s="381">
        <v>1E-3</v>
      </c>
      <c r="AO86" s="381">
        <v>1E-3</v>
      </c>
      <c r="AP86" s="381">
        <v>1E-3</v>
      </c>
      <c r="AQ86" s="381">
        <v>1E-3</v>
      </c>
      <c r="AR86" s="381">
        <v>1E-3</v>
      </c>
      <c r="AS86" s="381">
        <v>1E-3</v>
      </c>
      <c r="AT86" s="381">
        <v>1E-3</v>
      </c>
      <c r="AU86" s="381">
        <v>1E-3</v>
      </c>
      <c r="AV86" s="381">
        <v>1E-3</v>
      </c>
      <c r="AW86" s="381">
        <v>1E-3</v>
      </c>
      <c r="AX86" s="335"/>
      <c r="AZ86" s="1097" t="s">
        <v>67</v>
      </c>
    </row>
    <row r="87" spans="1:52" x14ac:dyDescent="0.2">
      <c r="A87" s="1184">
        <v>81</v>
      </c>
      <c r="B87" s="1097" t="s">
        <v>68</v>
      </c>
      <c r="C87" s="1185">
        <v>111</v>
      </c>
      <c r="D87" s="1114">
        <v>98570880</v>
      </c>
      <c r="E87" s="1520">
        <v>6</v>
      </c>
      <c r="F87" s="1517">
        <v>0</v>
      </c>
      <c r="G87" s="1251">
        <v>0</v>
      </c>
      <c r="H87" s="1240">
        <v>0</v>
      </c>
      <c r="I87" s="1147">
        <v>1E-3</v>
      </c>
      <c r="J87" s="383">
        <v>0</v>
      </c>
      <c r="K87" s="487">
        <v>1E-3</v>
      </c>
      <c r="L87" s="487">
        <v>0</v>
      </c>
      <c r="M87" s="927"/>
      <c r="N87" s="672">
        <v>0</v>
      </c>
      <c r="O87" s="389">
        <v>1E-3</v>
      </c>
      <c r="P87" s="1092">
        <v>0</v>
      </c>
      <c r="Q87" s="1093">
        <v>0</v>
      </c>
      <c r="R87" s="381">
        <v>0</v>
      </c>
      <c r="S87" s="382"/>
      <c r="T87" s="381"/>
      <c r="U87" s="624"/>
      <c r="V87" s="569">
        <v>0</v>
      </c>
      <c r="W87" s="607"/>
      <c r="X87" s="383"/>
      <c r="Y87" s="607"/>
      <c r="Z87" s="383"/>
      <c r="AA87" s="607"/>
      <c r="AB87" s="718"/>
      <c r="AC87" s="335"/>
      <c r="AD87" s="389">
        <v>1E-3</v>
      </c>
      <c r="AE87" s="381">
        <v>1E-3</v>
      </c>
      <c r="AF87" s="389">
        <v>1E-3</v>
      </c>
      <c r="AG87" s="381">
        <v>1E-3</v>
      </c>
      <c r="AH87" s="389">
        <v>1E-3</v>
      </c>
      <c r="AI87" s="381">
        <v>1E-3</v>
      </c>
      <c r="AJ87" s="389">
        <v>1E-3</v>
      </c>
      <c r="AK87" s="381">
        <v>1E-3</v>
      </c>
      <c r="AL87" s="381">
        <v>1E-3</v>
      </c>
      <c r="AM87" s="381">
        <v>1E-3</v>
      </c>
      <c r="AN87" s="381">
        <v>1E-3</v>
      </c>
      <c r="AO87" s="381">
        <v>1E-3</v>
      </c>
      <c r="AP87" s="381">
        <v>1E-3</v>
      </c>
      <c r="AQ87" s="381">
        <v>1E-3</v>
      </c>
      <c r="AR87" s="381">
        <v>1E-3</v>
      </c>
      <c r="AS87" s="381">
        <v>1E-3</v>
      </c>
      <c r="AT87" s="381">
        <v>1E-3</v>
      </c>
      <c r="AU87" s="381">
        <v>1E-3</v>
      </c>
      <c r="AV87" s="381">
        <v>1E-3</v>
      </c>
      <c r="AW87" s="381">
        <v>1E-3</v>
      </c>
      <c r="AX87" s="335"/>
      <c r="AZ87" s="1097" t="s">
        <v>68</v>
      </c>
    </row>
    <row r="88" spans="1:52" x14ac:dyDescent="0.2">
      <c r="A88" s="1184">
        <v>82</v>
      </c>
      <c r="B88" s="1097" t="s">
        <v>332</v>
      </c>
      <c r="C88" s="1185">
        <v>343</v>
      </c>
      <c r="D88" s="1114">
        <v>98570881</v>
      </c>
      <c r="E88" s="1520">
        <v>3</v>
      </c>
      <c r="F88" s="1517">
        <v>0</v>
      </c>
      <c r="G88" s="1251">
        <v>0</v>
      </c>
      <c r="H88" s="1240">
        <v>0</v>
      </c>
      <c r="I88" s="1147">
        <v>1E-3</v>
      </c>
      <c r="J88" s="383">
        <v>0</v>
      </c>
      <c r="K88" s="487">
        <v>1E-3</v>
      </c>
      <c r="L88" s="487">
        <v>0</v>
      </c>
      <c r="M88" s="927"/>
      <c r="N88" s="672">
        <v>0</v>
      </c>
      <c r="O88" s="389">
        <v>1E-3</v>
      </c>
      <c r="P88" s="1092">
        <v>0</v>
      </c>
      <c r="Q88" s="1093">
        <v>0</v>
      </c>
      <c r="R88" s="381">
        <v>0</v>
      </c>
      <c r="S88" s="382"/>
      <c r="T88" s="381"/>
      <c r="U88" s="624"/>
      <c r="V88" s="569">
        <v>0</v>
      </c>
      <c r="W88" s="607"/>
      <c r="X88" s="383"/>
      <c r="Y88" s="607"/>
      <c r="Z88" s="383"/>
      <c r="AA88" s="607"/>
      <c r="AB88" s="718"/>
      <c r="AC88" s="335"/>
      <c r="AD88" s="389">
        <v>1E-3</v>
      </c>
      <c r="AE88" s="381">
        <v>1E-3</v>
      </c>
      <c r="AF88" s="389">
        <v>1E-3</v>
      </c>
      <c r="AG88" s="381">
        <v>1E-3</v>
      </c>
      <c r="AH88" s="389">
        <v>1E-3</v>
      </c>
      <c r="AI88" s="381">
        <v>1E-3</v>
      </c>
      <c r="AJ88" s="389">
        <v>1E-3</v>
      </c>
      <c r="AK88" s="381">
        <v>1E-3</v>
      </c>
      <c r="AL88" s="381">
        <v>1E-3</v>
      </c>
      <c r="AM88" s="381">
        <v>1E-3</v>
      </c>
      <c r="AN88" s="381">
        <v>1E-3</v>
      </c>
      <c r="AO88" s="381">
        <v>1E-3</v>
      </c>
      <c r="AP88" s="381">
        <v>1E-3</v>
      </c>
      <c r="AQ88" s="381">
        <v>1E-3</v>
      </c>
      <c r="AR88" s="381">
        <v>1E-3</v>
      </c>
      <c r="AS88" s="381">
        <v>1E-3</v>
      </c>
      <c r="AT88" s="381">
        <v>1E-3</v>
      </c>
      <c r="AU88" s="381">
        <v>1E-3</v>
      </c>
      <c r="AV88" s="381">
        <v>1E-3</v>
      </c>
      <c r="AW88" s="381">
        <v>1E-3</v>
      </c>
      <c r="AX88" s="335"/>
      <c r="AZ88" s="1097" t="s">
        <v>332</v>
      </c>
    </row>
    <row r="89" spans="1:52" x14ac:dyDescent="0.2">
      <c r="A89" s="1184">
        <v>83</v>
      </c>
      <c r="B89" s="1097" t="s">
        <v>69</v>
      </c>
      <c r="C89" s="1185">
        <v>305</v>
      </c>
      <c r="D89" s="1114">
        <v>98549455</v>
      </c>
      <c r="E89" s="1520">
        <v>1</v>
      </c>
      <c r="F89" s="1517">
        <v>0</v>
      </c>
      <c r="G89" s="1251">
        <v>0</v>
      </c>
      <c r="H89" s="1240">
        <v>0</v>
      </c>
      <c r="I89" s="1147">
        <v>1E-3</v>
      </c>
      <c r="J89" s="383">
        <v>0</v>
      </c>
      <c r="K89" s="487">
        <v>1E-3</v>
      </c>
      <c r="L89" s="487">
        <v>0</v>
      </c>
      <c r="M89" s="927"/>
      <c r="N89" s="672">
        <v>0</v>
      </c>
      <c r="O89" s="389">
        <v>1E-3</v>
      </c>
      <c r="P89" s="1092">
        <v>0</v>
      </c>
      <c r="Q89" s="1093">
        <v>0</v>
      </c>
      <c r="R89" s="381">
        <v>0</v>
      </c>
      <c r="S89" s="382"/>
      <c r="T89" s="381"/>
      <c r="U89" s="624"/>
      <c r="V89" s="569">
        <v>0</v>
      </c>
      <c r="W89" s="607"/>
      <c r="X89" s="383"/>
      <c r="Y89" s="607"/>
      <c r="Z89" s="383"/>
      <c r="AA89" s="607"/>
      <c r="AB89" s="718"/>
      <c r="AC89" s="335"/>
      <c r="AD89" s="389">
        <v>1E-3</v>
      </c>
      <c r="AE89" s="381">
        <v>1E-3</v>
      </c>
      <c r="AF89" s="389">
        <v>1E-3</v>
      </c>
      <c r="AG89" s="381">
        <v>1E-3</v>
      </c>
      <c r="AH89" s="389">
        <v>1E-3</v>
      </c>
      <c r="AI89" s="381">
        <v>1E-3</v>
      </c>
      <c r="AJ89" s="389">
        <v>1E-3</v>
      </c>
      <c r="AK89" s="381">
        <v>1E-3</v>
      </c>
      <c r="AL89" s="381">
        <v>1E-3</v>
      </c>
      <c r="AM89" s="381">
        <v>1E-3</v>
      </c>
      <c r="AN89" s="381">
        <v>1E-3</v>
      </c>
      <c r="AO89" s="381">
        <v>1E-3</v>
      </c>
      <c r="AP89" s="381">
        <v>1E-3</v>
      </c>
      <c r="AQ89" s="381">
        <v>1E-3</v>
      </c>
      <c r="AR89" s="381">
        <v>1E-3</v>
      </c>
      <c r="AS89" s="381">
        <v>1E-3</v>
      </c>
      <c r="AT89" s="381">
        <v>1E-3</v>
      </c>
      <c r="AU89" s="381">
        <v>1E-3</v>
      </c>
      <c r="AV89" s="381">
        <v>1E-3</v>
      </c>
      <c r="AW89" s="381">
        <v>1E-3</v>
      </c>
      <c r="AX89" s="335"/>
      <c r="AZ89" s="1097" t="s">
        <v>69</v>
      </c>
    </row>
    <row r="90" spans="1:52" x14ac:dyDescent="0.2">
      <c r="A90" s="1184">
        <v>84</v>
      </c>
      <c r="B90" s="1097" t="s">
        <v>659</v>
      </c>
      <c r="C90" s="1185">
        <v>224</v>
      </c>
      <c r="D90" s="1114">
        <v>1034995481</v>
      </c>
      <c r="E90" s="1520">
        <v>3</v>
      </c>
      <c r="F90" s="1517">
        <v>0</v>
      </c>
      <c r="G90" s="1251">
        <v>0</v>
      </c>
      <c r="H90" s="1240">
        <v>0</v>
      </c>
      <c r="I90" s="1147">
        <v>1E-3</v>
      </c>
      <c r="J90" s="383">
        <v>0</v>
      </c>
      <c r="K90" s="487">
        <v>1E-3</v>
      </c>
      <c r="L90" s="487">
        <v>0</v>
      </c>
      <c r="M90" s="927"/>
      <c r="N90" s="672">
        <v>0</v>
      </c>
      <c r="O90" s="389">
        <v>1E-3</v>
      </c>
      <c r="P90" s="1092">
        <v>0</v>
      </c>
      <c r="Q90" s="1093">
        <v>0</v>
      </c>
      <c r="R90" s="381">
        <v>0</v>
      </c>
      <c r="S90" s="382"/>
      <c r="T90" s="381"/>
      <c r="U90" s="624"/>
      <c r="V90" s="569">
        <v>0</v>
      </c>
      <c r="W90" s="607"/>
      <c r="X90" s="383"/>
      <c r="Y90" s="607"/>
      <c r="Z90" s="383"/>
      <c r="AA90" s="607"/>
      <c r="AB90" s="718"/>
      <c r="AC90" s="335"/>
      <c r="AD90" s="389">
        <v>1E-3</v>
      </c>
      <c r="AE90" s="381">
        <v>1E-3</v>
      </c>
      <c r="AF90" s="389">
        <v>1E-3</v>
      </c>
      <c r="AG90" s="381">
        <v>1E-3</v>
      </c>
      <c r="AH90" s="389">
        <v>1E-3</v>
      </c>
      <c r="AI90" s="381">
        <v>1E-3</v>
      </c>
      <c r="AJ90" s="389">
        <v>1E-3</v>
      </c>
      <c r="AK90" s="381">
        <v>1E-3</v>
      </c>
      <c r="AL90" s="381">
        <v>1E-3</v>
      </c>
      <c r="AM90" s="381">
        <v>1E-3</v>
      </c>
      <c r="AN90" s="381">
        <v>1E-3</v>
      </c>
      <c r="AO90" s="381">
        <v>1E-3</v>
      </c>
      <c r="AP90" s="381">
        <v>1E-3</v>
      </c>
      <c r="AQ90" s="381">
        <v>1E-3</v>
      </c>
      <c r="AR90" s="381">
        <v>1E-3</v>
      </c>
      <c r="AS90" s="381">
        <v>1E-3</v>
      </c>
      <c r="AT90" s="381">
        <v>1E-3</v>
      </c>
      <c r="AU90" s="381">
        <v>1E-3</v>
      </c>
      <c r="AV90" s="381">
        <v>1E-3</v>
      </c>
      <c r="AW90" s="381">
        <v>1E-3</v>
      </c>
      <c r="AX90" s="335"/>
      <c r="AZ90" s="1137" t="s">
        <v>659</v>
      </c>
    </row>
    <row r="91" spans="1:52" x14ac:dyDescent="0.2">
      <c r="A91" s="1184">
        <v>85</v>
      </c>
      <c r="B91" s="1097" t="s">
        <v>646</v>
      </c>
      <c r="C91" s="1185">
        <v>228</v>
      </c>
      <c r="D91" s="1114">
        <v>1034991081</v>
      </c>
      <c r="E91" s="1520">
        <v>2</v>
      </c>
      <c r="F91" s="1517">
        <v>0</v>
      </c>
      <c r="G91" s="1251">
        <v>0</v>
      </c>
      <c r="H91" s="1240">
        <v>0</v>
      </c>
      <c r="I91" s="1147">
        <v>1E-3</v>
      </c>
      <c r="J91" s="383">
        <v>0</v>
      </c>
      <c r="K91" s="487">
        <v>1E-3</v>
      </c>
      <c r="L91" s="487">
        <v>0</v>
      </c>
      <c r="M91" s="927"/>
      <c r="N91" s="672">
        <v>0</v>
      </c>
      <c r="O91" s="389">
        <v>1E-3</v>
      </c>
      <c r="P91" s="1092">
        <v>0</v>
      </c>
      <c r="Q91" s="1093">
        <v>0</v>
      </c>
      <c r="R91" s="381">
        <v>0</v>
      </c>
      <c r="S91" s="382"/>
      <c r="T91" s="381"/>
      <c r="U91" s="624"/>
      <c r="V91" s="569">
        <v>0</v>
      </c>
      <c r="W91" s="607"/>
      <c r="X91" s="383"/>
      <c r="Y91" s="607"/>
      <c r="Z91" s="383"/>
      <c r="AA91" s="607"/>
      <c r="AB91" s="718"/>
      <c r="AC91" s="335"/>
      <c r="AD91" s="389">
        <v>1E-3</v>
      </c>
      <c r="AE91" s="381">
        <v>1E-3</v>
      </c>
      <c r="AF91" s="389">
        <v>1E-3</v>
      </c>
      <c r="AG91" s="381">
        <v>1E-3</v>
      </c>
      <c r="AH91" s="389">
        <v>1E-3</v>
      </c>
      <c r="AI91" s="381">
        <v>1E-3</v>
      </c>
      <c r="AJ91" s="389">
        <v>1E-3</v>
      </c>
      <c r="AK91" s="381">
        <v>1E-3</v>
      </c>
      <c r="AL91" s="381">
        <v>1E-3</v>
      </c>
      <c r="AM91" s="381">
        <v>1E-3</v>
      </c>
      <c r="AN91" s="381">
        <v>1E-3</v>
      </c>
      <c r="AO91" s="381">
        <v>1E-3</v>
      </c>
      <c r="AP91" s="381">
        <v>1E-3</v>
      </c>
      <c r="AQ91" s="381">
        <v>1E-3</v>
      </c>
      <c r="AR91" s="381">
        <v>1E-3</v>
      </c>
      <c r="AS91" s="381">
        <v>1E-3</v>
      </c>
      <c r="AT91" s="381">
        <v>1E-3</v>
      </c>
      <c r="AU91" s="381">
        <v>1E-3</v>
      </c>
      <c r="AV91" s="381">
        <v>1E-3</v>
      </c>
      <c r="AW91" s="381">
        <v>1E-3</v>
      </c>
      <c r="AX91" s="335"/>
      <c r="AZ91" s="1137" t="s">
        <v>646</v>
      </c>
    </row>
    <row r="92" spans="1:52" x14ac:dyDescent="0.2">
      <c r="A92" s="1184">
        <v>86</v>
      </c>
      <c r="B92" s="1097" t="s">
        <v>70</v>
      </c>
      <c r="C92" s="1185">
        <v>289</v>
      </c>
      <c r="D92" s="1114">
        <v>32517259</v>
      </c>
      <c r="E92" s="1520">
        <v>7</v>
      </c>
      <c r="F92" s="1517">
        <v>0</v>
      </c>
      <c r="G92" s="1251">
        <v>0</v>
      </c>
      <c r="H92" s="1240">
        <v>0</v>
      </c>
      <c r="I92" s="1147">
        <v>1E-3</v>
      </c>
      <c r="J92" s="383">
        <v>0</v>
      </c>
      <c r="K92" s="487">
        <v>1E-3</v>
      </c>
      <c r="L92" s="487">
        <v>0</v>
      </c>
      <c r="M92" s="927"/>
      <c r="N92" s="672">
        <v>0</v>
      </c>
      <c r="O92" s="389">
        <v>1E-3</v>
      </c>
      <c r="P92" s="1092">
        <v>0</v>
      </c>
      <c r="Q92" s="1093">
        <v>0</v>
      </c>
      <c r="R92" s="381">
        <v>0</v>
      </c>
      <c r="S92" s="382"/>
      <c r="T92" s="381"/>
      <c r="U92" s="624"/>
      <c r="V92" s="569">
        <v>0</v>
      </c>
      <c r="W92" s="607"/>
      <c r="X92" s="383"/>
      <c r="Y92" s="607"/>
      <c r="Z92" s="383"/>
      <c r="AA92" s="607"/>
      <c r="AB92" s="718"/>
      <c r="AC92" s="335"/>
      <c r="AD92" s="389">
        <v>1E-3</v>
      </c>
      <c r="AE92" s="381">
        <v>1E-3</v>
      </c>
      <c r="AF92" s="389">
        <v>1E-3</v>
      </c>
      <c r="AG92" s="381">
        <v>1E-3</v>
      </c>
      <c r="AH92" s="389">
        <v>1E-3</v>
      </c>
      <c r="AI92" s="381">
        <v>1E-3</v>
      </c>
      <c r="AJ92" s="389">
        <v>1E-3</v>
      </c>
      <c r="AK92" s="381">
        <v>1E-3</v>
      </c>
      <c r="AL92" s="381">
        <v>1E-3</v>
      </c>
      <c r="AM92" s="381">
        <v>1E-3</v>
      </c>
      <c r="AN92" s="381">
        <v>1E-3</v>
      </c>
      <c r="AO92" s="381">
        <v>1E-3</v>
      </c>
      <c r="AP92" s="381">
        <v>1E-3</v>
      </c>
      <c r="AQ92" s="381">
        <v>1E-3</v>
      </c>
      <c r="AR92" s="381">
        <v>1E-3</v>
      </c>
      <c r="AS92" s="381">
        <v>1E-3</v>
      </c>
      <c r="AT92" s="381">
        <v>1E-3</v>
      </c>
      <c r="AU92" s="381">
        <v>1E-3</v>
      </c>
      <c r="AV92" s="381">
        <v>1E-3</v>
      </c>
      <c r="AW92" s="381">
        <v>1E-3</v>
      </c>
      <c r="AX92" s="335"/>
      <c r="AZ92" s="1097" t="s">
        <v>70</v>
      </c>
    </row>
    <row r="93" spans="1:52" x14ac:dyDescent="0.2">
      <c r="A93" s="1184">
        <v>87</v>
      </c>
      <c r="B93" s="1097" t="s">
        <v>71</v>
      </c>
      <c r="C93" s="1185">
        <v>112</v>
      </c>
      <c r="D93" s="1114">
        <v>32476412</v>
      </c>
      <c r="E93" s="1520">
        <v>0</v>
      </c>
      <c r="F93" s="1517">
        <v>0</v>
      </c>
      <c r="G93" s="1251">
        <v>0</v>
      </c>
      <c r="H93" s="1240">
        <v>0</v>
      </c>
      <c r="I93" s="1147">
        <v>1E-3</v>
      </c>
      <c r="J93" s="383">
        <v>0</v>
      </c>
      <c r="K93" s="487">
        <v>1E-3</v>
      </c>
      <c r="L93" s="487">
        <v>0</v>
      </c>
      <c r="M93" s="927"/>
      <c r="N93" s="672">
        <v>0</v>
      </c>
      <c r="O93" s="389">
        <v>1E-3</v>
      </c>
      <c r="P93" s="1092">
        <v>0</v>
      </c>
      <c r="Q93" s="1093">
        <v>0</v>
      </c>
      <c r="R93" s="381">
        <v>0</v>
      </c>
      <c r="S93" s="382"/>
      <c r="T93" s="381"/>
      <c r="U93" s="624"/>
      <c r="V93" s="569">
        <v>0</v>
      </c>
      <c r="W93" s="607"/>
      <c r="X93" s="383"/>
      <c r="Y93" s="607"/>
      <c r="Z93" s="383"/>
      <c r="AA93" s="607"/>
      <c r="AB93" s="718"/>
      <c r="AC93" s="335"/>
      <c r="AD93" s="389">
        <v>1E-3</v>
      </c>
      <c r="AE93" s="381">
        <v>1E-3</v>
      </c>
      <c r="AF93" s="389">
        <v>1E-3</v>
      </c>
      <c r="AG93" s="381">
        <v>1E-3</v>
      </c>
      <c r="AH93" s="389">
        <v>1E-3</v>
      </c>
      <c r="AI93" s="381">
        <v>1E-3</v>
      </c>
      <c r="AJ93" s="389">
        <v>1E-3</v>
      </c>
      <c r="AK93" s="381">
        <v>1E-3</v>
      </c>
      <c r="AL93" s="381">
        <v>1E-3</v>
      </c>
      <c r="AM93" s="381">
        <v>1E-3</v>
      </c>
      <c r="AN93" s="381">
        <v>1E-3</v>
      </c>
      <c r="AO93" s="381">
        <v>1E-3</v>
      </c>
      <c r="AP93" s="381">
        <v>1E-3</v>
      </c>
      <c r="AQ93" s="381">
        <v>1E-3</v>
      </c>
      <c r="AR93" s="381">
        <v>1E-3</v>
      </c>
      <c r="AS93" s="381">
        <v>1E-3</v>
      </c>
      <c r="AT93" s="381">
        <v>1E-3</v>
      </c>
      <c r="AU93" s="381">
        <v>1E-3</v>
      </c>
      <c r="AV93" s="381">
        <v>1E-3</v>
      </c>
      <c r="AW93" s="381">
        <v>1E-3</v>
      </c>
      <c r="AX93" s="335"/>
      <c r="AZ93" s="1097" t="s">
        <v>71</v>
      </c>
    </row>
    <row r="94" spans="1:52" x14ac:dyDescent="0.2">
      <c r="A94" s="1184">
        <v>88</v>
      </c>
      <c r="B94" s="1137" t="s">
        <v>674</v>
      </c>
      <c r="C94" s="1185">
        <v>258</v>
      </c>
      <c r="D94" s="1114">
        <v>900625975</v>
      </c>
      <c r="E94" s="1520">
        <v>3</v>
      </c>
      <c r="F94" s="1517">
        <v>0</v>
      </c>
      <c r="G94" s="1251">
        <v>0</v>
      </c>
      <c r="H94" s="1240">
        <v>0</v>
      </c>
      <c r="I94" s="1147">
        <v>1E-3</v>
      </c>
      <c r="J94" s="383">
        <v>0</v>
      </c>
      <c r="K94" s="487">
        <v>1E-3</v>
      </c>
      <c r="L94" s="487">
        <v>0</v>
      </c>
      <c r="M94" s="927"/>
      <c r="N94" s="672">
        <v>0</v>
      </c>
      <c r="O94" s="389">
        <v>1E-3</v>
      </c>
      <c r="P94" s="1092">
        <v>0</v>
      </c>
      <c r="Q94" s="1093">
        <v>0</v>
      </c>
      <c r="R94" s="381">
        <v>0</v>
      </c>
      <c r="S94" s="382"/>
      <c r="T94" s="381"/>
      <c r="U94" s="624"/>
      <c r="V94" s="569">
        <v>0</v>
      </c>
      <c r="W94" s="607"/>
      <c r="X94" s="383"/>
      <c r="Y94" s="607"/>
      <c r="Z94" s="383"/>
      <c r="AA94" s="607"/>
      <c r="AB94" s="718"/>
      <c r="AC94" s="335"/>
      <c r="AD94" s="389">
        <v>1E-3</v>
      </c>
      <c r="AE94" s="381">
        <v>1E-3</v>
      </c>
      <c r="AF94" s="389">
        <v>1E-3</v>
      </c>
      <c r="AG94" s="381">
        <v>1E-3</v>
      </c>
      <c r="AH94" s="389">
        <v>1E-3</v>
      </c>
      <c r="AI94" s="381">
        <v>1E-3</v>
      </c>
      <c r="AJ94" s="389">
        <v>1E-3</v>
      </c>
      <c r="AK94" s="381">
        <v>1E-3</v>
      </c>
      <c r="AL94" s="381">
        <v>1E-3</v>
      </c>
      <c r="AM94" s="381">
        <v>1E-3</v>
      </c>
      <c r="AN94" s="381">
        <v>1E-3</v>
      </c>
      <c r="AO94" s="381">
        <v>1E-3</v>
      </c>
      <c r="AP94" s="381">
        <v>1E-3</v>
      </c>
      <c r="AQ94" s="381">
        <v>1E-3</v>
      </c>
      <c r="AR94" s="381">
        <v>1E-3</v>
      </c>
      <c r="AS94" s="381">
        <v>1E-3</v>
      </c>
      <c r="AT94" s="381">
        <v>1E-3</v>
      </c>
      <c r="AU94" s="381">
        <v>1E-3</v>
      </c>
      <c r="AV94" s="381">
        <v>1E-3</v>
      </c>
      <c r="AW94" s="381">
        <v>1E-3</v>
      </c>
      <c r="AX94" s="335"/>
      <c r="AZ94" s="1137" t="s">
        <v>674</v>
      </c>
    </row>
    <row r="95" spans="1:52" x14ac:dyDescent="0.2">
      <c r="A95" s="1184">
        <v>89</v>
      </c>
      <c r="B95" s="1097" t="s">
        <v>73</v>
      </c>
      <c r="C95" s="1185">
        <v>116</v>
      </c>
      <c r="D95" s="1114">
        <v>33166790</v>
      </c>
      <c r="E95" s="1520">
        <v>3</v>
      </c>
      <c r="F95" s="1517">
        <v>0</v>
      </c>
      <c r="G95" s="1251">
        <v>0</v>
      </c>
      <c r="H95" s="1240">
        <v>0</v>
      </c>
      <c r="I95" s="1147">
        <v>1E-3</v>
      </c>
      <c r="J95" s="383">
        <v>0</v>
      </c>
      <c r="K95" s="487">
        <v>1E-3</v>
      </c>
      <c r="L95" s="487">
        <v>0</v>
      </c>
      <c r="M95" s="927"/>
      <c r="N95" s="672">
        <v>0</v>
      </c>
      <c r="O95" s="389">
        <v>1E-3</v>
      </c>
      <c r="P95" s="1092">
        <v>0</v>
      </c>
      <c r="Q95" s="1093">
        <v>0</v>
      </c>
      <c r="R95" s="381">
        <v>0</v>
      </c>
      <c r="S95" s="382"/>
      <c r="T95" s="381"/>
      <c r="U95" s="624"/>
      <c r="V95" s="569">
        <v>0</v>
      </c>
      <c r="W95" s="607"/>
      <c r="X95" s="383"/>
      <c r="Y95" s="607"/>
      <c r="Z95" s="383"/>
      <c r="AA95" s="607"/>
      <c r="AB95" s="718"/>
      <c r="AC95" s="335"/>
      <c r="AD95" s="389">
        <v>1E-3</v>
      </c>
      <c r="AE95" s="381">
        <v>1E-3</v>
      </c>
      <c r="AF95" s="389">
        <v>1E-3</v>
      </c>
      <c r="AG95" s="381">
        <v>1E-3</v>
      </c>
      <c r="AH95" s="389">
        <v>1E-3</v>
      </c>
      <c r="AI95" s="381">
        <v>1E-3</v>
      </c>
      <c r="AJ95" s="389">
        <v>1E-3</v>
      </c>
      <c r="AK95" s="381">
        <v>1E-3</v>
      </c>
      <c r="AL95" s="381">
        <v>1E-3</v>
      </c>
      <c r="AM95" s="381">
        <v>1E-3</v>
      </c>
      <c r="AN95" s="381">
        <v>1E-3</v>
      </c>
      <c r="AO95" s="381">
        <v>1E-3</v>
      </c>
      <c r="AP95" s="381">
        <v>1E-3</v>
      </c>
      <c r="AQ95" s="381">
        <v>1E-3</v>
      </c>
      <c r="AR95" s="381">
        <v>1E-3</v>
      </c>
      <c r="AS95" s="381">
        <v>1E-3</v>
      </c>
      <c r="AT95" s="381">
        <v>1E-3</v>
      </c>
      <c r="AU95" s="381">
        <v>1E-3</v>
      </c>
      <c r="AV95" s="381">
        <v>1E-3</v>
      </c>
      <c r="AW95" s="381">
        <v>1E-3</v>
      </c>
      <c r="AX95" s="335"/>
      <c r="AZ95" s="1097" t="s">
        <v>73</v>
      </c>
    </row>
    <row r="96" spans="1:52" x14ac:dyDescent="0.2">
      <c r="A96" s="1184">
        <v>90</v>
      </c>
      <c r="B96" s="1097" t="s">
        <v>295</v>
      </c>
      <c r="C96" s="1185">
        <v>331</v>
      </c>
      <c r="D96" s="1114">
        <v>21350229</v>
      </c>
      <c r="E96" s="1520">
        <v>7</v>
      </c>
      <c r="F96" s="1517">
        <v>0</v>
      </c>
      <c r="G96" s="1251">
        <v>0</v>
      </c>
      <c r="H96" s="1240">
        <v>0</v>
      </c>
      <c r="I96" s="1147">
        <v>1E-3</v>
      </c>
      <c r="J96" s="383">
        <v>0</v>
      </c>
      <c r="K96" s="487">
        <v>1E-3</v>
      </c>
      <c r="L96" s="487">
        <v>0</v>
      </c>
      <c r="M96" s="927"/>
      <c r="N96" s="672">
        <v>0</v>
      </c>
      <c r="O96" s="389">
        <v>1E-3</v>
      </c>
      <c r="P96" s="1092">
        <v>0</v>
      </c>
      <c r="Q96" s="1093">
        <v>0</v>
      </c>
      <c r="R96" s="381">
        <v>0</v>
      </c>
      <c r="S96" s="382"/>
      <c r="T96" s="381"/>
      <c r="U96" s="624"/>
      <c r="V96" s="569">
        <v>0</v>
      </c>
      <c r="W96" s="607"/>
      <c r="X96" s="383"/>
      <c r="Y96" s="607"/>
      <c r="Z96" s="383"/>
      <c r="AA96" s="607"/>
      <c r="AB96" s="718"/>
      <c r="AC96" s="335"/>
      <c r="AD96" s="389">
        <v>1E-3</v>
      </c>
      <c r="AE96" s="381">
        <v>1E-3</v>
      </c>
      <c r="AF96" s="389">
        <v>1E-3</v>
      </c>
      <c r="AG96" s="381">
        <v>1E-3</v>
      </c>
      <c r="AH96" s="389">
        <v>1E-3</v>
      </c>
      <c r="AI96" s="381">
        <v>1E-3</v>
      </c>
      <c r="AJ96" s="389">
        <v>1E-3</v>
      </c>
      <c r="AK96" s="381">
        <v>1E-3</v>
      </c>
      <c r="AL96" s="381">
        <v>1E-3</v>
      </c>
      <c r="AM96" s="381">
        <v>1E-3</v>
      </c>
      <c r="AN96" s="381">
        <v>1E-3</v>
      </c>
      <c r="AO96" s="381">
        <v>1E-3</v>
      </c>
      <c r="AP96" s="381">
        <v>1E-3</v>
      </c>
      <c r="AQ96" s="381">
        <v>1E-3</v>
      </c>
      <c r="AR96" s="381">
        <v>1E-3</v>
      </c>
      <c r="AS96" s="381">
        <v>1E-3</v>
      </c>
      <c r="AT96" s="381">
        <v>1E-3</v>
      </c>
      <c r="AU96" s="381">
        <v>1E-3</v>
      </c>
      <c r="AV96" s="381">
        <v>1E-3</v>
      </c>
      <c r="AW96" s="381">
        <v>1E-3</v>
      </c>
      <c r="AX96" s="335"/>
      <c r="AZ96" s="1097" t="s">
        <v>295</v>
      </c>
    </row>
    <row r="97" spans="1:52" x14ac:dyDescent="0.2">
      <c r="A97" s="1184">
        <v>91</v>
      </c>
      <c r="B97" s="1097" t="s">
        <v>74</v>
      </c>
      <c r="C97" s="1185">
        <v>242</v>
      </c>
      <c r="D97" s="1114">
        <v>71776283</v>
      </c>
      <c r="E97" s="1520">
        <v>6</v>
      </c>
      <c r="F97" s="1517">
        <v>0</v>
      </c>
      <c r="G97" s="1251">
        <v>0</v>
      </c>
      <c r="H97" s="1240">
        <v>0</v>
      </c>
      <c r="I97" s="1147">
        <v>1E-3</v>
      </c>
      <c r="J97" s="383">
        <v>0</v>
      </c>
      <c r="K97" s="487">
        <v>1E-3</v>
      </c>
      <c r="L97" s="487">
        <v>0</v>
      </c>
      <c r="M97" s="927"/>
      <c r="N97" s="672">
        <v>0</v>
      </c>
      <c r="O97" s="389">
        <v>1E-3</v>
      </c>
      <c r="P97" s="1092">
        <v>0</v>
      </c>
      <c r="Q97" s="1093">
        <v>0</v>
      </c>
      <c r="R97" s="381">
        <v>0</v>
      </c>
      <c r="S97" s="382"/>
      <c r="T97" s="381"/>
      <c r="U97" s="624"/>
      <c r="V97" s="569">
        <v>0</v>
      </c>
      <c r="W97" s="607"/>
      <c r="X97" s="383"/>
      <c r="Y97" s="607"/>
      <c r="Z97" s="383"/>
      <c r="AA97" s="607"/>
      <c r="AB97" s="718"/>
      <c r="AC97" s="335"/>
      <c r="AD97" s="389">
        <v>1E-3</v>
      </c>
      <c r="AE97" s="381">
        <v>1E-3</v>
      </c>
      <c r="AF97" s="389">
        <v>1E-3</v>
      </c>
      <c r="AG97" s="381">
        <v>1E-3</v>
      </c>
      <c r="AH97" s="389">
        <v>1E-3</v>
      </c>
      <c r="AI97" s="381">
        <v>1E-3</v>
      </c>
      <c r="AJ97" s="389">
        <v>1E-3</v>
      </c>
      <c r="AK97" s="381">
        <v>1E-3</v>
      </c>
      <c r="AL97" s="381">
        <v>1E-3</v>
      </c>
      <c r="AM97" s="381">
        <v>1E-3</v>
      </c>
      <c r="AN97" s="381">
        <v>1E-3</v>
      </c>
      <c r="AO97" s="381">
        <v>1E-3</v>
      </c>
      <c r="AP97" s="381">
        <v>1E-3</v>
      </c>
      <c r="AQ97" s="381">
        <v>1E-3</v>
      </c>
      <c r="AR97" s="381">
        <v>1E-3</v>
      </c>
      <c r="AS97" s="381">
        <v>1E-3</v>
      </c>
      <c r="AT97" s="381">
        <v>1E-3</v>
      </c>
      <c r="AU97" s="381">
        <v>1E-3</v>
      </c>
      <c r="AV97" s="381">
        <v>1E-3</v>
      </c>
      <c r="AW97" s="381">
        <v>1E-3</v>
      </c>
      <c r="AX97" s="335"/>
      <c r="AZ97" s="1097" t="s">
        <v>74</v>
      </c>
    </row>
    <row r="98" spans="1:52" x14ac:dyDescent="0.2">
      <c r="A98" s="1184">
        <v>92</v>
      </c>
      <c r="B98" s="1201" t="s">
        <v>75</v>
      </c>
      <c r="C98" s="1185">
        <v>248</v>
      </c>
      <c r="D98" s="1114">
        <v>32408192</v>
      </c>
      <c r="E98" s="1520">
        <v>5</v>
      </c>
      <c r="F98" s="1517">
        <v>313947.3499019469</v>
      </c>
      <c r="G98" s="1251">
        <v>0</v>
      </c>
      <c r="H98" s="1240">
        <v>313947.3499019469</v>
      </c>
      <c r="I98" s="1148">
        <v>3</v>
      </c>
      <c r="J98" s="383">
        <v>243947.3499019469</v>
      </c>
      <c r="K98" s="487">
        <v>1E-3</v>
      </c>
      <c r="L98" s="487">
        <v>0</v>
      </c>
      <c r="M98" s="927"/>
      <c r="N98" s="672">
        <v>0</v>
      </c>
      <c r="O98" s="389" t="s">
        <v>318</v>
      </c>
      <c r="P98" s="1092">
        <v>70000</v>
      </c>
      <c r="Q98" s="1093">
        <v>0</v>
      </c>
      <c r="R98" s="381">
        <v>0</v>
      </c>
      <c r="S98" s="382"/>
      <c r="T98" s="381"/>
      <c r="U98" s="624"/>
      <c r="V98" s="569">
        <v>0</v>
      </c>
      <c r="W98" s="607"/>
      <c r="X98" s="383"/>
      <c r="Y98" s="607"/>
      <c r="Z98" s="383"/>
      <c r="AA98" s="607"/>
      <c r="AB98" s="718"/>
      <c r="AC98" s="335"/>
      <c r="AD98" s="389">
        <v>3</v>
      </c>
      <c r="AE98" s="381">
        <v>223231.4695296</v>
      </c>
      <c r="AF98" s="389">
        <v>1E-3</v>
      </c>
      <c r="AG98" s="381">
        <v>0</v>
      </c>
      <c r="AH98" s="389">
        <v>1E-3</v>
      </c>
      <c r="AI98" s="381">
        <v>0</v>
      </c>
      <c r="AJ98" s="389" t="s">
        <v>318</v>
      </c>
      <c r="AK98" s="381">
        <v>60000</v>
      </c>
      <c r="AL98" s="381">
        <v>1E-3</v>
      </c>
      <c r="AM98" s="381">
        <v>1E-3</v>
      </c>
      <c r="AN98" s="381">
        <v>1E-3</v>
      </c>
      <c r="AO98" s="381">
        <v>1E-3</v>
      </c>
      <c r="AP98" s="381">
        <v>1E-3</v>
      </c>
      <c r="AQ98" s="381">
        <v>1E-3</v>
      </c>
      <c r="AR98" s="381">
        <v>1E-3</v>
      </c>
      <c r="AS98" s="381">
        <v>1E-3</v>
      </c>
      <c r="AT98" s="381">
        <v>1E-3</v>
      </c>
      <c r="AU98" s="381">
        <v>1E-3</v>
      </c>
      <c r="AV98" s="381">
        <v>1E-3</v>
      </c>
      <c r="AW98" s="381">
        <v>1E-3</v>
      </c>
      <c r="AX98" s="335"/>
      <c r="AZ98" s="1201" t="s">
        <v>75</v>
      </c>
    </row>
    <row r="99" spans="1:52" x14ac:dyDescent="0.2">
      <c r="A99" s="1184">
        <v>93</v>
      </c>
      <c r="B99" s="1097" t="s">
        <v>76</v>
      </c>
      <c r="C99" s="1185">
        <v>118</v>
      </c>
      <c r="D99" s="1114">
        <v>1040182444</v>
      </c>
      <c r="E99" s="1520">
        <v>3</v>
      </c>
      <c r="F99" s="1517">
        <v>0</v>
      </c>
      <c r="G99" s="1251">
        <v>0</v>
      </c>
      <c r="H99" s="1240">
        <v>0</v>
      </c>
      <c r="I99" s="1147">
        <v>1E-3</v>
      </c>
      <c r="J99" s="383">
        <v>0</v>
      </c>
      <c r="K99" s="487">
        <v>1E-3</v>
      </c>
      <c r="L99" s="487">
        <v>0</v>
      </c>
      <c r="M99" s="927"/>
      <c r="N99" s="672">
        <v>0</v>
      </c>
      <c r="O99" s="389">
        <v>1E-3</v>
      </c>
      <c r="P99" s="1092">
        <v>0</v>
      </c>
      <c r="Q99" s="1093">
        <v>0</v>
      </c>
      <c r="R99" s="381">
        <v>0</v>
      </c>
      <c r="S99" s="382"/>
      <c r="T99" s="381"/>
      <c r="U99" s="624"/>
      <c r="V99" s="569">
        <v>0</v>
      </c>
      <c r="W99" s="607"/>
      <c r="X99" s="383"/>
      <c r="Y99" s="607"/>
      <c r="Z99" s="383"/>
      <c r="AA99" s="607"/>
      <c r="AB99" s="718"/>
      <c r="AC99" s="335"/>
      <c r="AD99" s="389">
        <v>1E-3</v>
      </c>
      <c r="AE99" s="381">
        <v>1E-3</v>
      </c>
      <c r="AF99" s="389">
        <v>1E-3</v>
      </c>
      <c r="AG99" s="381">
        <v>1E-3</v>
      </c>
      <c r="AH99" s="389">
        <v>1E-3</v>
      </c>
      <c r="AI99" s="381">
        <v>1E-3</v>
      </c>
      <c r="AJ99" s="389">
        <v>1E-3</v>
      </c>
      <c r="AK99" s="381">
        <v>1E-3</v>
      </c>
      <c r="AL99" s="381">
        <v>1E-3</v>
      </c>
      <c r="AM99" s="381">
        <v>1E-3</v>
      </c>
      <c r="AN99" s="381">
        <v>1E-3</v>
      </c>
      <c r="AO99" s="381">
        <v>1E-3</v>
      </c>
      <c r="AP99" s="381">
        <v>1E-3</v>
      </c>
      <c r="AQ99" s="381">
        <v>1E-3</v>
      </c>
      <c r="AR99" s="381">
        <v>1E-3</v>
      </c>
      <c r="AS99" s="381">
        <v>1E-3</v>
      </c>
      <c r="AT99" s="381">
        <v>1E-3</v>
      </c>
      <c r="AU99" s="381">
        <v>1E-3</v>
      </c>
      <c r="AV99" s="381">
        <v>1E-3</v>
      </c>
      <c r="AW99" s="381">
        <v>1E-3</v>
      </c>
      <c r="AX99" s="335"/>
      <c r="AZ99" s="1097" t="s">
        <v>76</v>
      </c>
    </row>
    <row r="100" spans="1:52" x14ac:dyDescent="0.2">
      <c r="A100" s="1184">
        <v>94</v>
      </c>
      <c r="B100" s="1097" t="s">
        <v>77</v>
      </c>
      <c r="C100" s="1185">
        <v>275</v>
      </c>
      <c r="D100" s="1114">
        <v>71557380</v>
      </c>
      <c r="E100" s="1520">
        <v>3</v>
      </c>
      <c r="F100" s="1517">
        <v>0</v>
      </c>
      <c r="G100" s="1251">
        <v>0</v>
      </c>
      <c r="H100" s="1240">
        <v>0</v>
      </c>
      <c r="I100" s="1147">
        <v>1E-3</v>
      </c>
      <c r="J100" s="383">
        <v>0</v>
      </c>
      <c r="K100" s="487">
        <v>1E-3</v>
      </c>
      <c r="L100" s="487">
        <v>0</v>
      </c>
      <c r="M100" s="927"/>
      <c r="N100" s="672">
        <v>0</v>
      </c>
      <c r="O100" s="389">
        <v>1E-3</v>
      </c>
      <c r="P100" s="1092">
        <v>0</v>
      </c>
      <c r="Q100" s="1093">
        <v>0</v>
      </c>
      <c r="R100" s="381">
        <v>0</v>
      </c>
      <c r="S100" s="382"/>
      <c r="T100" s="381"/>
      <c r="U100" s="624"/>
      <c r="V100" s="569">
        <v>0</v>
      </c>
      <c r="W100" s="607"/>
      <c r="X100" s="383"/>
      <c r="Y100" s="607"/>
      <c r="Z100" s="383"/>
      <c r="AA100" s="607"/>
      <c r="AB100" s="718"/>
      <c r="AC100" s="335"/>
      <c r="AD100" s="389">
        <v>1E-3</v>
      </c>
      <c r="AE100" s="381">
        <v>1E-3</v>
      </c>
      <c r="AF100" s="389">
        <v>1E-3</v>
      </c>
      <c r="AG100" s="381">
        <v>1E-3</v>
      </c>
      <c r="AH100" s="389">
        <v>1E-3</v>
      </c>
      <c r="AI100" s="381">
        <v>1E-3</v>
      </c>
      <c r="AJ100" s="389">
        <v>1E-3</v>
      </c>
      <c r="AK100" s="381">
        <v>1E-3</v>
      </c>
      <c r="AL100" s="381">
        <v>1E-3</v>
      </c>
      <c r="AM100" s="381">
        <v>1E-3</v>
      </c>
      <c r="AN100" s="381">
        <v>1E-3</v>
      </c>
      <c r="AO100" s="381">
        <v>1E-3</v>
      </c>
      <c r="AP100" s="381">
        <v>1E-3</v>
      </c>
      <c r="AQ100" s="381">
        <v>1E-3</v>
      </c>
      <c r="AR100" s="381">
        <v>1E-3</v>
      </c>
      <c r="AS100" s="381">
        <v>1E-3</v>
      </c>
      <c r="AT100" s="381">
        <v>1E-3</v>
      </c>
      <c r="AU100" s="381">
        <v>1E-3</v>
      </c>
      <c r="AV100" s="381">
        <v>1E-3</v>
      </c>
      <c r="AW100" s="381">
        <v>1E-3</v>
      </c>
      <c r="AX100" s="335"/>
      <c r="AZ100" s="1097" t="s">
        <v>77</v>
      </c>
    </row>
    <row r="101" spans="1:52" x14ac:dyDescent="0.2">
      <c r="A101" s="1184">
        <v>95</v>
      </c>
      <c r="B101" s="1097" t="s">
        <v>79</v>
      </c>
      <c r="C101" s="1185">
        <v>119</v>
      </c>
      <c r="D101" s="1114">
        <v>43166841</v>
      </c>
      <c r="E101" s="1520">
        <v>7</v>
      </c>
      <c r="F101" s="1517">
        <v>0</v>
      </c>
      <c r="G101" s="1251">
        <v>0</v>
      </c>
      <c r="H101" s="1240">
        <v>0</v>
      </c>
      <c r="I101" s="1147">
        <v>1E-3</v>
      </c>
      <c r="J101" s="383">
        <v>0</v>
      </c>
      <c r="K101" s="487">
        <v>1E-3</v>
      </c>
      <c r="L101" s="487">
        <v>0</v>
      </c>
      <c r="M101" s="927"/>
      <c r="N101" s="672">
        <v>0</v>
      </c>
      <c r="O101" s="389">
        <v>1E-3</v>
      </c>
      <c r="P101" s="1092">
        <v>0</v>
      </c>
      <c r="Q101" s="1093">
        <v>0</v>
      </c>
      <c r="R101" s="381">
        <v>0</v>
      </c>
      <c r="S101" s="382"/>
      <c r="T101" s="381"/>
      <c r="U101" s="624"/>
      <c r="V101" s="569">
        <v>0</v>
      </c>
      <c r="W101" s="607"/>
      <c r="X101" s="383"/>
      <c r="Y101" s="607"/>
      <c r="Z101" s="383"/>
      <c r="AA101" s="607"/>
      <c r="AB101" s="718"/>
      <c r="AC101" s="335"/>
      <c r="AD101" s="389">
        <v>1E-3</v>
      </c>
      <c r="AE101" s="381">
        <v>1E-3</v>
      </c>
      <c r="AF101" s="389">
        <v>1E-3</v>
      </c>
      <c r="AG101" s="381">
        <v>1E-3</v>
      </c>
      <c r="AH101" s="389">
        <v>1E-3</v>
      </c>
      <c r="AI101" s="381">
        <v>1E-3</v>
      </c>
      <c r="AJ101" s="389">
        <v>1E-3</v>
      </c>
      <c r="AK101" s="381">
        <v>1E-3</v>
      </c>
      <c r="AL101" s="381">
        <v>1E-3</v>
      </c>
      <c r="AM101" s="381">
        <v>1E-3</v>
      </c>
      <c r="AN101" s="381">
        <v>1E-3</v>
      </c>
      <c r="AO101" s="381">
        <v>1E-3</v>
      </c>
      <c r="AP101" s="381">
        <v>1E-3</v>
      </c>
      <c r="AQ101" s="381">
        <v>1E-3</v>
      </c>
      <c r="AR101" s="381">
        <v>1E-3</v>
      </c>
      <c r="AS101" s="381">
        <v>1E-3</v>
      </c>
      <c r="AT101" s="381">
        <v>1E-3</v>
      </c>
      <c r="AU101" s="381">
        <v>1E-3</v>
      </c>
      <c r="AV101" s="381">
        <v>1E-3</v>
      </c>
      <c r="AW101" s="381">
        <v>1E-3</v>
      </c>
      <c r="AX101" s="335"/>
      <c r="AZ101" s="1097" t="s">
        <v>79</v>
      </c>
    </row>
    <row r="102" spans="1:52" ht="25.5" x14ac:dyDescent="0.2">
      <c r="A102" s="1184">
        <v>96</v>
      </c>
      <c r="B102" s="1137" t="s">
        <v>177</v>
      </c>
      <c r="C102" s="1185">
        <v>15</v>
      </c>
      <c r="D102" s="1114">
        <v>890921312</v>
      </c>
      <c r="E102" s="1520">
        <v>4</v>
      </c>
      <c r="F102" s="1517">
        <v>0</v>
      </c>
      <c r="G102" s="1251">
        <v>0</v>
      </c>
      <c r="H102" s="1240">
        <v>0</v>
      </c>
      <c r="I102" s="1147">
        <v>1E-3</v>
      </c>
      <c r="J102" s="383">
        <v>0</v>
      </c>
      <c r="K102" s="487">
        <v>1E-3</v>
      </c>
      <c r="L102" s="487">
        <v>0</v>
      </c>
      <c r="M102" s="927"/>
      <c r="N102" s="672">
        <v>0</v>
      </c>
      <c r="O102" s="389">
        <v>1E-3</v>
      </c>
      <c r="P102" s="1092">
        <v>0</v>
      </c>
      <c r="Q102" s="1093">
        <v>0</v>
      </c>
      <c r="R102" s="381">
        <v>0</v>
      </c>
      <c r="S102" s="382"/>
      <c r="T102" s="381"/>
      <c r="U102" s="624"/>
      <c r="V102" s="569">
        <v>0</v>
      </c>
      <c r="W102" s="607"/>
      <c r="X102" s="383"/>
      <c r="Y102" s="607"/>
      <c r="Z102" s="383"/>
      <c r="AA102" s="607"/>
      <c r="AB102" s="718"/>
      <c r="AC102" s="335"/>
      <c r="AD102" s="389">
        <v>1E-3</v>
      </c>
      <c r="AE102" s="381">
        <v>1E-3</v>
      </c>
      <c r="AF102" s="389">
        <v>1E-3</v>
      </c>
      <c r="AG102" s="381">
        <v>1E-3</v>
      </c>
      <c r="AH102" s="389">
        <v>1E-3</v>
      </c>
      <c r="AI102" s="381">
        <v>1E-3</v>
      </c>
      <c r="AJ102" s="389">
        <v>1E-3</v>
      </c>
      <c r="AK102" s="381">
        <v>1E-3</v>
      </c>
      <c r="AL102" s="381">
        <v>1E-3</v>
      </c>
      <c r="AM102" s="381">
        <v>1E-3</v>
      </c>
      <c r="AN102" s="381">
        <v>1E-3</v>
      </c>
      <c r="AO102" s="381">
        <v>1E-3</v>
      </c>
      <c r="AP102" s="381">
        <v>1E-3</v>
      </c>
      <c r="AQ102" s="381">
        <v>1E-3</v>
      </c>
      <c r="AR102" s="381">
        <v>1E-3</v>
      </c>
      <c r="AS102" s="381">
        <v>1E-3</v>
      </c>
      <c r="AT102" s="381">
        <v>1E-3</v>
      </c>
      <c r="AU102" s="381">
        <v>1E-3</v>
      </c>
      <c r="AV102" s="381">
        <v>1E-3</v>
      </c>
      <c r="AW102" s="381">
        <v>1E-3</v>
      </c>
      <c r="AX102" s="335"/>
      <c r="AZ102" s="1137" t="s">
        <v>177</v>
      </c>
    </row>
    <row r="103" spans="1:52" x14ac:dyDescent="0.2">
      <c r="A103" s="1184">
        <v>97</v>
      </c>
      <c r="B103" s="1137" t="s">
        <v>363</v>
      </c>
      <c r="C103" s="1185">
        <v>245</v>
      </c>
      <c r="D103" s="1114">
        <v>900666782</v>
      </c>
      <c r="E103" s="1520">
        <v>4</v>
      </c>
      <c r="F103" s="1517">
        <v>0</v>
      </c>
      <c r="G103" s="1251">
        <v>0</v>
      </c>
      <c r="H103" s="1240">
        <v>0</v>
      </c>
      <c r="I103" s="1147">
        <v>1E-3</v>
      </c>
      <c r="J103" s="383">
        <v>0</v>
      </c>
      <c r="K103" s="487">
        <v>1E-3</v>
      </c>
      <c r="L103" s="487">
        <v>0</v>
      </c>
      <c r="M103" s="927"/>
      <c r="N103" s="672">
        <v>0</v>
      </c>
      <c r="O103" s="389">
        <v>1E-3</v>
      </c>
      <c r="P103" s="1092">
        <v>0</v>
      </c>
      <c r="Q103" s="1093">
        <v>0</v>
      </c>
      <c r="R103" s="381">
        <v>0</v>
      </c>
      <c r="S103" s="382"/>
      <c r="T103" s="381"/>
      <c r="U103" s="624"/>
      <c r="V103" s="569">
        <v>0</v>
      </c>
      <c r="W103" s="607"/>
      <c r="X103" s="383"/>
      <c r="Y103" s="607"/>
      <c r="Z103" s="383"/>
      <c r="AA103" s="607"/>
      <c r="AB103" s="718"/>
      <c r="AC103" s="335"/>
      <c r="AD103" s="389">
        <v>1E-3</v>
      </c>
      <c r="AE103" s="381">
        <v>1E-3</v>
      </c>
      <c r="AF103" s="389">
        <v>1E-3</v>
      </c>
      <c r="AG103" s="381">
        <v>1E-3</v>
      </c>
      <c r="AH103" s="389">
        <v>1E-3</v>
      </c>
      <c r="AI103" s="381">
        <v>1E-3</v>
      </c>
      <c r="AJ103" s="389">
        <v>1E-3</v>
      </c>
      <c r="AK103" s="381">
        <v>1E-3</v>
      </c>
      <c r="AL103" s="381">
        <v>1E-3</v>
      </c>
      <c r="AM103" s="381">
        <v>1E-3</v>
      </c>
      <c r="AN103" s="381">
        <v>1E-3</v>
      </c>
      <c r="AO103" s="381">
        <v>1E-3</v>
      </c>
      <c r="AP103" s="381">
        <v>1E-3</v>
      </c>
      <c r="AQ103" s="381">
        <v>1E-3</v>
      </c>
      <c r="AR103" s="381">
        <v>1E-3</v>
      </c>
      <c r="AS103" s="381">
        <v>1E-3</v>
      </c>
      <c r="AT103" s="381">
        <v>1E-3</v>
      </c>
      <c r="AU103" s="381">
        <v>1E-3</v>
      </c>
      <c r="AV103" s="381">
        <v>1E-3</v>
      </c>
      <c r="AW103" s="381">
        <v>1E-3</v>
      </c>
      <c r="AX103" s="335"/>
      <c r="AZ103" s="1137" t="s">
        <v>363</v>
      </c>
    </row>
    <row r="104" spans="1:52" x14ac:dyDescent="0.2">
      <c r="A104" s="1184">
        <v>98</v>
      </c>
      <c r="B104" s="1137" t="s">
        <v>738</v>
      </c>
      <c r="C104" s="1185">
        <v>19</v>
      </c>
      <c r="D104" s="1114">
        <v>900478289</v>
      </c>
      <c r="E104" s="1520">
        <v>8</v>
      </c>
      <c r="F104" s="1517">
        <v>0</v>
      </c>
      <c r="G104" s="1251">
        <v>0</v>
      </c>
      <c r="H104" s="1240">
        <v>0</v>
      </c>
      <c r="I104" s="1147">
        <v>1E-3</v>
      </c>
      <c r="J104" s="383">
        <v>0</v>
      </c>
      <c r="K104" s="487">
        <v>1E-3</v>
      </c>
      <c r="L104" s="487">
        <v>0</v>
      </c>
      <c r="M104" s="927"/>
      <c r="N104" s="672">
        <v>0</v>
      </c>
      <c r="O104" s="389">
        <v>1E-3</v>
      </c>
      <c r="P104" s="1092">
        <v>0</v>
      </c>
      <c r="Q104" s="1093">
        <v>0</v>
      </c>
      <c r="R104" s="381">
        <v>0</v>
      </c>
      <c r="S104" s="382"/>
      <c r="T104" s="381"/>
      <c r="U104" s="624"/>
      <c r="V104" s="569">
        <v>0</v>
      </c>
      <c r="W104" s="607"/>
      <c r="X104" s="383"/>
      <c r="Y104" s="607"/>
      <c r="Z104" s="383"/>
      <c r="AA104" s="607"/>
      <c r="AB104" s="718"/>
      <c r="AC104" s="335"/>
      <c r="AD104" s="389">
        <v>1E-3</v>
      </c>
      <c r="AE104" s="381">
        <v>1E-3</v>
      </c>
      <c r="AF104" s="389">
        <v>1E-3</v>
      </c>
      <c r="AG104" s="381">
        <v>1E-3</v>
      </c>
      <c r="AH104" s="389">
        <v>1E-3</v>
      </c>
      <c r="AI104" s="381">
        <v>1E-3</v>
      </c>
      <c r="AJ104" s="389">
        <v>1E-3</v>
      </c>
      <c r="AK104" s="381">
        <v>1E-3</v>
      </c>
      <c r="AL104" s="381">
        <v>1E-3</v>
      </c>
      <c r="AM104" s="381">
        <v>1E-3</v>
      </c>
      <c r="AN104" s="381">
        <v>1E-3</v>
      </c>
      <c r="AO104" s="381">
        <v>1E-3</v>
      </c>
      <c r="AP104" s="381">
        <v>1E-3</v>
      </c>
      <c r="AQ104" s="381">
        <v>1E-3</v>
      </c>
      <c r="AR104" s="381">
        <v>1E-3</v>
      </c>
      <c r="AS104" s="381">
        <v>1E-3</v>
      </c>
      <c r="AT104" s="381">
        <v>1E-3</v>
      </c>
      <c r="AU104" s="381">
        <v>1E-3</v>
      </c>
      <c r="AV104" s="381">
        <v>1E-3</v>
      </c>
      <c r="AW104" s="381">
        <v>1E-3</v>
      </c>
      <c r="AX104" s="335"/>
      <c r="AZ104" s="1137" t="s">
        <v>738</v>
      </c>
    </row>
    <row r="105" spans="1:52" x14ac:dyDescent="0.2">
      <c r="A105" s="1184">
        <v>99</v>
      </c>
      <c r="B105" s="1154" t="s">
        <v>672</v>
      </c>
      <c r="C105" s="1185">
        <v>196</v>
      </c>
      <c r="D105" s="1114">
        <v>901445237</v>
      </c>
      <c r="E105" s="1520">
        <v>7</v>
      </c>
      <c r="F105" s="1517">
        <v>70000</v>
      </c>
      <c r="G105" s="1251">
        <v>0</v>
      </c>
      <c r="H105" s="1240">
        <v>70000</v>
      </c>
      <c r="I105" s="1147">
        <v>1E-3</v>
      </c>
      <c r="J105" s="383">
        <v>0</v>
      </c>
      <c r="K105" s="487">
        <v>1E-3</v>
      </c>
      <c r="L105" s="487">
        <v>0</v>
      </c>
      <c r="M105" s="927"/>
      <c r="N105" s="672">
        <v>0</v>
      </c>
      <c r="O105" s="389" t="s">
        <v>318</v>
      </c>
      <c r="P105" s="1092">
        <v>70000</v>
      </c>
      <c r="Q105" s="1093">
        <v>0</v>
      </c>
      <c r="R105" s="381">
        <v>0</v>
      </c>
      <c r="S105" s="382"/>
      <c r="T105" s="381"/>
      <c r="U105" s="624"/>
      <c r="V105" s="569">
        <v>0</v>
      </c>
      <c r="W105" s="607"/>
      <c r="X105" s="383"/>
      <c r="Y105" s="607"/>
      <c r="Z105" s="383"/>
      <c r="AA105" s="607"/>
      <c r="AB105" s="718"/>
      <c r="AC105" s="335"/>
      <c r="AD105" s="389">
        <v>1E-3</v>
      </c>
      <c r="AE105" s="381">
        <v>1E-3</v>
      </c>
      <c r="AF105" s="389">
        <v>1E-3</v>
      </c>
      <c r="AG105" s="381">
        <v>1E-3</v>
      </c>
      <c r="AH105" s="389">
        <v>1E-3</v>
      </c>
      <c r="AI105" s="381">
        <v>1E-3</v>
      </c>
      <c r="AJ105" s="389" t="s">
        <v>318</v>
      </c>
      <c r="AK105" s="381">
        <v>60000</v>
      </c>
      <c r="AL105" s="381">
        <v>1E-3</v>
      </c>
      <c r="AM105" s="381">
        <v>1E-3</v>
      </c>
      <c r="AN105" s="381">
        <v>1E-3</v>
      </c>
      <c r="AO105" s="381">
        <v>1E-3</v>
      </c>
      <c r="AP105" s="381">
        <v>1E-3</v>
      </c>
      <c r="AQ105" s="381">
        <v>1E-3</v>
      </c>
      <c r="AR105" s="381">
        <v>1E-3</v>
      </c>
      <c r="AS105" s="381">
        <v>1E-3</v>
      </c>
      <c r="AT105" s="381">
        <v>1E-3</v>
      </c>
      <c r="AU105" s="381">
        <v>1E-3</v>
      </c>
      <c r="AV105" s="381">
        <v>1E-3</v>
      </c>
      <c r="AW105" s="381">
        <v>1E-3</v>
      </c>
      <c r="AX105" s="335"/>
      <c r="AZ105" s="1154" t="s">
        <v>672</v>
      </c>
    </row>
    <row r="106" spans="1:52" ht="25.5" x14ac:dyDescent="0.2">
      <c r="A106" s="1184">
        <v>100</v>
      </c>
      <c r="B106" s="1137" t="s">
        <v>181</v>
      </c>
      <c r="C106" s="1185">
        <v>21</v>
      </c>
      <c r="D106" s="1114">
        <v>890910754</v>
      </c>
      <c r="E106" s="1520">
        <v>9</v>
      </c>
      <c r="F106" s="1517">
        <v>0</v>
      </c>
      <c r="G106" s="1251">
        <v>0</v>
      </c>
      <c r="H106" s="1240">
        <v>0</v>
      </c>
      <c r="I106" s="1147">
        <v>1E-3</v>
      </c>
      <c r="J106" s="383">
        <v>0</v>
      </c>
      <c r="K106" s="487">
        <v>1E-3</v>
      </c>
      <c r="L106" s="487">
        <v>0</v>
      </c>
      <c r="M106" s="927"/>
      <c r="N106" s="672">
        <v>0</v>
      </c>
      <c r="O106" s="389">
        <v>1E-3</v>
      </c>
      <c r="P106" s="1092">
        <v>0</v>
      </c>
      <c r="Q106" s="1093">
        <v>0</v>
      </c>
      <c r="R106" s="381">
        <v>0</v>
      </c>
      <c r="S106" s="382"/>
      <c r="T106" s="381"/>
      <c r="U106" s="624"/>
      <c r="V106" s="569">
        <v>0</v>
      </c>
      <c r="W106" s="607"/>
      <c r="X106" s="383"/>
      <c r="Y106" s="607"/>
      <c r="Z106" s="383"/>
      <c r="AA106" s="607"/>
      <c r="AB106" s="718"/>
      <c r="AC106" s="335"/>
      <c r="AD106" s="389">
        <v>1E-3</v>
      </c>
      <c r="AE106" s="381">
        <v>1E-3</v>
      </c>
      <c r="AF106" s="389">
        <v>1E-3</v>
      </c>
      <c r="AG106" s="381">
        <v>1E-3</v>
      </c>
      <c r="AH106" s="389">
        <v>1E-3</v>
      </c>
      <c r="AI106" s="381">
        <v>1E-3</v>
      </c>
      <c r="AJ106" s="389">
        <v>1E-3</v>
      </c>
      <c r="AK106" s="381">
        <v>1E-3</v>
      </c>
      <c r="AL106" s="381">
        <v>1E-3</v>
      </c>
      <c r="AM106" s="381">
        <v>1E-3</v>
      </c>
      <c r="AN106" s="381">
        <v>1E-3</v>
      </c>
      <c r="AO106" s="381">
        <v>1E-3</v>
      </c>
      <c r="AP106" s="381">
        <v>1E-3</v>
      </c>
      <c r="AQ106" s="381">
        <v>1E-3</v>
      </c>
      <c r="AR106" s="381">
        <v>1E-3</v>
      </c>
      <c r="AS106" s="381">
        <v>1E-3</v>
      </c>
      <c r="AT106" s="381">
        <v>1E-3</v>
      </c>
      <c r="AU106" s="381">
        <v>1E-3</v>
      </c>
      <c r="AV106" s="381">
        <v>1E-3</v>
      </c>
      <c r="AW106" s="381">
        <v>1E-3</v>
      </c>
      <c r="AX106" s="335"/>
      <c r="AZ106" s="1137" t="s">
        <v>181</v>
      </c>
    </row>
    <row r="107" spans="1:52" x14ac:dyDescent="0.2">
      <c r="A107" s="1184">
        <v>101</v>
      </c>
      <c r="B107" s="1137" t="s">
        <v>366</v>
      </c>
      <c r="C107" s="1185">
        <v>290</v>
      </c>
      <c r="D107" s="1114">
        <v>900792746</v>
      </c>
      <c r="E107" s="1520">
        <v>8</v>
      </c>
      <c r="F107" s="1517">
        <v>1179078.8578594101</v>
      </c>
      <c r="G107" s="1251">
        <v>0</v>
      </c>
      <c r="H107" s="1240">
        <v>1179078.8578594101</v>
      </c>
      <c r="I107" s="1148">
        <v>3</v>
      </c>
      <c r="J107" s="383">
        <v>365921.02485292027</v>
      </c>
      <c r="K107" s="712">
        <v>12</v>
      </c>
      <c r="L107" s="487">
        <v>813157.83300648979</v>
      </c>
      <c r="M107" s="927"/>
      <c r="N107" s="672">
        <v>0</v>
      </c>
      <c r="O107" s="389">
        <v>1E-3</v>
      </c>
      <c r="P107" s="1092">
        <v>0</v>
      </c>
      <c r="Q107" s="1093">
        <v>0</v>
      </c>
      <c r="R107" s="381">
        <v>0</v>
      </c>
      <c r="S107" s="382"/>
      <c r="T107" s="381"/>
      <c r="U107" s="624"/>
      <c r="V107" s="569">
        <v>0</v>
      </c>
      <c r="W107" s="607"/>
      <c r="X107" s="383"/>
      <c r="Y107" s="607"/>
      <c r="Z107" s="383"/>
      <c r="AA107" s="607"/>
      <c r="AB107" s="718"/>
      <c r="AC107" s="335"/>
      <c r="AD107" s="389">
        <v>3</v>
      </c>
      <c r="AE107" s="381">
        <v>334847.20429439994</v>
      </c>
      <c r="AF107" s="389">
        <v>12</v>
      </c>
      <c r="AG107" s="381">
        <v>744104.89843200007</v>
      </c>
      <c r="AH107" s="389">
        <v>1E-3</v>
      </c>
      <c r="AI107" s="381">
        <v>1E-3</v>
      </c>
      <c r="AJ107" s="389">
        <v>1E-3</v>
      </c>
      <c r="AK107" s="381">
        <v>1E-3</v>
      </c>
      <c r="AL107" s="381">
        <v>1E-3</v>
      </c>
      <c r="AM107" s="381">
        <v>1E-3</v>
      </c>
      <c r="AN107" s="381">
        <v>1E-3</v>
      </c>
      <c r="AO107" s="381">
        <v>1E-3</v>
      </c>
      <c r="AP107" s="381">
        <v>1E-3</v>
      </c>
      <c r="AQ107" s="381">
        <v>1E-3</v>
      </c>
      <c r="AR107" s="381">
        <v>1E-3</v>
      </c>
      <c r="AS107" s="381">
        <v>1E-3</v>
      </c>
      <c r="AT107" s="381">
        <v>1E-3</v>
      </c>
      <c r="AU107" s="381">
        <v>1E-3</v>
      </c>
      <c r="AV107" s="381">
        <v>1E-3</v>
      </c>
      <c r="AW107" s="381">
        <v>1E-3</v>
      </c>
      <c r="AX107" s="335"/>
      <c r="AZ107" s="1201" t="s">
        <v>366</v>
      </c>
    </row>
    <row r="108" spans="1:52" x14ac:dyDescent="0.2">
      <c r="A108" s="1184">
        <v>102</v>
      </c>
      <c r="B108" s="1137" t="s">
        <v>349</v>
      </c>
      <c r="C108" s="1185">
        <v>33</v>
      </c>
      <c r="D108" s="1114">
        <v>901241763</v>
      </c>
      <c r="E108" s="1520">
        <v>3</v>
      </c>
      <c r="F108" s="1517">
        <v>0</v>
      </c>
      <c r="G108" s="1251">
        <v>0</v>
      </c>
      <c r="H108" s="1240">
        <v>0</v>
      </c>
      <c r="I108" s="1147">
        <v>1E-3</v>
      </c>
      <c r="J108" s="383">
        <v>0</v>
      </c>
      <c r="K108" s="487">
        <v>1E-3</v>
      </c>
      <c r="L108" s="487">
        <v>0</v>
      </c>
      <c r="M108" s="927"/>
      <c r="N108" s="672">
        <v>0</v>
      </c>
      <c r="O108" s="389">
        <v>1E-3</v>
      </c>
      <c r="P108" s="1092">
        <v>0</v>
      </c>
      <c r="Q108" s="1093">
        <v>0</v>
      </c>
      <c r="R108" s="381">
        <v>0</v>
      </c>
      <c r="S108" s="382"/>
      <c r="T108" s="381"/>
      <c r="U108" s="624"/>
      <c r="V108" s="569">
        <v>0</v>
      </c>
      <c r="W108" s="607"/>
      <c r="X108" s="383"/>
      <c r="Y108" s="607"/>
      <c r="Z108" s="383"/>
      <c r="AA108" s="607"/>
      <c r="AB108" s="718"/>
      <c r="AC108" s="335"/>
      <c r="AD108" s="389">
        <v>1E-3</v>
      </c>
      <c r="AE108" s="381">
        <v>1E-3</v>
      </c>
      <c r="AF108" s="389">
        <v>1E-3</v>
      </c>
      <c r="AG108" s="381">
        <v>1E-3</v>
      </c>
      <c r="AH108" s="389">
        <v>1E-3</v>
      </c>
      <c r="AI108" s="381">
        <v>1E-3</v>
      </c>
      <c r="AJ108" s="389">
        <v>1E-3</v>
      </c>
      <c r="AK108" s="381">
        <v>1E-3</v>
      </c>
      <c r="AL108" s="381">
        <v>1E-3</v>
      </c>
      <c r="AM108" s="381">
        <v>1E-3</v>
      </c>
      <c r="AN108" s="381">
        <v>1E-3</v>
      </c>
      <c r="AO108" s="381">
        <v>1E-3</v>
      </c>
      <c r="AP108" s="381">
        <v>1E-3</v>
      </c>
      <c r="AQ108" s="381">
        <v>1E-3</v>
      </c>
      <c r="AR108" s="381">
        <v>1E-3</v>
      </c>
      <c r="AS108" s="381">
        <v>1E-3</v>
      </c>
      <c r="AT108" s="381">
        <v>1E-3</v>
      </c>
      <c r="AU108" s="381">
        <v>1E-3</v>
      </c>
      <c r="AV108" s="381">
        <v>1E-3</v>
      </c>
      <c r="AW108" s="381">
        <v>1E-3</v>
      </c>
      <c r="AX108" s="335"/>
      <c r="AZ108" s="1137" t="s">
        <v>349</v>
      </c>
    </row>
    <row r="109" spans="1:52" x14ac:dyDescent="0.2">
      <c r="A109" s="1184">
        <v>103</v>
      </c>
      <c r="B109" s="1137" t="s">
        <v>731</v>
      </c>
      <c r="C109" s="1185">
        <v>291</v>
      </c>
      <c r="D109" s="1114">
        <v>900797164</v>
      </c>
      <c r="E109" s="1520">
        <v>4</v>
      </c>
      <c r="F109" s="1517">
        <v>0</v>
      </c>
      <c r="G109" s="1251">
        <v>0</v>
      </c>
      <c r="H109" s="1240">
        <v>0</v>
      </c>
      <c r="I109" s="1147">
        <v>1E-3</v>
      </c>
      <c r="J109" s="383">
        <v>0</v>
      </c>
      <c r="K109" s="487">
        <v>1E-3</v>
      </c>
      <c r="L109" s="487">
        <v>0</v>
      </c>
      <c r="M109" s="927"/>
      <c r="N109" s="672">
        <v>0</v>
      </c>
      <c r="O109" s="389">
        <v>1E-3</v>
      </c>
      <c r="P109" s="1092">
        <v>0</v>
      </c>
      <c r="Q109" s="1093">
        <v>0</v>
      </c>
      <c r="R109" s="381">
        <v>0</v>
      </c>
      <c r="S109" s="382"/>
      <c r="T109" s="381"/>
      <c r="U109" s="624"/>
      <c r="V109" s="569">
        <v>0</v>
      </c>
      <c r="W109" s="607"/>
      <c r="X109" s="383"/>
      <c r="Y109" s="607"/>
      <c r="Z109" s="383"/>
      <c r="AA109" s="607"/>
      <c r="AB109" s="718"/>
      <c r="AC109" s="335"/>
      <c r="AD109" s="389">
        <v>1E-3</v>
      </c>
      <c r="AE109" s="381">
        <v>1E-3</v>
      </c>
      <c r="AF109" s="389">
        <v>1E-3</v>
      </c>
      <c r="AG109" s="381">
        <v>1E-3</v>
      </c>
      <c r="AH109" s="389">
        <v>1E-3</v>
      </c>
      <c r="AI109" s="381">
        <v>1E-3</v>
      </c>
      <c r="AJ109" s="389">
        <v>1E-3</v>
      </c>
      <c r="AK109" s="381">
        <v>1E-3</v>
      </c>
      <c r="AL109" s="381">
        <v>1E-3</v>
      </c>
      <c r="AM109" s="381">
        <v>1E-3</v>
      </c>
      <c r="AN109" s="381">
        <v>1E-3</v>
      </c>
      <c r="AO109" s="381">
        <v>1E-3</v>
      </c>
      <c r="AP109" s="381">
        <v>1E-3</v>
      </c>
      <c r="AQ109" s="381">
        <v>1E-3</v>
      </c>
      <c r="AR109" s="381">
        <v>1E-3</v>
      </c>
      <c r="AS109" s="381">
        <v>1E-3</v>
      </c>
      <c r="AT109" s="381">
        <v>1E-3</v>
      </c>
      <c r="AU109" s="381">
        <v>1E-3</v>
      </c>
      <c r="AV109" s="381">
        <v>1E-3</v>
      </c>
      <c r="AW109" s="381">
        <v>1E-3</v>
      </c>
      <c r="AX109" s="335"/>
      <c r="AZ109" s="1137" t="s">
        <v>731</v>
      </c>
    </row>
    <row r="110" spans="1:52" x14ac:dyDescent="0.2">
      <c r="A110" s="1184">
        <v>104</v>
      </c>
      <c r="B110" s="1137" t="s">
        <v>184</v>
      </c>
      <c r="C110" s="1185">
        <v>292</v>
      </c>
      <c r="D110" s="1114">
        <v>900474585</v>
      </c>
      <c r="E110" s="1520">
        <v>5</v>
      </c>
      <c r="F110" s="1517">
        <v>310000</v>
      </c>
      <c r="G110" s="1251">
        <v>0</v>
      </c>
      <c r="H110" s="1240">
        <v>310000</v>
      </c>
      <c r="I110" s="1147">
        <v>1E-3</v>
      </c>
      <c r="J110" s="383">
        <v>0</v>
      </c>
      <c r="K110" s="487">
        <v>1E-3</v>
      </c>
      <c r="L110" s="487">
        <v>0</v>
      </c>
      <c r="M110" s="927"/>
      <c r="N110" s="672">
        <v>0</v>
      </c>
      <c r="O110" s="389" t="s">
        <v>318</v>
      </c>
      <c r="P110" s="1092">
        <v>70000</v>
      </c>
      <c r="Q110" s="1093">
        <v>0</v>
      </c>
      <c r="R110" s="1585">
        <v>240000</v>
      </c>
      <c r="S110" s="1585" t="s">
        <v>744</v>
      </c>
      <c r="T110" s="381"/>
      <c r="U110" s="624"/>
      <c r="V110" s="569">
        <v>0</v>
      </c>
      <c r="W110" s="607"/>
      <c r="X110" s="383"/>
      <c r="Y110" s="607"/>
      <c r="Z110" s="383"/>
      <c r="AA110" s="607"/>
      <c r="AB110" s="718"/>
      <c r="AC110" s="335"/>
      <c r="AD110" s="389">
        <v>1E-3</v>
      </c>
      <c r="AE110" s="381">
        <v>1E-3</v>
      </c>
      <c r="AF110" s="389">
        <v>1E-3</v>
      </c>
      <c r="AG110" s="381">
        <v>1E-3</v>
      </c>
      <c r="AH110" s="389">
        <v>1E-3</v>
      </c>
      <c r="AI110" s="381">
        <v>1E-3</v>
      </c>
      <c r="AJ110" s="389" t="s">
        <v>318</v>
      </c>
      <c r="AK110" s="381">
        <v>60000</v>
      </c>
      <c r="AL110" s="381">
        <v>0</v>
      </c>
      <c r="AM110" s="381">
        <v>240000</v>
      </c>
      <c r="AN110" s="381" t="s">
        <v>744</v>
      </c>
      <c r="AO110" s="381">
        <v>1E-3</v>
      </c>
      <c r="AP110" s="381">
        <v>1E-3</v>
      </c>
      <c r="AQ110" s="381">
        <v>1E-3</v>
      </c>
      <c r="AR110" s="381">
        <v>1E-3</v>
      </c>
      <c r="AS110" s="381">
        <v>1E-3</v>
      </c>
      <c r="AT110" s="381">
        <v>1E-3</v>
      </c>
      <c r="AU110" s="381">
        <v>1E-3</v>
      </c>
      <c r="AV110" s="381">
        <v>1E-3</v>
      </c>
      <c r="AW110" s="381">
        <v>1E-3</v>
      </c>
      <c r="AX110" s="335"/>
      <c r="AZ110" s="1137" t="s">
        <v>184</v>
      </c>
    </row>
    <row r="111" spans="1:52" x14ac:dyDescent="0.2">
      <c r="A111" s="1184">
        <v>105</v>
      </c>
      <c r="B111" s="1137" t="s">
        <v>185</v>
      </c>
      <c r="C111" s="1185">
        <v>293</v>
      </c>
      <c r="D111" s="1114">
        <v>900620247</v>
      </c>
      <c r="E111" s="1520">
        <v>7</v>
      </c>
      <c r="F111" s="1517">
        <v>310000</v>
      </c>
      <c r="G111" s="1251">
        <v>0</v>
      </c>
      <c r="H111" s="1240">
        <v>310000</v>
      </c>
      <c r="I111" s="1147">
        <v>1E-3</v>
      </c>
      <c r="J111" s="383">
        <v>0</v>
      </c>
      <c r="K111" s="487">
        <v>1E-3</v>
      </c>
      <c r="L111" s="487">
        <v>0</v>
      </c>
      <c r="M111" s="927"/>
      <c r="N111" s="672">
        <v>0</v>
      </c>
      <c r="O111" s="389" t="s">
        <v>318</v>
      </c>
      <c r="P111" s="1092">
        <v>70000</v>
      </c>
      <c r="Q111" s="1093">
        <v>0</v>
      </c>
      <c r="R111" s="1585">
        <v>240000</v>
      </c>
      <c r="S111" s="1585" t="s">
        <v>744</v>
      </c>
      <c r="T111" s="381"/>
      <c r="U111" s="624"/>
      <c r="V111" s="569">
        <v>0</v>
      </c>
      <c r="W111" s="607"/>
      <c r="X111" s="383"/>
      <c r="Y111" s="607"/>
      <c r="Z111" s="383"/>
      <c r="AA111" s="607"/>
      <c r="AB111" s="718"/>
      <c r="AC111" s="335"/>
      <c r="AD111" s="389">
        <v>1E-3</v>
      </c>
      <c r="AE111" s="381">
        <v>1E-3</v>
      </c>
      <c r="AF111" s="389">
        <v>1E-3</v>
      </c>
      <c r="AG111" s="381">
        <v>1E-3</v>
      </c>
      <c r="AH111" s="389">
        <v>1E-3</v>
      </c>
      <c r="AI111" s="381">
        <v>1E-3</v>
      </c>
      <c r="AJ111" s="389" t="s">
        <v>318</v>
      </c>
      <c r="AK111" s="381">
        <v>60000</v>
      </c>
      <c r="AL111" s="381">
        <v>0</v>
      </c>
      <c r="AM111" s="381">
        <v>240000</v>
      </c>
      <c r="AN111" s="381" t="s">
        <v>744</v>
      </c>
      <c r="AO111" s="381">
        <v>1E-3</v>
      </c>
      <c r="AP111" s="381">
        <v>1E-3</v>
      </c>
      <c r="AQ111" s="381">
        <v>1E-3</v>
      </c>
      <c r="AR111" s="381">
        <v>1E-3</v>
      </c>
      <c r="AS111" s="381">
        <v>1E-3</v>
      </c>
      <c r="AT111" s="381">
        <v>1E-3</v>
      </c>
      <c r="AU111" s="381">
        <v>1E-3</v>
      </c>
      <c r="AV111" s="381">
        <v>1E-3</v>
      </c>
      <c r="AW111" s="381">
        <v>1E-3</v>
      </c>
      <c r="AX111" s="335"/>
      <c r="AZ111" s="1137" t="s">
        <v>185</v>
      </c>
    </row>
    <row r="112" spans="1:52" ht="25.5" x14ac:dyDescent="0.2">
      <c r="A112" s="1184">
        <v>106</v>
      </c>
      <c r="B112" s="1137" t="s">
        <v>187</v>
      </c>
      <c r="C112" s="1185">
        <v>25</v>
      </c>
      <c r="D112" s="1114">
        <v>900103304</v>
      </c>
      <c r="E112" s="1520">
        <v>1</v>
      </c>
      <c r="F112" s="1517">
        <v>1179078.8578594101</v>
      </c>
      <c r="G112" s="1251">
        <v>0</v>
      </c>
      <c r="H112" s="1240">
        <v>1179078.8578594101</v>
      </c>
      <c r="I112" s="1148">
        <v>3</v>
      </c>
      <c r="J112" s="383">
        <v>365921.02485292027</v>
      </c>
      <c r="K112" s="712">
        <v>12</v>
      </c>
      <c r="L112" s="487">
        <v>813157.83300648979</v>
      </c>
      <c r="M112" s="927"/>
      <c r="N112" s="672">
        <v>0</v>
      </c>
      <c r="O112" s="389">
        <v>1E-3</v>
      </c>
      <c r="P112" s="1092">
        <v>0</v>
      </c>
      <c r="Q112" s="1093">
        <v>0</v>
      </c>
      <c r="R112" s="381">
        <v>0</v>
      </c>
      <c r="S112" s="382"/>
      <c r="T112" s="381"/>
      <c r="U112" s="624"/>
      <c r="V112" s="569">
        <v>0</v>
      </c>
      <c r="W112" s="607"/>
      <c r="X112" s="383"/>
      <c r="Y112" s="607"/>
      <c r="Z112" s="383"/>
      <c r="AA112" s="607"/>
      <c r="AB112" s="718"/>
      <c r="AC112" s="335"/>
      <c r="AD112" s="389">
        <v>3</v>
      </c>
      <c r="AE112" s="381">
        <v>334847.20429439994</v>
      </c>
      <c r="AF112" s="389">
        <v>12</v>
      </c>
      <c r="AG112" s="381">
        <v>744104.89843200007</v>
      </c>
      <c r="AH112" s="389">
        <v>1E-3</v>
      </c>
      <c r="AI112" s="381">
        <v>1E-3</v>
      </c>
      <c r="AJ112" s="389">
        <v>1E-3</v>
      </c>
      <c r="AK112" s="381">
        <v>1E-3</v>
      </c>
      <c r="AL112" s="381">
        <v>1E-3</v>
      </c>
      <c r="AM112" s="381">
        <v>1E-3</v>
      </c>
      <c r="AN112" s="381">
        <v>1E-3</v>
      </c>
      <c r="AO112" s="381">
        <v>1E-3</v>
      </c>
      <c r="AP112" s="381">
        <v>1E-3</v>
      </c>
      <c r="AQ112" s="381">
        <v>1E-3</v>
      </c>
      <c r="AR112" s="381">
        <v>1E-3</v>
      </c>
      <c r="AS112" s="381">
        <v>1E-3</v>
      </c>
      <c r="AT112" s="381">
        <v>1E-3</v>
      </c>
      <c r="AU112" s="381">
        <v>1E-3</v>
      </c>
      <c r="AV112" s="381">
        <v>1E-3</v>
      </c>
      <c r="AW112" s="381">
        <v>1E-3</v>
      </c>
      <c r="AX112" s="335"/>
      <c r="AZ112" s="1137" t="s">
        <v>187</v>
      </c>
    </row>
    <row r="113" spans="1:55" x14ac:dyDescent="0.2">
      <c r="A113" s="1184">
        <v>107</v>
      </c>
      <c r="B113" s="1137" t="s">
        <v>188</v>
      </c>
      <c r="C113" s="1185">
        <v>28</v>
      </c>
      <c r="D113" s="1114">
        <v>890910546</v>
      </c>
      <c r="E113" s="1520">
        <v>3</v>
      </c>
      <c r="F113" s="1517">
        <v>0</v>
      </c>
      <c r="G113" s="1251">
        <v>0</v>
      </c>
      <c r="H113" s="1240">
        <v>0</v>
      </c>
      <c r="I113" s="1147">
        <v>1E-3</v>
      </c>
      <c r="J113" s="383">
        <v>0</v>
      </c>
      <c r="K113" s="487">
        <v>1E-3</v>
      </c>
      <c r="L113" s="487">
        <v>0</v>
      </c>
      <c r="M113" s="927"/>
      <c r="N113" s="672">
        <v>0</v>
      </c>
      <c r="O113" s="389">
        <v>1E-3</v>
      </c>
      <c r="P113" s="1092">
        <v>0</v>
      </c>
      <c r="Q113" s="1093">
        <v>0</v>
      </c>
      <c r="R113" s="381">
        <v>0</v>
      </c>
      <c r="S113" s="382"/>
      <c r="T113" s="381"/>
      <c r="U113" s="624"/>
      <c r="V113" s="569">
        <v>0</v>
      </c>
      <c r="W113" s="607"/>
      <c r="X113" s="383"/>
      <c r="Y113" s="607"/>
      <c r="Z113" s="383"/>
      <c r="AA113" s="607"/>
      <c r="AB113" s="718"/>
      <c r="AC113" s="335"/>
      <c r="AD113" s="389">
        <v>1E-3</v>
      </c>
      <c r="AE113" s="381">
        <v>1E-3</v>
      </c>
      <c r="AF113" s="389">
        <v>1E-3</v>
      </c>
      <c r="AG113" s="381">
        <v>1E-3</v>
      </c>
      <c r="AH113" s="389">
        <v>1E-3</v>
      </c>
      <c r="AI113" s="381">
        <v>1E-3</v>
      </c>
      <c r="AJ113" s="389">
        <v>1E-3</v>
      </c>
      <c r="AK113" s="381">
        <v>1E-3</v>
      </c>
      <c r="AL113" s="381">
        <v>1E-3</v>
      </c>
      <c r="AM113" s="381">
        <v>1E-3</v>
      </c>
      <c r="AN113" s="381">
        <v>1E-3</v>
      </c>
      <c r="AO113" s="381">
        <v>1E-3</v>
      </c>
      <c r="AP113" s="381">
        <v>1E-3</v>
      </c>
      <c r="AQ113" s="381">
        <v>1E-3</v>
      </c>
      <c r="AR113" s="381">
        <v>1E-3</v>
      </c>
      <c r="AS113" s="381">
        <v>1E-3</v>
      </c>
      <c r="AT113" s="381">
        <v>1E-3</v>
      </c>
      <c r="AU113" s="381">
        <v>1E-3</v>
      </c>
      <c r="AV113" s="381">
        <v>1E-3</v>
      </c>
      <c r="AW113" s="381">
        <v>1E-3</v>
      </c>
      <c r="AX113" s="335"/>
      <c r="AZ113" s="1137" t="s">
        <v>188</v>
      </c>
    </row>
    <row r="114" spans="1:55" x14ac:dyDescent="0.2">
      <c r="A114" s="1184">
        <v>108</v>
      </c>
      <c r="B114" s="1491" t="s">
        <v>242</v>
      </c>
      <c r="C114" s="1185">
        <v>315</v>
      </c>
      <c r="D114" s="1114">
        <v>20270143</v>
      </c>
      <c r="E114" s="1520">
        <v>5</v>
      </c>
      <c r="F114" s="1517">
        <v>0</v>
      </c>
      <c r="G114" s="1251">
        <v>0</v>
      </c>
      <c r="H114" s="1240">
        <v>0</v>
      </c>
      <c r="I114" s="1147">
        <v>1E-3</v>
      </c>
      <c r="J114" s="383">
        <v>0</v>
      </c>
      <c r="K114" s="487">
        <v>1E-3</v>
      </c>
      <c r="L114" s="487">
        <v>0</v>
      </c>
      <c r="M114" s="927"/>
      <c r="N114" s="672">
        <v>0</v>
      </c>
      <c r="O114" s="389">
        <v>1E-3</v>
      </c>
      <c r="P114" s="1092">
        <v>0</v>
      </c>
      <c r="Q114" s="1093">
        <v>0</v>
      </c>
      <c r="R114" s="381">
        <v>0</v>
      </c>
      <c r="S114" s="382"/>
      <c r="T114" s="381"/>
      <c r="U114" s="624"/>
      <c r="V114" s="569">
        <v>0</v>
      </c>
      <c r="W114" s="607"/>
      <c r="X114" s="383"/>
      <c r="Y114" s="607"/>
      <c r="Z114" s="383"/>
      <c r="AA114" s="607"/>
      <c r="AB114" s="718"/>
      <c r="AC114" s="335"/>
      <c r="AD114" s="389">
        <v>1E-3</v>
      </c>
      <c r="AE114" s="381">
        <v>1E-3</v>
      </c>
      <c r="AF114" s="389">
        <v>1E-3</v>
      </c>
      <c r="AG114" s="381">
        <v>1E-3</v>
      </c>
      <c r="AH114" s="389">
        <v>1E-3</v>
      </c>
      <c r="AI114" s="381">
        <v>1E-3</v>
      </c>
      <c r="AJ114" s="389">
        <v>1E-3</v>
      </c>
      <c r="AK114" s="381">
        <v>1E-3</v>
      </c>
      <c r="AL114" s="381">
        <v>1E-3</v>
      </c>
      <c r="AM114" s="381">
        <v>1E-3</v>
      </c>
      <c r="AN114" s="381">
        <v>1E-3</v>
      </c>
      <c r="AO114" s="381">
        <v>1E-3</v>
      </c>
      <c r="AP114" s="381">
        <v>1E-3</v>
      </c>
      <c r="AQ114" s="381">
        <v>1E-3</v>
      </c>
      <c r="AR114" s="381">
        <v>1E-3</v>
      </c>
      <c r="AS114" s="381">
        <v>1E-3</v>
      </c>
      <c r="AT114" s="381">
        <v>1E-3</v>
      </c>
      <c r="AU114" s="381">
        <v>1E-3</v>
      </c>
      <c r="AV114" s="381">
        <v>1E-3</v>
      </c>
      <c r="AW114" s="381">
        <v>1E-3</v>
      </c>
      <c r="AX114" s="335"/>
      <c r="AZ114" s="1491" t="s">
        <v>242</v>
      </c>
    </row>
    <row r="115" spans="1:55" x14ac:dyDescent="0.2">
      <c r="A115" s="1184">
        <v>109</v>
      </c>
      <c r="B115" s="1137" t="s">
        <v>649</v>
      </c>
      <c r="C115" s="1185">
        <v>230</v>
      </c>
      <c r="D115" s="1114">
        <v>1036958916</v>
      </c>
      <c r="E115" s="1520">
        <v>5</v>
      </c>
      <c r="F115" s="1517">
        <v>0</v>
      </c>
      <c r="G115" s="1251">
        <v>0</v>
      </c>
      <c r="H115" s="1240">
        <v>0</v>
      </c>
      <c r="I115" s="1147">
        <v>1E-3</v>
      </c>
      <c r="J115" s="383">
        <v>0</v>
      </c>
      <c r="K115" s="487">
        <v>1E-3</v>
      </c>
      <c r="L115" s="487">
        <v>0</v>
      </c>
      <c r="M115" s="927"/>
      <c r="N115" s="672">
        <v>0</v>
      </c>
      <c r="O115" s="389">
        <v>1E-3</v>
      </c>
      <c r="P115" s="1092">
        <v>0</v>
      </c>
      <c r="Q115" s="1093">
        <v>0</v>
      </c>
      <c r="R115" s="381">
        <v>0</v>
      </c>
      <c r="S115" s="382"/>
      <c r="T115" s="381"/>
      <c r="U115" s="624"/>
      <c r="V115" s="569">
        <v>0</v>
      </c>
      <c r="W115" s="607"/>
      <c r="X115" s="383"/>
      <c r="Y115" s="607"/>
      <c r="Z115" s="383"/>
      <c r="AA115" s="607"/>
      <c r="AB115" s="718"/>
      <c r="AC115" s="335"/>
      <c r="AD115" s="389">
        <v>1E-3</v>
      </c>
      <c r="AE115" s="381">
        <v>1E-3</v>
      </c>
      <c r="AF115" s="389">
        <v>1E-3</v>
      </c>
      <c r="AG115" s="381">
        <v>1E-3</v>
      </c>
      <c r="AH115" s="389">
        <v>1E-3</v>
      </c>
      <c r="AI115" s="381">
        <v>1E-3</v>
      </c>
      <c r="AJ115" s="389">
        <v>1E-3</v>
      </c>
      <c r="AK115" s="381">
        <v>1E-3</v>
      </c>
      <c r="AL115" s="381">
        <v>1E-3</v>
      </c>
      <c r="AM115" s="381">
        <v>1E-3</v>
      </c>
      <c r="AN115" s="381">
        <v>1E-3</v>
      </c>
      <c r="AO115" s="381">
        <v>1E-3</v>
      </c>
      <c r="AP115" s="381">
        <v>1E-3</v>
      </c>
      <c r="AQ115" s="381">
        <v>1E-3</v>
      </c>
      <c r="AR115" s="381">
        <v>1E-3</v>
      </c>
      <c r="AS115" s="381">
        <v>1E-3</v>
      </c>
      <c r="AT115" s="381">
        <v>1E-3</v>
      </c>
      <c r="AU115" s="381">
        <v>1E-3</v>
      </c>
      <c r="AV115" s="381">
        <v>1E-3</v>
      </c>
      <c r="AW115" s="381">
        <v>1E-3</v>
      </c>
      <c r="AX115" s="335"/>
      <c r="AZ115" s="1137" t="s">
        <v>649</v>
      </c>
    </row>
    <row r="116" spans="1:55" x14ac:dyDescent="0.2">
      <c r="A116" s="1184">
        <v>110</v>
      </c>
      <c r="B116" s="1097" t="s">
        <v>243</v>
      </c>
      <c r="C116" s="1185">
        <v>259</v>
      </c>
      <c r="D116" s="1114">
        <v>42872098</v>
      </c>
      <c r="E116" s="1520">
        <v>5</v>
      </c>
      <c r="F116" s="1517">
        <v>0</v>
      </c>
      <c r="G116" s="1251">
        <v>0</v>
      </c>
      <c r="H116" s="1240">
        <v>0</v>
      </c>
      <c r="I116" s="1147">
        <v>1E-3</v>
      </c>
      <c r="J116" s="383">
        <v>0</v>
      </c>
      <c r="K116" s="487">
        <v>1E-3</v>
      </c>
      <c r="L116" s="487">
        <v>0</v>
      </c>
      <c r="M116" s="927"/>
      <c r="N116" s="672">
        <v>0</v>
      </c>
      <c r="O116" s="389">
        <v>1E-3</v>
      </c>
      <c r="P116" s="1092">
        <v>0</v>
      </c>
      <c r="Q116" s="1093">
        <v>0</v>
      </c>
      <c r="R116" s="381">
        <v>0</v>
      </c>
      <c r="S116" s="382"/>
      <c r="T116" s="381"/>
      <c r="U116" s="624"/>
      <c r="V116" s="569">
        <v>0</v>
      </c>
      <c r="W116" s="607"/>
      <c r="X116" s="383"/>
      <c r="Y116" s="607"/>
      <c r="Z116" s="383"/>
      <c r="AA116" s="607"/>
      <c r="AB116" s="718"/>
      <c r="AC116" s="335"/>
      <c r="AD116" s="389">
        <v>1E-3</v>
      </c>
      <c r="AE116" s="381">
        <v>1E-3</v>
      </c>
      <c r="AF116" s="389">
        <v>1E-3</v>
      </c>
      <c r="AG116" s="381">
        <v>1E-3</v>
      </c>
      <c r="AH116" s="389">
        <v>1E-3</v>
      </c>
      <c r="AI116" s="381">
        <v>1E-3</v>
      </c>
      <c r="AJ116" s="389">
        <v>1E-3</v>
      </c>
      <c r="AK116" s="381">
        <v>1E-3</v>
      </c>
      <c r="AL116" s="381">
        <v>1E-3</v>
      </c>
      <c r="AM116" s="381">
        <v>1E-3</v>
      </c>
      <c r="AN116" s="381">
        <v>1E-3</v>
      </c>
      <c r="AO116" s="381">
        <v>1E-3</v>
      </c>
      <c r="AP116" s="381">
        <v>1E-3</v>
      </c>
      <c r="AQ116" s="381">
        <v>1E-3</v>
      </c>
      <c r="AR116" s="381">
        <v>1E-3</v>
      </c>
      <c r="AS116" s="381">
        <v>1E-3</v>
      </c>
      <c r="AT116" s="381">
        <v>1E-3</v>
      </c>
      <c r="AU116" s="381">
        <v>1E-3</v>
      </c>
      <c r="AV116" s="381">
        <v>1E-3</v>
      </c>
      <c r="AW116" s="381">
        <v>1E-3</v>
      </c>
      <c r="AX116" s="335"/>
      <c r="AZ116" s="1097" t="s">
        <v>243</v>
      </c>
    </row>
    <row r="117" spans="1:55" x14ac:dyDescent="0.2">
      <c r="A117" s="1184"/>
      <c r="B117" s="1097"/>
      <c r="C117" s="1185"/>
      <c r="D117" s="1114"/>
      <c r="E117" s="1520"/>
      <c r="F117" s="1517"/>
      <c r="G117" s="1251"/>
      <c r="H117" s="1240"/>
      <c r="I117" s="1147"/>
      <c r="J117" s="1147"/>
      <c r="K117" s="1146"/>
      <c r="L117" s="1187"/>
      <c r="M117" s="1188"/>
      <c r="N117" s="1189"/>
      <c r="O117" s="1196"/>
      <c r="P117" s="1190"/>
      <c r="Q117" s="1191"/>
      <c r="R117" s="1138"/>
      <c r="S117" s="1192"/>
      <c r="T117" s="1138"/>
      <c r="U117" s="1193"/>
      <c r="V117" s="1101"/>
      <c r="W117" s="1194"/>
      <c r="X117" s="1147"/>
      <c r="Y117" s="1194"/>
      <c r="Z117" s="1147"/>
      <c r="AA117" s="1194"/>
      <c r="AB117" s="1195"/>
      <c r="AC117" s="335"/>
      <c r="AD117" s="1196"/>
      <c r="AE117" s="1138"/>
      <c r="AF117" s="1196"/>
      <c r="AG117" s="1138"/>
      <c r="AH117" s="1196"/>
      <c r="AI117" s="1138"/>
      <c r="AJ117" s="1196"/>
      <c r="AK117" s="1138"/>
      <c r="AL117" s="1138"/>
      <c r="AM117" s="1138"/>
      <c r="AN117" s="1138"/>
      <c r="AO117" s="1138"/>
      <c r="AP117" s="1138"/>
      <c r="AQ117" s="1138"/>
      <c r="AR117" s="1138"/>
      <c r="AS117" s="1138"/>
      <c r="AT117" s="1138"/>
      <c r="AU117" s="1138"/>
      <c r="AV117" s="1138"/>
      <c r="AW117" s="1138"/>
      <c r="AX117" s="335"/>
      <c r="AZ117" s="1097"/>
    </row>
    <row r="118" spans="1:55" ht="25.5" x14ac:dyDescent="0.2">
      <c r="A118" s="1184"/>
      <c r="B118" s="1097"/>
      <c r="C118" s="1185"/>
      <c r="D118" s="1114"/>
      <c r="E118" s="1520"/>
      <c r="F118" s="1517"/>
      <c r="G118" s="1251"/>
      <c r="H118" s="1240"/>
      <c r="I118" s="1147"/>
      <c r="J118" s="1606" t="s">
        <v>853</v>
      </c>
      <c r="K118" s="1606" t="s">
        <v>854</v>
      </c>
      <c r="L118" s="1606" t="s">
        <v>855</v>
      </c>
      <c r="M118" s="1606" t="s">
        <v>856</v>
      </c>
      <c r="N118" s="1606" t="s">
        <v>857</v>
      </c>
      <c r="O118" s="1606" t="s">
        <v>858</v>
      </c>
      <c r="P118" s="1190"/>
      <c r="Q118" s="1191"/>
      <c r="R118" s="1138"/>
      <c r="S118" s="1192"/>
      <c r="T118" s="1138"/>
      <c r="U118" s="1193"/>
      <c r="V118" s="1101"/>
      <c r="W118" s="1194"/>
      <c r="X118" s="1147"/>
      <c r="Y118" s="1194"/>
      <c r="Z118" s="1147"/>
      <c r="AA118" s="1194"/>
      <c r="AB118" s="1195"/>
      <c r="AC118" s="335"/>
      <c r="AD118" s="1196"/>
      <c r="AE118" s="1138"/>
      <c r="AF118" s="1196"/>
      <c r="AG118" s="1138"/>
      <c r="AH118" s="1196"/>
      <c r="AI118" s="1138"/>
      <c r="AJ118" s="1196"/>
      <c r="AK118" s="1138"/>
      <c r="AL118" s="1138"/>
      <c r="AM118" s="1138"/>
      <c r="AN118" s="1138"/>
      <c r="AO118" s="1138"/>
      <c r="AP118" s="1138"/>
      <c r="AQ118" s="1138"/>
      <c r="AR118" s="1138"/>
      <c r="AS118" s="1138"/>
      <c r="AT118" s="1138"/>
      <c r="AU118" s="1138"/>
      <c r="AV118" s="1138"/>
      <c r="AW118" s="1138"/>
      <c r="AX118" s="335"/>
      <c r="AZ118" s="1097"/>
    </row>
    <row r="119" spans="1:55" ht="35.25" customHeight="1" x14ac:dyDescent="0.2">
      <c r="A119" s="1184">
        <v>111</v>
      </c>
      <c r="B119" s="1137" t="s">
        <v>735</v>
      </c>
      <c r="C119" s="1185">
        <v>29</v>
      </c>
      <c r="D119" s="1114">
        <v>890924327</v>
      </c>
      <c r="E119" s="1520">
        <v>8</v>
      </c>
      <c r="F119" s="1517">
        <v>122222953.75</v>
      </c>
      <c r="G119" s="1251">
        <v>0</v>
      </c>
      <c r="H119" s="1240">
        <v>122222953.75</v>
      </c>
      <c r="I119" s="1147">
        <v>1E-3</v>
      </c>
      <c r="J119" s="1147">
        <v>12000000</v>
      </c>
      <c r="K119" s="1465">
        <v>12600000</v>
      </c>
      <c r="L119" s="1187">
        <v>13230000</v>
      </c>
      <c r="M119" s="1607">
        <v>13891500</v>
      </c>
      <c r="N119" s="1189">
        <v>14586075</v>
      </c>
      <c r="O119" s="1138">
        <v>15315378.75</v>
      </c>
      <c r="P119" s="1092">
        <v>0</v>
      </c>
      <c r="Q119" s="1608">
        <v>15600000</v>
      </c>
      <c r="R119" s="1197">
        <v>25000000</v>
      </c>
      <c r="S119" s="382"/>
      <c r="T119" s="381"/>
      <c r="U119" s="624"/>
      <c r="V119" s="569">
        <v>0</v>
      </c>
      <c r="W119" s="607"/>
      <c r="X119" s="383"/>
      <c r="Y119" s="607"/>
      <c r="Z119" s="383"/>
      <c r="AA119" s="607"/>
      <c r="AB119" s="718"/>
      <c r="AC119" s="335"/>
      <c r="AD119" s="389">
        <v>1E-3</v>
      </c>
      <c r="AE119" s="381">
        <v>1E-3</v>
      </c>
      <c r="AF119" s="389">
        <v>3</v>
      </c>
      <c r="AG119" s="381">
        <v>255000</v>
      </c>
      <c r="AH119" s="389">
        <v>1E-3</v>
      </c>
      <c r="AI119" s="381">
        <v>1E-3</v>
      </c>
      <c r="AJ119" s="389">
        <v>1E-3</v>
      </c>
      <c r="AK119" s="381">
        <v>1E-3</v>
      </c>
      <c r="AL119" s="381">
        <v>3000000</v>
      </c>
      <c r="AM119" s="381">
        <v>3000000</v>
      </c>
      <c r="AN119" s="381">
        <v>1E-3</v>
      </c>
      <c r="AO119" s="381">
        <v>1E-3</v>
      </c>
      <c r="AP119" s="381">
        <v>1E-3</v>
      </c>
      <c r="AQ119" s="381">
        <v>1E-3</v>
      </c>
      <c r="AR119" s="381">
        <v>1E-3</v>
      </c>
      <c r="AS119" s="381">
        <v>1E-3</v>
      </c>
      <c r="AT119" s="381">
        <v>1E-3</v>
      </c>
      <c r="AU119" s="381">
        <v>1E-3</v>
      </c>
      <c r="AV119" s="381">
        <v>1E-3</v>
      </c>
      <c r="AW119" s="381">
        <v>1E-3</v>
      </c>
      <c r="AX119" s="335"/>
      <c r="AZ119" s="1137" t="s">
        <v>735</v>
      </c>
      <c r="BA119" s="291">
        <v>81622953.75</v>
      </c>
      <c r="BB119" s="291">
        <v>13603825.625</v>
      </c>
      <c r="BC119" s="291">
        <v>1133652.1354166667</v>
      </c>
    </row>
    <row r="120" spans="1:55" ht="25.5" x14ac:dyDescent="0.2">
      <c r="A120" s="1184">
        <v>112</v>
      </c>
      <c r="B120" s="1137" t="s">
        <v>189</v>
      </c>
      <c r="C120" s="1185">
        <v>31</v>
      </c>
      <c r="D120" s="1114">
        <v>890927723</v>
      </c>
      <c r="E120" s="1520">
        <v>5</v>
      </c>
      <c r="F120" s="1517">
        <v>0</v>
      </c>
      <c r="G120" s="1251">
        <v>0</v>
      </c>
      <c r="H120" s="1240">
        <v>0</v>
      </c>
      <c r="I120" s="1147">
        <v>1E-3</v>
      </c>
      <c r="J120" s="383">
        <v>0</v>
      </c>
      <c r="K120" s="487">
        <v>1E-3</v>
      </c>
      <c r="L120" s="487">
        <v>0</v>
      </c>
      <c r="M120" s="927"/>
      <c r="N120" s="672">
        <v>0</v>
      </c>
      <c r="O120" s="389">
        <v>1E-3</v>
      </c>
      <c r="P120" s="1092">
        <v>0</v>
      </c>
      <c r="Q120" s="1093">
        <v>0</v>
      </c>
      <c r="R120" s="381">
        <v>0</v>
      </c>
      <c r="S120" s="382"/>
      <c r="T120" s="381"/>
      <c r="U120" s="624"/>
      <c r="V120" s="569">
        <v>0</v>
      </c>
      <c r="W120" s="607"/>
      <c r="X120" s="383"/>
      <c r="Y120" s="607"/>
      <c r="Z120" s="383"/>
      <c r="AA120" s="607"/>
      <c r="AB120" s="718"/>
      <c r="AC120" s="335"/>
      <c r="AD120" s="389">
        <v>1E-3</v>
      </c>
      <c r="AE120" s="381">
        <v>1E-3</v>
      </c>
      <c r="AF120" s="389">
        <v>1E-3</v>
      </c>
      <c r="AG120" s="381">
        <v>1E-3</v>
      </c>
      <c r="AH120" s="389">
        <v>1E-3</v>
      </c>
      <c r="AI120" s="381">
        <v>1E-3</v>
      </c>
      <c r="AJ120" s="389">
        <v>1E-3</v>
      </c>
      <c r="AK120" s="381">
        <v>1E-3</v>
      </c>
      <c r="AL120" s="381">
        <v>1E-3</v>
      </c>
      <c r="AM120" s="381">
        <v>1E-3</v>
      </c>
      <c r="AN120" s="381">
        <v>1E-3</v>
      </c>
      <c r="AO120" s="381">
        <v>1E-3</v>
      </c>
      <c r="AP120" s="381">
        <v>1E-3</v>
      </c>
      <c r="AQ120" s="381">
        <v>1E-3</v>
      </c>
      <c r="AR120" s="381">
        <v>1E-3</v>
      </c>
      <c r="AS120" s="381">
        <v>1E-3</v>
      </c>
      <c r="AT120" s="381">
        <v>1E-3</v>
      </c>
      <c r="AU120" s="381">
        <v>1E-3</v>
      </c>
      <c r="AV120" s="381">
        <v>1E-3</v>
      </c>
      <c r="AW120" s="381">
        <v>1E-3</v>
      </c>
      <c r="AX120" s="335"/>
      <c r="AZ120" s="1137" t="s">
        <v>189</v>
      </c>
    </row>
    <row r="121" spans="1:55" x14ac:dyDescent="0.2">
      <c r="A121" s="1184">
        <v>113</v>
      </c>
      <c r="B121" s="1097" t="s">
        <v>83</v>
      </c>
      <c r="C121" s="1185">
        <v>122</v>
      </c>
      <c r="D121" s="1114">
        <v>21331840</v>
      </c>
      <c r="E121" s="1520">
        <v>7</v>
      </c>
      <c r="F121" s="1517">
        <v>0</v>
      </c>
      <c r="G121" s="1251">
        <v>0</v>
      </c>
      <c r="H121" s="1240">
        <v>0</v>
      </c>
      <c r="I121" s="1147">
        <v>1E-3</v>
      </c>
      <c r="J121" s="383">
        <v>0</v>
      </c>
      <c r="K121" s="487">
        <v>1E-3</v>
      </c>
      <c r="L121" s="487">
        <v>0</v>
      </c>
      <c r="M121" s="927"/>
      <c r="N121" s="672">
        <v>0</v>
      </c>
      <c r="O121" s="389">
        <v>1E-3</v>
      </c>
      <c r="P121" s="1092">
        <v>0</v>
      </c>
      <c r="Q121" s="1093">
        <v>0</v>
      </c>
      <c r="R121" s="381">
        <v>0</v>
      </c>
      <c r="S121" s="382"/>
      <c r="T121" s="381"/>
      <c r="U121" s="624"/>
      <c r="V121" s="569">
        <v>0</v>
      </c>
      <c r="W121" s="607"/>
      <c r="X121" s="383"/>
      <c r="Y121" s="607"/>
      <c r="Z121" s="383"/>
      <c r="AA121" s="607"/>
      <c r="AB121" s="718"/>
      <c r="AC121" s="335"/>
      <c r="AD121" s="389">
        <v>1E-3</v>
      </c>
      <c r="AE121" s="381">
        <v>1E-3</v>
      </c>
      <c r="AF121" s="389">
        <v>1E-3</v>
      </c>
      <c r="AG121" s="381">
        <v>1E-3</v>
      </c>
      <c r="AH121" s="389">
        <v>1E-3</v>
      </c>
      <c r="AI121" s="381">
        <v>1E-3</v>
      </c>
      <c r="AJ121" s="389">
        <v>1E-3</v>
      </c>
      <c r="AK121" s="381">
        <v>1E-3</v>
      </c>
      <c r="AL121" s="381">
        <v>1E-3</v>
      </c>
      <c r="AM121" s="381">
        <v>1E-3</v>
      </c>
      <c r="AN121" s="381">
        <v>1E-3</v>
      </c>
      <c r="AO121" s="381">
        <v>1E-3</v>
      </c>
      <c r="AP121" s="381">
        <v>1E-3</v>
      </c>
      <c r="AQ121" s="381">
        <v>1E-3</v>
      </c>
      <c r="AR121" s="381">
        <v>1E-3</v>
      </c>
      <c r="AS121" s="381">
        <v>1E-3</v>
      </c>
      <c r="AT121" s="381">
        <v>1E-3</v>
      </c>
      <c r="AU121" s="381">
        <v>1E-3</v>
      </c>
      <c r="AV121" s="381">
        <v>1E-3</v>
      </c>
      <c r="AW121" s="381">
        <v>1E-3</v>
      </c>
      <c r="AX121" s="335"/>
      <c r="AZ121" s="1097" t="s">
        <v>83</v>
      </c>
    </row>
    <row r="122" spans="1:55" x14ac:dyDescent="0.2">
      <c r="A122" s="1184">
        <v>114</v>
      </c>
      <c r="B122" s="1097" t="s">
        <v>400</v>
      </c>
      <c r="C122" s="1185">
        <v>58</v>
      </c>
      <c r="D122" s="1114">
        <v>1036609920</v>
      </c>
      <c r="E122" s="1520">
        <v>9</v>
      </c>
      <c r="F122" s="1517">
        <v>0</v>
      </c>
      <c r="G122" s="1251">
        <v>0</v>
      </c>
      <c r="H122" s="1240">
        <v>0</v>
      </c>
      <c r="I122" s="1147">
        <v>1E-3</v>
      </c>
      <c r="J122" s="383">
        <v>0</v>
      </c>
      <c r="K122" s="487">
        <v>1E-3</v>
      </c>
      <c r="L122" s="487">
        <v>0</v>
      </c>
      <c r="M122" s="927"/>
      <c r="N122" s="672">
        <v>0</v>
      </c>
      <c r="O122" s="389">
        <v>1E-3</v>
      </c>
      <c r="P122" s="1092">
        <v>0</v>
      </c>
      <c r="Q122" s="1093">
        <v>0</v>
      </c>
      <c r="R122" s="381">
        <v>0</v>
      </c>
      <c r="S122" s="382"/>
      <c r="T122" s="381"/>
      <c r="U122" s="624"/>
      <c r="V122" s="569">
        <v>0</v>
      </c>
      <c r="W122" s="607"/>
      <c r="X122" s="383"/>
      <c r="Y122" s="607"/>
      <c r="Z122" s="383"/>
      <c r="AA122" s="607"/>
      <c r="AB122" s="718"/>
      <c r="AC122" s="335"/>
      <c r="AD122" s="389">
        <v>1E-3</v>
      </c>
      <c r="AE122" s="381">
        <v>1E-3</v>
      </c>
      <c r="AF122" s="389">
        <v>1E-3</v>
      </c>
      <c r="AG122" s="381">
        <v>1E-3</v>
      </c>
      <c r="AH122" s="389">
        <v>1E-3</v>
      </c>
      <c r="AI122" s="381">
        <v>1E-3</v>
      </c>
      <c r="AJ122" s="389">
        <v>1E-3</v>
      </c>
      <c r="AK122" s="381">
        <v>1E-3</v>
      </c>
      <c r="AL122" s="381">
        <v>1E-3</v>
      </c>
      <c r="AM122" s="381">
        <v>1E-3</v>
      </c>
      <c r="AN122" s="381">
        <v>1E-3</v>
      </c>
      <c r="AO122" s="381">
        <v>1E-3</v>
      </c>
      <c r="AP122" s="381">
        <v>1E-3</v>
      </c>
      <c r="AQ122" s="381">
        <v>1E-3</v>
      </c>
      <c r="AR122" s="381">
        <v>1E-3</v>
      </c>
      <c r="AS122" s="381">
        <v>1E-3</v>
      </c>
      <c r="AT122" s="381">
        <v>1E-3</v>
      </c>
      <c r="AU122" s="381">
        <v>1E-3</v>
      </c>
      <c r="AV122" s="381">
        <v>1E-3</v>
      </c>
      <c r="AW122" s="381">
        <v>1E-3</v>
      </c>
      <c r="AX122" s="335"/>
      <c r="AZ122" s="1097" t="s">
        <v>400</v>
      </c>
    </row>
    <row r="123" spans="1:55" x14ac:dyDescent="0.2">
      <c r="A123" s="1184">
        <v>115</v>
      </c>
      <c r="B123" s="1433" t="s">
        <v>486</v>
      </c>
      <c r="C123" s="1185">
        <v>162</v>
      </c>
      <c r="D123" s="1114">
        <v>1040746114</v>
      </c>
      <c r="E123" s="1520">
        <v>1</v>
      </c>
      <c r="F123" s="1517">
        <v>0</v>
      </c>
      <c r="G123" s="1251">
        <v>0</v>
      </c>
      <c r="H123" s="1240">
        <v>0</v>
      </c>
      <c r="I123" s="1147">
        <v>1E-3</v>
      </c>
      <c r="J123" s="383">
        <v>0</v>
      </c>
      <c r="K123" s="487">
        <v>1E-3</v>
      </c>
      <c r="L123" s="487">
        <v>0</v>
      </c>
      <c r="M123" s="927"/>
      <c r="N123" s="672">
        <v>0</v>
      </c>
      <c r="O123" s="389">
        <v>1E-3</v>
      </c>
      <c r="P123" s="1092">
        <v>0</v>
      </c>
      <c r="Q123" s="1093">
        <v>0</v>
      </c>
      <c r="R123" s="381">
        <v>0</v>
      </c>
      <c r="S123" s="382"/>
      <c r="T123" s="381"/>
      <c r="U123" s="624"/>
      <c r="V123" s="569">
        <v>0</v>
      </c>
      <c r="W123" s="607"/>
      <c r="X123" s="383"/>
      <c r="Y123" s="607"/>
      <c r="Z123" s="383"/>
      <c r="AA123" s="607"/>
      <c r="AB123" s="718"/>
      <c r="AC123" s="335"/>
      <c r="AD123" s="389">
        <v>1E-3</v>
      </c>
      <c r="AE123" s="381">
        <v>1E-3</v>
      </c>
      <c r="AF123" s="389">
        <v>1E-3</v>
      </c>
      <c r="AG123" s="381">
        <v>1E-3</v>
      </c>
      <c r="AH123" s="389">
        <v>1E-3</v>
      </c>
      <c r="AI123" s="381">
        <v>1E-3</v>
      </c>
      <c r="AJ123" s="389">
        <v>1E-3</v>
      </c>
      <c r="AK123" s="381">
        <v>1E-3</v>
      </c>
      <c r="AL123" s="381">
        <v>1E-3</v>
      </c>
      <c r="AM123" s="381">
        <v>1E-3</v>
      </c>
      <c r="AN123" s="381">
        <v>1E-3</v>
      </c>
      <c r="AO123" s="381">
        <v>1E-3</v>
      </c>
      <c r="AP123" s="381">
        <v>1E-3</v>
      </c>
      <c r="AQ123" s="381">
        <v>1E-3</v>
      </c>
      <c r="AR123" s="381">
        <v>1E-3</v>
      </c>
      <c r="AS123" s="381">
        <v>1E-3</v>
      </c>
      <c r="AT123" s="381">
        <v>1E-3</v>
      </c>
      <c r="AU123" s="381">
        <v>1E-3</v>
      </c>
      <c r="AV123" s="381">
        <v>1E-3</v>
      </c>
      <c r="AW123" s="381">
        <v>1E-3</v>
      </c>
      <c r="AX123" s="335"/>
      <c r="AZ123" s="1433" t="s">
        <v>486</v>
      </c>
    </row>
    <row r="124" spans="1:55" x14ac:dyDescent="0.2">
      <c r="A124" s="1184">
        <v>116</v>
      </c>
      <c r="B124" s="1491" t="s">
        <v>354</v>
      </c>
      <c r="C124" s="1185">
        <v>123</v>
      </c>
      <c r="D124" s="1114">
        <v>71587495</v>
      </c>
      <c r="E124" s="1520">
        <v>1</v>
      </c>
      <c r="F124" s="1517">
        <v>0</v>
      </c>
      <c r="G124" s="1251">
        <v>0</v>
      </c>
      <c r="H124" s="1240">
        <v>0</v>
      </c>
      <c r="I124" s="1147">
        <v>1E-3</v>
      </c>
      <c r="J124" s="383">
        <v>0</v>
      </c>
      <c r="K124" s="487">
        <v>1E-3</v>
      </c>
      <c r="L124" s="487">
        <v>0</v>
      </c>
      <c r="M124" s="927"/>
      <c r="N124" s="672">
        <v>0</v>
      </c>
      <c r="O124" s="389">
        <v>1E-3</v>
      </c>
      <c r="P124" s="1092">
        <v>0</v>
      </c>
      <c r="Q124" s="1093">
        <v>0</v>
      </c>
      <c r="R124" s="381">
        <v>0</v>
      </c>
      <c r="S124" s="382"/>
      <c r="T124" s="381"/>
      <c r="U124" s="624"/>
      <c r="V124" s="569">
        <v>0</v>
      </c>
      <c r="W124" s="607"/>
      <c r="X124" s="383"/>
      <c r="Y124" s="607"/>
      <c r="Z124" s="383"/>
      <c r="AA124" s="607"/>
      <c r="AB124" s="718"/>
      <c r="AC124" s="335"/>
      <c r="AD124" s="389">
        <v>1E-3</v>
      </c>
      <c r="AE124" s="381">
        <v>1E-3</v>
      </c>
      <c r="AF124" s="389">
        <v>1E-3</v>
      </c>
      <c r="AG124" s="381">
        <v>1E-3</v>
      </c>
      <c r="AH124" s="389">
        <v>1E-3</v>
      </c>
      <c r="AI124" s="381">
        <v>1E-3</v>
      </c>
      <c r="AJ124" s="389">
        <v>1E-3</v>
      </c>
      <c r="AK124" s="381">
        <v>1E-3</v>
      </c>
      <c r="AL124" s="381">
        <v>1E-3</v>
      </c>
      <c r="AM124" s="381">
        <v>1E-3</v>
      </c>
      <c r="AN124" s="381">
        <v>1E-3</v>
      </c>
      <c r="AO124" s="381">
        <v>1E-3</v>
      </c>
      <c r="AP124" s="381">
        <v>1E-3</v>
      </c>
      <c r="AQ124" s="381">
        <v>1E-3</v>
      </c>
      <c r="AR124" s="381">
        <v>1E-3</v>
      </c>
      <c r="AS124" s="381">
        <v>1E-3</v>
      </c>
      <c r="AT124" s="381">
        <v>1E-3</v>
      </c>
      <c r="AU124" s="381">
        <v>1E-3</v>
      </c>
      <c r="AV124" s="381">
        <v>1E-3</v>
      </c>
      <c r="AW124" s="381">
        <v>1E-3</v>
      </c>
      <c r="AX124" s="335"/>
      <c r="AZ124" s="1491" t="s">
        <v>354</v>
      </c>
    </row>
    <row r="125" spans="1:55" x14ac:dyDescent="0.2">
      <c r="A125" s="1184">
        <v>117</v>
      </c>
      <c r="B125" s="1097" t="s">
        <v>323</v>
      </c>
      <c r="C125" s="1185">
        <v>345</v>
      </c>
      <c r="D125" s="1114">
        <v>32409980</v>
      </c>
      <c r="E125" s="1520">
        <v>7</v>
      </c>
      <c r="F125" s="1517">
        <v>0</v>
      </c>
      <c r="G125" s="1251">
        <v>0</v>
      </c>
      <c r="H125" s="1240">
        <v>0</v>
      </c>
      <c r="I125" s="1147">
        <v>1E-3</v>
      </c>
      <c r="J125" s="383">
        <v>0</v>
      </c>
      <c r="K125" s="487">
        <v>1E-3</v>
      </c>
      <c r="L125" s="487">
        <v>0</v>
      </c>
      <c r="M125" s="927"/>
      <c r="N125" s="672">
        <v>0</v>
      </c>
      <c r="O125" s="389">
        <v>1E-3</v>
      </c>
      <c r="P125" s="1092">
        <v>0</v>
      </c>
      <c r="Q125" s="1093">
        <v>0</v>
      </c>
      <c r="R125" s="381">
        <v>0</v>
      </c>
      <c r="S125" s="382"/>
      <c r="T125" s="381"/>
      <c r="U125" s="624"/>
      <c r="V125" s="569">
        <v>0</v>
      </c>
      <c r="W125" s="607"/>
      <c r="X125" s="383"/>
      <c r="Y125" s="607"/>
      <c r="Z125" s="383"/>
      <c r="AA125" s="607"/>
      <c r="AB125" s="718"/>
      <c r="AC125" s="335"/>
      <c r="AD125" s="389">
        <v>1E-3</v>
      </c>
      <c r="AE125" s="381">
        <v>1E-3</v>
      </c>
      <c r="AF125" s="389">
        <v>1E-3</v>
      </c>
      <c r="AG125" s="381">
        <v>1E-3</v>
      </c>
      <c r="AH125" s="389">
        <v>1E-3</v>
      </c>
      <c r="AI125" s="381">
        <v>1E-3</v>
      </c>
      <c r="AJ125" s="389">
        <v>1E-3</v>
      </c>
      <c r="AK125" s="381">
        <v>1E-3</v>
      </c>
      <c r="AL125" s="381">
        <v>1E-3</v>
      </c>
      <c r="AM125" s="381">
        <v>1E-3</v>
      </c>
      <c r="AN125" s="381">
        <v>1E-3</v>
      </c>
      <c r="AO125" s="381">
        <v>1E-3</v>
      </c>
      <c r="AP125" s="381">
        <v>1E-3</v>
      </c>
      <c r="AQ125" s="381">
        <v>1E-3</v>
      </c>
      <c r="AR125" s="381">
        <v>1E-3</v>
      </c>
      <c r="AS125" s="381">
        <v>1E-3</v>
      </c>
      <c r="AT125" s="381">
        <v>1E-3</v>
      </c>
      <c r="AU125" s="381">
        <v>1E-3</v>
      </c>
      <c r="AV125" s="381">
        <v>1E-3</v>
      </c>
      <c r="AW125" s="381">
        <v>1E-3</v>
      </c>
      <c r="AX125" s="335"/>
      <c r="AZ125" s="1097" t="s">
        <v>323</v>
      </c>
    </row>
    <row r="126" spans="1:55" x14ac:dyDescent="0.2">
      <c r="A126" s="1184">
        <v>118</v>
      </c>
      <c r="B126" s="1097" t="s">
        <v>327</v>
      </c>
      <c r="C126" s="1185">
        <v>350</v>
      </c>
      <c r="D126" s="1114">
        <v>8162809</v>
      </c>
      <c r="E126" s="1520">
        <v>5</v>
      </c>
      <c r="F126" s="1517">
        <v>70000</v>
      </c>
      <c r="G126" s="1251">
        <v>0</v>
      </c>
      <c r="H126" s="1240">
        <v>70000</v>
      </c>
      <c r="I126" s="1147">
        <v>1E-3</v>
      </c>
      <c r="J126" s="383">
        <v>0</v>
      </c>
      <c r="K126" s="487">
        <v>1E-3</v>
      </c>
      <c r="L126" s="487">
        <v>0</v>
      </c>
      <c r="M126" s="927"/>
      <c r="N126" s="672">
        <v>0</v>
      </c>
      <c r="O126" s="389" t="s">
        <v>318</v>
      </c>
      <c r="P126" s="1092">
        <v>70000</v>
      </c>
      <c r="Q126" s="1093">
        <v>0</v>
      </c>
      <c r="R126" s="381">
        <v>0</v>
      </c>
      <c r="S126" s="382"/>
      <c r="T126" s="381"/>
      <c r="U126" s="624"/>
      <c r="V126" s="569">
        <v>0</v>
      </c>
      <c r="W126" s="607"/>
      <c r="X126" s="383"/>
      <c r="Y126" s="607"/>
      <c r="Z126" s="383"/>
      <c r="AA126" s="607"/>
      <c r="AB126" s="718"/>
      <c r="AC126" s="335"/>
      <c r="AD126" s="389">
        <v>1E-3</v>
      </c>
      <c r="AE126" s="381">
        <v>1E-3</v>
      </c>
      <c r="AF126" s="389">
        <v>1E-3</v>
      </c>
      <c r="AG126" s="381">
        <v>1E-3</v>
      </c>
      <c r="AH126" s="389">
        <v>1E-3</v>
      </c>
      <c r="AI126" s="381">
        <v>1E-3</v>
      </c>
      <c r="AJ126" s="389" t="s">
        <v>318</v>
      </c>
      <c r="AK126" s="381">
        <v>60000</v>
      </c>
      <c r="AL126" s="381">
        <v>1E-3</v>
      </c>
      <c r="AM126" s="381">
        <v>1E-3</v>
      </c>
      <c r="AN126" s="381">
        <v>1E-3</v>
      </c>
      <c r="AO126" s="381">
        <v>1E-3</v>
      </c>
      <c r="AP126" s="381">
        <v>1E-3</v>
      </c>
      <c r="AQ126" s="381">
        <v>1E-3</v>
      </c>
      <c r="AR126" s="381">
        <v>1E-3</v>
      </c>
      <c r="AS126" s="381">
        <v>1E-3</v>
      </c>
      <c r="AT126" s="381">
        <v>1E-3</v>
      </c>
      <c r="AU126" s="381">
        <v>1E-3</v>
      </c>
      <c r="AV126" s="381">
        <v>1E-3</v>
      </c>
      <c r="AW126" s="381">
        <v>1E-3</v>
      </c>
      <c r="AX126" s="335"/>
      <c r="AZ126" s="1097" t="s">
        <v>327</v>
      </c>
    </row>
    <row r="127" spans="1:55" x14ac:dyDescent="0.2">
      <c r="A127" s="1184">
        <v>119</v>
      </c>
      <c r="B127" s="1097" t="s">
        <v>325</v>
      </c>
      <c r="C127" s="1185">
        <v>351</v>
      </c>
      <c r="D127" s="1114">
        <v>43220534</v>
      </c>
      <c r="E127" s="1520">
        <v>1</v>
      </c>
      <c r="F127" s="1517">
        <v>0</v>
      </c>
      <c r="G127" s="1251">
        <v>0</v>
      </c>
      <c r="H127" s="1240">
        <v>0</v>
      </c>
      <c r="I127" s="1147">
        <v>1E-3</v>
      </c>
      <c r="J127" s="383">
        <v>0</v>
      </c>
      <c r="K127" s="487">
        <v>1E-3</v>
      </c>
      <c r="L127" s="487">
        <v>0</v>
      </c>
      <c r="M127" s="927"/>
      <c r="N127" s="672">
        <v>0</v>
      </c>
      <c r="O127" s="389">
        <v>1E-3</v>
      </c>
      <c r="P127" s="1092">
        <v>0</v>
      </c>
      <c r="Q127" s="1093">
        <v>0</v>
      </c>
      <c r="R127" s="381">
        <v>0</v>
      </c>
      <c r="S127" s="382"/>
      <c r="T127" s="381"/>
      <c r="U127" s="624"/>
      <c r="V127" s="569">
        <v>0</v>
      </c>
      <c r="W127" s="607"/>
      <c r="X127" s="383"/>
      <c r="Y127" s="607"/>
      <c r="Z127" s="383"/>
      <c r="AA127" s="607"/>
      <c r="AB127" s="718"/>
      <c r="AC127" s="335"/>
      <c r="AD127" s="389">
        <v>1E-3</v>
      </c>
      <c r="AE127" s="381">
        <v>1E-3</v>
      </c>
      <c r="AF127" s="389">
        <v>1E-3</v>
      </c>
      <c r="AG127" s="381">
        <v>1E-3</v>
      </c>
      <c r="AH127" s="389">
        <v>1E-3</v>
      </c>
      <c r="AI127" s="381">
        <v>1E-3</v>
      </c>
      <c r="AJ127" s="389">
        <v>1E-3</v>
      </c>
      <c r="AK127" s="381">
        <v>1E-3</v>
      </c>
      <c r="AL127" s="381">
        <v>1E-3</v>
      </c>
      <c r="AM127" s="381">
        <v>1E-3</v>
      </c>
      <c r="AN127" s="381">
        <v>1E-3</v>
      </c>
      <c r="AO127" s="381">
        <v>1E-3</v>
      </c>
      <c r="AP127" s="381">
        <v>1E-3</v>
      </c>
      <c r="AQ127" s="381">
        <v>1E-3</v>
      </c>
      <c r="AR127" s="381">
        <v>1E-3</v>
      </c>
      <c r="AS127" s="381">
        <v>1E-3</v>
      </c>
      <c r="AT127" s="381">
        <v>1E-3</v>
      </c>
      <c r="AU127" s="381">
        <v>1E-3</v>
      </c>
      <c r="AV127" s="381">
        <v>1E-3</v>
      </c>
      <c r="AW127" s="381">
        <v>1E-3</v>
      </c>
      <c r="AX127" s="335"/>
      <c r="AZ127" s="1097" t="s">
        <v>325</v>
      </c>
    </row>
    <row r="128" spans="1:55" x14ac:dyDescent="0.2">
      <c r="A128" s="1184">
        <v>120</v>
      </c>
      <c r="B128" s="1097" t="s">
        <v>664</v>
      </c>
      <c r="C128" s="1185">
        <v>247</v>
      </c>
      <c r="D128" s="1114">
        <v>1023302299</v>
      </c>
      <c r="E128" s="1520">
        <v>6</v>
      </c>
      <c r="F128" s="1517">
        <v>0</v>
      </c>
      <c r="G128" s="1251">
        <v>0</v>
      </c>
      <c r="H128" s="1240">
        <v>0</v>
      </c>
      <c r="I128" s="1147">
        <v>1E-3</v>
      </c>
      <c r="J128" s="383">
        <v>0</v>
      </c>
      <c r="K128" s="487">
        <v>1E-3</v>
      </c>
      <c r="L128" s="487">
        <v>0</v>
      </c>
      <c r="M128" s="927"/>
      <c r="N128" s="672">
        <v>0</v>
      </c>
      <c r="O128" s="389">
        <v>1E-3</v>
      </c>
      <c r="P128" s="1092">
        <v>0</v>
      </c>
      <c r="Q128" s="1093">
        <v>0</v>
      </c>
      <c r="R128" s="381">
        <v>0</v>
      </c>
      <c r="S128" s="382"/>
      <c r="T128" s="381"/>
      <c r="U128" s="624"/>
      <c r="V128" s="569">
        <v>0</v>
      </c>
      <c r="W128" s="607"/>
      <c r="X128" s="383"/>
      <c r="Y128" s="607"/>
      <c r="Z128" s="383"/>
      <c r="AA128" s="607"/>
      <c r="AB128" s="718"/>
      <c r="AC128" s="335"/>
      <c r="AD128" s="389">
        <v>1E-3</v>
      </c>
      <c r="AE128" s="381">
        <v>1E-3</v>
      </c>
      <c r="AF128" s="389">
        <v>1E-3</v>
      </c>
      <c r="AG128" s="381">
        <v>1E-3</v>
      </c>
      <c r="AH128" s="389">
        <v>1E-3</v>
      </c>
      <c r="AI128" s="381">
        <v>1E-3</v>
      </c>
      <c r="AJ128" s="389">
        <v>1E-3</v>
      </c>
      <c r="AK128" s="381">
        <v>1E-3</v>
      </c>
      <c r="AL128" s="381">
        <v>1E-3</v>
      </c>
      <c r="AM128" s="381">
        <v>1E-3</v>
      </c>
      <c r="AN128" s="381">
        <v>1E-3</v>
      </c>
      <c r="AO128" s="381">
        <v>1E-3</v>
      </c>
      <c r="AP128" s="381">
        <v>1E-3</v>
      </c>
      <c r="AQ128" s="381">
        <v>1E-3</v>
      </c>
      <c r="AR128" s="381">
        <v>1E-3</v>
      </c>
      <c r="AS128" s="381">
        <v>1E-3</v>
      </c>
      <c r="AT128" s="381">
        <v>1E-3</v>
      </c>
      <c r="AU128" s="381">
        <v>1E-3</v>
      </c>
      <c r="AV128" s="381">
        <v>1E-3</v>
      </c>
      <c r="AW128" s="381">
        <v>1E-3</v>
      </c>
      <c r="AX128" s="335"/>
      <c r="AZ128" s="1137" t="s">
        <v>664</v>
      </c>
    </row>
    <row r="129" spans="1:52" x14ac:dyDescent="0.2">
      <c r="A129" s="1184">
        <v>121</v>
      </c>
      <c r="B129" s="1097" t="s">
        <v>326</v>
      </c>
      <c r="C129" s="1185">
        <v>26</v>
      </c>
      <c r="D129" s="1114">
        <v>1000717826</v>
      </c>
      <c r="E129" s="1520">
        <v>6</v>
      </c>
      <c r="F129" s="1517">
        <v>0</v>
      </c>
      <c r="G129" s="1251">
        <v>0</v>
      </c>
      <c r="H129" s="1240">
        <v>0</v>
      </c>
      <c r="I129" s="1147">
        <v>1E-3</v>
      </c>
      <c r="J129" s="383">
        <v>0</v>
      </c>
      <c r="K129" s="487">
        <v>1E-3</v>
      </c>
      <c r="L129" s="487">
        <v>0</v>
      </c>
      <c r="M129" s="927"/>
      <c r="N129" s="672">
        <v>0</v>
      </c>
      <c r="O129" s="389">
        <v>1E-3</v>
      </c>
      <c r="P129" s="1092">
        <v>0</v>
      </c>
      <c r="Q129" s="1093">
        <v>0</v>
      </c>
      <c r="R129" s="381">
        <v>0</v>
      </c>
      <c r="S129" s="382"/>
      <c r="T129" s="381"/>
      <c r="U129" s="624"/>
      <c r="V129" s="569">
        <v>0</v>
      </c>
      <c r="W129" s="607"/>
      <c r="X129" s="383"/>
      <c r="Y129" s="607"/>
      <c r="Z129" s="383"/>
      <c r="AA129" s="607"/>
      <c r="AB129" s="718"/>
      <c r="AC129" s="335"/>
      <c r="AD129" s="389">
        <v>1E-3</v>
      </c>
      <c r="AE129" s="381">
        <v>1E-3</v>
      </c>
      <c r="AF129" s="389">
        <v>1E-3</v>
      </c>
      <c r="AG129" s="381">
        <v>1E-3</v>
      </c>
      <c r="AH129" s="389">
        <v>1E-3</v>
      </c>
      <c r="AI129" s="381">
        <v>1E-3</v>
      </c>
      <c r="AJ129" s="389">
        <v>1E-3</v>
      </c>
      <c r="AK129" s="381">
        <v>1E-3</v>
      </c>
      <c r="AL129" s="381">
        <v>1E-3</v>
      </c>
      <c r="AM129" s="381">
        <v>1E-3</v>
      </c>
      <c r="AN129" s="381">
        <v>1E-3</v>
      </c>
      <c r="AO129" s="381">
        <v>1E-3</v>
      </c>
      <c r="AP129" s="381">
        <v>1E-3</v>
      </c>
      <c r="AQ129" s="381">
        <v>1E-3</v>
      </c>
      <c r="AR129" s="381">
        <v>1E-3</v>
      </c>
      <c r="AS129" s="381">
        <v>1E-3</v>
      </c>
      <c r="AT129" s="381">
        <v>1E-3</v>
      </c>
      <c r="AU129" s="381">
        <v>1E-3</v>
      </c>
      <c r="AV129" s="381">
        <v>1E-3</v>
      </c>
      <c r="AW129" s="381">
        <v>1E-3</v>
      </c>
      <c r="AX129" s="335"/>
      <c r="AZ129" s="1097" t="s">
        <v>326</v>
      </c>
    </row>
    <row r="130" spans="1:52" x14ac:dyDescent="0.2">
      <c r="A130" s="1184">
        <v>122</v>
      </c>
      <c r="B130" s="1097" t="s">
        <v>405</v>
      </c>
      <c r="C130" s="1185">
        <v>64</v>
      </c>
      <c r="D130" s="1114">
        <v>98549908</v>
      </c>
      <c r="E130" s="1520">
        <v>6</v>
      </c>
      <c r="F130" s="1517">
        <v>0</v>
      </c>
      <c r="G130" s="1251">
        <v>0</v>
      </c>
      <c r="H130" s="1240">
        <v>0</v>
      </c>
      <c r="I130" s="1147">
        <v>1E-3</v>
      </c>
      <c r="J130" s="383">
        <v>0</v>
      </c>
      <c r="K130" s="487">
        <v>1E-3</v>
      </c>
      <c r="L130" s="487">
        <v>0</v>
      </c>
      <c r="M130" s="927"/>
      <c r="N130" s="672">
        <v>0</v>
      </c>
      <c r="O130" s="389">
        <v>1E-3</v>
      </c>
      <c r="P130" s="1092">
        <v>0</v>
      </c>
      <c r="Q130" s="1093">
        <v>0</v>
      </c>
      <c r="R130" s="381">
        <v>0</v>
      </c>
      <c r="S130" s="382"/>
      <c r="T130" s="381"/>
      <c r="U130" s="624"/>
      <c r="V130" s="569">
        <v>0</v>
      </c>
      <c r="W130" s="607"/>
      <c r="X130" s="383"/>
      <c r="Y130" s="607"/>
      <c r="Z130" s="383"/>
      <c r="AA130" s="607"/>
      <c r="AB130" s="718"/>
      <c r="AC130" s="335"/>
      <c r="AD130" s="389">
        <v>1E-3</v>
      </c>
      <c r="AE130" s="381">
        <v>1E-3</v>
      </c>
      <c r="AF130" s="389">
        <v>1E-3</v>
      </c>
      <c r="AG130" s="381">
        <v>1E-3</v>
      </c>
      <c r="AH130" s="389">
        <v>1E-3</v>
      </c>
      <c r="AI130" s="381">
        <v>1E-3</v>
      </c>
      <c r="AJ130" s="389">
        <v>1E-3</v>
      </c>
      <c r="AK130" s="381">
        <v>1E-3</v>
      </c>
      <c r="AL130" s="381">
        <v>1E-3</v>
      </c>
      <c r="AM130" s="381">
        <v>1E-3</v>
      </c>
      <c r="AN130" s="381">
        <v>1E-3</v>
      </c>
      <c r="AO130" s="381">
        <v>1E-3</v>
      </c>
      <c r="AP130" s="381">
        <v>1E-3</v>
      </c>
      <c r="AQ130" s="381">
        <v>1E-3</v>
      </c>
      <c r="AR130" s="381">
        <v>1E-3</v>
      </c>
      <c r="AS130" s="381">
        <v>1E-3</v>
      </c>
      <c r="AT130" s="381">
        <v>1E-3</v>
      </c>
      <c r="AU130" s="381">
        <v>1E-3</v>
      </c>
      <c r="AV130" s="381">
        <v>1E-3</v>
      </c>
      <c r="AW130" s="381">
        <v>1E-3</v>
      </c>
      <c r="AX130" s="335"/>
      <c r="AZ130" s="1097" t="s">
        <v>405</v>
      </c>
    </row>
    <row r="131" spans="1:52" x14ac:dyDescent="0.2">
      <c r="A131" s="1184">
        <v>123</v>
      </c>
      <c r="B131" s="1097" t="s">
        <v>247</v>
      </c>
      <c r="C131" s="1185">
        <v>333</v>
      </c>
      <c r="D131" s="1114">
        <v>39183561</v>
      </c>
      <c r="E131" s="1520">
        <v>7</v>
      </c>
      <c r="F131" s="1517">
        <v>0</v>
      </c>
      <c r="G131" s="1251">
        <v>0</v>
      </c>
      <c r="H131" s="1240">
        <v>0</v>
      </c>
      <c r="I131" s="1147">
        <v>1E-3</v>
      </c>
      <c r="J131" s="383">
        <v>0</v>
      </c>
      <c r="K131" s="487">
        <v>1E-3</v>
      </c>
      <c r="L131" s="487">
        <v>0</v>
      </c>
      <c r="M131" s="927"/>
      <c r="N131" s="672">
        <v>0</v>
      </c>
      <c r="O131" s="389">
        <v>1E-3</v>
      </c>
      <c r="P131" s="1092">
        <v>0</v>
      </c>
      <c r="Q131" s="1093">
        <v>0</v>
      </c>
      <c r="R131" s="381">
        <v>0</v>
      </c>
      <c r="S131" s="382"/>
      <c r="T131" s="381"/>
      <c r="U131" s="624"/>
      <c r="V131" s="569">
        <v>0</v>
      </c>
      <c r="W131" s="607"/>
      <c r="X131" s="383"/>
      <c r="Y131" s="607"/>
      <c r="Z131" s="383"/>
      <c r="AA131" s="607"/>
      <c r="AB131" s="718"/>
      <c r="AC131" s="335"/>
      <c r="AD131" s="389">
        <v>1E-3</v>
      </c>
      <c r="AE131" s="381">
        <v>1E-3</v>
      </c>
      <c r="AF131" s="389">
        <v>1E-3</v>
      </c>
      <c r="AG131" s="381">
        <v>1E-3</v>
      </c>
      <c r="AH131" s="389">
        <v>1E-3</v>
      </c>
      <c r="AI131" s="381">
        <v>1E-3</v>
      </c>
      <c r="AJ131" s="389">
        <v>1E-3</v>
      </c>
      <c r="AK131" s="381">
        <v>1E-3</v>
      </c>
      <c r="AL131" s="381">
        <v>1E-3</v>
      </c>
      <c r="AM131" s="381">
        <v>1E-3</v>
      </c>
      <c r="AN131" s="381">
        <v>1E-3</v>
      </c>
      <c r="AO131" s="381">
        <v>1E-3</v>
      </c>
      <c r="AP131" s="381">
        <v>1E-3</v>
      </c>
      <c r="AQ131" s="381">
        <v>1E-3</v>
      </c>
      <c r="AR131" s="381">
        <v>1E-3</v>
      </c>
      <c r="AS131" s="381">
        <v>1E-3</v>
      </c>
      <c r="AT131" s="381">
        <v>1E-3</v>
      </c>
      <c r="AU131" s="381">
        <v>1E-3</v>
      </c>
      <c r="AV131" s="381">
        <v>1E-3</v>
      </c>
      <c r="AW131" s="381">
        <v>1E-3</v>
      </c>
      <c r="AX131" s="335"/>
      <c r="AZ131" s="1097" t="s">
        <v>247</v>
      </c>
    </row>
    <row r="132" spans="1:52" x14ac:dyDescent="0.2">
      <c r="A132" s="1184">
        <v>124</v>
      </c>
      <c r="B132" s="1097" t="s">
        <v>328</v>
      </c>
      <c r="C132" s="1185">
        <v>344</v>
      </c>
      <c r="D132" s="1114">
        <v>8269485</v>
      </c>
      <c r="E132" s="1520">
        <v>3</v>
      </c>
      <c r="F132" s="1517">
        <v>0</v>
      </c>
      <c r="G132" s="1251">
        <v>0</v>
      </c>
      <c r="H132" s="1240">
        <v>0</v>
      </c>
      <c r="I132" s="1147">
        <v>1E-3</v>
      </c>
      <c r="J132" s="383">
        <v>0</v>
      </c>
      <c r="K132" s="487">
        <v>1E-3</v>
      </c>
      <c r="L132" s="487">
        <v>0</v>
      </c>
      <c r="M132" s="927"/>
      <c r="N132" s="672">
        <v>0</v>
      </c>
      <c r="O132" s="389">
        <v>1E-3</v>
      </c>
      <c r="P132" s="1092">
        <v>0</v>
      </c>
      <c r="Q132" s="1093">
        <v>0</v>
      </c>
      <c r="R132" s="381">
        <v>0</v>
      </c>
      <c r="S132" s="382"/>
      <c r="T132" s="381"/>
      <c r="U132" s="624"/>
      <c r="V132" s="569">
        <v>0</v>
      </c>
      <c r="W132" s="607"/>
      <c r="X132" s="383"/>
      <c r="Y132" s="607"/>
      <c r="Z132" s="383"/>
      <c r="AA132" s="607"/>
      <c r="AB132" s="718"/>
      <c r="AC132" s="335"/>
      <c r="AD132" s="389">
        <v>1E-3</v>
      </c>
      <c r="AE132" s="381">
        <v>1E-3</v>
      </c>
      <c r="AF132" s="389">
        <v>1E-3</v>
      </c>
      <c r="AG132" s="381">
        <v>1E-3</v>
      </c>
      <c r="AH132" s="389">
        <v>1E-3</v>
      </c>
      <c r="AI132" s="381">
        <v>1E-3</v>
      </c>
      <c r="AJ132" s="389">
        <v>1E-3</v>
      </c>
      <c r="AK132" s="381">
        <v>1E-3</v>
      </c>
      <c r="AL132" s="381">
        <v>1E-3</v>
      </c>
      <c r="AM132" s="381">
        <v>1E-3</v>
      </c>
      <c r="AN132" s="381">
        <v>1E-3</v>
      </c>
      <c r="AO132" s="381">
        <v>1E-3</v>
      </c>
      <c r="AP132" s="381">
        <v>1E-3</v>
      </c>
      <c r="AQ132" s="381">
        <v>1E-3</v>
      </c>
      <c r="AR132" s="381">
        <v>1E-3</v>
      </c>
      <c r="AS132" s="381">
        <v>1E-3</v>
      </c>
      <c r="AT132" s="381">
        <v>1E-3</v>
      </c>
      <c r="AU132" s="381">
        <v>1E-3</v>
      </c>
      <c r="AV132" s="381">
        <v>1E-3</v>
      </c>
      <c r="AW132" s="381">
        <v>1E-3</v>
      </c>
      <c r="AX132" s="335"/>
      <c r="AZ132" s="1097" t="s">
        <v>328</v>
      </c>
    </row>
    <row r="133" spans="1:52" x14ac:dyDescent="0.2">
      <c r="A133" s="1184">
        <v>125</v>
      </c>
      <c r="B133" s="1201" t="s">
        <v>483</v>
      </c>
      <c r="C133" s="1185">
        <v>186</v>
      </c>
      <c r="D133" s="1114">
        <v>71680954</v>
      </c>
      <c r="E133" s="1520">
        <v>6</v>
      </c>
      <c r="F133" s="1517">
        <v>0</v>
      </c>
      <c r="G133" s="1251">
        <v>0</v>
      </c>
      <c r="H133" s="1240">
        <v>0</v>
      </c>
      <c r="I133" s="1147">
        <v>1E-3</v>
      </c>
      <c r="J133" s="383">
        <v>0</v>
      </c>
      <c r="K133" s="487">
        <v>1E-3</v>
      </c>
      <c r="L133" s="487">
        <v>0</v>
      </c>
      <c r="M133" s="927"/>
      <c r="N133" s="672">
        <v>0</v>
      </c>
      <c r="O133" s="389">
        <v>1E-3</v>
      </c>
      <c r="P133" s="1092">
        <v>0</v>
      </c>
      <c r="Q133" s="1093">
        <v>0</v>
      </c>
      <c r="R133" s="381">
        <v>0</v>
      </c>
      <c r="S133" s="382"/>
      <c r="T133" s="381"/>
      <c r="U133" s="624"/>
      <c r="V133" s="569">
        <v>0</v>
      </c>
      <c r="W133" s="607"/>
      <c r="X133" s="383"/>
      <c r="Y133" s="607"/>
      <c r="Z133" s="383"/>
      <c r="AA133" s="607"/>
      <c r="AB133" s="718"/>
      <c r="AC133" s="335"/>
      <c r="AD133" s="389">
        <v>1E-3</v>
      </c>
      <c r="AE133" s="381">
        <v>1E-3</v>
      </c>
      <c r="AF133" s="389">
        <v>1E-3</v>
      </c>
      <c r="AG133" s="381">
        <v>1E-3</v>
      </c>
      <c r="AH133" s="389">
        <v>1E-3</v>
      </c>
      <c r="AI133" s="381">
        <v>1E-3</v>
      </c>
      <c r="AJ133" s="389">
        <v>1E-3</v>
      </c>
      <c r="AK133" s="381">
        <v>1E-3</v>
      </c>
      <c r="AL133" s="381">
        <v>1E-3</v>
      </c>
      <c r="AM133" s="381">
        <v>1E-3</v>
      </c>
      <c r="AN133" s="381">
        <v>1E-3</v>
      </c>
      <c r="AO133" s="381">
        <v>1E-3</v>
      </c>
      <c r="AP133" s="381">
        <v>1E-3</v>
      </c>
      <c r="AQ133" s="381">
        <v>1E-3</v>
      </c>
      <c r="AR133" s="381">
        <v>1E-3</v>
      </c>
      <c r="AS133" s="381">
        <v>1E-3</v>
      </c>
      <c r="AT133" s="381">
        <v>1E-3</v>
      </c>
      <c r="AU133" s="381">
        <v>1E-3</v>
      </c>
      <c r="AV133" s="381">
        <v>1E-3</v>
      </c>
      <c r="AW133" s="381">
        <v>1E-3</v>
      </c>
      <c r="AX133" s="335"/>
      <c r="AZ133" s="1201" t="s">
        <v>483</v>
      </c>
    </row>
    <row r="134" spans="1:52" x14ac:dyDescent="0.2">
      <c r="A134" s="1184">
        <v>126</v>
      </c>
      <c r="B134" s="1097" t="s">
        <v>84</v>
      </c>
      <c r="C134" s="1185">
        <v>126</v>
      </c>
      <c r="D134" s="1114">
        <v>52009137</v>
      </c>
      <c r="E134" s="1520">
        <v>0</v>
      </c>
      <c r="F134" s="1517">
        <v>0</v>
      </c>
      <c r="G134" s="1251">
        <v>0</v>
      </c>
      <c r="H134" s="1240">
        <v>0</v>
      </c>
      <c r="I134" s="1147">
        <v>1E-3</v>
      </c>
      <c r="J134" s="383">
        <v>0</v>
      </c>
      <c r="K134" s="487">
        <v>1E-3</v>
      </c>
      <c r="L134" s="487">
        <v>0</v>
      </c>
      <c r="M134" s="927"/>
      <c r="N134" s="672">
        <v>0</v>
      </c>
      <c r="O134" s="389">
        <v>1E-3</v>
      </c>
      <c r="P134" s="1092">
        <v>0</v>
      </c>
      <c r="Q134" s="1093">
        <v>0</v>
      </c>
      <c r="R134" s="381">
        <v>0</v>
      </c>
      <c r="S134" s="382"/>
      <c r="T134" s="381"/>
      <c r="U134" s="624"/>
      <c r="V134" s="569">
        <v>0</v>
      </c>
      <c r="W134" s="607"/>
      <c r="X134" s="383"/>
      <c r="Y134" s="607"/>
      <c r="Z134" s="383"/>
      <c r="AA134" s="607"/>
      <c r="AB134" s="718"/>
      <c r="AC134" s="335"/>
      <c r="AD134" s="389">
        <v>1E-3</v>
      </c>
      <c r="AE134" s="381">
        <v>1E-3</v>
      </c>
      <c r="AF134" s="389">
        <v>1E-3</v>
      </c>
      <c r="AG134" s="381">
        <v>1E-3</v>
      </c>
      <c r="AH134" s="389">
        <v>1E-3</v>
      </c>
      <c r="AI134" s="381">
        <v>1E-3</v>
      </c>
      <c r="AJ134" s="389">
        <v>1E-3</v>
      </c>
      <c r="AK134" s="381">
        <v>1E-3</v>
      </c>
      <c r="AL134" s="381">
        <v>1E-3</v>
      </c>
      <c r="AM134" s="381">
        <v>1E-3</v>
      </c>
      <c r="AN134" s="381">
        <v>1E-3</v>
      </c>
      <c r="AO134" s="381">
        <v>1E-3</v>
      </c>
      <c r="AP134" s="381">
        <v>1E-3</v>
      </c>
      <c r="AQ134" s="381">
        <v>1E-3</v>
      </c>
      <c r="AR134" s="381">
        <v>1E-3</v>
      </c>
      <c r="AS134" s="381">
        <v>1E-3</v>
      </c>
      <c r="AT134" s="381">
        <v>1E-3</v>
      </c>
      <c r="AU134" s="381">
        <v>1E-3</v>
      </c>
      <c r="AV134" s="381">
        <v>1E-3</v>
      </c>
      <c r="AW134" s="381">
        <v>1E-3</v>
      </c>
      <c r="AX134" s="335"/>
      <c r="AZ134" s="1097" t="s">
        <v>84</v>
      </c>
    </row>
    <row r="135" spans="1:52" x14ac:dyDescent="0.2">
      <c r="A135" s="1184">
        <v>127</v>
      </c>
      <c r="B135" s="1097" t="s">
        <v>86</v>
      </c>
      <c r="C135" s="1185">
        <v>127</v>
      </c>
      <c r="D135" s="1114">
        <v>32416024</v>
      </c>
      <c r="E135" s="1520">
        <v>1</v>
      </c>
      <c r="F135" s="1517">
        <v>0</v>
      </c>
      <c r="G135" s="1251">
        <v>0</v>
      </c>
      <c r="H135" s="1240">
        <v>0</v>
      </c>
      <c r="I135" s="1147">
        <v>1E-3</v>
      </c>
      <c r="J135" s="383">
        <v>0</v>
      </c>
      <c r="K135" s="487">
        <v>1E-3</v>
      </c>
      <c r="L135" s="487">
        <v>0</v>
      </c>
      <c r="M135" s="927"/>
      <c r="N135" s="672">
        <v>0</v>
      </c>
      <c r="O135" s="389">
        <v>1E-3</v>
      </c>
      <c r="P135" s="1092">
        <v>0</v>
      </c>
      <c r="Q135" s="1093">
        <v>0</v>
      </c>
      <c r="R135" s="381">
        <v>0</v>
      </c>
      <c r="S135" s="382"/>
      <c r="T135" s="381"/>
      <c r="U135" s="624"/>
      <c r="V135" s="569">
        <v>0</v>
      </c>
      <c r="W135" s="607"/>
      <c r="X135" s="383"/>
      <c r="Y135" s="607"/>
      <c r="Z135" s="383"/>
      <c r="AA135" s="607"/>
      <c r="AB135" s="718"/>
      <c r="AC135" s="335"/>
      <c r="AD135" s="389">
        <v>1E-3</v>
      </c>
      <c r="AE135" s="381">
        <v>1E-3</v>
      </c>
      <c r="AF135" s="389">
        <v>1E-3</v>
      </c>
      <c r="AG135" s="381">
        <v>1E-3</v>
      </c>
      <c r="AH135" s="389">
        <v>1E-3</v>
      </c>
      <c r="AI135" s="381">
        <v>1E-3</v>
      </c>
      <c r="AJ135" s="389">
        <v>1E-3</v>
      </c>
      <c r="AK135" s="381">
        <v>1E-3</v>
      </c>
      <c r="AL135" s="381">
        <v>1E-3</v>
      </c>
      <c r="AM135" s="381">
        <v>1E-3</v>
      </c>
      <c r="AN135" s="381">
        <v>1E-3</v>
      </c>
      <c r="AO135" s="381">
        <v>1E-3</v>
      </c>
      <c r="AP135" s="381">
        <v>1E-3</v>
      </c>
      <c r="AQ135" s="381">
        <v>1E-3</v>
      </c>
      <c r="AR135" s="381">
        <v>1E-3</v>
      </c>
      <c r="AS135" s="381">
        <v>1E-3</v>
      </c>
      <c r="AT135" s="381">
        <v>1E-3</v>
      </c>
      <c r="AU135" s="381">
        <v>1E-3</v>
      </c>
      <c r="AV135" s="381">
        <v>1E-3</v>
      </c>
      <c r="AW135" s="381">
        <v>1E-3</v>
      </c>
      <c r="AX135" s="335"/>
      <c r="AZ135" s="1097" t="s">
        <v>86</v>
      </c>
    </row>
    <row r="136" spans="1:52" x14ac:dyDescent="0.2">
      <c r="A136" s="1184">
        <v>128</v>
      </c>
      <c r="B136" s="1097" t="s">
        <v>88</v>
      </c>
      <c r="C136" s="1185">
        <v>221</v>
      </c>
      <c r="D136" s="1114">
        <v>15502041</v>
      </c>
      <c r="E136" s="1520">
        <v>1</v>
      </c>
      <c r="F136" s="1517">
        <v>0</v>
      </c>
      <c r="G136" s="1251">
        <v>0</v>
      </c>
      <c r="H136" s="1240">
        <v>0</v>
      </c>
      <c r="I136" s="1147">
        <v>1E-3</v>
      </c>
      <c r="J136" s="383">
        <v>0</v>
      </c>
      <c r="K136" s="487">
        <v>1E-3</v>
      </c>
      <c r="L136" s="487">
        <v>0</v>
      </c>
      <c r="M136" s="927"/>
      <c r="N136" s="672">
        <v>0</v>
      </c>
      <c r="O136" s="389">
        <v>1E-3</v>
      </c>
      <c r="P136" s="1092">
        <v>0</v>
      </c>
      <c r="Q136" s="1093">
        <v>0</v>
      </c>
      <c r="R136" s="381">
        <v>0</v>
      </c>
      <c r="S136" s="382"/>
      <c r="T136" s="381"/>
      <c r="U136" s="624"/>
      <c r="V136" s="569">
        <v>0</v>
      </c>
      <c r="W136" s="607"/>
      <c r="X136" s="383"/>
      <c r="Y136" s="607"/>
      <c r="Z136" s="383"/>
      <c r="AA136" s="607"/>
      <c r="AB136" s="718"/>
      <c r="AC136" s="335"/>
      <c r="AD136" s="389">
        <v>1E-3</v>
      </c>
      <c r="AE136" s="381">
        <v>1E-3</v>
      </c>
      <c r="AF136" s="389">
        <v>1E-3</v>
      </c>
      <c r="AG136" s="381">
        <v>1E-3</v>
      </c>
      <c r="AH136" s="389">
        <v>1E-3</v>
      </c>
      <c r="AI136" s="381">
        <v>1E-3</v>
      </c>
      <c r="AJ136" s="389">
        <v>1E-3</v>
      </c>
      <c r="AK136" s="381">
        <v>1E-3</v>
      </c>
      <c r="AL136" s="381">
        <v>1E-3</v>
      </c>
      <c r="AM136" s="381">
        <v>1E-3</v>
      </c>
      <c r="AN136" s="381">
        <v>1E-3</v>
      </c>
      <c r="AO136" s="381">
        <v>1E-3</v>
      </c>
      <c r="AP136" s="381">
        <v>1E-3</v>
      </c>
      <c r="AQ136" s="381">
        <v>1E-3</v>
      </c>
      <c r="AR136" s="381">
        <v>1E-3</v>
      </c>
      <c r="AS136" s="381">
        <v>1E-3</v>
      </c>
      <c r="AT136" s="381">
        <v>1E-3</v>
      </c>
      <c r="AU136" s="381">
        <v>1E-3</v>
      </c>
      <c r="AV136" s="381">
        <v>1E-3</v>
      </c>
      <c r="AW136" s="381">
        <v>1E-3</v>
      </c>
      <c r="AX136" s="335"/>
      <c r="AZ136" s="1097" t="s">
        <v>88</v>
      </c>
    </row>
    <row r="137" spans="1:52" x14ac:dyDescent="0.2">
      <c r="A137" s="1184">
        <v>129</v>
      </c>
      <c r="B137" s="1097" t="s">
        <v>397</v>
      </c>
      <c r="C137" s="1185">
        <v>80</v>
      </c>
      <c r="D137" s="1114">
        <v>1037630601</v>
      </c>
      <c r="E137" s="1520">
        <v>5</v>
      </c>
      <c r="F137" s="1517">
        <v>0</v>
      </c>
      <c r="G137" s="1251">
        <v>0</v>
      </c>
      <c r="H137" s="1240">
        <v>0</v>
      </c>
      <c r="I137" s="1147">
        <v>1E-3</v>
      </c>
      <c r="J137" s="383">
        <v>0</v>
      </c>
      <c r="K137" s="487">
        <v>1E-3</v>
      </c>
      <c r="L137" s="487">
        <v>0</v>
      </c>
      <c r="M137" s="927"/>
      <c r="N137" s="672">
        <v>0</v>
      </c>
      <c r="O137" s="389">
        <v>1E-3</v>
      </c>
      <c r="P137" s="1092">
        <v>0</v>
      </c>
      <c r="Q137" s="1093">
        <v>0</v>
      </c>
      <c r="R137" s="381">
        <v>0</v>
      </c>
      <c r="S137" s="382"/>
      <c r="T137" s="381"/>
      <c r="U137" s="624"/>
      <c r="V137" s="569">
        <v>0</v>
      </c>
      <c r="W137" s="607"/>
      <c r="X137" s="383"/>
      <c r="Y137" s="607"/>
      <c r="Z137" s="383"/>
      <c r="AA137" s="607"/>
      <c r="AB137" s="718"/>
      <c r="AC137" s="335"/>
      <c r="AD137" s="389">
        <v>1E-3</v>
      </c>
      <c r="AE137" s="381">
        <v>1E-3</v>
      </c>
      <c r="AF137" s="389">
        <v>1E-3</v>
      </c>
      <c r="AG137" s="381">
        <v>1E-3</v>
      </c>
      <c r="AH137" s="389">
        <v>1E-3</v>
      </c>
      <c r="AI137" s="381">
        <v>1E-3</v>
      </c>
      <c r="AJ137" s="389">
        <v>1E-3</v>
      </c>
      <c r="AK137" s="381">
        <v>1E-3</v>
      </c>
      <c r="AL137" s="381">
        <v>1E-3</v>
      </c>
      <c r="AM137" s="381">
        <v>1E-3</v>
      </c>
      <c r="AN137" s="381">
        <v>1E-3</v>
      </c>
      <c r="AO137" s="381">
        <v>1E-3</v>
      </c>
      <c r="AP137" s="381">
        <v>1E-3</v>
      </c>
      <c r="AQ137" s="381">
        <v>1E-3</v>
      </c>
      <c r="AR137" s="381">
        <v>1E-3</v>
      </c>
      <c r="AS137" s="381">
        <v>1E-3</v>
      </c>
      <c r="AT137" s="381">
        <v>1E-3</v>
      </c>
      <c r="AU137" s="381">
        <v>1E-3</v>
      </c>
      <c r="AV137" s="381">
        <v>1E-3</v>
      </c>
      <c r="AW137" s="381">
        <v>1E-3</v>
      </c>
      <c r="AX137" s="335"/>
      <c r="AZ137" s="1393" t="s">
        <v>397</v>
      </c>
    </row>
    <row r="138" spans="1:52" x14ac:dyDescent="0.2">
      <c r="A138" s="1184">
        <v>130</v>
      </c>
      <c r="B138" s="1097" t="s">
        <v>89</v>
      </c>
      <c r="C138" s="1185">
        <v>216</v>
      </c>
      <c r="D138" s="1114">
        <v>32523581</v>
      </c>
      <c r="E138" s="1520">
        <v>9</v>
      </c>
      <c r="F138" s="1517">
        <v>0</v>
      </c>
      <c r="G138" s="1251">
        <v>0</v>
      </c>
      <c r="H138" s="1240">
        <v>0</v>
      </c>
      <c r="I138" s="1147">
        <v>1E-3</v>
      </c>
      <c r="J138" s="383">
        <v>0</v>
      </c>
      <c r="K138" s="487">
        <v>1E-3</v>
      </c>
      <c r="L138" s="487">
        <v>0</v>
      </c>
      <c r="M138" s="927"/>
      <c r="N138" s="672">
        <v>0</v>
      </c>
      <c r="O138" s="389">
        <v>1E-3</v>
      </c>
      <c r="P138" s="1092">
        <v>0</v>
      </c>
      <c r="Q138" s="1093">
        <v>0</v>
      </c>
      <c r="R138" s="381">
        <v>0</v>
      </c>
      <c r="S138" s="382"/>
      <c r="T138" s="381"/>
      <c r="U138" s="624"/>
      <c r="V138" s="569">
        <v>0</v>
      </c>
      <c r="W138" s="607"/>
      <c r="X138" s="383"/>
      <c r="Y138" s="607"/>
      <c r="Z138" s="383"/>
      <c r="AA138" s="607"/>
      <c r="AB138" s="718"/>
      <c r="AC138" s="335"/>
      <c r="AD138" s="389">
        <v>1E-3</v>
      </c>
      <c r="AE138" s="381">
        <v>1E-3</v>
      </c>
      <c r="AF138" s="389">
        <v>1E-3</v>
      </c>
      <c r="AG138" s="381">
        <v>1E-3</v>
      </c>
      <c r="AH138" s="389">
        <v>1E-3</v>
      </c>
      <c r="AI138" s="381">
        <v>1E-3</v>
      </c>
      <c r="AJ138" s="389">
        <v>1E-3</v>
      </c>
      <c r="AK138" s="381">
        <v>1E-3</v>
      </c>
      <c r="AL138" s="381">
        <v>1E-3</v>
      </c>
      <c r="AM138" s="381">
        <v>1E-3</v>
      </c>
      <c r="AN138" s="381">
        <v>1E-3</v>
      </c>
      <c r="AO138" s="381">
        <v>1E-3</v>
      </c>
      <c r="AP138" s="381">
        <v>1E-3</v>
      </c>
      <c r="AQ138" s="381">
        <v>1E-3</v>
      </c>
      <c r="AR138" s="381">
        <v>1E-3</v>
      </c>
      <c r="AS138" s="381">
        <v>1E-3</v>
      </c>
      <c r="AT138" s="381">
        <v>1E-3</v>
      </c>
      <c r="AU138" s="381">
        <v>1E-3</v>
      </c>
      <c r="AV138" s="381">
        <v>1E-3</v>
      </c>
      <c r="AW138" s="381">
        <v>1E-3</v>
      </c>
      <c r="AX138" s="335"/>
      <c r="AZ138" s="1393" t="s">
        <v>89</v>
      </c>
    </row>
    <row r="139" spans="1:52" x14ac:dyDescent="0.2">
      <c r="A139" s="1184">
        <v>131</v>
      </c>
      <c r="B139" s="1097" t="s">
        <v>90</v>
      </c>
      <c r="C139" s="1185">
        <v>129</v>
      </c>
      <c r="D139" s="1114">
        <v>43064007</v>
      </c>
      <c r="E139" s="1520">
        <v>2</v>
      </c>
      <c r="F139" s="1517">
        <v>0</v>
      </c>
      <c r="G139" s="1251">
        <v>0</v>
      </c>
      <c r="H139" s="1240">
        <v>0</v>
      </c>
      <c r="I139" s="1147">
        <v>1E-3</v>
      </c>
      <c r="J139" s="383">
        <v>0</v>
      </c>
      <c r="K139" s="487">
        <v>1E-3</v>
      </c>
      <c r="L139" s="487">
        <v>0</v>
      </c>
      <c r="M139" s="927"/>
      <c r="N139" s="672">
        <v>0</v>
      </c>
      <c r="O139" s="389">
        <v>1E-3</v>
      </c>
      <c r="P139" s="1092">
        <v>0</v>
      </c>
      <c r="Q139" s="1093">
        <v>0</v>
      </c>
      <c r="R139" s="381">
        <v>0</v>
      </c>
      <c r="S139" s="382"/>
      <c r="T139" s="381"/>
      <c r="U139" s="624"/>
      <c r="V139" s="569">
        <v>0</v>
      </c>
      <c r="W139" s="607"/>
      <c r="X139" s="383"/>
      <c r="Y139" s="607"/>
      <c r="Z139" s="383"/>
      <c r="AA139" s="607"/>
      <c r="AB139" s="718"/>
      <c r="AC139" s="335"/>
      <c r="AD139" s="389">
        <v>1E-3</v>
      </c>
      <c r="AE139" s="381">
        <v>1E-3</v>
      </c>
      <c r="AF139" s="389">
        <v>1E-3</v>
      </c>
      <c r="AG139" s="381">
        <v>1E-3</v>
      </c>
      <c r="AH139" s="389">
        <v>1E-3</v>
      </c>
      <c r="AI139" s="381">
        <v>1E-3</v>
      </c>
      <c r="AJ139" s="389">
        <v>1E-3</v>
      </c>
      <c r="AK139" s="381">
        <v>1E-3</v>
      </c>
      <c r="AL139" s="381">
        <v>1E-3</v>
      </c>
      <c r="AM139" s="381">
        <v>1E-3</v>
      </c>
      <c r="AN139" s="381">
        <v>1E-3</v>
      </c>
      <c r="AO139" s="381">
        <v>1E-3</v>
      </c>
      <c r="AP139" s="381">
        <v>1E-3</v>
      </c>
      <c r="AQ139" s="381">
        <v>1E-3</v>
      </c>
      <c r="AR139" s="381">
        <v>1E-3</v>
      </c>
      <c r="AS139" s="381">
        <v>1E-3</v>
      </c>
      <c r="AT139" s="381">
        <v>1E-3</v>
      </c>
      <c r="AU139" s="381">
        <v>1E-3</v>
      </c>
      <c r="AV139" s="381">
        <v>1E-3</v>
      </c>
      <c r="AW139" s="381">
        <v>1E-3</v>
      </c>
      <c r="AX139" s="335"/>
      <c r="AZ139" s="1097" t="s">
        <v>90</v>
      </c>
    </row>
    <row r="140" spans="1:52" ht="51" x14ac:dyDescent="0.2">
      <c r="A140" s="1184">
        <v>132</v>
      </c>
      <c r="B140" s="1097" t="s">
        <v>91</v>
      </c>
      <c r="C140" s="1185">
        <v>132</v>
      </c>
      <c r="D140" s="1114">
        <v>8264986</v>
      </c>
      <c r="E140" s="1520">
        <v>9</v>
      </c>
      <c r="F140" s="1517">
        <v>1000000</v>
      </c>
      <c r="G140" s="1251">
        <v>0</v>
      </c>
      <c r="H140" s="1240">
        <v>1000000</v>
      </c>
      <c r="I140" s="1147">
        <v>1E-3</v>
      </c>
      <c r="J140" s="383">
        <v>0</v>
      </c>
      <c r="K140" s="487">
        <v>1E-3</v>
      </c>
      <c r="L140" s="487">
        <v>0</v>
      </c>
      <c r="M140" s="927"/>
      <c r="N140" s="672">
        <v>0</v>
      </c>
      <c r="O140" s="389">
        <v>1E-3</v>
      </c>
      <c r="P140" s="1092">
        <v>0</v>
      </c>
      <c r="Q140" s="1093">
        <v>0</v>
      </c>
      <c r="R140" s="1585">
        <v>1000000</v>
      </c>
      <c r="S140" s="1586" t="s">
        <v>833</v>
      </c>
      <c r="T140" s="381"/>
      <c r="U140" s="624"/>
      <c r="V140" s="569">
        <v>0</v>
      </c>
      <c r="W140" s="607"/>
      <c r="X140" s="383"/>
      <c r="Y140" s="607"/>
      <c r="Z140" s="383"/>
      <c r="AA140" s="607"/>
      <c r="AB140" s="718"/>
      <c r="AC140" s="335"/>
      <c r="AD140" s="389">
        <v>1E-3</v>
      </c>
      <c r="AE140" s="381">
        <v>1E-3</v>
      </c>
      <c r="AF140" s="389">
        <v>1E-3</v>
      </c>
      <c r="AG140" s="381">
        <v>1E-3</v>
      </c>
      <c r="AH140" s="389">
        <v>1E-3</v>
      </c>
      <c r="AI140" s="381">
        <v>1E-3</v>
      </c>
      <c r="AJ140" s="389">
        <v>1E-3</v>
      </c>
      <c r="AK140" s="381">
        <v>1E-3</v>
      </c>
      <c r="AL140" s="381">
        <v>1E-3</v>
      </c>
      <c r="AM140" s="381">
        <v>1E-3</v>
      </c>
      <c r="AN140" s="381">
        <v>1E-3</v>
      </c>
      <c r="AO140" s="381">
        <v>1E-3</v>
      </c>
      <c r="AP140" s="381">
        <v>1E-3</v>
      </c>
      <c r="AQ140" s="381">
        <v>1E-3</v>
      </c>
      <c r="AR140" s="381">
        <v>1E-3</v>
      </c>
      <c r="AS140" s="381">
        <v>1E-3</v>
      </c>
      <c r="AT140" s="381">
        <v>1E-3</v>
      </c>
      <c r="AU140" s="381">
        <v>1E-3</v>
      </c>
      <c r="AV140" s="381">
        <v>1E-3</v>
      </c>
      <c r="AW140" s="381">
        <v>1E-3</v>
      </c>
      <c r="AX140" s="335"/>
      <c r="AZ140" s="1097" t="s">
        <v>91</v>
      </c>
    </row>
    <row r="141" spans="1:52" ht="51" x14ac:dyDescent="0.2">
      <c r="A141" s="1184">
        <v>133</v>
      </c>
      <c r="B141" s="1097" t="s">
        <v>92</v>
      </c>
      <c r="C141" s="1185">
        <v>133</v>
      </c>
      <c r="D141" s="1114">
        <v>95022700775</v>
      </c>
      <c r="E141" s="1520">
        <v>3</v>
      </c>
      <c r="F141" s="1517">
        <v>500000</v>
      </c>
      <c r="G141" s="1251">
        <v>0</v>
      </c>
      <c r="H141" s="1240">
        <v>500000</v>
      </c>
      <c r="I141" s="1147">
        <v>1E-3</v>
      </c>
      <c r="J141" s="383">
        <v>0</v>
      </c>
      <c r="K141" s="487">
        <v>1E-3</v>
      </c>
      <c r="L141" s="487">
        <v>0</v>
      </c>
      <c r="M141" s="927"/>
      <c r="N141" s="672">
        <v>0</v>
      </c>
      <c r="O141" s="389">
        <v>1E-3</v>
      </c>
      <c r="P141" s="1092">
        <v>0</v>
      </c>
      <c r="Q141" s="1093">
        <v>0</v>
      </c>
      <c r="R141" s="1585">
        <v>500000</v>
      </c>
      <c r="S141" s="1586" t="s">
        <v>833</v>
      </c>
      <c r="T141" s="381"/>
      <c r="U141" s="624"/>
      <c r="V141" s="569">
        <v>0</v>
      </c>
      <c r="W141" s="607"/>
      <c r="X141" s="383"/>
      <c r="Y141" s="607"/>
      <c r="Z141" s="383"/>
      <c r="AA141" s="607"/>
      <c r="AB141" s="718"/>
      <c r="AC141" s="335"/>
      <c r="AD141" s="389">
        <v>1E-3</v>
      </c>
      <c r="AE141" s="381">
        <v>1E-3</v>
      </c>
      <c r="AF141" s="389">
        <v>1E-3</v>
      </c>
      <c r="AG141" s="381">
        <v>1E-3</v>
      </c>
      <c r="AH141" s="389">
        <v>1E-3</v>
      </c>
      <c r="AI141" s="381">
        <v>1E-3</v>
      </c>
      <c r="AJ141" s="389">
        <v>1E-3</v>
      </c>
      <c r="AK141" s="381">
        <v>1E-3</v>
      </c>
      <c r="AL141" s="381">
        <v>1E-3</v>
      </c>
      <c r="AM141" s="381">
        <v>1E-3</v>
      </c>
      <c r="AN141" s="381">
        <v>1E-3</v>
      </c>
      <c r="AO141" s="381">
        <v>1E-3</v>
      </c>
      <c r="AP141" s="381">
        <v>1E-3</v>
      </c>
      <c r="AQ141" s="381">
        <v>1E-3</v>
      </c>
      <c r="AR141" s="381">
        <v>1E-3</v>
      </c>
      <c r="AS141" s="381">
        <v>1E-3</v>
      </c>
      <c r="AT141" s="381">
        <v>1E-3</v>
      </c>
      <c r="AU141" s="381">
        <v>1E-3</v>
      </c>
      <c r="AV141" s="381">
        <v>1E-3</v>
      </c>
      <c r="AW141" s="381">
        <v>1E-3</v>
      </c>
      <c r="AX141" s="335"/>
      <c r="AZ141" s="1097" t="s">
        <v>92</v>
      </c>
    </row>
    <row r="142" spans="1:52" ht="51" x14ac:dyDescent="0.2">
      <c r="A142" s="1184">
        <v>134</v>
      </c>
      <c r="B142" s="1097" t="s">
        <v>93</v>
      </c>
      <c r="C142" s="1185">
        <v>134</v>
      </c>
      <c r="D142" s="1114">
        <v>1152198312</v>
      </c>
      <c r="E142" s="1520">
        <v>6</v>
      </c>
      <c r="F142" s="1517">
        <v>500000</v>
      </c>
      <c r="G142" s="1251">
        <v>0</v>
      </c>
      <c r="H142" s="1240">
        <v>500000</v>
      </c>
      <c r="I142" s="1147">
        <v>1E-3</v>
      </c>
      <c r="J142" s="383">
        <v>0</v>
      </c>
      <c r="K142" s="487">
        <v>1E-3</v>
      </c>
      <c r="L142" s="487">
        <v>0</v>
      </c>
      <c r="M142" s="927"/>
      <c r="N142" s="672">
        <v>0</v>
      </c>
      <c r="O142" s="389">
        <v>1E-3</v>
      </c>
      <c r="P142" s="1092">
        <v>0</v>
      </c>
      <c r="Q142" s="1093">
        <v>0</v>
      </c>
      <c r="R142" s="1585">
        <v>500000</v>
      </c>
      <c r="S142" s="1586" t="s">
        <v>833</v>
      </c>
      <c r="T142" s="381"/>
      <c r="U142" s="624"/>
      <c r="V142" s="569">
        <v>0</v>
      </c>
      <c r="W142" s="607"/>
      <c r="X142" s="383"/>
      <c r="Y142" s="607"/>
      <c r="Z142" s="383"/>
      <c r="AA142" s="607"/>
      <c r="AB142" s="718"/>
      <c r="AC142" s="335"/>
      <c r="AD142" s="389">
        <v>1E-3</v>
      </c>
      <c r="AE142" s="381">
        <v>1E-3</v>
      </c>
      <c r="AF142" s="389">
        <v>1E-3</v>
      </c>
      <c r="AG142" s="381">
        <v>1E-3</v>
      </c>
      <c r="AH142" s="389">
        <v>1E-3</v>
      </c>
      <c r="AI142" s="381">
        <v>1E-3</v>
      </c>
      <c r="AJ142" s="389">
        <v>1E-3</v>
      </c>
      <c r="AK142" s="381">
        <v>1E-3</v>
      </c>
      <c r="AL142" s="381">
        <v>1E-3</v>
      </c>
      <c r="AM142" s="381">
        <v>1E-3</v>
      </c>
      <c r="AN142" s="381">
        <v>1E-3</v>
      </c>
      <c r="AO142" s="381">
        <v>1E-3</v>
      </c>
      <c r="AP142" s="381">
        <v>1E-3</v>
      </c>
      <c r="AQ142" s="381">
        <v>1E-3</v>
      </c>
      <c r="AR142" s="381">
        <v>1E-3</v>
      </c>
      <c r="AS142" s="381">
        <v>1E-3</v>
      </c>
      <c r="AT142" s="381">
        <v>1E-3</v>
      </c>
      <c r="AU142" s="381">
        <v>1E-3</v>
      </c>
      <c r="AV142" s="381">
        <v>1E-3</v>
      </c>
      <c r="AW142" s="381">
        <v>1E-3</v>
      </c>
      <c r="AX142" s="335"/>
      <c r="AZ142" s="1097" t="s">
        <v>93</v>
      </c>
    </row>
    <row r="143" spans="1:52" x14ac:dyDescent="0.2">
      <c r="A143" s="1184">
        <v>135</v>
      </c>
      <c r="B143" s="1097" t="s">
        <v>94</v>
      </c>
      <c r="C143" s="1185">
        <v>269</v>
      </c>
      <c r="D143" s="1114">
        <v>71780372</v>
      </c>
      <c r="E143" s="1520">
        <v>9</v>
      </c>
      <c r="F143" s="1517">
        <v>0</v>
      </c>
      <c r="G143" s="1251">
        <v>0</v>
      </c>
      <c r="H143" s="1240">
        <v>0</v>
      </c>
      <c r="I143" s="1147">
        <v>1E-3</v>
      </c>
      <c r="J143" s="383">
        <v>0</v>
      </c>
      <c r="K143" s="487">
        <v>1E-3</v>
      </c>
      <c r="L143" s="487">
        <v>0</v>
      </c>
      <c r="M143" s="927"/>
      <c r="N143" s="672">
        <v>0</v>
      </c>
      <c r="O143" s="389">
        <v>1E-3</v>
      </c>
      <c r="P143" s="1092">
        <v>0</v>
      </c>
      <c r="Q143" s="1093">
        <v>0</v>
      </c>
      <c r="R143" s="381">
        <v>0</v>
      </c>
      <c r="S143" s="382"/>
      <c r="T143" s="381"/>
      <c r="U143" s="624"/>
      <c r="V143" s="569">
        <v>0</v>
      </c>
      <c r="W143" s="607"/>
      <c r="X143" s="383"/>
      <c r="Y143" s="607"/>
      <c r="Z143" s="383"/>
      <c r="AA143" s="607"/>
      <c r="AB143" s="718"/>
      <c r="AC143" s="335"/>
      <c r="AD143" s="389">
        <v>1E-3</v>
      </c>
      <c r="AE143" s="381">
        <v>1E-3</v>
      </c>
      <c r="AF143" s="389">
        <v>1E-3</v>
      </c>
      <c r="AG143" s="381">
        <v>1E-3</v>
      </c>
      <c r="AH143" s="389">
        <v>1E-3</v>
      </c>
      <c r="AI143" s="381">
        <v>1E-3</v>
      </c>
      <c r="AJ143" s="389">
        <v>1E-3</v>
      </c>
      <c r="AK143" s="381">
        <v>1E-3</v>
      </c>
      <c r="AL143" s="381">
        <v>1E-3</v>
      </c>
      <c r="AM143" s="381">
        <v>1E-3</v>
      </c>
      <c r="AN143" s="381">
        <v>1E-3</v>
      </c>
      <c r="AO143" s="381">
        <v>1E-3</v>
      </c>
      <c r="AP143" s="381">
        <v>1E-3</v>
      </c>
      <c r="AQ143" s="381">
        <v>1E-3</v>
      </c>
      <c r="AR143" s="381">
        <v>1E-3</v>
      </c>
      <c r="AS143" s="381">
        <v>1E-3</v>
      </c>
      <c r="AT143" s="381">
        <v>1E-3</v>
      </c>
      <c r="AU143" s="381">
        <v>1E-3</v>
      </c>
      <c r="AV143" s="381">
        <v>1E-3</v>
      </c>
      <c r="AW143" s="381">
        <v>1E-3</v>
      </c>
      <c r="AX143" s="335"/>
      <c r="AZ143" s="1097" t="s">
        <v>94</v>
      </c>
    </row>
    <row r="144" spans="1:52" x14ac:dyDescent="0.2">
      <c r="A144" s="1184">
        <v>136</v>
      </c>
      <c r="B144" s="1097" t="s">
        <v>309</v>
      </c>
      <c r="C144" s="1185">
        <v>252</v>
      </c>
      <c r="D144" s="1114">
        <v>73097181</v>
      </c>
      <c r="E144" s="1520">
        <v>7</v>
      </c>
      <c r="F144" s="1517">
        <v>0</v>
      </c>
      <c r="G144" s="1251">
        <v>0</v>
      </c>
      <c r="H144" s="1240">
        <v>0</v>
      </c>
      <c r="I144" s="1147">
        <v>1E-3</v>
      </c>
      <c r="J144" s="383">
        <v>0</v>
      </c>
      <c r="K144" s="487">
        <v>1E-3</v>
      </c>
      <c r="L144" s="487">
        <v>0</v>
      </c>
      <c r="M144" s="927"/>
      <c r="N144" s="672">
        <v>0</v>
      </c>
      <c r="O144" s="389">
        <v>1E-3</v>
      </c>
      <c r="P144" s="1092">
        <v>0</v>
      </c>
      <c r="Q144" s="1093">
        <v>0</v>
      </c>
      <c r="R144" s="381">
        <v>0</v>
      </c>
      <c r="S144" s="382"/>
      <c r="T144" s="381"/>
      <c r="U144" s="624"/>
      <c r="V144" s="569">
        <v>0</v>
      </c>
      <c r="W144" s="607"/>
      <c r="X144" s="383"/>
      <c r="Y144" s="607"/>
      <c r="Z144" s="383"/>
      <c r="AA144" s="607"/>
      <c r="AB144" s="718"/>
      <c r="AC144" s="335"/>
      <c r="AD144" s="389">
        <v>1E-3</v>
      </c>
      <c r="AE144" s="381">
        <v>1E-3</v>
      </c>
      <c r="AF144" s="389">
        <v>1E-3</v>
      </c>
      <c r="AG144" s="381">
        <v>1E-3</v>
      </c>
      <c r="AH144" s="389">
        <v>1E-3</v>
      </c>
      <c r="AI144" s="381">
        <v>1E-3</v>
      </c>
      <c r="AJ144" s="389">
        <v>1E-3</v>
      </c>
      <c r="AK144" s="381">
        <v>1E-3</v>
      </c>
      <c r="AL144" s="381">
        <v>1E-3</v>
      </c>
      <c r="AM144" s="381">
        <v>1E-3</v>
      </c>
      <c r="AN144" s="381">
        <v>1E-3</v>
      </c>
      <c r="AO144" s="381">
        <v>1E-3</v>
      </c>
      <c r="AP144" s="381">
        <v>1E-3</v>
      </c>
      <c r="AQ144" s="381">
        <v>1E-3</v>
      </c>
      <c r="AR144" s="381">
        <v>1E-3</v>
      </c>
      <c r="AS144" s="381">
        <v>1E-3</v>
      </c>
      <c r="AT144" s="381">
        <v>1E-3</v>
      </c>
      <c r="AU144" s="381">
        <v>1E-3</v>
      </c>
      <c r="AV144" s="381">
        <v>1E-3</v>
      </c>
      <c r="AW144" s="381">
        <v>1E-3</v>
      </c>
      <c r="AX144" s="335"/>
      <c r="AZ144" s="1097" t="s">
        <v>309</v>
      </c>
    </row>
    <row r="145" spans="1:52" x14ac:dyDescent="0.2">
      <c r="A145" s="1184">
        <v>137</v>
      </c>
      <c r="B145" s="1097" t="s">
        <v>98</v>
      </c>
      <c r="C145" s="1185">
        <v>136</v>
      </c>
      <c r="D145" s="1114">
        <v>43628064</v>
      </c>
      <c r="E145" s="1520">
        <v>4</v>
      </c>
      <c r="F145" s="1517">
        <v>0</v>
      </c>
      <c r="G145" s="1251">
        <v>0</v>
      </c>
      <c r="H145" s="1240">
        <v>0</v>
      </c>
      <c r="I145" s="1147">
        <v>1E-3</v>
      </c>
      <c r="J145" s="383">
        <v>0</v>
      </c>
      <c r="K145" s="487">
        <v>1E-3</v>
      </c>
      <c r="L145" s="487">
        <v>0</v>
      </c>
      <c r="M145" s="927"/>
      <c r="N145" s="672">
        <v>0</v>
      </c>
      <c r="O145" s="389">
        <v>1E-3</v>
      </c>
      <c r="P145" s="1092">
        <v>0</v>
      </c>
      <c r="Q145" s="1093">
        <v>0</v>
      </c>
      <c r="R145" s="381">
        <v>0</v>
      </c>
      <c r="S145" s="382"/>
      <c r="T145" s="381"/>
      <c r="U145" s="624"/>
      <c r="V145" s="569">
        <v>0</v>
      </c>
      <c r="W145" s="607"/>
      <c r="X145" s="383"/>
      <c r="Y145" s="607"/>
      <c r="Z145" s="383"/>
      <c r="AA145" s="607"/>
      <c r="AB145" s="718"/>
      <c r="AC145" s="335"/>
      <c r="AD145" s="389">
        <v>1E-3</v>
      </c>
      <c r="AE145" s="381">
        <v>1E-3</v>
      </c>
      <c r="AF145" s="389">
        <v>1E-3</v>
      </c>
      <c r="AG145" s="381">
        <v>1E-3</v>
      </c>
      <c r="AH145" s="389">
        <v>1E-3</v>
      </c>
      <c r="AI145" s="381">
        <v>1E-3</v>
      </c>
      <c r="AJ145" s="389">
        <v>1E-3</v>
      </c>
      <c r="AK145" s="381">
        <v>1E-3</v>
      </c>
      <c r="AL145" s="381">
        <v>1E-3</v>
      </c>
      <c r="AM145" s="381">
        <v>1E-3</v>
      </c>
      <c r="AN145" s="381">
        <v>1E-3</v>
      </c>
      <c r="AO145" s="381">
        <v>1E-3</v>
      </c>
      <c r="AP145" s="381">
        <v>1E-3</v>
      </c>
      <c r="AQ145" s="381">
        <v>1E-3</v>
      </c>
      <c r="AR145" s="381">
        <v>1E-3</v>
      </c>
      <c r="AS145" s="381">
        <v>1E-3</v>
      </c>
      <c r="AT145" s="381">
        <v>1E-3</v>
      </c>
      <c r="AU145" s="381">
        <v>1E-3</v>
      </c>
      <c r="AV145" s="381">
        <v>1E-3</v>
      </c>
      <c r="AW145" s="381">
        <v>1E-3</v>
      </c>
      <c r="AX145" s="335"/>
      <c r="AZ145" s="1097" t="s">
        <v>98</v>
      </c>
    </row>
    <row r="146" spans="1:52" x14ac:dyDescent="0.2">
      <c r="A146" s="1184">
        <v>138</v>
      </c>
      <c r="B146" s="1097" t="s">
        <v>99</v>
      </c>
      <c r="C146" s="1185">
        <v>137</v>
      </c>
      <c r="D146" s="1114">
        <v>32330774</v>
      </c>
      <c r="E146" s="1520">
        <v>4</v>
      </c>
      <c r="F146" s="1517">
        <v>0</v>
      </c>
      <c r="G146" s="1251">
        <v>0</v>
      </c>
      <c r="H146" s="1240">
        <v>0</v>
      </c>
      <c r="I146" s="1147">
        <v>1E-3</v>
      </c>
      <c r="J146" s="383">
        <v>0</v>
      </c>
      <c r="K146" s="487">
        <v>1E-3</v>
      </c>
      <c r="L146" s="487">
        <v>0</v>
      </c>
      <c r="M146" s="927"/>
      <c r="N146" s="672">
        <v>0</v>
      </c>
      <c r="O146" s="389">
        <v>1E-3</v>
      </c>
      <c r="P146" s="1092">
        <v>0</v>
      </c>
      <c r="Q146" s="1093">
        <v>0</v>
      </c>
      <c r="R146" s="381">
        <v>0</v>
      </c>
      <c r="S146" s="382"/>
      <c r="T146" s="381"/>
      <c r="U146" s="624"/>
      <c r="V146" s="569">
        <v>0</v>
      </c>
      <c r="W146" s="607"/>
      <c r="X146" s="383"/>
      <c r="Y146" s="607"/>
      <c r="Z146" s="383"/>
      <c r="AA146" s="607"/>
      <c r="AB146" s="718"/>
      <c r="AC146" s="335"/>
      <c r="AD146" s="389">
        <v>1E-3</v>
      </c>
      <c r="AE146" s="381">
        <v>1E-3</v>
      </c>
      <c r="AF146" s="389">
        <v>1E-3</v>
      </c>
      <c r="AG146" s="381">
        <v>1E-3</v>
      </c>
      <c r="AH146" s="389">
        <v>1E-3</v>
      </c>
      <c r="AI146" s="381">
        <v>1E-3</v>
      </c>
      <c r="AJ146" s="389">
        <v>1E-3</v>
      </c>
      <c r="AK146" s="381">
        <v>1E-3</v>
      </c>
      <c r="AL146" s="381">
        <v>1E-3</v>
      </c>
      <c r="AM146" s="381">
        <v>1E-3</v>
      </c>
      <c r="AN146" s="381">
        <v>1E-3</v>
      </c>
      <c r="AO146" s="381">
        <v>1E-3</v>
      </c>
      <c r="AP146" s="381">
        <v>1E-3</v>
      </c>
      <c r="AQ146" s="381">
        <v>1E-3</v>
      </c>
      <c r="AR146" s="381">
        <v>1E-3</v>
      </c>
      <c r="AS146" s="381">
        <v>1E-3</v>
      </c>
      <c r="AT146" s="381">
        <v>1E-3</v>
      </c>
      <c r="AU146" s="381">
        <v>1E-3</v>
      </c>
      <c r="AV146" s="381">
        <v>1E-3</v>
      </c>
      <c r="AW146" s="381">
        <v>1E-3</v>
      </c>
      <c r="AX146" s="335"/>
      <c r="AZ146" s="1097" t="s">
        <v>99</v>
      </c>
    </row>
    <row r="147" spans="1:52" x14ac:dyDescent="0.2">
      <c r="A147" s="1184">
        <v>139</v>
      </c>
      <c r="B147" s="1097" t="s">
        <v>100</v>
      </c>
      <c r="C147" s="1185">
        <v>267</v>
      </c>
      <c r="D147" s="1114">
        <v>71769178</v>
      </c>
      <c r="E147" s="1520">
        <v>1</v>
      </c>
      <c r="F147" s="1517">
        <v>0</v>
      </c>
      <c r="G147" s="1251">
        <v>0</v>
      </c>
      <c r="H147" s="1240">
        <v>0</v>
      </c>
      <c r="I147" s="1147">
        <v>1E-3</v>
      </c>
      <c r="J147" s="383">
        <v>0</v>
      </c>
      <c r="K147" s="487">
        <v>1E-3</v>
      </c>
      <c r="L147" s="487">
        <v>0</v>
      </c>
      <c r="M147" s="927"/>
      <c r="N147" s="672">
        <v>0</v>
      </c>
      <c r="O147" s="389">
        <v>1E-3</v>
      </c>
      <c r="P147" s="1092">
        <v>0</v>
      </c>
      <c r="Q147" s="1093">
        <v>0</v>
      </c>
      <c r="R147" s="381">
        <v>0</v>
      </c>
      <c r="S147" s="382"/>
      <c r="T147" s="381"/>
      <c r="U147" s="624"/>
      <c r="V147" s="569">
        <v>0</v>
      </c>
      <c r="W147" s="607"/>
      <c r="X147" s="383"/>
      <c r="Y147" s="607"/>
      <c r="Z147" s="383"/>
      <c r="AA147" s="607"/>
      <c r="AB147" s="718"/>
      <c r="AC147" s="335"/>
      <c r="AD147" s="389">
        <v>1E-3</v>
      </c>
      <c r="AE147" s="381">
        <v>1E-3</v>
      </c>
      <c r="AF147" s="389">
        <v>1E-3</v>
      </c>
      <c r="AG147" s="381">
        <v>1E-3</v>
      </c>
      <c r="AH147" s="389">
        <v>1E-3</v>
      </c>
      <c r="AI147" s="381">
        <v>1E-3</v>
      </c>
      <c r="AJ147" s="389">
        <v>1E-3</v>
      </c>
      <c r="AK147" s="381">
        <v>1E-3</v>
      </c>
      <c r="AL147" s="381">
        <v>1E-3</v>
      </c>
      <c r="AM147" s="381">
        <v>1E-3</v>
      </c>
      <c r="AN147" s="381">
        <v>1E-3</v>
      </c>
      <c r="AO147" s="381">
        <v>1E-3</v>
      </c>
      <c r="AP147" s="381">
        <v>1E-3</v>
      </c>
      <c r="AQ147" s="381">
        <v>1E-3</v>
      </c>
      <c r="AR147" s="381">
        <v>1E-3</v>
      </c>
      <c r="AS147" s="381">
        <v>1E-3</v>
      </c>
      <c r="AT147" s="381">
        <v>1E-3</v>
      </c>
      <c r="AU147" s="381">
        <v>1E-3</v>
      </c>
      <c r="AV147" s="381">
        <v>1E-3</v>
      </c>
      <c r="AW147" s="381">
        <v>1E-3</v>
      </c>
      <c r="AX147" s="335"/>
      <c r="AZ147" s="1097" t="s">
        <v>100</v>
      </c>
    </row>
    <row r="148" spans="1:52" x14ac:dyDescent="0.2">
      <c r="A148" s="1184">
        <v>140</v>
      </c>
      <c r="B148" s="1097" t="s">
        <v>101</v>
      </c>
      <c r="C148" s="1185">
        <v>280</v>
      </c>
      <c r="D148" s="1114">
        <v>98514541</v>
      </c>
      <c r="E148" s="1520">
        <v>6</v>
      </c>
      <c r="F148" s="1517">
        <v>0</v>
      </c>
      <c r="G148" s="1251">
        <v>0</v>
      </c>
      <c r="H148" s="1240">
        <v>0</v>
      </c>
      <c r="I148" s="1147">
        <v>1E-3</v>
      </c>
      <c r="J148" s="383">
        <v>0</v>
      </c>
      <c r="K148" s="487">
        <v>1E-3</v>
      </c>
      <c r="L148" s="487">
        <v>0</v>
      </c>
      <c r="M148" s="927"/>
      <c r="N148" s="672">
        <v>0</v>
      </c>
      <c r="O148" s="389">
        <v>1E-3</v>
      </c>
      <c r="P148" s="1092">
        <v>0</v>
      </c>
      <c r="Q148" s="1093">
        <v>0</v>
      </c>
      <c r="R148" s="381">
        <v>0</v>
      </c>
      <c r="S148" s="382"/>
      <c r="T148" s="381"/>
      <c r="U148" s="624"/>
      <c r="V148" s="569">
        <v>0</v>
      </c>
      <c r="W148" s="607"/>
      <c r="X148" s="383"/>
      <c r="Y148" s="607"/>
      <c r="Z148" s="383"/>
      <c r="AA148" s="607"/>
      <c r="AB148" s="718"/>
      <c r="AC148" s="335"/>
      <c r="AD148" s="389">
        <v>1E-3</v>
      </c>
      <c r="AE148" s="381">
        <v>1E-3</v>
      </c>
      <c r="AF148" s="389">
        <v>1E-3</v>
      </c>
      <c r="AG148" s="381">
        <v>1E-3</v>
      </c>
      <c r="AH148" s="389">
        <v>1E-3</v>
      </c>
      <c r="AI148" s="381">
        <v>1E-3</v>
      </c>
      <c r="AJ148" s="389">
        <v>1E-3</v>
      </c>
      <c r="AK148" s="381">
        <v>1E-3</v>
      </c>
      <c r="AL148" s="381">
        <v>1E-3</v>
      </c>
      <c r="AM148" s="381">
        <v>1E-3</v>
      </c>
      <c r="AN148" s="381">
        <v>1E-3</v>
      </c>
      <c r="AO148" s="381">
        <v>1E-3</v>
      </c>
      <c r="AP148" s="381">
        <v>1E-3</v>
      </c>
      <c r="AQ148" s="381">
        <v>1E-3</v>
      </c>
      <c r="AR148" s="381">
        <v>1E-3</v>
      </c>
      <c r="AS148" s="381">
        <v>1E-3</v>
      </c>
      <c r="AT148" s="381">
        <v>1E-3</v>
      </c>
      <c r="AU148" s="381">
        <v>1E-3</v>
      </c>
      <c r="AV148" s="381">
        <v>1E-3</v>
      </c>
      <c r="AW148" s="381">
        <v>1E-3</v>
      </c>
      <c r="AX148" s="335"/>
      <c r="AZ148" s="1097" t="s">
        <v>101</v>
      </c>
    </row>
    <row r="149" spans="1:52" x14ac:dyDescent="0.2">
      <c r="A149" s="1184">
        <v>141</v>
      </c>
      <c r="B149" s="1097" t="s">
        <v>408</v>
      </c>
      <c r="C149" s="1185">
        <v>89</v>
      </c>
      <c r="D149" s="1114">
        <v>21831445</v>
      </c>
      <c r="E149" s="1520">
        <v>6</v>
      </c>
      <c r="F149" s="1517">
        <v>0</v>
      </c>
      <c r="G149" s="1251">
        <v>0</v>
      </c>
      <c r="H149" s="1240">
        <v>0</v>
      </c>
      <c r="I149" s="1147">
        <v>1E-3</v>
      </c>
      <c r="J149" s="383">
        <v>0</v>
      </c>
      <c r="K149" s="487">
        <v>1E-3</v>
      </c>
      <c r="L149" s="487">
        <v>0</v>
      </c>
      <c r="M149" s="927"/>
      <c r="N149" s="672">
        <v>0</v>
      </c>
      <c r="O149" s="389">
        <v>1E-3</v>
      </c>
      <c r="P149" s="1092">
        <v>0</v>
      </c>
      <c r="Q149" s="1093">
        <v>0</v>
      </c>
      <c r="R149" s="381">
        <v>0</v>
      </c>
      <c r="S149" s="382"/>
      <c r="T149" s="381"/>
      <c r="U149" s="624"/>
      <c r="V149" s="569">
        <v>0</v>
      </c>
      <c r="W149" s="607"/>
      <c r="X149" s="383"/>
      <c r="Y149" s="607"/>
      <c r="Z149" s="383"/>
      <c r="AA149" s="607"/>
      <c r="AB149" s="718"/>
      <c r="AC149" s="335"/>
      <c r="AD149" s="389">
        <v>1E-3</v>
      </c>
      <c r="AE149" s="381">
        <v>1E-3</v>
      </c>
      <c r="AF149" s="389">
        <v>1E-3</v>
      </c>
      <c r="AG149" s="381">
        <v>1E-3</v>
      </c>
      <c r="AH149" s="389">
        <v>1E-3</v>
      </c>
      <c r="AI149" s="381">
        <v>1E-3</v>
      </c>
      <c r="AJ149" s="389">
        <v>1E-3</v>
      </c>
      <c r="AK149" s="381">
        <v>1E-3</v>
      </c>
      <c r="AL149" s="381">
        <v>1E-3</v>
      </c>
      <c r="AM149" s="381">
        <v>1E-3</v>
      </c>
      <c r="AN149" s="381">
        <v>1E-3</v>
      </c>
      <c r="AO149" s="381">
        <v>1E-3</v>
      </c>
      <c r="AP149" s="381">
        <v>1E-3</v>
      </c>
      <c r="AQ149" s="381">
        <v>1E-3</v>
      </c>
      <c r="AR149" s="381">
        <v>1E-3</v>
      </c>
      <c r="AS149" s="381">
        <v>1E-3</v>
      </c>
      <c r="AT149" s="381">
        <v>1E-3</v>
      </c>
      <c r="AU149" s="381">
        <v>1E-3</v>
      </c>
      <c r="AV149" s="381">
        <v>1E-3</v>
      </c>
      <c r="AW149" s="381">
        <v>1E-3</v>
      </c>
      <c r="AX149" s="335"/>
      <c r="AZ149" s="1097" t="s">
        <v>408</v>
      </c>
    </row>
    <row r="150" spans="1:52" x14ac:dyDescent="0.2">
      <c r="A150" s="1184">
        <v>142</v>
      </c>
      <c r="B150" s="1097" t="s">
        <v>783</v>
      </c>
      <c r="C150" s="1185">
        <v>141</v>
      </c>
      <c r="D150" s="1114">
        <v>1038869450</v>
      </c>
      <c r="E150" s="1520">
        <v>0</v>
      </c>
      <c r="F150" s="1517">
        <v>0</v>
      </c>
      <c r="G150" s="1251">
        <v>0</v>
      </c>
      <c r="H150" s="1240">
        <v>0</v>
      </c>
      <c r="I150" s="1147">
        <v>1E-3</v>
      </c>
      <c r="J150" s="383">
        <v>0</v>
      </c>
      <c r="K150" s="487">
        <v>1E-3</v>
      </c>
      <c r="L150" s="487">
        <v>0</v>
      </c>
      <c r="M150" s="927"/>
      <c r="N150" s="672">
        <v>0</v>
      </c>
      <c r="O150" s="389">
        <v>1E-3</v>
      </c>
      <c r="P150" s="1092">
        <v>0</v>
      </c>
      <c r="Q150" s="1093">
        <v>0</v>
      </c>
      <c r="R150" s="381">
        <v>0</v>
      </c>
      <c r="S150" s="382"/>
      <c r="T150" s="381"/>
      <c r="U150" s="624"/>
      <c r="V150" s="569">
        <v>0</v>
      </c>
      <c r="W150" s="607"/>
      <c r="X150" s="383"/>
      <c r="Y150" s="607"/>
      <c r="Z150" s="383"/>
      <c r="AA150" s="607"/>
      <c r="AB150" s="718"/>
      <c r="AC150" s="335"/>
      <c r="AD150" s="389">
        <v>1E-3</v>
      </c>
      <c r="AE150" s="381">
        <v>1E-3</v>
      </c>
      <c r="AF150" s="389">
        <v>1E-3</v>
      </c>
      <c r="AG150" s="381">
        <v>1E-3</v>
      </c>
      <c r="AH150" s="389">
        <v>1E-3</v>
      </c>
      <c r="AI150" s="381">
        <v>1E-3</v>
      </c>
      <c r="AJ150" s="389">
        <v>1E-3</v>
      </c>
      <c r="AK150" s="381">
        <v>1E-3</v>
      </c>
      <c r="AL150" s="381">
        <v>1E-3</v>
      </c>
      <c r="AM150" s="381">
        <v>1E-3</v>
      </c>
      <c r="AN150" s="381">
        <v>1E-3</v>
      </c>
      <c r="AO150" s="381">
        <v>1E-3</v>
      </c>
      <c r="AP150" s="381">
        <v>1E-3</v>
      </c>
      <c r="AQ150" s="381">
        <v>1E-3</v>
      </c>
      <c r="AR150" s="381">
        <v>1E-3</v>
      </c>
      <c r="AS150" s="381">
        <v>1E-3</v>
      </c>
      <c r="AT150" s="381">
        <v>1E-3</v>
      </c>
      <c r="AU150" s="381">
        <v>1E-3</v>
      </c>
      <c r="AV150" s="381">
        <v>1E-3</v>
      </c>
      <c r="AW150" s="381">
        <v>1E-3</v>
      </c>
      <c r="AX150" s="335"/>
      <c r="AZ150" s="1097" t="s">
        <v>783</v>
      </c>
    </row>
    <row r="151" spans="1:52" x14ac:dyDescent="0.2">
      <c r="A151" s="1184">
        <v>143</v>
      </c>
      <c r="B151" s="1097" t="s">
        <v>102</v>
      </c>
      <c r="C151" s="1185">
        <v>138</v>
      </c>
      <c r="D151" s="1114">
        <v>3306009</v>
      </c>
      <c r="E151" s="1520">
        <v>1</v>
      </c>
      <c r="F151" s="1517">
        <v>0</v>
      </c>
      <c r="G151" s="1251">
        <v>0</v>
      </c>
      <c r="H151" s="1240">
        <v>0</v>
      </c>
      <c r="I151" s="1147">
        <v>1E-3</v>
      </c>
      <c r="J151" s="383">
        <v>0</v>
      </c>
      <c r="K151" s="487">
        <v>1E-3</v>
      </c>
      <c r="L151" s="487">
        <v>0</v>
      </c>
      <c r="M151" s="927"/>
      <c r="N151" s="672">
        <v>0</v>
      </c>
      <c r="O151" s="389">
        <v>1E-3</v>
      </c>
      <c r="P151" s="1092">
        <v>0</v>
      </c>
      <c r="Q151" s="1093">
        <v>0</v>
      </c>
      <c r="R151" s="381">
        <v>0</v>
      </c>
      <c r="S151" s="382"/>
      <c r="T151" s="381"/>
      <c r="U151" s="624"/>
      <c r="V151" s="569">
        <v>0</v>
      </c>
      <c r="W151" s="607"/>
      <c r="X151" s="383"/>
      <c r="Y151" s="607"/>
      <c r="Z151" s="383"/>
      <c r="AA151" s="607"/>
      <c r="AB151" s="718"/>
      <c r="AC151" s="335"/>
      <c r="AD151" s="389">
        <v>1E-3</v>
      </c>
      <c r="AE151" s="381">
        <v>1E-3</v>
      </c>
      <c r="AF151" s="389">
        <v>1E-3</v>
      </c>
      <c r="AG151" s="381">
        <v>1E-3</v>
      </c>
      <c r="AH151" s="389">
        <v>1E-3</v>
      </c>
      <c r="AI151" s="381">
        <v>1E-3</v>
      </c>
      <c r="AJ151" s="389">
        <v>1E-3</v>
      </c>
      <c r="AK151" s="381">
        <v>1E-3</v>
      </c>
      <c r="AL151" s="381">
        <v>1E-3</v>
      </c>
      <c r="AM151" s="381">
        <v>1E-3</v>
      </c>
      <c r="AN151" s="381">
        <v>1E-3</v>
      </c>
      <c r="AO151" s="381">
        <v>1E-3</v>
      </c>
      <c r="AP151" s="381">
        <v>1E-3</v>
      </c>
      <c r="AQ151" s="381">
        <v>1E-3</v>
      </c>
      <c r="AR151" s="381">
        <v>1E-3</v>
      </c>
      <c r="AS151" s="381">
        <v>1E-3</v>
      </c>
      <c r="AT151" s="381">
        <v>1E-3</v>
      </c>
      <c r="AU151" s="381">
        <v>1E-3</v>
      </c>
      <c r="AV151" s="381">
        <v>1E-3</v>
      </c>
      <c r="AW151" s="381">
        <v>1E-3</v>
      </c>
      <c r="AX151" s="335"/>
      <c r="AZ151" s="1097" t="s">
        <v>102</v>
      </c>
    </row>
    <row r="152" spans="1:52" x14ac:dyDescent="0.2">
      <c r="A152" s="1184">
        <v>144</v>
      </c>
      <c r="B152" s="1097" t="s">
        <v>103</v>
      </c>
      <c r="C152" s="1185">
        <v>139</v>
      </c>
      <c r="D152" s="1114">
        <v>21668232</v>
      </c>
      <c r="E152" s="1520">
        <v>6</v>
      </c>
      <c r="F152" s="1517">
        <v>0</v>
      </c>
      <c r="G152" s="1251">
        <v>0</v>
      </c>
      <c r="H152" s="1240">
        <v>0</v>
      </c>
      <c r="I152" s="1147">
        <v>1E-3</v>
      </c>
      <c r="J152" s="383">
        <v>0</v>
      </c>
      <c r="K152" s="487">
        <v>1E-3</v>
      </c>
      <c r="L152" s="487">
        <v>0</v>
      </c>
      <c r="M152" s="927"/>
      <c r="N152" s="672">
        <v>0</v>
      </c>
      <c r="O152" s="389">
        <v>1E-3</v>
      </c>
      <c r="P152" s="1092">
        <v>0</v>
      </c>
      <c r="Q152" s="1093">
        <v>0</v>
      </c>
      <c r="R152" s="381">
        <v>0</v>
      </c>
      <c r="S152" s="382"/>
      <c r="T152" s="381"/>
      <c r="U152" s="624"/>
      <c r="V152" s="569">
        <v>0</v>
      </c>
      <c r="W152" s="607"/>
      <c r="X152" s="383"/>
      <c r="Y152" s="607"/>
      <c r="Z152" s="383"/>
      <c r="AA152" s="607"/>
      <c r="AB152" s="718"/>
      <c r="AC152" s="335"/>
      <c r="AD152" s="389">
        <v>1E-3</v>
      </c>
      <c r="AE152" s="381">
        <v>1E-3</v>
      </c>
      <c r="AF152" s="389">
        <v>1E-3</v>
      </c>
      <c r="AG152" s="381">
        <v>1E-3</v>
      </c>
      <c r="AH152" s="389">
        <v>1E-3</v>
      </c>
      <c r="AI152" s="381">
        <v>1E-3</v>
      </c>
      <c r="AJ152" s="389">
        <v>1E-3</v>
      </c>
      <c r="AK152" s="381">
        <v>1E-3</v>
      </c>
      <c r="AL152" s="381">
        <v>1E-3</v>
      </c>
      <c r="AM152" s="381">
        <v>1E-3</v>
      </c>
      <c r="AN152" s="381">
        <v>1E-3</v>
      </c>
      <c r="AO152" s="381">
        <v>1E-3</v>
      </c>
      <c r="AP152" s="381">
        <v>1E-3</v>
      </c>
      <c r="AQ152" s="381">
        <v>1E-3</v>
      </c>
      <c r="AR152" s="381">
        <v>1E-3</v>
      </c>
      <c r="AS152" s="381">
        <v>1E-3</v>
      </c>
      <c r="AT152" s="381">
        <v>1E-3</v>
      </c>
      <c r="AU152" s="381">
        <v>1E-3</v>
      </c>
      <c r="AV152" s="381">
        <v>1E-3</v>
      </c>
      <c r="AW152" s="381">
        <v>1E-3</v>
      </c>
      <c r="AX152" s="335"/>
      <c r="AZ152" s="1097" t="s">
        <v>103</v>
      </c>
    </row>
    <row r="153" spans="1:52" x14ac:dyDescent="0.2">
      <c r="A153" s="1184">
        <v>145</v>
      </c>
      <c r="B153" s="1097" t="s">
        <v>104</v>
      </c>
      <c r="C153" s="1185">
        <v>140</v>
      </c>
      <c r="D153" s="1114">
        <v>98473805</v>
      </c>
      <c r="E153" s="1520">
        <v>8</v>
      </c>
      <c r="F153" s="1517">
        <v>0</v>
      </c>
      <c r="G153" s="1251">
        <v>0</v>
      </c>
      <c r="H153" s="1240">
        <v>0</v>
      </c>
      <c r="I153" s="1147">
        <v>1E-3</v>
      </c>
      <c r="J153" s="383">
        <v>0</v>
      </c>
      <c r="K153" s="487">
        <v>1E-3</v>
      </c>
      <c r="L153" s="487">
        <v>0</v>
      </c>
      <c r="M153" s="927"/>
      <c r="N153" s="672">
        <v>0</v>
      </c>
      <c r="O153" s="389">
        <v>1E-3</v>
      </c>
      <c r="P153" s="1092">
        <v>0</v>
      </c>
      <c r="Q153" s="1093">
        <v>0</v>
      </c>
      <c r="R153" s="381">
        <v>0</v>
      </c>
      <c r="S153" s="382"/>
      <c r="T153" s="381"/>
      <c r="U153" s="624"/>
      <c r="V153" s="569">
        <v>0</v>
      </c>
      <c r="W153" s="607"/>
      <c r="X153" s="383"/>
      <c r="Y153" s="607"/>
      <c r="Z153" s="383"/>
      <c r="AA153" s="607"/>
      <c r="AB153" s="718"/>
      <c r="AC153" s="335"/>
      <c r="AD153" s="389">
        <v>1E-3</v>
      </c>
      <c r="AE153" s="381">
        <v>1E-3</v>
      </c>
      <c r="AF153" s="389">
        <v>1E-3</v>
      </c>
      <c r="AG153" s="381">
        <v>1E-3</v>
      </c>
      <c r="AH153" s="389">
        <v>1E-3</v>
      </c>
      <c r="AI153" s="381">
        <v>1E-3</v>
      </c>
      <c r="AJ153" s="389">
        <v>1E-3</v>
      </c>
      <c r="AK153" s="381">
        <v>1E-3</v>
      </c>
      <c r="AL153" s="381">
        <v>1E-3</v>
      </c>
      <c r="AM153" s="381">
        <v>1E-3</v>
      </c>
      <c r="AN153" s="381">
        <v>1E-3</v>
      </c>
      <c r="AO153" s="381">
        <v>1E-3</v>
      </c>
      <c r="AP153" s="381">
        <v>1E-3</v>
      </c>
      <c r="AQ153" s="381">
        <v>1E-3</v>
      </c>
      <c r="AR153" s="381">
        <v>1E-3</v>
      </c>
      <c r="AS153" s="381">
        <v>1E-3</v>
      </c>
      <c r="AT153" s="381">
        <v>1E-3</v>
      </c>
      <c r="AU153" s="381">
        <v>1E-3</v>
      </c>
      <c r="AV153" s="381">
        <v>1E-3</v>
      </c>
      <c r="AW153" s="381">
        <v>1E-3</v>
      </c>
      <c r="AX153" s="335"/>
      <c r="AZ153" s="1097" t="s">
        <v>104</v>
      </c>
    </row>
    <row r="154" spans="1:52" x14ac:dyDescent="0.2">
      <c r="A154" s="1184">
        <v>146</v>
      </c>
      <c r="B154" s="1201" t="s">
        <v>482</v>
      </c>
      <c r="C154" s="1185">
        <v>195</v>
      </c>
      <c r="D154" s="1114">
        <v>1037606586</v>
      </c>
      <c r="E154" s="1520">
        <v>1</v>
      </c>
      <c r="F154" s="1517">
        <v>0</v>
      </c>
      <c r="G154" s="1251">
        <v>0</v>
      </c>
      <c r="H154" s="1240">
        <v>0</v>
      </c>
      <c r="I154" s="1147">
        <v>1E-3</v>
      </c>
      <c r="J154" s="383">
        <v>0</v>
      </c>
      <c r="K154" s="487">
        <v>1E-3</v>
      </c>
      <c r="L154" s="487">
        <v>0</v>
      </c>
      <c r="M154" s="927"/>
      <c r="N154" s="672">
        <v>0</v>
      </c>
      <c r="O154" s="389">
        <v>1E-3</v>
      </c>
      <c r="P154" s="1092">
        <v>0</v>
      </c>
      <c r="Q154" s="1093">
        <v>0</v>
      </c>
      <c r="R154" s="381">
        <v>0</v>
      </c>
      <c r="S154" s="382"/>
      <c r="T154" s="381"/>
      <c r="U154" s="624"/>
      <c r="V154" s="569">
        <v>0</v>
      </c>
      <c r="W154" s="607"/>
      <c r="X154" s="383"/>
      <c r="Y154" s="607"/>
      <c r="Z154" s="383"/>
      <c r="AA154" s="607"/>
      <c r="AB154" s="718"/>
      <c r="AC154" s="335"/>
      <c r="AD154" s="389">
        <v>1E-3</v>
      </c>
      <c r="AE154" s="381">
        <v>1E-3</v>
      </c>
      <c r="AF154" s="389">
        <v>1E-3</v>
      </c>
      <c r="AG154" s="381">
        <v>1E-3</v>
      </c>
      <c r="AH154" s="389">
        <v>1E-3</v>
      </c>
      <c r="AI154" s="381">
        <v>1E-3</v>
      </c>
      <c r="AJ154" s="389">
        <v>1E-3</v>
      </c>
      <c r="AK154" s="381">
        <v>1E-3</v>
      </c>
      <c r="AL154" s="381">
        <v>1E-3</v>
      </c>
      <c r="AM154" s="381">
        <v>1E-3</v>
      </c>
      <c r="AN154" s="381">
        <v>1E-3</v>
      </c>
      <c r="AO154" s="381">
        <v>1E-3</v>
      </c>
      <c r="AP154" s="381">
        <v>1E-3</v>
      </c>
      <c r="AQ154" s="381">
        <v>1E-3</v>
      </c>
      <c r="AR154" s="381">
        <v>1E-3</v>
      </c>
      <c r="AS154" s="381">
        <v>1E-3</v>
      </c>
      <c r="AT154" s="381">
        <v>1E-3</v>
      </c>
      <c r="AU154" s="381">
        <v>1E-3</v>
      </c>
      <c r="AV154" s="381">
        <v>1E-3</v>
      </c>
      <c r="AW154" s="381">
        <v>1E-3</v>
      </c>
      <c r="AX154" s="335"/>
      <c r="AZ154" s="1201" t="s">
        <v>482</v>
      </c>
    </row>
    <row r="155" spans="1:52" x14ac:dyDescent="0.2">
      <c r="A155" s="1184">
        <v>147</v>
      </c>
      <c r="B155" s="1201" t="s">
        <v>474</v>
      </c>
      <c r="C155" s="1185">
        <v>170</v>
      </c>
      <c r="D155" s="1114">
        <v>32459508</v>
      </c>
      <c r="E155" s="1520">
        <v>7</v>
      </c>
      <c r="F155" s="1517">
        <v>0</v>
      </c>
      <c r="G155" s="1251">
        <v>0</v>
      </c>
      <c r="H155" s="1240">
        <v>0</v>
      </c>
      <c r="I155" s="1147">
        <v>1E-3</v>
      </c>
      <c r="J155" s="383">
        <v>0</v>
      </c>
      <c r="K155" s="487">
        <v>1E-3</v>
      </c>
      <c r="L155" s="487">
        <v>0</v>
      </c>
      <c r="M155" s="927"/>
      <c r="N155" s="672">
        <v>0</v>
      </c>
      <c r="O155" s="389">
        <v>1E-3</v>
      </c>
      <c r="P155" s="1092">
        <v>0</v>
      </c>
      <c r="Q155" s="1093">
        <v>0</v>
      </c>
      <c r="R155" s="381">
        <v>0</v>
      </c>
      <c r="S155" s="382"/>
      <c r="T155" s="381"/>
      <c r="U155" s="624"/>
      <c r="V155" s="569">
        <v>0</v>
      </c>
      <c r="W155" s="607"/>
      <c r="X155" s="383"/>
      <c r="Y155" s="607"/>
      <c r="Z155" s="383"/>
      <c r="AA155" s="607"/>
      <c r="AB155" s="718"/>
      <c r="AC155" s="335"/>
      <c r="AD155" s="389">
        <v>1E-3</v>
      </c>
      <c r="AE155" s="381">
        <v>1E-3</v>
      </c>
      <c r="AF155" s="389">
        <v>1E-3</v>
      </c>
      <c r="AG155" s="381">
        <v>1E-3</v>
      </c>
      <c r="AH155" s="389">
        <v>1E-3</v>
      </c>
      <c r="AI155" s="381">
        <v>1E-3</v>
      </c>
      <c r="AJ155" s="389">
        <v>1E-3</v>
      </c>
      <c r="AK155" s="381">
        <v>1E-3</v>
      </c>
      <c r="AL155" s="381">
        <v>1E-3</v>
      </c>
      <c r="AM155" s="381">
        <v>1E-3</v>
      </c>
      <c r="AN155" s="381">
        <v>1E-3</v>
      </c>
      <c r="AO155" s="381">
        <v>1E-3</v>
      </c>
      <c r="AP155" s="381">
        <v>1E-3</v>
      </c>
      <c r="AQ155" s="381">
        <v>1E-3</v>
      </c>
      <c r="AR155" s="381">
        <v>1E-3</v>
      </c>
      <c r="AS155" s="381">
        <v>1E-3</v>
      </c>
      <c r="AT155" s="381">
        <v>1E-3</v>
      </c>
      <c r="AU155" s="381">
        <v>1E-3</v>
      </c>
      <c r="AV155" s="381">
        <v>1E-3</v>
      </c>
      <c r="AW155" s="381">
        <v>1E-3</v>
      </c>
      <c r="AX155" s="335"/>
      <c r="AZ155" s="1201" t="s">
        <v>474</v>
      </c>
    </row>
    <row r="156" spans="1:52" x14ac:dyDescent="0.2">
      <c r="A156" s="1184">
        <v>148</v>
      </c>
      <c r="B156" s="1097" t="s">
        <v>105</v>
      </c>
      <c r="C156" s="1185">
        <v>142</v>
      </c>
      <c r="D156" s="1114">
        <v>3305848</v>
      </c>
      <c r="E156" s="1520">
        <v>1</v>
      </c>
      <c r="F156" s="1517">
        <v>0</v>
      </c>
      <c r="G156" s="1251">
        <v>0</v>
      </c>
      <c r="H156" s="1240">
        <v>0</v>
      </c>
      <c r="I156" s="1147">
        <v>1E-3</v>
      </c>
      <c r="J156" s="383">
        <v>0</v>
      </c>
      <c r="K156" s="487">
        <v>1E-3</v>
      </c>
      <c r="L156" s="487">
        <v>0</v>
      </c>
      <c r="M156" s="927"/>
      <c r="N156" s="672">
        <v>0</v>
      </c>
      <c r="O156" s="389">
        <v>1E-3</v>
      </c>
      <c r="P156" s="1092">
        <v>0</v>
      </c>
      <c r="Q156" s="1093">
        <v>0</v>
      </c>
      <c r="R156" s="381">
        <v>0</v>
      </c>
      <c r="S156" s="382"/>
      <c r="T156" s="381"/>
      <c r="U156" s="624"/>
      <c r="V156" s="569">
        <v>0</v>
      </c>
      <c r="W156" s="607"/>
      <c r="X156" s="383"/>
      <c r="Y156" s="607"/>
      <c r="Z156" s="383"/>
      <c r="AA156" s="607"/>
      <c r="AB156" s="718"/>
      <c r="AC156" s="335"/>
      <c r="AD156" s="389">
        <v>1E-3</v>
      </c>
      <c r="AE156" s="381">
        <v>1E-3</v>
      </c>
      <c r="AF156" s="389">
        <v>1E-3</v>
      </c>
      <c r="AG156" s="381">
        <v>1E-3</v>
      </c>
      <c r="AH156" s="389">
        <v>1E-3</v>
      </c>
      <c r="AI156" s="381">
        <v>1E-3</v>
      </c>
      <c r="AJ156" s="389">
        <v>1E-3</v>
      </c>
      <c r="AK156" s="381">
        <v>1E-3</v>
      </c>
      <c r="AL156" s="381">
        <v>1E-3</v>
      </c>
      <c r="AM156" s="381">
        <v>1E-3</v>
      </c>
      <c r="AN156" s="381">
        <v>1E-3</v>
      </c>
      <c r="AO156" s="381">
        <v>1E-3</v>
      </c>
      <c r="AP156" s="381">
        <v>1E-3</v>
      </c>
      <c r="AQ156" s="381">
        <v>1E-3</v>
      </c>
      <c r="AR156" s="381">
        <v>1E-3</v>
      </c>
      <c r="AS156" s="381">
        <v>1E-3</v>
      </c>
      <c r="AT156" s="381">
        <v>1E-3</v>
      </c>
      <c r="AU156" s="381">
        <v>1E-3</v>
      </c>
      <c r="AV156" s="381">
        <v>1E-3</v>
      </c>
      <c r="AW156" s="381">
        <v>1E-3</v>
      </c>
      <c r="AX156" s="335"/>
      <c r="AZ156" s="1097" t="s">
        <v>105</v>
      </c>
    </row>
    <row r="157" spans="1:52" x14ac:dyDescent="0.2">
      <c r="A157" s="1184">
        <v>149</v>
      </c>
      <c r="B157" s="1097" t="s">
        <v>106</v>
      </c>
      <c r="C157" s="1185">
        <v>143</v>
      </c>
      <c r="D157" s="1114">
        <v>98581002</v>
      </c>
      <c r="E157" s="1520">
        <v>3</v>
      </c>
      <c r="F157" s="1517">
        <v>0</v>
      </c>
      <c r="G157" s="1251">
        <v>0</v>
      </c>
      <c r="H157" s="1240">
        <v>0</v>
      </c>
      <c r="I157" s="1147">
        <v>1E-3</v>
      </c>
      <c r="J157" s="383">
        <v>0</v>
      </c>
      <c r="K157" s="487">
        <v>1E-3</v>
      </c>
      <c r="L157" s="487">
        <v>0</v>
      </c>
      <c r="M157" s="927"/>
      <c r="N157" s="672">
        <v>0</v>
      </c>
      <c r="O157" s="389">
        <v>1E-3</v>
      </c>
      <c r="P157" s="1092">
        <v>0</v>
      </c>
      <c r="Q157" s="1093">
        <v>0</v>
      </c>
      <c r="R157" s="381">
        <v>0</v>
      </c>
      <c r="S157" s="382"/>
      <c r="T157" s="381"/>
      <c r="U157" s="624"/>
      <c r="V157" s="569">
        <v>0</v>
      </c>
      <c r="W157" s="607"/>
      <c r="X157" s="383"/>
      <c r="Y157" s="607"/>
      <c r="Z157" s="383"/>
      <c r="AA157" s="607"/>
      <c r="AB157" s="718"/>
      <c r="AC157" s="335"/>
      <c r="AD157" s="389">
        <v>1E-3</v>
      </c>
      <c r="AE157" s="381">
        <v>1E-3</v>
      </c>
      <c r="AF157" s="389">
        <v>1E-3</v>
      </c>
      <c r="AG157" s="381">
        <v>1E-3</v>
      </c>
      <c r="AH157" s="389">
        <v>1E-3</v>
      </c>
      <c r="AI157" s="381">
        <v>1E-3</v>
      </c>
      <c r="AJ157" s="389">
        <v>1E-3</v>
      </c>
      <c r="AK157" s="381">
        <v>1E-3</v>
      </c>
      <c r="AL157" s="381">
        <v>1E-3</v>
      </c>
      <c r="AM157" s="381">
        <v>1E-3</v>
      </c>
      <c r="AN157" s="381">
        <v>1E-3</v>
      </c>
      <c r="AO157" s="381">
        <v>1E-3</v>
      </c>
      <c r="AP157" s="381">
        <v>1E-3</v>
      </c>
      <c r="AQ157" s="381">
        <v>1E-3</v>
      </c>
      <c r="AR157" s="381">
        <v>1E-3</v>
      </c>
      <c r="AS157" s="381">
        <v>1E-3</v>
      </c>
      <c r="AT157" s="381">
        <v>1E-3</v>
      </c>
      <c r="AU157" s="381">
        <v>1E-3</v>
      </c>
      <c r="AV157" s="381">
        <v>1E-3</v>
      </c>
      <c r="AW157" s="381">
        <v>1E-3</v>
      </c>
      <c r="AX157" s="335"/>
      <c r="AZ157" s="1097" t="s">
        <v>106</v>
      </c>
    </row>
    <row r="158" spans="1:52" x14ac:dyDescent="0.2">
      <c r="A158" s="1184">
        <v>150</v>
      </c>
      <c r="B158" s="1097" t="s">
        <v>107</v>
      </c>
      <c r="C158" s="1185">
        <v>144</v>
      </c>
      <c r="D158" s="1114">
        <v>43075419</v>
      </c>
      <c r="E158" s="1520">
        <v>0</v>
      </c>
      <c r="F158" s="1517">
        <v>0</v>
      </c>
      <c r="G158" s="1251">
        <v>0</v>
      </c>
      <c r="H158" s="1240">
        <v>0</v>
      </c>
      <c r="I158" s="1147">
        <v>1E-3</v>
      </c>
      <c r="J158" s="383">
        <v>0</v>
      </c>
      <c r="K158" s="487">
        <v>1E-3</v>
      </c>
      <c r="L158" s="487">
        <v>0</v>
      </c>
      <c r="M158" s="927"/>
      <c r="N158" s="672">
        <v>0</v>
      </c>
      <c r="O158" s="389">
        <v>1E-3</v>
      </c>
      <c r="P158" s="1092">
        <v>0</v>
      </c>
      <c r="Q158" s="1093">
        <v>0</v>
      </c>
      <c r="R158" s="381">
        <v>0</v>
      </c>
      <c r="S158" s="382"/>
      <c r="T158" s="381"/>
      <c r="U158" s="624"/>
      <c r="V158" s="569">
        <v>0</v>
      </c>
      <c r="W158" s="607"/>
      <c r="X158" s="383"/>
      <c r="Y158" s="607"/>
      <c r="Z158" s="383"/>
      <c r="AA158" s="607"/>
      <c r="AB158" s="718"/>
      <c r="AC158" s="335"/>
      <c r="AD158" s="389">
        <v>1E-3</v>
      </c>
      <c r="AE158" s="381">
        <v>1E-3</v>
      </c>
      <c r="AF158" s="389">
        <v>1E-3</v>
      </c>
      <c r="AG158" s="381">
        <v>1E-3</v>
      </c>
      <c r="AH158" s="389">
        <v>1E-3</v>
      </c>
      <c r="AI158" s="381">
        <v>1E-3</v>
      </c>
      <c r="AJ158" s="389">
        <v>1E-3</v>
      </c>
      <c r="AK158" s="381">
        <v>1E-3</v>
      </c>
      <c r="AL158" s="381">
        <v>1E-3</v>
      </c>
      <c r="AM158" s="381">
        <v>1E-3</v>
      </c>
      <c r="AN158" s="381">
        <v>1E-3</v>
      </c>
      <c r="AO158" s="381">
        <v>1E-3</v>
      </c>
      <c r="AP158" s="381">
        <v>1E-3</v>
      </c>
      <c r="AQ158" s="381">
        <v>1E-3</v>
      </c>
      <c r="AR158" s="381">
        <v>1E-3</v>
      </c>
      <c r="AS158" s="381">
        <v>1E-3</v>
      </c>
      <c r="AT158" s="381">
        <v>1E-3</v>
      </c>
      <c r="AU158" s="381">
        <v>1E-3</v>
      </c>
      <c r="AV158" s="381">
        <v>1E-3</v>
      </c>
      <c r="AW158" s="381">
        <v>1E-3</v>
      </c>
      <c r="AX158" s="335"/>
      <c r="AZ158" s="1097" t="s">
        <v>107</v>
      </c>
    </row>
    <row r="159" spans="1:52" x14ac:dyDescent="0.2">
      <c r="A159" s="1184">
        <v>151</v>
      </c>
      <c r="B159" s="1097" t="s">
        <v>109</v>
      </c>
      <c r="C159" s="1185">
        <v>146</v>
      </c>
      <c r="D159" s="1114">
        <v>549095</v>
      </c>
      <c r="E159" s="1520">
        <v>7</v>
      </c>
      <c r="F159" s="1517">
        <v>0</v>
      </c>
      <c r="G159" s="1251">
        <v>0</v>
      </c>
      <c r="H159" s="1240">
        <v>0</v>
      </c>
      <c r="I159" s="1147">
        <v>1E-3</v>
      </c>
      <c r="J159" s="383">
        <v>0</v>
      </c>
      <c r="K159" s="487">
        <v>1E-3</v>
      </c>
      <c r="L159" s="487">
        <v>0</v>
      </c>
      <c r="M159" s="927"/>
      <c r="N159" s="672">
        <v>0</v>
      </c>
      <c r="O159" s="389">
        <v>1E-3</v>
      </c>
      <c r="P159" s="1092">
        <v>0</v>
      </c>
      <c r="Q159" s="1093">
        <v>0</v>
      </c>
      <c r="R159" s="381">
        <v>0</v>
      </c>
      <c r="S159" s="382"/>
      <c r="T159" s="381"/>
      <c r="U159" s="624"/>
      <c r="V159" s="569">
        <v>0</v>
      </c>
      <c r="W159" s="607"/>
      <c r="X159" s="383"/>
      <c r="Y159" s="607"/>
      <c r="Z159" s="383"/>
      <c r="AA159" s="607"/>
      <c r="AB159" s="718"/>
      <c r="AC159" s="335"/>
      <c r="AD159" s="389">
        <v>1E-3</v>
      </c>
      <c r="AE159" s="381">
        <v>1E-3</v>
      </c>
      <c r="AF159" s="389">
        <v>1E-3</v>
      </c>
      <c r="AG159" s="381">
        <v>1E-3</v>
      </c>
      <c r="AH159" s="389">
        <v>1E-3</v>
      </c>
      <c r="AI159" s="381">
        <v>1E-3</v>
      </c>
      <c r="AJ159" s="389">
        <v>1E-3</v>
      </c>
      <c r="AK159" s="381">
        <v>1E-3</v>
      </c>
      <c r="AL159" s="381">
        <v>1E-3</v>
      </c>
      <c r="AM159" s="381">
        <v>1E-3</v>
      </c>
      <c r="AN159" s="381">
        <v>1E-3</v>
      </c>
      <c r="AO159" s="381">
        <v>1E-3</v>
      </c>
      <c r="AP159" s="381">
        <v>1E-3</v>
      </c>
      <c r="AQ159" s="381">
        <v>1E-3</v>
      </c>
      <c r="AR159" s="381">
        <v>1E-3</v>
      </c>
      <c r="AS159" s="381">
        <v>1E-3</v>
      </c>
      <c r="AT159" s="381">
        <v>1E-3</v>
      </c>
      <c r="AU159" s="381">
        <v>1E-3</v>
      </c>
      <c r="AV159" s="381">
        <v>1E-3</v>
      </c>
      <c r="AW159" s="381">
        <v>1E-3</v>
      </c>
      <c r="AX159" s="335"/>
      <c r="AZ159" s="1097" t="s">
        <v>109</v>
      </c>
    </row>
    <row r="160" spans="1:52" x14ac:dyDescent="0.2">
      <c r="A160" s="1184">
        <v>152</v>
      </c>
      <c r="B160" s="1097" t="s">
        <v>110</v>
      </c>
      <c r="C160" s="1185">
        <v>147</v>
      </c>
      <c r="D160" s="1114">
        <v>42995829</v>
      </c>
      <c r="E160" s="1520">
        <v>0</v>
      </c>
      <c r="F160" s="1517">
        <v>0</v>
      </c>
      <c r="G160" s="1251">
        <v>0</v>
      </c>
      <c r="H160" s="1240">
        <v>0</v>
      </c>
      <c r="I160" s="1147">
        <v>1E-3</v>
      </c>
      <c r="J160" s="383">
        <v>0</v>
      </c>
      <c r="K160" s="487">
        <v>1E-3</v>
      </c>
      <c r="L160" s="487">
        <v>0</v>
      </c>
      <c r="M160" s="927"/>
      <c r="N160" s="672">
        <v>0</v>
      </c>
      <c r="O160" s="389">
        <v>1E-3</v>
      </c>
      <c r="P160" s="1092">
        <v>0</v>
      </c>
      <c r="Q160" s="1093">
        <v>0</v>
      </c>
      <c r="R160" s="381">
        <v>0</v>
      </c>
      <c r="S160" s="382"/>
      <c r="T160" s="381"/>
      <c r="U160" s="624"/>
      <c r="V160" s="569">
        <v>0</v>
      </c>
      <c r="W160" s="607"/>
      <c r="X160" s="383"/>
      <c r="Y160" s="607"/>
      <c r="Z160" s="383"/>
      <c r="AA160" s="607"/>
      <c r="AB160" s="718"/>
      <c r="AC160" s="335"/>
      <c r="AD160" s="389">
        <v>1E-3</v>
      </c>
      <c r="AE160" s="381">
        <v>1E-3</v>
      </c>
      <c r="AF160" s="389">
        <v>1E-3</v>
      </c>
      <c r="AG160" s="381">
        <v>1E-3</v>
      </c>
      <c r="AH160" s="389">
        <v>1E-3</v>
      </c>
      <c r="AI160" s="381">
        <v>1E-3</v>
      </c>
      <c r="AJ160" s="389">
        <v>1E-3</v>
      </c>
      <c r="AK160" s="381">
        <v>1E-3</v>
      </c>
      <c r="AL160" s="381">
        <v>1E-3</v>
      </c>
      <c r="AM160" s="381">
        <v>1E-3</v>
      </c>
      <c r="AN160" s="381">
        <v>1E-3</v>
      </c>
      <c r="AO160" s="381">
        <v>1E-3</v>
      </c>
      <c r="AP160" s="381">
        <v>1E-3</v>
      </c>
      <c r="AQ160" s="381">
        <v>1E-3</v>
      </c>
      <c r="AR160" s="381">
        <v>1E-3</v>
      </c>
      <c r="AS160" s="381">
        <v>1E-3</v>
      </c>
      <c r="AT160" s="381">
        <v>1E-3</v>
      </c>
      <c r="AU160" s="381">
        <v>1E-3</v>
      </c>
      <c r="AV160" s="381">
        <v>1E-3</v>
      </c>
      <c r="AW160" s="381">
        <v>1E-3</v>
      </c>
      <c r="AX160" s="335"/>
      <c r="AZ160" s="1097" t="s">
        <v>110</v>
      </c>
    </row>
    <row r="161" spans="1:52" x14ac:dyDescent="0.2">
      <c r="A161" s="1184">
        <v>153</v>
      </c>
      <c r="B161" s="1097" t="s">
        <v>244</v>
      </c>
      <c r="C161" s="1185">
        <v>320</v>
      </c>
      <c r="D161" s="1114">
        <v>33069779</v>
      </c>
      <c r="E161" s="1520">
        <v>6</v>
      </c>
      <c r="F161" s="1517">
        <v>0</v>
      </c>
      <c r="G161" s="1251">
        <v>0</v>
      </c>
      <c r="H161" s="1240">
        <v>0</v>
      </c>
      <c r="I161" s="1147">
        <v>1E-3</v>
      </c>
      <c r="J161" s="383">
        <v>0</v>
      </c>
      <c r="K161" s="487">
        <v>1E-3</v>
      </c>
      <c r="L161" s="487">
        <v>0</v>
      </c>
      <c r="M161" s="927"/>
      <c r="N161" s="672">
        <v>0</v>
      </c>
      <c r="O161" s="389">
        <v>1E-3</v>
      </c>
      <c r="P161" s="1092">
        <v>0</v>
      </c>
      <c r="Q161" s="1093">
        <v>0</v>
      </c>
      <c r="R161" s="381">
        <v>0</v>
      </c>
      <c r="S161" s="382"/>
      <c r="T161" s="381"/>
      <c r="U161" s="624"/>
      <c r="V161" s="569">
        <v>0</v>
      </c>
      <c r="W161" s="607"/>
      <c r="X161" s="383"/>
      <c r="Y161" s="607"/>
      <c r="Z161" s="383"/>
      <c r="AA161" s="607"/>
      <c r="AB161" s="718"/>
      <c r="AC161" s="335"/>
      <c r="AD161" s="389">
        <v>1E-3</v>
      </c>
      <c r="AE161" s="381">
        <v>1E-3</v>
      </c>
      <c r="AF161" s="389">
        <v>1E-3</v>
      </c>
      <c r="AG161" s="381">
        <v>1E-3</v>
      </c>
      <c r="AH161" s="389">
        <v>1E-3</v>
      </c>
      <c r="AI161" s="381">
        <v>1E-3</v>
      </c>
      <c r="AJ161" s="389">
        <v>1E-3</v>
      </c>
      <c r="AK161" s="381">
        <v>1E-3</v>
      </c>
      <c r="AL161" s="381">
        <v>1E-3</v>
      </c>
      <c r="AM161" s="381">
        <v>1E-3</v>
      </c>
      <c r="AN161" s="381">
        <v>1E-3</v>
      </c>
      <c r="AO161" s="381">
        <v>1E-3</v>
      </c>
      <c r="AP161" s="381">
        <v>1E-3</v>
      </c>
      <c r="AQ161" s="381">
        <v>1E-3</v>
      </c>
      <c r="AR161" s="381">
        <v>1E-3</v>
      </c>
      <c r="AS161" s="381">
        <v>1E-3</v>
      </c>
      <c r="AT161" s="381">
        <v>1E-3</v>
      </c>
      <c r="AU161" s="381">
        <v>1E-3</v>
      </c>
      <c r="AV161" s="381">
        <v>1E-3</v>
      </c>
      <c r="AW161" s="381">
        <v>1E-3</v>
      </c>
      <c r="AX161" s="335"/>
      <c r="AZ161" s="1097" t="s">
        <v>244</v>
      </c>
    </row>
    <row r="162" spans="1:52" x14ac:dyDescent="0.2">
      <c r="A162" s="1184">
        <v>154</v>
      </c>
      <c r="B162" s="1097" t="s">
        <v>312</v>
      </c>
      <c r="C162" s="1185">
        <v>93</v>
      </c>
      <c r="D162" s="1114">
        <v>43865562</v>
      </c>
      <c r="E162" s="1520">
        <v>6</v>
      </c>
      <c r="F162" s="1517">
        <v>0</v>
      </c>
      <c r="G162" s="1251">
        <v>0</v>
      </c>
      <c r="H162" s="1240">
        <v>0</v>
      </c>
      <c r="I162" s="1147">
        <v>1E-3</v>
      </c>
      <c r="J162" s="383">
        <v>0</v>
      </c>
      <c r="K162" s="487">
        <v>1E-3</v>
      </c>
      <c r="L162" s="487">
        <v>0</v>
      </c>
      <c r="M162" s="927"/>
      <c r="N162" s="672">
        <v>0</v>
      </c>
      <c r="O162" s="389">
        <v>1E-3</v>
      </c>
      <c r="P162" s="1092">
        <v>0</v>
      </c>
      <c r="Q162" s="1093">
        <v>0</v>
      </c>
      <c r="R162" s="381">
        <v>0</v>
      </c>
      <c r="S162" s="382"/>
      <c r="T162" s="381"/>
      <c r="U162" s="624"/>
      <c r="V162" s="569">
        <v>0</v>
      </c>
      <c r="W162" s="607"/>
      <c r="X162" s="383"/>
      <c r="Y162" s="607"/>
      <c r="Z162" s="383"/>
      <c r="AA162" s="607"/>
      <c r="AB162" s="718"/>
      <c r="AC162" s="335"/>
      <c r="AD162" s="389">
        <v>1E-3</v>
      </c>
      <c r="AE162" s="381">
        <v>1E-3</v>
      </c>
      <c r="AF162" s="389">
        <v>1E-3</v>
      </c>
      <c r="AG162" s="381">
        <v>1E-3</v>
      </c>
      <c r="AH162" s="389">
        <v>1E-3</v>
      </c>
      <c r="AI162" s="381">
        <v>1E-3</v>
      </c>
      <c r="AJ162" s="389">
        <v>1E-3</v>
      </c>
      <c r="AK162" s="381">
        <v>1E-3</v>
      </c>
      <c r="AL162" s="381">
        <v>1E-3</v>
      </c>
      <c r="AM162" s="381">
        <v>1E-3</v>
      </c>
      <c r="AN162" s="381">
        <v>1E-3</v>
      </c>
      <c r="AO162" s="381">
        <v>1E-3</v>
      </c>
      <c r="AP162" s="381">
        <v>1E-3</v>
      </c>
      <c r="AQ162" s="381">
        <v>1E-3</v>
      </c>
      <c r="AR162" s="381">
        <v>1E-3</v>
      </c>
      <c r="AS162" s="381">
        <v>1E-3</v>
      </c>
      <c r="AT162" s="381">
        <v>1E-3</v>
      </c>
      <c r="AU162" s="381">
        <v>1E-3</v>
      </c>
      <c r="AV162" s="381">
        <v>1E-3</v>
      </c>
      <c r="AW162" s="381">
        <v>1E-3</v>
      </c>
      <c r="AX162" s="335"/>
      <c r="AZ162" s="1097" t="s">
        <v>312</v>
      </c>
    </row>
    <row r="163" spans="1:52" x14ac:dyDescent="0.2">
      <c r="A163" s="1184">
        <v>155</v>
      </c>
      <c r="B163" s="1097" t="s">
        <v>111</v>
      </c>
      <c r="C163" s="1185">
        <v>149</v>
      </c>
      <c r="D163" s="1114">
        <v>43152033</v>
      </c>
      <c r="E163" s="1520">
        <v>1</v>
      </c>
      <c r="F163" s="1517">
        <v>0</v>
      </c>
      <c r="G163" s="1251">
        <v>0</v>
      </c>
      <c r="H163" s="1240">
        <v>0</v>
      </c>
      <c r="I163" s="1147">
        <v>1E-3</v>
      </c>
      <c r="J163" s="383">
        <v>0</v>
      </c>
      <c r="K163" s="487">
        <v>1E-3</v>
      </c>
      <c r="L163" s="487">
        <v>0</v>
      </c>
      <c r="M163" s="927"/>
      <c r="N163" s="672">
        <v>0</v>
      </c>
      <c r="O163" s="389">
        <v>1E-3</v>
      </c>
      <c r="P163" s="1092">
        <v>0</v>
      </c>
      <c r="Q163" s="1093">
        <v>0</v>
      </c>
      <c r="R163" s="381">
        <v>0</v>
      </c>
      <c r="S163" s="382"/>
      <c r="T163" s="381"/>
      <c r="U163" s="624"/>
      <c r="V163" s="569">
        <v>0</v>
      </c>
      <c r="W163" s="607"/>
      <c r="X163" s="383"/>
      <c r="Y163" s="607"/>
      <c r="Z163" s="383"/>
      <c r="AA163" s="607"/>
      <c r="AB163" s="718"/>
      <c r="AC163" s="335"/>
      <c r="AD163" s="389">
        <v>1E-3</v>
      </c>
      <c r="AE163" s="381">
        <v>1E-3</v>
      </c>
      <c r="AF163" s="389">
        <v>1E-3</v>
      </c>
      <c r="AG163" s="381">
        <v>1E-3</v>
      </c>
      <c r="AH163" s="389">
        <v>1E-3</v>
      </c>
      <c r="AI163" s="381">
        <v>1E-3</v>
      </c>
      <c r="AJ163" s="389">
        <v>1E-3</v>
      </c>
      <c r="AK163" s="381">
        <v>1E-3</v>
      </c>
      <c r="AL163" s="381">
        <v>1E-3</v>
      </c>
      <c r="AM163" s="381">
        <v>1E-3</v>
      </c>
      <c r="AN163" s="381">
        <v>1E-3</v>
      </c>
      <c r="AO163" s="381">
        <v>1E-3</v>
      </c>
      <c r="AP163" s="381">
        <v>1E-3</v>
      </c>
      <c r="AQ163" s="381">
        <v>1E-3</v>
      </c>
      <c r="AR163" s="381">
        <v>1E-3</v>
      </c>
      <c r="AS163" s="381">
        <v>1E-3</v>
      </c>
      <c r="AT163" s="381">
        <v>1E-3</v>
      </c>
      <c r="AU163" s="381">
        <v>1E-3</v>
      </c>
      <c r="AV163" s="381">
        <v>1E-3</v>
      </c>
      <c r="AW163" s="381">
        <v>1E-3</v>
      </c>
      <c r="AX163" s="335"/>
      <c r="AZ163" s="1097" t="s">
        <v>111</v>
      </c>
    </row>
    <row r="164" spans="1:52" x14ac:dyDescent="0.2">
      <c r="A164" s="1184">
        <v>156</v>
      </c>
      <c r="B164" s="1097" t="s">
        <v>112</v>
      </c>
      <c r="C164" s="1185">
        <v>265</v>
      </c>
      <c r="D164" s="1114">
        <v>42975259</v>
      </c>
      <c r="E164" s="1520">
        <v>7</v>
      </c>
      <c r="F164" s="1517">
        <v>0</v>
      </c>
      <c r="G164" s="1251">
        <v>0</v>
      </c>
      <c r="H164" s="1240">
        <v>0</v>
      </c>
      <c r="I164" s="1147">
        <v>1E-3</v>
      </c>
      <c r="J164" s="383">
        <v>0</v>
      </c>
      <c r="K164" s="487">
        <v>1E-3</v>
      </c>
      <c r="L164" s="487">
        <v>0</v>
      </c>
      <c r="M164" s="927"/>
      <c r="N164" s="672">
        <v>0</v>
      </c>
      <c r="O164" s="389">
        <v>1E-3</v>
      </c>
      <c r="P164" s="1092">
        <v>0</v>
      </c>
      <c r="Q164" s="1093">
        <v>0</v>
      </c>
      <c r="R164" s="381">
        <v>0</v>
      </c>
      <c r="S164" s="382"/>
      <c r="T164" s="381"/>
      <c r="U164" s="624"/>
      <c r="V164" s="569">
        <v>0</v>
      </c>
      <c r="W164" s="607"/>
      <c r="X164" s="383"/>
      <c r="Y164" s="607"/>
      <c r="Z164" s="383"/>
      <c r="AA164" s="607"/>
      <c r="AB164" s="718"/>
      <c r="AC164" s="335"/>
      <c r="AD164" s="389">
        <v>1E-3</v>
      </c>
      <c r="AE164" s="381">
        <v>1E-3</v>
      </c>
      <c r="AF164" s="389">
        <v>1E-3</v>
      </c>
      <c r="AG164" s="381">
        <v>1E-3</v>
      </c>
      <c r="AH164" s="389">
        <v>1E-3</v>
      </c>
      <c r="AI164" s="381">
        <v>1E-3</v>
      </c>
      <c r="AJ164" s="389">
        <v>1E-3</v>
      </c>
      <c r="AK164" s="381">
        <v>1E-3</v>
      </c>
      <c r="AL164" s="381">
        <v>1E-3</v>
      </c>
      <c r="AM164" s="381">
        <v>1E-3</v>
      </c>
      <c r="AN164" s="381">
        <v>1E-3</v>
      </c>
      <c r="AO164" s="381">
        <v>1E-3</v>
      </c>
      <c r="AP164" s="381">
        <v>1E-3</v>
      </c>
      <c r="AQ164" s="381">
        <v>1E-3</v>
      </c>
      <c r="AR164" s="381">
        <v>1E-3</v>
      </c>
      <c r="AS164" s="381">
        <v>1E-3</v>
      </c>
      <c r="AT164" s="381">
        <v>1E-3</v>
      </c>
      <c r="AU164" s="381">
        <v>1E-3</v>
      </c>
      <c r="AV164" s="381">
        <v>1E-3</v>
      </c>
      <c r="AW164" s="381">
        <v>1E-3</v>
      </c>
      <c r="AX164" s="335"/>
      <c r="AZ164" s="1097" t="s">
        <v>112</v>
      </c>
    </row>
    <row r="165" spans="1:52" x14ac:dyDescent="0.2">
      <c r="A165" s="1184">
        <v>157</v>
      </c>
      <c r="B165" s="1097" t="s">
        <v>113</v>
      </c>
      <c r="C165" s="1185">
        <v>151</v>
      </c>
      <c r="D165" s="1114">
        <v>32439160</v>
      </c>
      <c r="E165" s="1520">
        <v>2</v>
      </c>
      <c r="F165" s="1517">
        <v>0</v>
      </c>
      <c r="G165" s="1251">
        <v>0</v>
      </c>
      <c r="H165" s="1240">
        <v>0</v>
      </c>
      <c r="I165" s="1147">
        <v>1E-3</v>
      </c>
      <c r="J165" s="383">
        <v>0</v>
      </c>
      <c r="K165" s="487">
        <v>1E-3</v>
      </c>
      <c r="L165" s="487">
        <v>0</v>
      </c>
      <c r="M165" s="927"/>
      <c r="N165" s="672">
        <v>0</v>
      </c>
      <c r="O165" s="389">
        <v>1E-3</v>
      </c>
      <c r="P165" s="1092">
        <v>0</v>
      </c>
      <c r="Q165" s="1093">
        <v>0</v>
      </c>
      <c r="R165" s="381">
        <v>0</v>
      </c>
      <c r="S165" s="382"/>
      <c r="T165" s="381"/>
      <c r="U165" s="624"/>
      <c r="V165" s="569">
        <v>0</v>
      </c>
      <c r="W165" s="607"/>
      <c r="X165" s="383"/>
      <c r="Y165" s="607"/>
      <c r="Z165" s="383"/>
      <c r="AA165" s="607"/>
      <c r="AB165" s="718"/>
      <c r="AC165" s="335"/>
      <c r="AD165" s="389">
        <v>1E-3</v>
      </c>
      <c r="AE165" s="381">
        <v>1E-3</v>
      </c>
      <c r="AF165" s="389">
        <v>1E-3</v>
      </c>
      <c r="AG165" s="381">
        <v>1E-3</v>
      </c>
      <c r="AH165" s="389">
        <v>1E-3</v>
      </c>
      <c r="AI165" s="381">
        <v>1E-3</v>
      </c>
      <c r="AJ165" s="389">
        <v>1E-3</v>
      </c>
      <c r="AK165" s="381">
        <v>1E-3</v>
      </c>
      <c r="AL165" s="381">
        <v>1E-3</v>
      </c>
      <c r="AM165" s="381">
        <v>1E-3</v>
      </c>
      <c r="AN165" s="381">
        <v>1E-3</v>
      </c>
      <c r="AO165" s="381">
        <v>1E-3</v>
      </c>
      <c r="AP165" s="381">
        <v>1E-3</v>
      </c>
      <c r="AQ165" s="381">
        <v>1E-3</v>
      </c>
      <c r="AR165" s="381">
        <v>1E-3</v>
      </c>
      <c r="AS165" s="381">
        <v>1E-3</v>
      </c>
      <c r="AT165" s="381">
        <v>1E-3</v>
      </c>
      <c r="AU165" s="381">
        <v>1E-3</v>
      </c>
      <c r="AV165" s="381">
        <v>1E-3</v>
      </c>
      <c r="AW165" s="381">
        <v>1E-3</v>
      </c>
      <c r="AX165" s="335"/>
      <c r="AZ165" s="1097" t="s">
        <v>113</v>
      </c>
    </row>
    <row r="166" spans="1:52" x14ac:dyDescent="0.2">
      <c r="A166" s="1184">
        <v>158</v>
      </c>
      <c r="B166" s="1097" t="s">
        <v>114</v>
      </c>
      <c r="C166" s="1185">
        <v>152</v>
      </c>
      <c r="D166" s="1114">
        <v>70547628</v>
      </c>
      <c r="E166" s="1520">
        <v>8</v>
      </c>
      <c r="F166" s="1517">
        <v>0</v>
      </c>
      <c r="G166" s="1251">
        <v>0</v>
      </c>
      <c r="H166" s="1240">
        <v>0</v>
      </c>
      <c r="I166" s="1147">
        <v>1E-3</v>
      </c>
      <c r="J166" s="383">
        <v>0</v>
      </c>
      <c r="K166" s="487">
        <v>1E-3</v>
      </c>
      <c r="L166" s="487">
        <v>0</v>
      </c>
      <c r="M166" s="927"/>
      <c r="N166" s="672">
        <v>0</v>
      </c>
      <c r="O166" s="389">
        <v>1E-3</v>
      </c>
      <c r="P166" s="1092">
        <v>0</v>
      </c>
      <c r="Q166" s="1093">
        <v>0</v>
      </c>
      <c r="R166" s="381">
        <v>0</v>
      </c>
      <c r="S166" s="382"/>
      <c r="T166" s="381"/>
      <c r="U166" s="624"/>
      <c r="V166" s="569">
        <v>0</v>
      </c>
      <c r="W166" s="607"/>
      <c r="X166" s="383"/>
      <c r="Y166" s="607"/>
      <c r="Z166" s="383"/>
      <c r="AA166" s="607"/>
      <c r="AB166" s="718"/>
      <c r="AC166" s="335"/>
      <c r="AD166" s="389">
        <v>1E-3</v>
      </c>
      <c r="AE166" s="381">
        <v>1E-3</v>
      </c>
      <c r="AF166" s="389">
        <v>1E-3</v>
      </c>
      <c r="AG166" s="381">
        <v>1E-3</v>
      </c>
      <c r="AH166" s="389">
        <v>1E-3</v>
      </c>
      <c r="AI166" s="381">
        <v>1E-3</v>
      </c>
      <c r="AJ166" s="389" t="s">
        <v>318</v>
      </c>
      <c r="AK166" s="381">
        <v>60000</v>
      </c>
      <c r="AL166" s="381">
        <v>1E-3</v>
      </c>
      <c r="AM166" s="381">
        <v>1E-3</v>
      </c>
      <c r="AN166" s="381">
        <v>1E-3</v>
      </c>
      <c r="AO166" s="381">
        <v>1E-3</v>
      </c>
      <c r="AP166" s="381">
        <v>1E-3</v>
      </c>
      <c r="AQ166" s="381">
        <v>1E-3</v>
      </c>
      <c r="AR166" s="381">
        <v>1E-3</v>
      </c>
      <c r="AS166" s="381">
        <v>1E-3</v>
      </c>
      <c r="AT166" s="381">
        <v>1E-3</v>
      </c>
      <c r="AU166" s="381">
        <v>1E-3</v>
      </c>
      <c r="AV166" s="381">
        <v>1E-3</v>
      </c>
      <c r="AW166" s="381">
        <v>1E-3</v>
      </c>
      <c r="AX166" s="335"/>
      <c r="AZ166" s="1097" t="s">
        <v>114</v>
      </c>
    </row>
    <row r="167" spans="1:52" x14ac:dyDescent="0.2">
      <c r="A167" s="1184">
        <v>159</v>
      </c>
      <c r="B167" s="1137" t="s">
        <v>413</v>
      </c>
      <c r="C167" s="1185">
        <v>94</v>
      </c>
      <c r="D167" s="1114">
        <v>1037639929</v>
      </c>
      <c r="E167" s="1520">
        <v>6</v>
      </c>
      <c r="F167" s="1517">
        <v>0</v>
      </c>
      <c r="G167" s="1251">
        <v>0</v>
      </c>
      <c r="H167" s="1240">
        <v>0</v>
      </c>
      <c r="I167" s="1147">
        <v>1E-3</v>
      </c>
      <c r="J167" s="383">
        <v>0</v>
      </c>
      <c r="K167" s="487">
        <v>1E-3</v>
      </c>
      <c r="L167" s="487">
        <v>0</v>
      </c>
      <c r="M167" s="927"/>
      <c r="N167" s="672">
        <v>0</v>
      </c>
      <c r="O167" s="389">
        <v>1E-3</v>
      </c>
      <c r="P167" s="1092">
        <v>0</v>
      </c>
      <c r="Q167" s="1093">
        <v>0</v>
      </c>
      <c r="R167" s="381">
        <v>0</v>
      </c>
      <c r="S167" s="382"/>
      <c r="T167" s="381"/>
      <c r="U167" s="624"/>
      <c r="V167" s="569">
        <v>0</v>
      </c>
      <c r="W167" s="607"/>
      <c r="X167" s="383"/>
      <c r="Y167" s="607"/>
      <c r="Z167" s="383"/>
      <c r="AA167" s="607"/>
      <c r="AB167" s="718"/>
      <c r="AC167" s="335"/>
      <c r="AD167" s="389">
        <v>1E-3</v>
      </c>
      <c r="AE167" s="381">
        <v>1E-3</v>
      </c>
      <c r="AF167" s="389">
        <v>1E-3</v>
      </c>
      <c r="AG167" s="381">
        <v>1E-3</v>
      </c>
      <c r="AH167" s="389">
        <v>1E-3</v>
      </c>
      <c r="AI167" s="381">
        <v>1E-3</v>
      </c>
      <c r="AJ167" s="389">
        <v>1E-3</v>
      </c>
      <c r="AK167" s="381">
        <v>1E-3</v>
      </c>
      <c r="AL167" s="381">
        <v>1E-3</v>
      </c>
      <c r="AM167" s="381">
        <v>1E-3</v>
      </c>
      <c r="AN167" s="381">
        <v>1E-3</v>
      </c>
      <c r="AO167" s="381">
        <v>1E-3</v>
      </c>
      <c r="AP167" s="381">
        <v>1E-3</v>
      </c>
      <c r="AQ167" s="381">
        <v>1E-3</v>
      </c>
      <c r="AR167" s="381">
        <v>1E-3</v>
      </c>
      <c r="AS167" s="381">
        <v>1E-3</v>
      </c>
      <c r="AT167" s="381">
        <v>1E-3</v>
      </c>
      <c r="AU167" s="381">
        <v>1E-3</v>
      </c>
      <c r="AV167" s="381">
        <v>1E-3</v>
      </c>
      <c r="AW167" s="381">
        <v>1E-3</v>
      </c>
      <c r="AX167" s="335"/>
      <c r="AZ167" s="1137" t="s">
        <v>413</v>
      </c>
    </row>
    <row r="168" spans="1:52" x14ac:dyDescent="0.2">
      <c r="A168" s="1184">
        <v>160</v>
      </c>
      <c r="B168" s="1097" t="s">
        <v>116</v>
      </c>
      <c r="C168" s="1185">
        <v>277</v>
      </c>
      <c r="D168" s="1114">
        <v>9094854</v>
      </c>
      <c r="E168" s="1520">
        <v>9</v>
      </c>
      <c r="F168" s="1517">
        <v>0</v>
      </c>
      <c r="G168" s="1251">
        <v>0</v>
      </c>
      <c r="H168" s="1240">
        <v>0</v>
      </c>
      <c r="I168" s="1147">
        <v>1E-3</v>
      </c>
      <c r="J168" s="383">
        <v>0</v>
      </c>
      <c r="K168" s="487">
        <v>1E-3</v>
      </c>
      <c r="L168" s="487">
        <v>0</v>
      </c>
      <c r="M168" s="927"/>
      <c r="N168" s="672">
        <v>0</v>
      </c>
      <c r="O168" s="389">
        <v>1E-3</v>
      </c>
      <c r="P168" s="1092">
        <v>0</v>
      </c>
      <c r="Q168" s="1093">
        <v>0</v>
      </c>
      <c r="R168" s="381">
        <v>0</v>
      </c>
      <c r="S168" s="382"/>
      <c r="T168" s="381"/>
      <c r="U168" s="624"/>
      <c r="V168" s="569">
        <v>0</v>
      </c>
      <c r="W168" s="607"/>
      <c r="X168" s="383"/>
      <c r="Y168" s="607"/>
      <c r="Z168" s="383"/>
      <c r="AA168" s="607"/>
      <c r="AB168" s="718"/>
      <c r="AC168" s="335"/>
      <c r="AD168" s="389">
        <v>1E-3</v>
      </c>
      <c r="AE168" s="381">
        <v>1E-3</v>
      </c>
      <c r="AF168" s="389">
        <v>1E-3</v>
      </c>
      <c r="AG168" s="381">
        <v>1E-3</v>
      </c>
      <c r="AH168" s="389">
        <v>1E-3</v>
      </c>
      <c r="AI168" s="381">
        <v>1E-3</v>
      </c>
      <c r="AJ168" s="389">
        <v>1E-3</v>
      </c>
      <c r="AK168" s="381">
        <v>1E-3</v>
      </c>
      <c r="AL168" s="381">
        <v>1E-3</v>
      </c>
      <c r="AM168" s="381">
        <v>1E-3</v>
      </c>
      <c r="AN168" s="381">
        <v>1E-3</v>
      </c>
      <c r="AO168" s="381">
        <v>1E-3</v>
      </c>
      <c r="AP168" s="381">
        <v>1E-3</v>
      </c>
      <c r="AQ168" s="381">
        <v>1E-3</v>
      </c>
      <c r="AR168" s="381">
        <v>1E-3</v>
      </c>
      <c r="AS168" s="381">
        <v>1E-3</v>
      </c>
      <c r="AT168" s="381">
        <v>1E-3</v>
      </c>
      <c r="AU168" s="381">
        <v>1E-3</v>
      </c>
      <c r="AV168" s="381">
        <v>1E-3</v>
      </c>
      <c r="AW168" s="381">
        <v>1E-3</v>
      </c>
      <c r="AX168" s="335"/>
      <c r="AZ168" s="1097" t="s">
        <v>116</v>
      </c>
    </row>
    <row r="169" spans="1:52" x14ac:dyDescent="0.2">
      <c r="A169" s="1184">
        <v>161</v>
      </c>
      <c r="B169" s="1137" t="s">
        <v>193</v>
      </c>
      <c r="C169" s="1185">
        <v>302</v>
      </c>
      <c r="D169" s="1114">
        <v>900835266</v>
      </c>
      <c r="E169" s="1520">
        <v>0</v>
      </c>
      <c r="F169" s="1517">
        <v>0</v>
      </c>
      <c r="G169" s="1251">
        <v>0</v>
      </c>
      <c r="H169" s="1240">
        <v>0</v>
      </c>
      <c r="I169" s="1147">
        <v>1E-3</v>
      </c>
      <c r="J169" s="383">
        <v>0</v>
      </c>
      <c r="K169" s="487">
        <v>1E-3</v>
      </c>
      <c r="L169" s="487">
        <v>0</v>
      </c>
      <c r="M169" s="927"/>
      <c r="N169" s="672">
        <v>0</v>
      </c>
      <c r="O169" s="389">
        <v>1E-3</v>
      </c>
      <c r="P169" s="1092">
        <v>0</v>
      </c>
      <c r="Q169" s="1093">
        <v>0</v>
      </c>
      <c r="R169" s="381">
        <v>0</v>
      </c>
      <c r="S169" s="382"/>
      <c r="T169" s="381"/>
      <c r="U169" s="624"/>
      <c r="V169" s="569">
        <v>0</v>
      </c>
      <c r="W169" s="607"/>
      <c r="X169" s="383"/>
      <c r="Y169" s="607"/>
      <c r="Z169" s="383"/>
      <c r="AA169" s="607"/>
      <c r="AB169" s="718"/>
      <c r="AC169" s="335"/>
      <c r="AD169" s="389">
        <v>1E-3</v>
      </c>
      <c r="AE169" s="381">
        <v>1E-3</v>
      </c>
      <c r="AF169" s="389">
        <v>1E-3</v>
      </c>
      <c r="AG169" s="381">
        <v>1E-3</v>
      </c>
      <c r="AH169" s="389">
        <v>1E-3</v>
      </c>
      <c r="AI169" s="381">
        <v>1E-3</v>
      </c>
      <c r="AJ169" s="389">
        <v>1E-3</v>
      </c>
      <c r="AK169" s="381">
        <v>1E-3</v>
      </c>
      <c r="AL169" s="381">
        <v>1E-3</v>
      </c>
      <c r="AM169" s="381">
        <v>1E-3</v>
      </c>
      <c r="AN169" s="381">
        <v>1E-3</v>
      </c>
      <c r="AO169" s="381">
        <v>1E-3</v>
      </c>
      <c r="AP169" s="381">
        <v>1E-3</v>
      </c>
      <c r="AQ169" s="381">
        <v>1E-3</v>
      </c>
      <c r="AR169" s="381">
        <v>1E-3</v>
      </c>
      <c r="AS169" s="381">
        <v>1E-3</v>
      </c>
      <c r="AT169" s="381">
        <v>1E-3</v>
      </c>
      <c r="AU169" s="381">
        <v>1E-3</v>
      </c>
      <c r="AV169" s="381">
        <v>1E-3</v>
      </c>
      <c r="AW169" s="381">
        <v>1E-3</v>
      </c>
      <c r="AX169" s="335"/>
      <c r="AZ169" s="1137" t="s">
        <v>193</v>
      </c>
    </row>
    <row r="170" spans="1:52" x14ac:dyDescent="0.2">
      <c r="A170" s="1184">
        <v>162</v>
      </c>
      <c r="B170" s="1097" t="s">
        <v>117</v>
      </c>
      <c r="C170" s="1185">
        <v>155</v>
      </c>
      <c r="D170" s="1114">
        <v>92102300043</v>
      </c>
      <c r="E170" s="1520">
        <v>1</v>
      </c>
      <c r="F170" s="1517">
        <v>0</v>
      </c>
      <c r="G170" s="1251">
        <v>0</v>
      </c>
      <c r="H170" s="1240">
        <v>0</v>
      </c>
      <c r="I170" s="1147">
        <v>1E-3</v>
      </c>
      <c r="J170" s="383">
        <v>0</v>
      </c>
      <c r="K170" s="487">
        <v>1E-3</v>
      </c>
      <c r="L170" s="487">
        <v>0</v>
      </c>
      <c r="M170" s="927"/>
      <c r="N170" s="672">
        <v>0</v>
      </c>
      <c r="O170" s="389">
        <v>1E-3</v>
      </c>
      <c r="P170" s="1092">
        <v>0</v>
      </c>
      <c r="Q170" s="1093">
        <v>0</v>
      </c>
      <c r="R170" s="381">
        <v>0</v>
      </c>
      <c r="S170" s="382"/>
      <c r="T170" s="381"/>
      <c r="U170" s="624"/>
      <c r="V170" s="569">
        <v>0</v>
      </c>
      <c r="W170" s="607"/>
      <c r="X170" s="383"/>
      <c r="Y170" s="607"/>
      <c r="Z170" s="383"/>
      <c r="AA170" s="607"/>
      <c r="AB170" s="718"/>
      <c r="AC170" s="335"/>
      <c r="AD170" s="389">
        <v>1E-3</v>
      </c>
      <c r="AE170" s="381">
        <v>1E-3</v>
      </c>
      <c r="AF170" s="389">
        <v>1E-3</v>
      </c>
      <c r="AG170" s="381">
        <v>1E-3</v>
      </c>
      <c r="AH170" s="389">
        <v>1E-3</v>
      </c>
      <c r="AI170" s="381">
        <v>1E-3</v>
      </c>
      <c r="AJ170" s="389">
        <v>1E-3</v>
      </c>
      <c r="AK170" s="381">
        <v>1E-3</v>
      </c>
      <c r="AL170" s="381">
        <v>1E-3</v>
      </c>
      <c r="AM170" s="381">
        <v>1E-3</v>
      </c>
      <c r="AN170" s="381">
        <v>1E-3</v>
      </c>
      <c r="AO170" s="381">
        <v>1E-3</v>
      </c>
      <c r="AP170" s="381">
        <v>1E-3</v>
      </c>
      <c r="AQ170" s="381">
        <v>1E-3</v>
      </c>
      <c r="AR170" s="381">
        <v>1E-3</v>
      </c>
      <c r="AS170" s="381">
        <v>1E-3</v>
      </c>
      <c r="AT170" s="381">
        <v>1E-3</v>
      </c>
      <c r="AU170" s="381">
        <v>1E-3</v>
      </c>
      <c r="AV170" s="381">
        <v>1E-3</v>
      </c>
      <c r="AW170" s="381">
        <v>1E-3</v>
      </c>
      <c r="AX170" s="335"/>
      <c r="AZ170" s="1393" t="s">
        <v>117</v>
      </c>
    </row>
    <row r="171" spans="1:52" x14ac:dyDescent="0.2">
      <c r="A171" s="1184">
        <v>163</v>
      </c>
      <c r="B171" s="1097" t="s">
        <v>120</v>
      </c>
      <c r="C171" s="1185">
        <v>158</v>
      </c>
      <c r="D171" s="1114">
        <v>21356663</v>
      </c>
      <c r="E171" s="1520">
        <v>8</v>
      </c>
      <c r="F171" s="1517">
        <v>365921.02485292027</v>
      </c>
      <c r="G171" s="1251">
        <v>0</v>
      </c>
      <c r="H171" s="1240">
        <v>365921.02485292027</v>
      </c>
      <c r="I171" s="1148">
        <v>3</v>
      </c>
      <c r="J171" s="383">
        <v>365921.02485292027</v>
      </c>
      <c r="K171" s="487">
        <v>1E-3</v>
      </c>
      <c r="L171" s="487">
        <v>0</v>
      </c>
      <c r="M171" s="927"/>
      <c r="N171" s="672">
        <v>0</v>
      </c>
      <c r="O171" s="389">
        <v>1E-3</v>
      </c>
      <c r="P171" s="1092">
        <v>0</v>
      </c>
      <c r="Q171" s="1093">
        <v>0</v>
      </c>
      <c r="R171" s="381">
        <v>0</v>
      </c>
      <c r="S171" s="382"/>
      <c r="T171" s="381"/>
      <c r="U171" s="624"/>
      <c r="V171" s="569">
        <v>0</v>
      </c>
      <c r="W171" s="607"/>
      <c r="X171" s="383"/>
      <c r="Y171" s="607"/>
      <c r="Z171" s="383"/>
      <c r="AA171" s="607"/>
      <c r="AB171" s="718"/>
      <c r="AC171" s="335"/>
      <c r="AD171" s="389">
        <v>3</v>
      </c>
      <c r="AE171" s="381">
        <v>334847.20429439994</v>
      </c>
      <c r="AF171" s="389">
        <v>1E-3</v>
      </c>
      <c r="AG171" s="381">
        <v>1E-3</v>
      </c>
      <c r="AH171" s="389">
        <v>1E-3</v>
      </c>
      <c r="AI171" s="381">
        <v>1E-3</v>
      </c>
      <c r="AJ171" s="389">
        <v>1E-3</v>
      </c>
      <c r="AK171" s="381">
        <v>1E-3</v>
      </c>
      <c r="AL171" s="381">
        <v>1E-3</v>
      </c>
      <c r="AM171" s="381">
        <v>1E-3</v>
      </c>
      <c r="AN171" s="381">
        <v>1E-3</v>
      </c>
      <c r="AO171" s="381">
        <v>1E-3</v>
      </c>
      <c r="AP171" s="381">
        <v>1E-3</v>
      </c>
      <c r="AQ171" s="381">
        <v>1E-3</v>
      </c>
      <c r="AR171" s="381">
        <v>1E-3</v>
      </c>
      <c r="AS171" s="381">
        <v>1E-3</v>
      </c>
      <c r="AT171" s="381">
        <v>1E-3</v>
      </c>
      <c r="AU171" s="381">
        <v>1E-3</v>
      </c>
      <c r="AV171" s="381">
        <v>1E-3</v>
      </c>
      <c r="AW171" s="381">
        <v>1E-3</v>
      </c>
      <c r="AX171" s="335"/>
      <c r="AZ171" s="1393" t="s">
        <v>120</v>
      </c>
    </row>
    <row r="172" spans="1:52" x14ac:dyDescent="0.2">
      <c r="A172" s="1184">
        <v>164</v>
      </c>
      <c r="B172" s="1097" t="s">
        <v>310</v>
      </c>
      <c r="C172" s="1185">
        <v>334</v>
      </c>
      <c r="D172" s="1114">
        <v>15256982</v>
      </c>
      <c r="E172" s="1520">
        <v>1</v>
      </c>
      <c r="F172" s="1517">
        <v>0</v>
      </c>
      <c r="G172" s="1251">
        <v>0</v>
      </c>
      <c r="H172" s="1240">
        <v>0</v>
      </c>
      <c r="I172" s="1147">
        <v>1E-3</v>
      </c>
      <c r="J172" s="383">
        <v>0</v>
      </c>
      <c r="K172" s="487">
        <v>1E-3</v>
      </c>
      <c r="L172" s="487">
        <v>0</v>
      </c>
      <c r="M172" s="927"/>
      <c r="N172" s="672">
        <v>0</v>
      </c>
      <c r="O172" s="389">
        <v>1E-3</v>
      </c>
      <c r="P172" s="1092">
        <v>0</v>
      </c>
      <c r="Q172" s="1093">
        <v>0</v>
      </c>
      <c r="R172" s="381">
        <v>0</v>
      </c>
      <c r="S172" s="382"/>
      <c r="T172" s="381"/>
      <c r="U172" s="624"/>
      <c r="V172" s="569">
        <v>0</v>
      </c>
      <c r="W172" s="607"/>
      <c r="X172" s="383"/>
      <c r="Y172" s="607"/>
      <c r="Z172" s="383"/>
      <c r="AA172" s="607"/>
      <c r="AB172" s="718"/>
      <c r="AC172" s="335"/>
      <c r="AD172" s="389">
        <v>1E-3</v>
      </c>
      <c r="AE172" s="381">
        <v>1E-3</v>
      </c>
      <c r="AF172" s="389">
        <v>1E-3</v>
      </c>
      <c r="AG172" s="381">
        <v>1E-3</v>
      </c>
      <c r="AH172" s="389">
        <v>1E-3</v>
      </c>
      <c r="AI172" s="381">
        <v>1E-3</v>
      </c>
      <c r="AJ172" s="389">
        <v>1E-3</v>
      </c>
      <c r="AK172" s="381">
        <v>1E-3</v>
      </c>
      <c r="AL172" s="381">
        <v>1E-3</v>
      </c>
      <c r="AM172" s="381">
        <v>1E-3</v>
      </c>
      <c r="AN172" s="381">
        <v>1E-3</v>
      </c>
      <c r="AO172" s="381">
        <v>1E-3</v>
      </c>
      <c r="AP172" s="381">
        <v>1E-3</v>
      </c>
      <c r="AQ172" s="381">
        <v>1E-3</v>
      </c>
      <c r="AR172" s="381">
        <v>1E-3</v>
      </c>
      <c r="AS172" s="381">
        <v>1E-3</v>
      </c>
      <c r="AT172" s="381">
        <v>1E-3</v>
      </c>
      <c r="AU172" s="381">
        <v>1E-3</v>
      </c>
      <c r="AV172" s="381">
        <v>1E-3</v>
      </c>
      <c r="AW172" s="381">
        <v>1E-3</v>
      </c>
      <c r="AX172" s="335"/>
      <c r="AZ172" s="1097" t="s">
        <v>310</v>
      </c>
    </row>
    <row r="173" spans="1:52" x14ac:dyDescent="0.2">
      <c r="A173" s="1184">
        <v>165</v>
      </c>
      <c r="B173" s="1097" t="s">
        <v>320</v>
      </c>
      <c r="C173" s="1185">
        <v>342</v>
      </c>
      <c r="D173" s="1114">
        <v>71642392</v>
      </c>
      <c r="E173" s="1520">
        <v>5</v>
      </c>
      <c r="F173" s="1517">
        <v>0</v>
      </c>
      <c r="G173" s="1251">
        <v>0</v>
      </c>
      <c r="H173" s="1240">
        <v>0</v>
      </c>
      <c r="I173" s="1147">
        <v>1E-3</v>
      </c>
      <c r="J173" s="383">
        <v>0</v>
      </c>
      <c r="K173" s="487">
        <v>1E-3</v>
      </c>
      <c r="L173" s="487">
        <v>0</v>
      </c>
      <c r="M173" s="927"/>
      <c r="N173" s="672">
        <v>0</v>
      </c>
      <c r="O173" s="389">
        <v>1E-3</v>
      </c>
      <c r="P173" s="1092">
        <v>0</v>
      </c>
      <c r="Q173" s="1093">
        <v>0</v>
      </c>
      <c r="R173" s="381">
        <v>0</v>
      </c>
      <c r="S173" s="382"/>
      <c r="T173" s="381"/>
      <c r="U173" s="624"/>
      <c r="V173" s="569">
        <v>0</v>
      </c>
      <c r="W173" s="607"/>
      <c r="X173" s="383"/>
      <c r="Y173" s="607"/>
      <c r="Z173" s="383"/>
      <c r="AA173" s="607"/>
      <c r="AB173" s="718"/>
      <c r="AC173" s="335"/>
      <c r="AD173" s="389">
        <v>1E-3</v>
      </c>
      <c r="AE173" s="381">
        <v>1E-3</v>
      </c>
      <c r="AF173" s="389">
        <v>1E-3</v>
      </c>
      <c r="AG173" s="381">
        <v>1E-3</v>
      </c>
      <c r="AH173" s="389">
        <v>1E-3</v>
      </c>
      <c r="AI173" s="381">
        <v>1E-3</v>
      </c>
      <c r="AJ173" s="389">
        <v>1E-3</v>
      </c>
      <c r="AK173" s="381">
        <v>1E-3</v>
      </c>
      <c r="AL173" s="381">
        <v>1E-3</v>
      </c>
      <c r="AM173" s="381">
        <v>1E-3</v>
      </c>
      <c r="AN173" s="381">
        <v>1E-3</v>
      </c>
      <c r="AO173" s="381">
        <v>1E-3</v>
      </c>
      <c r="AP173" s="381">
        <v>1E-3</v>
      </c>
      <c r="AQ173" s="381">
        <v>1E-3</v>
      </c>
      <c r="AR173" s="381">
        <v>1E-3</v>
      </c>
      <c r="AS173" s="381">
        <v>1E-3</v>
      </c>
      <c r="AT173" s="381">
        <v>1E-3</v>
      </c>
      <c r="AU173" s="381">
        <v>1E-3</v>
      </c>
      <c r="AV173" s="381">
        <v>1E-3</v>
      </c>
      <c r="AW173" s="381">
        <v>1E-3</v>
      </c>
      <c r="AX173" s="335"/>
      <c r="AZ173" s="1097" t="s">
        <v>320</v>
      </c>
    </row>
    <row r="174" spans="1:52" x14ac:dyDescent="0.2">
      <c r="A174" s="1184">
        <v>166</v>
      </c>
      <c r="B174" s="1097" t="s">
        <v>121</v>
      </c>
      <c r="C174" s="1185">
        <v>159</v>
      </c>
      <c r="D174" s="1114">
        <v>87101474230</v>
      </c>
      <c r="E174" s="1520">
        <v>2</v>
      </c>
      <c r="F174" s="1517">
        <v>0</v>
      </c>
      <c r="G174" s="1251">
        <v>0</v>
      </c>
      <c r="H174" s="1240">
        <v>0</v>
      </c>
      <c r="I174" s="1147">
        <v>1E-3</v>
      </c>
      <c r="J174" s="383">
        <v>0</v>
      </c>
      <c r="K174" s="487">
        <v>1E-3</v>
      </c>
      <c r="L174" s="487">
        <v>0</v>
      </c>
      <c r="M174" s="927"/>
      <c r="N174" s="672">
        <v>0</v>
      </c>
      <c r="O174" s="389">
        <v>1E-3</v>
      </c>
      <c r="P174" s="1092">
        <v>0</v>
      </c>
      <c r="Q174" s="1093">
        <v>0</v>
      </c>
      <c r="R174" s="381">
        <v>0</v>
      </c>
      <c r="S174" s="382"/>
      <c r="T174" s="381"/>
      <c r="U174" s="624"/>
      <c r="V174" s="569">
        <v>0</v>
      </c>
      <c r="W174" s="607"/>
      <c r="X174" s="383"/>
      <c r="Y174" s="607"/>
      <c r="Z174" s="383"/>
      <c r="AA174" s="607"/>
      <c r="AB174" s="718"/>
      <c r="AC174" s="335"/>
      <c r="AD174" s="389">
        <v>1E-3</v>
      </c>
      <c r="AE174" s="381">
        <v>1E-3</v>
      </c>
      <c r="AF174" s="389">
        <v>1E-3</v>
      </c>
      <c r="AG174" s="381">
        <v>1E-3</v>
      </c>
      <c r="AH174" s="389">
        <v>1E-3</v>
      </c>
      <c r="AI174" s="381">
        <v>1E-3</v>
      </c>
      <c r="AJ174" s="389">
        <v>1E-3</v>
      </c>
      <c r="AK174" s="381">
        <v>1E-3</v>
      </c>
      <c r="AL174" s="381">
        <v>1E-3</v>
      </c>
      <c r="AM174" s="381">
        <v>1E-3</v>
      </c>
      <c r="AN174" s="381">
        <v>1E-3</v>
      </c>
      <c r="AO174" s="381">
        <v>1E-3</v>
      </c>
      <c r="AP174" s="381">
        <v>1E-3</v>
      </c>
      <c r="AQ174" s="381">
        <v>1E-3</v>
      </c>
      <c r="AR174" s="381">
        <v>1E-3</v>
      </c>
      <c r="AS174" s="381">
        <v>1E-3</v>
      </c>
      <c r="AT174" s="381">
        <v>1E-3</v>
      </c>
      <c r="AU174" s="381">
        <v>1E-3</v>
      </c>
      <c r="AV174" s="381">
        <v>1E-3</v>
      </c>
      <c r="AW174" s="381">
        <v>1E-3</v>
      </c>
      <c r="AX174" s="335"/>
      <c r="AZ174" s="1393" t="s">
        <v>121</v>
      </c>
    </row>
    <row r="175" spans="1:52" x14ac:dyDescent="0.2">
      <c r="A175" s="1184">
        <v>167</v>
      </c>
      <c r="B175" s="1097" t="s">
        <v>122</v>
      </c>
      <c r="C175" s="1185">
        <v>160</v>
      </c>
      <c r="D175" s="1114">
        <v>71368472</v>
      </c>
      <c r="E175" s="1520">
        <v>1</v>
      </c>
      <c r="F175" s="1517">
        <v>0</v>
      </c>
      <c r="G175" s="1251">
        <v>0</v>
      </c>
      <c r="H175" s="1240">
        <v>0</v>
      </c>
      <c r="I175" s="1147">
        <v>1E-3</v>
      </c>
      <c r="J175" s="383">
        <v>0</v>
      </c>
      <c r="K175" s="487">
        <v>1E-3</v>
      </c>
      <c r="L175" s="487">
        <v>0</v>
      </c>
      <c r="M175" s="927"/>
      <c r="N175" s="672">
        <v>0</v>
      </c>
      <c r="O175" s="389">
        <v>1E-3</v>
      </c>
      <c r="P175" s="1092">
        <v>0</v>
      </c>
      <c r="Q175" s="1093">
        <v>0</v>
      </c>
      <c r="R175" s="381">
        <v>0</v>
      </c>
      <c r="S175" s="382"/>
      <c r="T175" s="381"/>
      <c r="U175" s="624"/>
      <c r="V175" s="569">
        <v>0</v>
      </c>
      <c r="W175" s="607"/>
      <c r="X175" s="383"/>
      <c r="Y175" s="607"/>
      <c r="Z175" s="383"/>
      <c r="AA175" s="607"/>
      <c r="AB175" s="718"/>
      <c r="AC175" s="335"/>
      <c r="AD175" s="389">
        <v>1E-3</v>
      </c>
      <c r="AE175" s="381">
        <v>1E-3</v>
      </c>
      <c r="AF175" s="389">
        <v>1E-3</v>
      </c>
      <c r="AG175" s="381">
        <v>1E-3</v>
      </c>
      <c r="AH175" s="389">
        <v>1E-3</v>
      </c>
      <c r="AI175" s="381">
        <v>1E-3</v>
      </c>
      <c r="AJ175" s="389">
        <v>1E-3</v>
      </c>
      <c r="AK175" s="381">
        <v>1E-3</v>
      </c>
      <c r="AL175" s="381">
        <v>1E-3</v>
      </c>
      <c r="AM175" s="381">
        <v>1E-3</v>
      </c>
      <c r="AN175" s="381">
        <v>1E-3</v>
      </c>
      <c r="AO175" s="381">
        <v>1E-3</v>
      </c>
      <c r="AP175" s="381">
        <v>1E-3</v>
      </c>
      <c r="AQ175" s="381">
        <v>1E-3</v>
      </c>
      <c r="AR175" s="381">
        <v>1E-3</v>
      </c>
      <c r="AS175" s="381">
        <v>1E-3</v>
      </c>
      <c r="AT175" s="381">
        <v>1E-3</v>
      </c>
      <c r="AU175" s="381">
        <v>1E-3</v>
      </c>
      <c r="AV175" s="381">
        <v>1E-3</v>
      </c>
      <c r="AW175" s="381">
        <v>1E-3</v>
      </c>
      <c r="AX175" s="335"/>
      <c r="AZ175" s="1393" t="s">
        <v>122</v>
      </c>
    </row>
    <row r="176" spans="1:52" x14ac:dyDescent="0.2">
      <c r="A176" s="1184">
        <v>168</v>
      </c>
      <c r="B176" s="1097" t="s">
        <v>125</v>
      </c>
      <c r="C176" s="1185">
        <v>165</v>
      </c>
      <c r="D176" s="1114">
        <v>32404117</v>
      </c>
      <c r="E176" s="1520">
        <v>4</v>
      </c>
      <c r="F176" s="1517">
        <v>0</v>
      </c>
      <c r="G176" s="1251">
        <v>0</v>
      </c>
      <c r="H176" s="1240">
        <v>0</v>
      </c>
      <c r="I176" s="1147">
        <v>1E-3</v>
      </c>
      <c r="J176" s="383">
        <v>0</v>
      </c>
      <c r="K176" s="487">
        <v>1E-3</v>
      </c>
      <c r="L176" s="487">
        <v>0</v>
      </c>
      <c r="M176" s="927"/>
      <c r="N176" s="672">
        <v>0</v>
      </c>
      <c r="O176" s="389">
        <v>1E-3</v>
      </c>
      <c r="P176" s="1092">
        <v>0</v>
      </c>
      <c r="Q176" s="1093">
        <v>0</v>
      </c>
      <c r="R176" s="381">
        <v>0</v>
      </c>
      <c r="S176" s="382"/>
      <c r="T176" s="381"/>
      <c r="U176" s="624"/>
      <c r="V176" s="569">
        <v>0</v>
      </c>
      <c r="W176" s="607"/>
      <c r="X176" s="383"/>
      <c r="Y176" s="607"/>
      <c r="Z176" s="383"/>
      <c r="AA176" s="607"/>
      <c r="AB176" s="718"/>
      <c r="AC176" s="335"/>
      <c r="AD176" s="389">
        <v>1E-3</v>
      </c>
      <c r="AE176" s="381">
        <v>1E-3</v>
      </c>
      <c r="AF176" s="389">
        <v>1E-3</v>
      </c>
      <c r="AG176" s="381">
        <v>1E-3</v>
      </c>
      <c r="AH176" s="389">
        <v>1E-3</v>
      </c>
      <c r="AI176" s="381">
        <v>1E-3</v>
      </c>
      <c r="AJ176" s="389">
        <v>1E-3</v>
      </c>
      <c r="AK176" s="381">
        <v>1E-3</v>
      </c>
      <c r="AL176" s="381">
        <v>1E-3</v>
      </c>
      <c r="AM176" s="381">
        <v>1E-3</v>
      </c>
      <c r="AN176" s="381">
        <v>1E-3</v>
      </c>
      <c r="AO176" s="381">
        <v>1E-3</v>
      </c>
      <c r="AP176" s="381">
        <v>1E-3</v>
      </c>
      <c r="AQ176" s="381">
        <v>1E-3</v>
      </c>
      <c r="AR176" s="381">
        <v>1E-3</v>
      </c>
      <c r="AS176" s="381">
        <v>1E-3</v>
      </c>
      <c r="AT176" s="381">
        <v>1E-3</v>
      </c>
      <c r="AU176" s="381">
        <v>1E-3</v>
      </c>
      <c r="AV176" s="381">
        <v>1E-3</v>
      </c>
      <c r="AW176" s="381">
        <v>1E-3</v>
      </c>
      <c r="AX176" s="335"/>
      <c r="AZ176" s="1393" t="s">
        <v>125</v>
      </c>
    </row>
    <row r="177" spans="1:52" x14ac:dyDescent="0.2">
      <c r="A177" s="1184">
        <v>169</v>
      </c>
      <c r="B177" s="1097" t="s">
        <v>126</v>
      </c>
      <c r="C177" s="1185">
        <v>166</v>
      </c>
      <c r="D177" s="1114">
        <v>8248980</v>
      </c>
      <c r="E177" s="1520">
        <v>8</v>
      </c>
      <c r="F177" s="1517">
        <v>500000</v>
      </c>
      <c r="G177" s="1251">
        <v>0</v>
      </c>
      <c r="H177" s="1240">
        <v>500000</v>
      </c>
      <c r="I177" s="1147">
        <v>1E-3</v>
      </c>
      <c r="J177" s="383">
        <v>0</v>
      </c>
      <c r="K177" s="487">
        <v>1E-3</v>
      </c>
      <c r="L177" s="487">
        <v>0</v>
      </c>
      <c r="M177" s="927"/>
      <c r="N177" s="672">
        <v>0</v>
      </c>
      <c r="O177" s="389">
        <v>1E-3</v>
      </c>
      <c r="P177" s="1092">
        <v>0</v>
      </c>
      <c r="Q177" s="1093">
        <v>0</v>
      </c>
      <c r="R177" s="1590">
        <v>500000</v>
      </c>
      <c r="S177" s="382"/>
      <c r="T177" s="381"/>
      <c r="U177" s="624"/>
      <c r="V177" s="569">
        <v>0</v>
      </c>
      <c r="W177" s="607"/>
      <c r="X177" s="383"/>
      <c r="Y177" s="607"/>
      <c r="Z177" s="383"/>
      <c r="AA177" s="607"/>
      <c r="AB177" s="718"/>
      <c r="AC177" s="335"/>
      <c r="AD177" s="389">
        <v>1E-3</v>
      </c>
      <c r="AE177" s="381">
        <v>1E-3</v>
      </c>
      <c r="AF177" s="389">
        <v>1E-3</v>
      </c>
      <c r="AG177" s="381">
        <v>1E-3</v>
      </c>
      <c r="AH177" s="389">
        <v>1E-3</v>
      </c>
      <c r="AI177" s="381">
        <v>1E-3</v>
      </c>
      <c r="AJ177" s="389">
        <v>1E-3</v>
      </c>
      <c r="AK177" s="381">
        <v>1E-3</v>
      </c>
      <c r="AL177" s="381">
        <v>1E-3</v>
      </c>
      <c r="AM177" s="381">
        <v>1E-3</v>
      </c>
      <c r="AN177" s="381">
        <v>1E-3</v>
      </c>
      <c r="AO177" s="381">
        <v>1E-3</v>
      </c>
      <c r="AP177" s="381">
        <v>1E-3</v>
      </c>
      <c r="AQ177" s="381">
        <v>1E-3</v>
      </c>
      <c r="AR177" s="381">
        <v>1E-3</v>
      </c>
      <c r="AS177" s="381">
        <v>1E-3</v>
      </c>
      <c r="AT177" s="381">
        <v>1E-3</v>
      </c>
      <c r="AU177" s="381">
        <v>1E-3</v>
      </c>
      <c r="AV177" s="381">
        <v>1E-3</v>
      </c>
      <c r="AW177" s="381">
        <v>1E-3</v>
      </c>
      <c r="AX177" s="335"/>
      <c r="AZ177" s="1393" t="s">
        <v>126</v>
      </c>
    </row>
    <row r="178" spans="1:52" x14ac:dyDescent="0.2">
      <c r="A178" s="1184">
        <v>170</v>
      </c>
      <c r="B178" s="1097" t="s">
        <v>127</v>
      </c>
      <c r="C178" s="1185">
        <v>167</v>
      </c>
      <c r="D178" s="1114">
        <v>8290656</v>
      </c>
      <c r="E178" s="1520">
        <v>3</v>
      </c>
      <c r="F178" s="1517">
        <v>0</v>
      </c>
      <c r="G178" s="1251">
        <v>0</v>
      </c>
      <c r="H178" s="1240">
        <v>0</v>
      </c>
      <c r="I178" s="1147">
        <v>1E-3</v>
      </c>
      <c r="J178" s="383">
        <v>0</v>
      </c>
      <c r="K178" s="487">
        <v>1E-3</v>
      </c>
      <c r="L178" s="487">
        <v>0</v>
      </c>
      <c r="M178" s="927"/>
      <c r="N178" s="672">
        <v>0</v>
      </c>
      <c r="O178" s="389">
        <v>1E-3</v>
      </c>
      <c r="P178" s="1092">
        <v>0</v>
      </c>
      <c r="Q178" s="1093">
        <v>0</v>
      </c>
      <c r="R178" s="381">
        <v>0</v>
      </c>
      <c r="S178" s="382"/>
      <c r="T178" s="381"/>
      <c r="U178" s="624"/>
      <c r="V178" s="569">
        <v>0</v>
      </c>
      <c r="W178" s="607"/>
      <c r="X178" s="383"/>
      <c r="Y178" s="607"/>
      <c r="Z178" s="383"/>
      <c r="AA178" s="607"/>
      <c r="AB178" s="718"/>
      <c r="AC178" s="335"/>
      <c r="AD178" s="389">
        <v>1E-3</v>
      </c>
      <c r="AE178" s="381">
        <v>1E-3</v>
      </c>
      <c r="AF178" s="389">
        <v>1E-3</v>
      </c>
      <c r="AG178" s="381">
        <v>1E-3</v>
      </c>
      <c r="AH178" s="389">
        <v>1E-3</v>
      </c>
      <c r="AI178" s="381">
        <v>1E-3</v>
      </c>
      <c r="AJ178" s="389">
        <v>1E-3</v>
      </c>
      <c r="AK178" s="381">
        <v>1E-3</v>
      </c>
      <c r="AL178" s="381">
        <v>1E-3</v>
      </c>
      <c r="AM178" s="381">
        <v>1E-3</v>
      </c>
      <c r="AN178" s="381">
        <v>1E-3</v>
      </c>
      <c r="AO178" s="381">
        <v>1E-3</v>
      </c>
      <c r="AP178" s="381">
        <v>1E-3</v>
      </c>
      <c r="AQ178" s="381">
        <v>1E-3</v>
      </c>
      <c r="AR178" s="381">
        <v>1E-3</v>
      </c>
      <c r="AS178" s="381">
        <v>1E-3</v>
      </c>
      <c r="AT178" s="381">
        <v>1E-3</v>
      </c>
      <c r="AU178" s="381">
        <v>1E-3</v>
      </c>
      <c r="AV178" s="381">
        <v>1E-3</v>
      </c>
      <c r="AW178" s="381">
        <v>1E-3</v>
      </c>
      <c r="AX178" s="335"/>
      <c r="AZ178" s="1393" t="s">
        <v>127</v>
      </c>
    </row>
    <row r="179" spans="1:52" x14ac:dyDescent="0.2">
      <c r="A179" s="1184">
        <v>171</v>
      </c>
      <c r="B179" s="1097" t="s">
        <v>128</v>
      </c>
      <c r="C179" s="1185">
        <v>168</v>
      </c>
      <c r="D179" s="1114">
        <v>32524963</v>
      </c>
      <c r="E179" s="1520">
        <v>3</v>
      </c>
      <c r="F179" s="1517">
        <v>631552</v>
      </c>
      <c r="G179" s="1251">
        <v>0</v>
      </c>
      <c r="H179" s="1240">
        <v>631552</v>
      </c>
      <c r="I179" s="1148">
        <v>3</v>
      </c>
      <c r="J179" s="383">
        <v>371552</v>
      </c>
      <c r="K179" s="487">
        <v>1E-3</v>
      </c>
      <c r="L179" s="487">
        <v>0</v>
      </c>
      <c r="M179" s="927"/>
      <c r="N179" s="672">
        <v>0</v>
      </c>
      <c r="O179" s="389" t="s">
        <v>318</v>
      </c>
      <c r="P179" s="1092">
        <v>130000</v>
      </c>
      <c r="Q179" s="1093">
        <v>0</v>
      </c>
      <c r="R179" s="1585">
        <v>130000</v>
      </c>
      <c r="S179" s="382"/>
      <c r="T179" s="381"/>
      <c r="U179" s="624"/>
      <c r="V179" s="569">
        <v>0</v>
      </c>
      <c r="W179" s="607"/>
      <c r="X179" s="383"/>
      <c r="Y179" s="607"/>
      <c r="Z179" s="383"/>
      <c r="AA179" s="607"/>
      <c r="AB179" s="718"/>
      <c r="AC179" s="335"/>
      <c r="AD179" s="389">
        <v>3</v>
      </c>
      <c r="AE179" s="381">
        <v>340000</v>
      </c>
      <c r="AF179" s="389">
        <v>1E-3</v>
      </c>
      <c r="AG179" s="381">
        <v>0</v>
      </c>
      <c r="AH179" s="389">
        <v>1E-3</v>
      </c>
      <c r="AI179" s="381">
        <v>0</v>
      </c>
      <c r="AJ179" s="389" t="s">
        <v>318</v>
      </c>
      <c r="AK179" s="381">
        <v>120000</v>
      </c>
      <c r="AL179" s="381">
        <v>1E-3</v>
      </c>
      <c r="AM179" s="381">
        <v>1E-3</v>
      </c>
      <c r="AN179" s="381">
        <v>1E-3</v>
      </c>
      <c r="AO179" s="381">
        <v>1E-3</v>
      </c>
      <c r="AP179" s="381">
        <v>1E-3</v>
      </c>
      <c r="AQ179" s="381">
        <v>1E-3</v>
      </c>
      <c r="AR179" s="381">
        <v>1E-3</v>
      </c>
      <c r="AS179" s="381">
        <v>1E-3</v>
      </c>
      <c r="AT179" s="381">
        <v>1E-3</v>
      </c>
      <c r="AU179" s="381">
        <v>1E-3</v>
      </c>
      <c r="AV179" s="381">
        <v>1E-3</v>
      </c>
      <c r="AW179" s="381">
        <v>1E-3</v>
      </c>
      <c r="AX179" s="335"/>
      <c r="AZ179" s="1393" t="s">
        <v>128</v>
      </c>
    </row>
    <row r="180" spans="1:52" x14ac:dyDescent="0.2">
      <c r="A180" s="1184">
        <v>172</v>
      </c>
      <c r="B180" s="1137" t="s">
        <v>368</v>
      </c>
      <c r="C180" s="1185">
        <v>35</v>
      </c>
      <c r="D180" s="1114">
        <v>800178231</v>
      </c>
      <c r="E180" s="1520">
        <v>1</v>
      </c>
      <c r="F180" s="1517">
        <v>0</v>
      </c>
      <c r="G180" s="1251">
        <v>0</v>
      </c>
      <c r="H180" s="1240">
        <v>0</v>
      </c>
      <c r="I180" s="1147">
        <v>1E-3</v>
      </c>
      <c r="J180" s="383">
        <v>0</v>
      </c>
      <c r="K180" s="487">
        <v>1E-3</v>
      </c>
      <c r="L180" s="487">
        <v>0</v>
      </c>
      <c r="M180" s="927"/>
      <c r="N180" s="672">
        <v>0</v>
      </c>
      <c r="O180" s="389">
        <v>1E-3</v>
      </c>
      <c r="P180" s="1092">
        <v>0</v>
      </c>
      <c r="Q180" s="1093">
        <v>0</v>
      </c>
      <c r="R180" s="381">
        <v>0</v>
      </c>
      <c r="S180" s="382"/>
      <c r="T180" s="381"/>
      <c r="U180" s="624"/>
      <c r="V180" s="569">
        <v>0</v>
      </c>
      <c r="W180" s="607"/>
      <c r="X180" s="383"/>
      <c r="Y180" s="607"/>
      <c r="Z180" s="383"/>
      <c r="AA180" s="607"/>
      <c r="AB180" s="718"/>
      <c r="AC180" s="335"/>
      <c r="AD180" s="389">
        <v>1E-3</v>
      </c>
      <c r="AE180" s="381">
        <v>1E-3</v>
      </c>
      <c r="AF180" s="389">
        <v>1E-3</v>
      </c>
      <c r="AG180" s="381">
        <v>1E-3</v>
      </c>
      <c r="AH180" s="389">
        <v>1E-3</v>
      </c>
      <c r="AI180" s="381">
        <v>1E-3</v>
      </c>
      <c r="AJ180" s="389">
        <v>1E-3</v>
      </c>
      <c r="AK180" s="381">
        <v>1E-3</v>
      </c>
      <c r="AL180" s="381">
        <v>1E-3</v>
      </c>
      <c r="AM180" s="381">
        <v>1E-3</v>
      </c>
      <c r="AN180" s="381">
        <v>1E-3</v>
      </c>
      <c r="AO180" s="381">
        <v>1E-3</v>
      </c>
      <c r="AP180" s="381">
        <v>1E-3</v>
      </c>
      <c r="AQ180" s="381">
        <v>1E-3</v>
      </c>
      <c r="AR180" s="381">
        <v>1E-3</v>
      </c>
      <c r="AS180" s="381">
        <v>1E-3</v>
      </c>
      <c r="AT180" s="381">
        <v>1E-3</v>
      </c>
      <c r="AU180" s="381">
        <v>1E-3</v>
      </c>
      <c r="AV180" s="381">
        <v>1E-3</v>
      </c>
      <c r="AW180" s="381">
        <v>1E-3</v>
      </c>
      <c r="AX180" s="335"/>
      <c r="AZ180" s="1137" t="s">
        <v>368</v>
      </c>
    </row>
    <row r="181" spans="1:52" x14ac:dyDescent="0.2">
      <c r="A181" s="1184">
        <v>173</v>
      </c>
      <c r="B181" s="1097" t="s">
        <v>767</v>
      </c>
      <c r="C181" s="1185">
        <v>308</v>
      </c>
      <c r="D181" s="1114">
        <v>39295015</v>
      </c>
      <c r="E181" s="1520">
        <v>8</v>
      </c>
      <c r="F181" s="1517">
        <v>0</v>
      </c>
      <c r="G181" s="1251">
        <v>0</v>
      </c>
      <c r="H181" s="1240">
        <v>0</v>
      </c>
      <c r="I181" s="1147">
        <v>1E-3</v>
      </c>
      <c r="J181" s="383">
        <v>0</v>
      </c>
      <c r="K181" s="487">
        <v>1E-3</v>
      </c>
      <c r="L181" s="487">
        <v>0</v>
      </c>
      <c r="M181" s="927"/>
      <c r="N181" s="672">
        <v>0</v>
      </c>
      <c r="O181" s="389">
        <v>1E-3</v>
      </c>
      <c r="P181" s="1092">
        <v>0</v>
      </c>
      <c r="Q181" s="1093">
        <v>0</v>
      </c>
      <c r="R181" s="381">
        <v>0</v>
      </c>
      <c r="S181" s="382"/>
      <c r="T181" s="381"/>
      <c r="U181" s="624"/>
      <c r="V181" s="569">
        <v>0</v>
      </c>
      <c r="W181" s="607"/>
      <c r="X181" s="383"/>
      <c r="Y181" s="607"/>
      <c r="Z181" s="383"/>
      <c r="AA181" s="607"/>
      <c r="AB181" s="718"/>
      <c r="AC181" s="335"/>
      <c r="AD181" s="389">
        <v>1E-3</v>
      </c>
      <c r="AE181" s="381">
        <v>1E-3</v>
      </c>
      <c r="AF181" s="389">
        <v>1E-3</v>
      </c>
      <c r="AG181" s="381">
        <v>1E-3</v>
      </c>
      <c r="AH181" s="389">
        <v>1E-3</v>
      </c>
      <c r="AI181" s="381">
        <v>1E-3</v>
      </c>
      <c r="AJ181" s="389">
        <v>1E-3</v>
      </c>
      <c r="AK181" s="381">
        <v>1E-3</v>
      </c>
      <c r="AL181" s="381">
        <v>1E-3</v>
      </c>
      <c r="AM181" s="381">
        <v>1E-3</v>
      </c>
      <c r="AN181" s="381">
        <v>1E-3</v>
      </c>
      <c r="AO181" s="381">
        <v>1E-3</v>
      </c>
      <c r="AP181" s="381">
        <v>1E-3</v>
      </c>
      <c r="AQ181" s="381">
        <v>1E-3</v>
      </c>
      <c r="AR181" s="381">
        <v>1E-3</v>
      </c>
      <c r="AS181" s="381">
        <v>1E-3</v>
      </c>
      <c r="AT181" s="381">
        <v>1E-3</v>
      </c>
      <c r="AU181" s="381">
        <v>1E-3</v>
      </c>
      <c r="AV181" s="381">
        <v>1E-3</v>
      </c>
      <c r="AW181" s="381">
        <v>1E-3</v>
      </c>
      <c r="AX181" s="335"/>
      <c r="AZ181" s="1097" t="s">
        <v>767</v>
      </c>
    </row>
    <row r="182" spans="1:52" x14ac:dyDescent="0.2">
      <c r="A182" s="1184">
        <v>174</v>
      </c>
      <c r="B182" s="1097" t="s">
        <v>607</v>
      </c>
      <c r="C182" s="1185">
        <v>237</v>
      </c>
      <c r="D182" s="1114">
        <v>1128457837</v>
      </c>
      <c r="E182" s="1520">
        <v>5</v>
      </c>
      <c r="F182" s="1517">
        <v>0</v>
      </c>
      <c r="G182" s="1251">
        <v>0</v>
      </c>
      <c r="H182" s="1240">
        <v>0</v>
      </c>
      <c r="I182" s="1147">
        <v>1E-3</v>
      </c>
      <c r="J182" s="383">
        <v>0</v>
      </c>
      <c r="K182" s="487">
        <v>1E-3</v>
      </c>
      <c r="L182" s="487">
        <v>0</v>
      </c>
      <c r="M182" s="927"/>
      <c r="N182" s="672">
        <v>0</v>
      </c>
      <c r="O182" s="389">
        <v>1E-3</v>
      </c>
      <c r="P182" s="1092">
        <v>0</v>
      </c>
      <c r="Q182" s="1093">
        <v>0</v>
      </c>
      <c r="R182" s="381">
        <v>0</v>
      </c>
      <c r="S182" s="382"/>
      <c r="T182" s="381"/>
      <c r="U182" s="624"/>
      <c r="V182" s="569">
        <v>0</v>
      </c>
      <c r="W182" s="607"/>
      <c r="X182" s="383"/>
      <c r="Y182" s="607"/>
      <c r="Z182" s="383"/>
      <c r="AA182" s="607"/>
      <c r="AB182" s="718"/>
      <c r="AC182" s="335"/>
      <c r="AD182" s="389">
        <v>1E-3</v>
      </c>
      <c r="AE182" s="381">
        <v>1E-3</v>
      </c>
      <c r="AF182" s="389">
        <v>1E-3</v>
      </c>
      <c r="AG182" s="381">
        <v>1E-3</v>
      </c>
      <c r="AH182" s="389">
        <v>1E-3</v>
      </c>
      <c r="AI182" s="381">
        <v>1E-3</v>
      </c>
      <c r="AJ182" s="389">
        <v>1E-3</v>
      </c>
      <c r="AK182" s="381">
        <v>1E-3</v>
      </c>
      <c r="AL182" s="381">
        <v>1E-3</v>
      </c>
      <c r="AM182" s="381">
        <v>1E-3</v>
      </c>
      <c r="AN182" s="381">
        <v>1E-3</v>
      </c>
      <c r="AO182" s="381">
        <v>1E-3</v>
      </c>
      <c r="AP182" s="381">
        <v>1E-3</v>
      </c>
      <c r="AQ182" s="381">
        <v>1E-3</v>
      </c>
      <c r="AR182" s="381">
        <v>1E-3</v>
      </c>
      <c r="AS182" s="381">
        <v>1E-3</v>
      </c>
      <c r="AT182" s="381">
        <v>1E-3</v>
      </c>
      <c r="AU182" s="381">
        <v>1E-3</v>
      </c>
      <c r="AV182" s="381">
        <v>1E-3</v>
      </c>
      <c r="AW182" s="381">
        <v>1E-3</v>
      </c>
      <c r="AX182" s="335"/>
      <c r="AZ182" s="1097" t="s">
        <v>607</v>
      </c>
    </row>
    <row r="183" spans="1:52" x14ac:dyDescent="0.2">
      <c r="A183" s="1184">
        <v>175</v>
      </c>
      <c r="B183" s="1137" t="s">
        <v>130</v>
      </c>
      <c r="C183" s="1185">
        <v>298</v>
      </c>
      <c r="D183" s="1114">
        <v>71728652</v>
      </c>
      <c r="E183" s="1520">
        <v>6</v>
      </c>
      <c r="F183" s="1517">
        <v>70000</v>
      </c>
      <c r="G183" s="1251">
        <v>0</v>
      </c>
      <c r="H183" s="1240">
        <v>70000</v>
      </c>
      <c r="I183" s="1147">
        <v>1E-3</v>
      </c>
      <c r="J183" s="383">
        <v>0</v>
      </c>
      <c r="K183" s="487">
        <v>1E-3</v>
      </c>
      <c r="L183" s="487">
        <v>0</v>
      </c>
      <c r="M183" s="927"/>
      <c r="N183" s="672">
        <v>0</v>
      </c>
      <c r="O183" s="389" t="s">
        <v>318</v>
      </c>
      <c r="P183" s="1092">
        <v>70000</v>
      </c>
      <c r="Q183" s="1093">
        <v>0</v>
      </c>
      <c r="R183" s="381">
        <v>0</v>
      </c>
      <c r="S183" s="382"/>
      <c r="T183" s="381"/>
      <c r="U183" s="624"/>
      <c r="V183" s="569">
        <v>0</v>
      </c>
      <c r="W183" s="607"/>
      <c r="X183" s="383"/>
      <c r="Y183" s="607"/>
      <c r="Z183" s="383"/>
      <c r="AA183" s="607"/>
      <c r="AB183" s="718"/>
      <c r="AC183" s="335"/>
      <c r="AD183" s="389">
        <v>1</v>
      </c>
      <c r="AE183" s="381">
        <v>115749.65086720001</v>
      </c>
      <c r="AF183" s="389">
        <v>1E-3</v>
      </c>
      <c r="AG183" s="381">
        <v>0</v>
      </c>
      <c r="AH183" s="389">
        <v>1E-3</v>
      </c>
      <c r="AI183" s="381">
        <v>0</v>
      </c>
      <c r="AJ183" s="389" t="s">
        <v>318</v>
      </c>
      <c r="AK183" s="381">
        <v>60000</v>
      </c>
      <c r="AL183" s="381">
        <v>1E-3</v>
      </c>
      <c r="AM183" s="381">
        <v>1E-3</v>
      </c>
      <c r="AN183" s="381">
        <v>1E-3</v>
      </c>
      <c r="AO183" s="381">
        <v>1E-3</v>
      </c>
      <c r="AP183" s="381">
        <v>1E-3</v>
      </c>
      <c r="AQ183" s="381">
        <v>1E-3</v>
      </c>
      <c r="AR183" s="381">
        <v>1E-3</v>
      </c>
      <c r="AS183" s="381">
        <v>1E-3</v>
      </c>
      <c r="AT183" s="381">
        <v>1E-3</v>
      </c>
      <c r="AU183" s="381">
        <v>1E-3</v>
      </c>
      <c r="AV183" s="381">
        <v>1E-3</v>
      </c>
      <c r="AW183" s="381">
        <v>1E-3</v>
      </c>
      <c r="AX183" s="335"/>
      <c r="AZ183" s="1137" t="s">
        <v>130</v>
      </c>
    </row>
    <row r="184" spans="1:52" x14ac:dyDescent="0.2">
      <c r="A184" s="1184">
        <v>176</v>
      </c>
      <c r="B184" s="1097" t="s">
        <v>131</v>
      </c>
      <c r="C184" s="1185">
        <v>169</v>
      </c>
      <c r="D184" s="1114">
        <v>675024</v>
      </c>
      <c r="E184" s="1520">
        <v>3</v>
      </c>
      <c r="F184" s="1517">
        <v>0</v>
      </c>
      <c r="G184" s="1251">
        <v>0</v>
      </c>
      <c r="H184" s="1240">
        <v>0</v>
      </c>
      <c r="I184" s="1147">
        <v>1E-3</v>
      </c>
      <c r="J184" s="383">
        <v>0</v>
      </c>
      <c r="K184" s="487">
        <v>1E-3</v>
      </c>
      <c r="L184" s="487">
        <v>0</v>
      </c>
      <c r="M184" s="927"/>
      <c r="N184" s="672">
        <v>0</v>
      </c>
      <c r="O184" s="389">
        <v>1E-3</v>
      </c>
      <c r="P184" s="1092">
        <v>0</v>
      </c>
      <c r="Q184" s="1093">
        <v>0</v>
      </c>
      <c r="R184" s="381">
        <v>0</v>
      </c>
      <c r="S184" s="382"/>
      <c r="T184" s="381"/>
      <c r="U184" s="624"/>
      <c r="V184" s="569">
        <v>0</v>
      </c>
      <c r="W184" s="607"/>
      <c r="X184" s="383"/>
      <c r="Y184" s="607"/>
      <c r="Z184" s="383"/>
      <c r="AA184" s="607"/>
      <c r="AB184" s="718"/>
      <c r="AC184" s="335"/>
      <c r="AD184" s="389">
        <v>1E-3</v>
      </c>
      <c r="AE184" s="381">
        <v>1E-3</v>
      </c>
      <c r="AF184" s="389">
        <v>1E-3</v>
      </c>
      <c r="AG184" s="381">
        <v>1E-3</v>
      </c>
      <c r="AH184" s="389">
        <v>1E-3</v>
      </c>
      <c r="AI184" s="381">
        <v>1E-3</v>
      </c>
      <c r="AJ184" s="389">
        <v>1E-3</v>
      </c>
      <c r="AK184" s="381">
        <v>1E-3</v>
      </c>
      <c r="AL184" s="381">
        <v>1E-3</v>
      </c>
      <c r="AM184" s="381">
        <v>1E-3</v>
      </c>
      <c r="AN184" s="381">
        <v>1E-3</v>
      </c>
      <c r="AO184" s="381">
        <v>1E-3</v>
      </c>
      <c r="AP184" s="381">
        <v>1E-3</v>
      </c>
      <c r="AQ184" s="381">
        <v>1E-3</v>
      </c>
      <c r="AR184" s="381">
        <v>1E-3</v>
      </c>
      <c r="AS184" s="381">
        <v>1E-3</v>
      </c>
      <c r="AT184" s="381">
        <v>1E-3</v>
      </c>
      <c r="AU184" s="381">
        <v>1E-3</v>
      </c>
      <c r="AV184" s="381">
        <v>1E-3</v>
      </c>
      <c r="AW184" s="381">
        <v>1E-3</v>
      </c>
      <c r="AX184" s="335"/>
      <c r="AZ184" s="1470" t="s">
        <v>131</v>
      </c>
    </row>
    <row r="185" spans="1:52" x14ac:dyDescent="0.2">
      <c r="A185" s="1184">
        <v>177</v>
      </c>
      <c r="B185" s="1097" t="s">
        <v>401</v>
      </c>
      <c r="C185" s="1185">
        <v>107</v>
      </c>
      <c r="D185" s="1114">
        <v>1152437125</v>
      </c>
      <c r="E185" s="1520">
        <v>1</v>
      </c>
      <c r="F185" s="1517">
        <v>0</v>
      </c>
      <c r="G185" s="1251">
        <v>0</v>
      </c>
      <c r="H185" s="1240">
        <v>0</v>
      </c>
      <c r="I185" s="1147">
        <v>1E-3</v>
      </c>
      <c r="J185" s="383">
        <v>0</v>
      </c>
      <c r="K185" s="487">
        <v>1E-3</v>
      </c>
      <c r="L185" s="487">
        <v>0</v>
      </c>
      <c r="M185" s="927"/>
      <c r="N185" s="672">
        <v>0</v>
      </c>
      <c r="O185" s="389">
        <v>1E-3</v>
      </c>
      <c r="P185" s="1092">
        <v>0</v>
      </c>
      <c r="Q185" s="1093">
        <v>0</v>
      </c>
      <c r="R185" s="381">
        <v>0</v>
      </c>
      <c r="S185" s="382"/>
      <c r="T185" s="381"/>
      <c r="U185" s="624"/>
      <c r="V185" s="569">
        <v>0</v>
      </c>
      <c r="W185" s="607"/>
      <c r="X185" s="383"/>
      <c r="Y185" s="607"/>
      <c r="Z185" s="383"/>
      <c r="AA185" s="607"/>
      <c r="AB185" s="718"/>
      <c r="AC185" s="335"/>
      <c r="AD185" s="389">
        <v>1E-3</v>
      </c>
      <c r="AE185" s="381">
        <v>1E-3</v>
      </c>
      <c r="AF185" s="389">
        <v>1E-3</v>
      </c>
      <c r="AG185" s="381">
        <v>1E-3</v>
      </c>
      <c r="AH185" s="389">
        <v>1E-3</v>
      </c>
      <c r="AI185" s="381">
        <v>1E-3</v>
      </c>
      <c r="AJ185" s="389">
        <v>1E-3</v>
      </c>
      <c r="AK185" s="381">
        <v>1E-3</v>
      </c>
      <c r="AL185" s="381">
        <v>1E-3</v>
      </c>
      <c r="AM185" s="381">
        <v>1E-3</v>
      </c>
      <c r="AN185" s="381">
        <v>1E-3</v>
      </c>
      <c r="AO185" s="381">
        <v>1E-3</v>
      </c>
      <c r="AP185" s="381">
        <v>1E-3</v>
      </c>
      <c r="AQ185" s="381">
        <v>1E-3</v>
      </c>
      <c r="AR185" s="381">
        <v>1E-3</v>
      </c>
      <c r="AS185" s="381">
        <v>1E-3</v>
      </c>
      <c r="AT185" s="381">
        <v>1E-3</v>
      </c>
      <c r="AU185" s="381">
        <v>1E-3</v>
      </c>
      <c r="AV185" s="381">
        <v>1E-3</v>
      </c>
      <c r="AW185" s="381">
        <v>1E-3</v>
      </c>
      <c r="AX185" s="335"/>
      <c r="AZ185" s="1393" t="s">
        <v>401</v>
      </c>
    </row>
    <row r="186" spans="1:52" x14ac:dyDescent="0.2">
      <c r="A186" s="1184">
        <v>178</v>
      </c>
      <c r="B186" s="1097" t="s">
        <v>648</v>
      </c>
      <c r="C186" s="1185">
        <v>229</v>
      </c>
      <c r="D186" s="1114">
        <v>1037624491</v>
      </c>
      <c r="E186" s="1520">
        <v>7</v>
      </c>
      <c r="F186" s="1517">
        <v>0</v>
      </c>
      <c r="G186" s="1251">
        <v>0</v>
      </c>
      <c r="H186" s="1240">
        <v>0</v>
      </c>
      <c r="I186" s="1147">
        <v>1E-3</v>
      </c>
      <c r="J186" s="383">
        <v>0</v>
      </c>
      <c r="K186" s="487">
        <v>1E-3</v>
      </c>
      <c r="L186" s="487">
        <v>0</v>
      </c>
      <c r="M186" s="927"/>
      <c r="N186" s="672">
        <v>0</v>
      </c>
      <c r="O186" s="389">
        <v>1E-3</v>
      </c>
      <c r="P186" s="1092">
        <v>0</v>
      </c>
      <c r="Q186" s="1093">
        <v>0</v>
      </c>
      <c r="R186" s="381">
        <v>0</v>
      </c>
      <c r="S186" s="382"/>
      <c r="T186" s="381"/>
      <c r="U186" s="624"/>
      <c r="V186" s="569">
        <v>0</v>
      </c>
      <c r="W186" s="607"/>
      <c r="X186" s="383"/>
      <c r="Y186" s="607"/>
      <c r="Z186" s="383"/>
      <c r="AA186" s="607"/>
      <c r="AB186" s="718"/>
      <c r="AC186" s="335"/>
      <c r="AD186" s="389">
        <v>1E-3</v>
      </c>
      <c r="AE186" s="381">
        <v>1E-3</v>
      </c>
      <c r="AF186" s="389">
        <v>1E-3</v>
      </c>
      <c r="AG186" s="381">
        <v>1E-3</v>
      </c>
      <c r="AH186" s="389">
        <v>1E-3</v>
      </c>
      <c r="AI186" s="381">
        <v>1E-3</v>
      </c>
      <c r="AJ186" s="389">
        <v>1E-3</v>
      </c>
      <c r="AK186" s="381">
        <v>1E-3</v>
      </c>
      <c r="AL186" s="381">
        <v>1E-3</v>
      </c>
      <c r="AM186" s="381">
        <v>1E-3</v>
      </c>
      <c r="AN186" s="381">
        <v>1E-3</v>
      </c>
      <c r="AO186" s="381">
        <v>1E-3</v>
      </c>
      <c r="AP186" s="381">
        <v>1E-3</v>
      </c>
      <c r="AQ186" s="381">
        <v>1E-3</v>
      </c>
      <c r="AR186" s="381">
        <v>1E-3</v>
      </c>
      <c r="AS186" s="381">
        <v>1E-3</v>
      </c>
      <c r="AT186" s="381">
        <v>1E-3</v>
      </c>
      <c r="AU186" s="381">
        <v>1E-3</v>
      </c>
      <c r="AV186" s="381">
        <v>1E-3</v>
      </c>
      <c r="AW186" s="381">
        <v>1E-3</v>
      </c>
      <c r="AX186" s="335"/>
      <c r="AZ186" s="1486" t="s">
        <v>648</v>
      </c>
    </row>
    <row r="187" spans="1:52" x14ac:dyDescent="0.2">
      <c r="A187" s="1184">
        <v>179</v>
      </c>
      <c r="B187" s="1097" t="s">
        <v>267</v>
      </c>
      <c r="C187" s="1185">
        <v>171</v>
      </c>
      <c r="D187" s="1114">
        <v>71660993</v>
      </c>
      <c r="E187" s="1520">
        <v>8</v>
      </c>
      <c r="F187" s="1517">
        <v>0</v>
      </c>
      <c r="G187" s="1251">
        <v>0</v>
      </c>
      <c r="H187" s="1240">
        <v>0</v>
      </c>
      <c r="I187" s="1147">
        <v>1E-3</v>
      </c>
      <c r="J187" s="383">
        <v>0</v>
      </c>
      <c r="K187" s="487">
        <v>1E-3</v>
      </c>
      <c r="L187" s="487">
        <v>0</v>
      </c>
      <c r="M187" s="927"/>
      <c r="N187" s="672">
        <v>0</v>
      </c>
      <c r="O187" s="389">
        <v>1E-3</v>
      </c>
      <c r="P187" s="1092">
        <v>0</v>
      </c>
      <c r="Q187" s="1093">
        <v>0</v>
      </c>
      <c r="R187" s="381">
        <v>0</v>
      </c>
      <c r="S187" s="382"/>
      <c r="T187" s="381"/>
      <c r="U187" s="624"/>
      <c r="V187" s="569">
        <v>0</v>
      </c>
      <c r="W187" s="607"/>
      <c r="X187" s="383"/>
      <c r="Y187" s="607"/>
      <c r="Z187" s="383"/>
      <c r="AA187" s="607"/>
      <c r="AB187" s="718"/>
      <c r="AC187" s="335"/>
      <c r="AD187" s="389">
        <v>1E-3</v>
      </c>
      <c r="AE187" s="381">
        <v>1E-3</v>
      </c>
      <c r="AF187" s="389">
        <v>1E-3</v>
      </c>
      <c r="AG187" s="381">
        <v>1E-3</v>
      </c>
      <c r="AH187" s="389">
        <v>1E-3</v>
      </c>
      <c r="AI187" s="381">
        <v>1E-3</v>
      </c>
      <c r="AJ187" s="389">
        <v>1E-3</v>
      </c>
      <c r="AK187" s="381">
        <v>1E-3</v>
      </c>
      <c r="AL187" s="381">
        <v>1E-3</v>
      </c>
      <c r="AM187" s="381">
        <v>1E-3</v>
      </c>
      <c r="AN187" s="381">
        <v>1E-3</v>
      </c>
      <c r="AO187" s="381">
        <v>1E-3</v>
      </c>
      <c r="AP187" s="381">
        <v>1E-3</v>
      </c>
      <c r="AQ187" s="381">
        <v>1E-3</v>
      </c>
      <c r="AR187" s="381">
        <v>1E-3</v>
      </c>
      <c r="AS187" s="381">
        <v>1E-3</v>
      </c>
      <c r="AT187" s="381">
        <v>1E-3</v>
      </c>
      <c r="AU187" s="381">
        <v>1E-3</v>
      </c>
      <c r="AV187" s="381">
        <v>1E-3</v>
      </c>
      <c r="AW187" s="381">
        <v>1E-3</v>
      </c>
      <c r="AX187" s="335"/>
      <c r="AZ187" s="1097" t="s">
        <v>267</v>
      </c>
    </row>
    <row r="188" spans="1:52" x14ac:dyDescent="0.2">
      <c r="A188" s="1184">
        <v>180</v>
      </c>
      <c r="B188" s="1097" t="s">
        <v>132</v>
      </c>
      <c r="C188" s="1185">
        <v>238</v>
      </c>
      <c r="D188" s="1114">
        <v>39456473</v>
      </c>
      <c r="E188" s="1520">
        <v>1</v>
      </c>
      <c r="F188" s="1517">
        <v>0</v>
      </c>
      <c r="G188" s="1251">
        <v>0</v>
      </c>
      <c r="H188" s="1240">
        <v>0</v>
      </c>
      <c r="I188" s="1147">
        <v>1E-3</v>
      </c>
      <c r="J188" s="383">
        <v>0</v>
      </c>
      <c r="K188" s="487">
        <v>1E-3</v>
      </c>
      <c r="L188" s="487">
        <v>0</v>
      </c>
      <c r="M188" s="927"/>
      <c r="N188" s="672">
        <v>0</v>
      </c>
      <c r="O188" s="389">
        <v>1E-3</v>
      </c>
      <c r="P188" s="1092">
        <v>0</v>
      </c>
      <c r="Q188" s="1093">
        <v>0</v>
      </c>
      <c r="R188" s="381">
        <v>0</v>
      </c>
      <c r="S188" s="382"/>
      <c r="T188" s="381"/>
      <c r="U188" s="624"/>
      <c r="V188" s="569">
        <v>0</v>
      </c>
      <c r="W188" s="607"/>
      <c r="X188" s="383"/>
      <c r="Y188" s="607"/>
      <c r="Z188" s="383"/>
      <c r="AA188" s="607"/>
      <c r="AB188" s="718"/>
      <c r="AC188" s="335"/>
      <c r="AD188" s="389">
        <v>1E-3</v>
      </c>
      <c r="AE188" s="381">
        <v>1E-3</v>
      </c>
      <c r="AF188" s="389">
        <v>1E-3</v>
      </c>
      <c r="AG188" s="381">
        <v>1E-3</v>
      </c>
      <c r="AH188" s="389">
        <v>1E-3</v>
      </c>
      <c r="AI188" s="381">
        <v>1E-3</v>
      </c>
      <c r="AJ188" s="389">
        <v>1E-3</v>
      </c>
      <c r="AK188" s="381">
        <v>1E-3</v>
      </c>
      <c r="AL188" s="381">
        <v>1E-3</v>
      </c>
      <c r="AM188" s="381">
        <v>1E-3</v>
      </c>
      <c r="AN188" s="381">
        <v>1E-3</v>
      </c>
      <c r="AO188" s="381">
        <v>1E-3</v>
      </c>
      <c r="AP188" s="381">
        <v>1E-3</v>
      </c>
      <c r="AQ188" s="381">
        <v>1E-3</v>
      </c>
      <c r="AR188" s="381">
        <v>1E-3</v>
      </c>
      <c r="AS188" s="381">
        <v>1E-3</v>
      </c>
      <c r="AT188" s="381">
        <v>1E-3</v>
      </c>
      <c r="AU188" s="381">
        <v>1E-3</v>
      </c>
      <c r="AV188" s="381">
        <v>1E-3</v>
      </c>
      <c r="AW188" s="381">
        <v>1E-3</v>
      </c>
      <c r="AX188" s="335"/>
      <c r="AZ188" s="1097" t="s">
        <v>132</v>
      </c>
    </row>
    <row r="189" spans="1:52" x14ac:dyDescent="0.2">
      <c r="A189" s="1184">
        <v>181</v>
      </c>
      <c r="B189" s="1097" t="s">
        <v>133</v>
      </c>
      <c r="C189" s="1185">
        <v>282</v>
      </c>
      <c r="D189" s="1114">
        <v>1128268578</v>
      </c>
      <c r="E189" s="1520">
        <v>1</v>
      </c>
      <c r="F189" s="1517">
        <v>0</v>
      </c>
      <c r="G189" s="1251">
        <v>0</v>
      </c>
      <c r="H189" s="1240">
        <v>0</v>
      </c>
      <c r="I189" s="1147">
        <v>1E-3</v>
      </c>
      <c r="J189" s="383">
        <v>0</v>
      </c>
      <c r="K189" s="487">
        <v>1E-3</v>
      </c>
      <c r="L189" s="487">
        <v>0</v>
      </c>
      <c r="M189" s="927"/>
      <c r="N189" s="672">
        <v>0</v>
      </c>
      <c r="O189" s="389">
        <v>1E-3</v>
      </c>
      <c r="P189" s="1092">
        <v>0</v>
      </c>
      <c r="Q189" s="1093">
        <v>0</v>
      </c>
      <c r="R189" s="381">
        <v>0</v>
      </c>
      <c r="S189" s="382"/>
      <c r="T189" s="381"/>
      <c r="U189" s="624"/>
      <c r="V189" s="569">
        <v>0</v>
      </c>
      <c r="W189" s="607"/>
      <c r="X189" s="383"/>
      <c r="Y189" s="607"/>
      <c r="Z189" s="383"/>
      <c r="AA189" s="607"/>
      <c r="AB189" s="718"/>
      <c r="AC189" s="335"/>
      <c r="AD189" s="389">
        <v>1E-3</v>
      </c>
      <c r="AE189" s="381">
        <v>1E-3</v>
      </c>
      <c r="AF189" s="389">
        <v>1E-3</v>
      </c>
      <c r="AG189" s="381">
        <v>1E-3</v>
      </c>
      <c r="AH189" s="389">
        <v>1E-3</v>
      </c>
      <c r="AI189" s="381">
        <v>1E-3</v>
      </c>
      <c r="AJ189" s="389">
        <v>1E-3</v>
      </c>
      <c r="AK189" s="381">
        <v>1E-3</v>
      </c>
      <c r="AL189" s="381">
        <v>1E-3</v>
      </c>
      <c r="AM189" s="381">
        <v>1E-3</v>
      </c>
      <c r="AN189" s="381">
        <v>1E-3</v>
      </c>
      <c r="AO189" s="381">
        <v>1E-3</v>
      </c>
      <c r="AP189" s="381">
        <v>1E-3</v>
      </c>
      <c r="AQ189" s="381">
        <v>1E-3</v>
      </c>
      <c r="AR189" s="381">
        <v>1E-3</v>
      </c>
      <c r="AS189" s="381">
        <v>1E-3</v>
      </c>
      <c r="AT189" s="381">
        <v>1E-3</v>
      </c>
      <c r="AU189" s="381">
        <v>1E-3</v>
      </c>
      <c r="AV189" s="381">
        <v>1E-3</v>
      </c>
      <c r="AW189" s="381">
        <v>1E-3</v>
      </c>
      <c r="AX189" s="335"/>
      <c r="AZ189" s="1097" t="s">
        <v>133</v>
      </c>
    </row>
    <row r="190" spans="1:52" x14ac:dyDescent="0.2">
      <c r="A190" s="1184">
        <v>182</v>
      </c>
      <c r="B190" s="1097" t="s">
        <v>135</v>
      </c>
      <c r="C190" s="1185">
        <v>173</v>
      </c>
      <c r="D190" s="1114">
        <v>32413027</v>
      </c>
      <c r="E190" s="1520">
        <v>8</v>
      </c>
      <c r="F190" s="1517">
        <v>373947.3499019469</v>
      </c>
      <c r="G190" s="1251">
        <v>0</v>
      </c>
      <c r="H190" s="1240">
        <v>373947.3499019469</v>
      </c>
      <c r="I190" s="1148">
        <v>3</v>
      </c>
      <c r="J190" s="383">
        <v>243947.3499019469</v>
      </c>
      <c r="K190" s="487">
        <v>1E-3</v>
      </c>
      <c r="L190" s="487">
        <v>0</v>
      </c>
      <c r="M190" s="927"/>
      <c r="N190" s="672">
        <v>0</v>
      </c>
      <c r="O190" s="389" t="s">
        <v>318</v>
      </c>
      <c r="P190" s="1092">
        <v>130000</v>
      </c>
      <c r="Q190" s="1093">
        <v>0</v>
      </c>
      <c r="R190" s="381">
        <v>0</v>
      </c>
      <c r="S190" s="382"/>
      <c r="T190" s="381"/>
      <c r="U190" s="624"/>
      <c r="V190" s="569">
        <v>0</v>
      </c>
      <c r="W190" s="607"/>
      <c r="X190" s="383"/>
      <c r="Y190" s="607"/>
      <c r="Z190" s="383"/>
      <c r="AA190" s="607"/>
      <c r="AB190" s="718"/>
      <c r="AC190" s="335"/>
      <c r="AD190" s="389">
        <v>3</v>
      </c>
      <c r="AE190" s="381">
        <v>223231.4695296</v>
      </c>
      <c r="AF190" s="389">
        <v>1E-3</v>
      </c>
      <c r="AG190" s="381">
        <v>0</v>
      </c>
      <c r="AH190" s="389">
        <v>1E-3</v>
      </c>
      <c r="AI190" s="381">
        <v>0</v>
      </c>
      <c r="AJ190" s="389" t="s">
        <v>318</v>
      </c>
      <c r="AK190" s="381">
        <v>120000</v>
      </c>
      <c r="AL190" s="381">
        <v>1E-3</v>
      </c>
      <c r="AM190" s="381">
        <v>1E-3</v>
      </c>
      <c r="AN190" s="381">
        <v>1E-3</v>
      </c>
      <c r="AO190" s="381">
        <v>1E-3</v>
      </c>
      <c r="AP190" s="381">
        <v>1E-3</v>
      </c>
      <c r="AQ190" s="381">
        <v>1E-3</v>
      </c>
      <c r="AR190" s="381">
        <v>1E-3</v>
      </c>
      <c r="AS190" s="381">
        <v>1E-3</v>
      </c>
      <c r="AT190" s="381">
        <v>1E-3</v>
      </c>
      <c r="AU190" s="381">
        <v>1E-3</v>
      </c>
      <c r="AV190" s="381">
        <v>1E-3</v>
      </c>
      <c r="AW190" s="381">
        <v>1E-3</v>
      </c>
      <c r="AX190" s="335"/>
      <c r="AZ190" s="1097" t="s">
        <v>135</v>
      </c>
    </row>
    <row r="191" spans="1:52" x14ac:dyDescent="0.2">
      <c r="A191" s="1184">
        <v>183</v>
      </c>
      <c r="B191" s="1137" t="s">
        <v>724</v>
      </c>
      <c r="C191" s="1185">
        <v>294</v>
      </c>
      <c r="D191" s="1114">
        <v>900742209</v>
      </c>
      <c r="E191" s="1520">
        <v>0</v>
      </c>
      <c r="F191" s="1517">
        <v>1179078.8578594101</v>
      </c>
      <c r="G191" s="1251">
        <v>0</v>
      </c>
      <c r="H191" s="1240">
        <v>1179078.8578594101</v>
      </c>
      <c r="I191" s="1148">
        <v>3</v>
      </c>
      <c r="J191" s="383">
        <v>365921.02485292027</v>
      </c>
      <c r="K191" s="712">
        <v>12</v>
      </c>
      <c r="L191" s="487">
        <v>813157.83300648979</v>
      </c>
      <c r="M191" s="927"/>
      <c r="N191" s="672">
        <v>0</v>
      </c>
      <c r="O191" s="389"/>
      <c r="P191" s="1092">
        <v>0</v>
      </c>
      <c r="Q191" s="1093">
        <v>0</v>
      </c>
      <c r="R191" s="381">
        <v>0</v>
      </c>
      <c r="S191" s="382"/>
      <c r="T191" s="381"/>
      <c r="U191" s="624"/>
      <c r="V191" s="569">
        <v>0</v>
      </c>
      <c r="W191" s="607"/>
      <c r="X191" s="383"/>
      <c r="Y191" s="607"/>
      <c r="Z191" s="383"/>
      <c r="AA191" s="607"/>
      <c r="AB191" s="718"/>
      <c r="AC191" s="335"/>
      <c r="AD191" s="389">
        <v>3</v>
      </c>
      <c r="AE191" s="381">
        <v>334847.20429439994</v>
      </c>
      <c r="AF191" s="389">
        <v>12</v>
      </c>
      <c r="AG191" s="381">
        <v>744104.89843200007</v>
      </c>
      <c r="AH191" s="389">
        <v>1E-3</v>
      </c>
      <c r="AI191" s="381">
        <v>0</v>
      </c>
      <c r="AJ191" s="389"/>
      <c r="AK191" s="381">
        <v>0</v>
      </c>
      <c r="AL191" s="381">
        <v>1E-3</v>
      </c>
      <c r="AM191" s="381">
        <v>1E-3</v>
      </c>
      <c r="AN191" s="381">
        <v>1E-3</v>
      </c>
      <c r="AO191" s="381">
        <v>1E-3</v>
      </c>
      <c r="AP191" s="381">
        <v>1E-3</v>
      </c>
      <c r="AQ191" s="381">
        <v>1E-3</v>
      </c>
      <c r="AR191" s="381">
        <v>1E-3</v>
      </c>
      <c r="AS191" s="381">
        <v>1E-3</v>
      </c>
      <c r="AT191" s="381">
        <v>1E-3</v>
      </c>
      <c r="AU191" s="381">
        <v>1E-3</v>
      </c>
      <c r="AV191" s="381">
        <v>1E-3</v>
      </c>
      <c r="AW191" s="381">
        <v>1E-3</v>
      </c>
      <c r="AX191" s="335"/>
      <c r="AZ191" s="1201" t="s">
        <v>724</v>
      </c>
    </row>
    <row r="192" spans="1:52" x14ac:dyDescent="0.2">
      <c r="A192" s="1184">
        <v>184</v>
      </c>
      <c r="B192" s="1097" t="s">
        <v>136</v>
      </c>
      <c r="C192" s="1185">
        <v>243</v>
      </c>
      <c r="D192" s="1114">
        <v>43978133</v>
      </c>
      <c r="E192" s="1520">
        <v>5</v>
      </c>
      <c r="F192" s="1517">
        <v>0</v>
      </c>
      <c r="G192" s="1251">
        <v>0</v>
      </c>
      <c r="H192" s="1240">
        <v>0</v>
      </c>
      <c r="I192" s="1147">
        <v>1E-3</v>
      </c>
      <c r="J192" s="383">
        <v>0</v>
      </c>
      <c r="K192" s="487">
        <v>1E-3</v>
      </c>
      <c r="L192" s="487">
        <v>0</v>
      </c>
      <c r="M192" s="927"/>
      <c r="N192" s="672">
        <v>0</v>
      </c>
      <c r="O192" s="389">
        <v>1E-3</v>
      </c>
      <c r="P192" s="1092">
        <v>0</v>
      </c>
      <c r="Q192" s="1093">
        <v>0</v>
      </c>
      <c r="R192" s="381">
        <v>0</v>
      </c>
      <c r="S192" s="382"/>
      <c r="T192" s="381"/>
      <c r="U192" s="624"/>
      <c r="V192" s="569">
        <v>0</v>
      </c>
      <c r="W192" s="607"/>
      <c r="X192" s="383"/>
      <c r="Y192" s="607"/>
      <c r="Z192" s="383"/>
      <c r="AA192" s="607"/>
      <c r="AB192" s="718"/>
      <c r="AC192" s="335"/>
      <c r="AD192" s="389">
        <v>1E-3</v>
      </c>
      <c r="AE192" s="381">
        <v>1E-3</v>
      </c>
      <c r="AF192" s="389">
        <v>1E-3</v>
      </c>
      <c r="AG192" s="381">
        <v>1E-3</v>
      </c>
      <c r="AH192" s="389">
        <v>1E-3</v>
      </c>
      <c r="AI192" s="381">
        <v>1E-3</v>
      </c>
      <c r="AJ192" s="389">
        <v>1E-3</v>
      </c>
      <c r="AK192" s="381">
        <v>1E-3</v>
      </c>
      <c r="AL192" s="381">
        <v>1E-3</v>
      </c>
      <c r="AM192" s="381">
        <v>1E-3</v>
      </c>
      <c r="AN192" s="381">
        <v>1E-3</v>
      </c>
      <c r="AO192" s="381">
        <v>1E-3</v>
      </c>
      <c r="AP192" s="381">
        <v>1E-3</v>
      </c>
      <c r="AQ192" s="381">
        <v>1E-3</v>
      </c>
      <c r="AR192" s="381">
        <v>1E-3</v>
      </c>
      <c r="AS192" s="381">
        <v>1E-3</v>
      </c>
      <c r="AT192" s="381">
        <v>1E-3</v>
      </c>
      <c r="AU192" s="381">
        <v>1E-3</v>
      </c>
      <c r="AV192" s="381">
        <v>1E-3</v>
      </c>
      <c r="AW192" s="381">
        <v>1E-3</v>
      </c>
      <c r="AX192" s="335"/>
      <c r="AZ192" s="1097" t="s">
        <v>136</v>
      </c>
    </row>
    <row r="193" spans="1:52" x14ac:dyDescent="0.2">
      <c r="A193" s="1184">
        <v>185</v>
      </c>
      <c r="B193" s="1097" t="s">
        <v>137</v>
      </c>
      <c r="C193" s="1185">
        <v>175</v>
      </c>
      <c r="D193" s="1114">
        <v>71315509</v>
      </c>
      <c r="E193" s="1520">
        <v>8</v>
      </c>
      <c r="F193" s="1517">
        <v>0</v>
      </c>
      <c r="G193" s="1251">
        <v>0</v>
      </c>
      <c r="H193" s="1240">
        <v>0</v>
      </c>
      <c r="I193" s="1147">
        <v>1E-3</v>
      </c>
      <c r="J193" s="383">
        <v>0</v>
      </c>
      <c r="K193" s="487">
        <v>1E-3</v>
      </c>
      <c r="L193" s="487">
        <v>0</v>
      </c>
      <c r="M193" s="927"/>
      <c r="N193" s="672">
        <v>0</v>
      </c>
      <c r="O193" s="389">
        <v>1E-3</v>
      </c>
      <c r="P193" s="1092">
        <v>0</v>
      </c>
      <c r="Q193" s="1093">
        <v>0</v>
      </c>
      <c r="R193" s="381">
        <v>0</v>
      </c>
      <c r="S193" s="382"/>
      <c r="T193" s="381"/>
      <c r="U193" s="624"/>
      <c r="V193" s="569">
        <v>0</v>
      </c>
      <c r="W193" s="607"/>
      <c r="X193" s="383"/>
      <c r="Y193" s="607"/>
      <c r="Z193" s="383"/>
      <c r="AA193" s="607"/>
      <c r="AB193" s="718"/>
      <c r="AC193" s="335"/>
      <c r="AD193" s="389">
        <v>1E-3</v>
      </c>
      <c r="AE193" s="381">
        <v>1E-3</v>
      </c>
      <c r="AF193" s="389">
        <v>1E-3</v>
      </c>
      <c r="AG193" s="381">
        <v>1E-3</v>
      </c>
      <c r="AH193" s="389">
        <v>1E-3</v>
      </c>
      <c r="AI193" s="381">
        <v>1E-3</v>
      </c>
      <c r="AJ193" s="389">
        <v>1E-3</v>
      </c>
      <c r="AK193" s="381">
        <v>1E-3</v>
      </c>
      <c r="AL193" s="381">
        <v>1E-3</v>
      </c>
      <c r="AM193" s="381">
        <v>1E-3</v>
      </c>
      <c r="AN193" s="381">
        <v>1E-3</v>
      </c>
      <c r="AO193" s="381">
        <v>1E-3</v>
      </c>
      <c r="AP193" s="381">
        <v>1E-3</v>
      </c>
      <c r="AQ193" s="381">
        <v>1E-3</v>
      </c>
      <c r="AR193" s="381">
        <v>1E-3</v>
      </c>
      <c r="AS193" s="381">
        <v>1E-3</v>
      </c>
      <c r="AT193" s="381">
        <v>1E-3</v>
      </c>
      <c r="AU193" s="381">
        <v>1E-3</v>
      </c>
      <c r="AV193" s="381">
        <v>1E-3</v>
      </c>
      <c r="AW193" s="381">
        <v>1E-3</v>
      </c>
      <c r="AX193" s="335"/>
      <c r="AZ193" s="1393" t="s">
        <v>137</v>
      </c>
    </row>
    <row r="194" spans="1:52" x14ac:dyDescent="0.2">
      <c r="A194" s="1184">
        <v>186</v>
      </c>
      <c r="B194" s="1097" t="s">
        <v>138</v>
      </c>
      <c r="C194" s="1185">
        <v>296</v>
      </c>
      <c r="D194" s="1114">
        <v>43628444</v>
      </c>
      <c r="E194" s="1520">
        <v>1</v>
      </c>
      <c r="F194" s="1517">
        <v>365921.02485292027</v>
      </c>
      <c r="G194" s="1251">
        <v>0</v>
      </c>
      <c r="H194" s="1240">
        <v>365921.02485292027</v>
      </c>
      <c r="I194" s="1148">
        <v>3</v>
      </c>
      <c r="J194" s="383">
        <v>365921.02485292027</v>
      </c>
      <c r="K194" s="487">
        <v>1E-3</v>
      </c>
      <c r="L194" s="487">
        <v>0</v>
      </c>
      <c r="M194" s="927"/>
      <c r="N194" s="672">
        <v>0</v>
      </c>
      <c r="O194" s="389">
        <v>1E-3</v>
      </c>
      <c r="P194" s="1092">
        <v>0</v>
      </c>
      <c r="Q194" s="1093">
        <v>0</v>
      </c>
      <c r="R194" s="381">
        <v>0</v>
      </c>
      <c r="S194" s="382"/>
      <c r="T194" s="381"/>
      <c r="U194" s="624"/>
      <c r="V194" s="569">
        <v>0</v>
      </c>
      <c r="W194" s="607"/>
      <c r="X194" s="383"/>
      <c r="Y194" s="607"/>
      <c r="Z194" s="383"/>
      <c r="AA194" s="607"/>
      <c r="AB194" s="718"/>
      <c r="AC194" s="335"/>
      <c r="AD194" s="389">
        <v>3</v>
      </c>
      <c r="AE194" s="381">
        <v>334847.20429439994</v>
      </c>
      <c r="AF194" s="389">
        <v>1E-3</v>
      </c>
      <c r="AG194" s="381">
        <v>1E-3</v>
      </c>
      <c r="AH194" s="389">
        <v>1E-3</v>
      </c>
      <c r="AI194" s="381">
        <v>1E-3</v>
      </c>
      <c r="AJ194" s="389">
        <v>1E-3</v>
      </c>
      <c r="AK194" s="381">
        <v>1E-3</v>
      </c>
      <c r="AL194" s="381">
        <v>1E-3</v>
      </c>
      <c r="AM194" s="381">
        <v>1E-3</v>
      </c>
      <c r="AN194" s="381">
        <v>1E-3</v>
      </c>
      <c r="AO194" s="381">
        <v>1E-3</v>
      </c>
      <c r="AP194" s="381">
        <v>1E-3</v>
      </c>
      <c r="AQ194" s="381">
        <v>1E-3</v>
      </c>
      <c r="AR194" s="381">
        <v>1E-3</v>
      </c>
      <c r="AS194" s="381">
        <v>1E-3</v>
      </c>
      <c r="AT194" s="381">
        <v>1E-3</v>
      </c>
      <c r="AU194" s="381">
        <v>1E-3</v>
      </c>
      <c r="AV194" s="381">
        <v>1E-3</v>
      </c>
      <c r="AW194" s="381">
        <v>1E-3</v>
      </c>
      <c r="AX194" s="335"/>
      <c r="AZ194" s="1393" t="s">
        <v>138</v>
      </c>
    </row>
    <row r="195" spans="1:52" x14ac:dyDescent="0.2">
      <c r="A195" s="1184">
        <v>187</v>
      </c>
      <c r="B195" s="1097" t="s">
        <v>139</v>
      </c>
      <c r="C195" s="1185">
        <v>176</v>
      </c>
      <c r="D195" s="1114">
        <v>1138258</v>
      </c>
      <c r="E195" s="1520">
        <v>0</v>
      </c>
      <c r="F195" s="1517">
        <v>0</v>
      </c>
      <c r="G195" s="1251">
        <v>0</v>
      </c>
      <c r="H195" s="1240">
        <v>0</v>
      </c>
      <c r="I195" s="1147">
        <v>1E-3</v>
      </c>
      <c r="J195" s="383">
        <v>0</v>
      </c>
      <c r="K195" s="487">
        <v>1E-3</v>
      </c>
      <c r="L195" s="487">
        <v>0</v>
      </c>
      <c r="M195" s="927"/>
      <c r="N195" s="672">
        <v>0</v>
      </c>
      <c r="O195" s="389">
        <v>1E-3</v>
      </c>
      <c r="P195" s="1092">
        <v>0</v>
      </c>
      <c r="Q195" s="1093">
        <v>0</v>
      </c>
      <c r="R195" s="381">
        <v>0</v>
      </c>
      <c r="S195" s="382"/>
      <c r="T195" s="381"/>
      <c r="U195" s="624"/>
      <c r="V195" s="569">
        <v>0</v>
      </c>
      <c r="W195" s="607"/>
      <c r="X195" s="383"/>
      <c r="Y195" s="607"/>
      <c r="Z195" s="383"/>
      <c r="AA195" s="607"/>
      <c r="AB195" s="718"/>
      <c r="AC195" s="335"/>
      <c r="AD195" s="389">
        <v>1E-3</v>
      </c>
      <c r="AE195" s="381">
        <v>1E-3</v>
      </c>
      <c r="AF195" s="389">
        <v>1E-3</v>
      </c>
      <c r="AG195" s="381">
        <v>1E-3</v>
      </c>
      <c r="AH195" s="389">
        <v>1E-3</v>
      </c>
      <c r="AI195" s="381">
        <v>1E-3</v>
      </c>
      <c r="AJ195" s="389">
        <v>1E-3</v>
      </c>
      <c r="AK195" s="381">
        <v>1E-3</v>
      </c>
      <c r="AL195" s="381">
        <v>1E-3</v>
      </c>
      <c r="AM195" s="381">
        <v>1E-3</v>
      </c>
      <c r="AN195" s="381">
        <v>1E-3</v>
      </c>
      <c r="AO195" s="381">
        <v>1E-3</v>
      </c>
      <c r="AP195" s="381">
        <v>1E-3</v>
      </c>
      <c r="AQ195" s="381">
        <v>1E-3</v>
      </c>
      <c r="AR195" s="381">
        <v>1E-3</v>
      </c>
      <c r="AS195" s="381">
        <v>1E-3</v>
      </c>
      <c r="AT195" s="381">
        <v>1E-3</v>
      </c>
      <c r="AU195" s="381">
        <v>1E-3</v>
      </c>
      <c r="AV195" s="381">
        <v>1E-3</v>
      </c>
      <c r="AW195" s="381">
        <v>1E-3</v>
      </c>
      <c r="AX195" s="335"/>
      <c r="AZ195" s="1393" t="s">
        <v>139</v>
      </c>
    </row>
    <row r="196" spans="1:52" x14ac:dyDescent="0.2">
      <c r="A196" s="1184">
        <v>188</v>
      </c>
      <c r="B196" s="1097" t="s">
        <v>140</v>
      </c>
      <c r="C196" s="1185">
        <v>177</v>
      </c>
      <c r="D196" s="1114">
        <v>70058618</v>
      </c>
      <c r="E196" s="1520">
        <v>6</v>
      </c>
      <c r="F196" s="1517">
        <v>0</v>
      </c>
      <c r="G196" s="1251">
        <v>0</v>
      </c>
      <c r="H196" s="1240">
        <v>0</v>
      </c>
      <c r="I196" s="1147">
        <v>1E-3</v>
      </c>
      <c r="J196" s="383">
        <v>0</v>
      </c>
      <c r="K196" s="487">
        <v>1E-3</v>
      </c>
      <c r="L196" s="487">
        <v>0</v>
      </c>
      <c r="M196" s="927"/>
      <c r="N196" s="672">
        <v>0</v>
      </c>
      <c r="O196" s="389">
        <v>1E-3</v>
      </c>
      <c r="P196" s="1092">
        <v>0</v>
      </c>
      <c r="Q196" s="1093">
        <v>0</v>
      </c>
      <c r="R196" s="381">
        <v>0</v>
      </c>
      <c r="S196" s="382"/>
      <c r="T196" s="381"/>
      <c r="U196" s="624"/>
      <c r="V196" s="569">
        <v>0</v>
      </c>
      <c r="W196" s="607"/>
      <c r="X196" s="383"/>
      <c r="Y196" s="607"/>
      <c r="Z196" s="383"/>
      <c r="AA196" s="607"/>
      <c r="AB196" s="718"/>
      <c r="AC196" s="335"/>
      <c r="AD196" s="389">
        <v>1E-3</v>
      </c>
      <c r="AE196" s="381">
        <v>1E-3</v>
      </c>
      <c r="AF196" s="389">
        <v>1E-3</v>
      </c>
      <c r="AG196" s="381">
        <v>1E-3</v>
      </c>
      <c r="AH196" s="389">
        <v>1E-3</v>
      </c>
      <c r="AI196" s="381">
        <v>1E-3</v>
      </c>
      <c r="AJ196" s="389">
        <v>1E-3</v>
      </c>
      <c r="AK196" s="381">
        <v>1E-3</v>
      </c>
      <c r="AL196" s="381">
        <v>1E-3</v>
      </c>
      <c r="AM196" s="381">
        <v>1E-3</v>
      </c>
      <c r="AN196" s="381">
        <v>1E-3</v>
      </c>
      <c r="AO196" s="381">
        <v>1E-3</v>
      </c>
      <c r="AP196" s="381">
        <v>1E-3</v>
      </c>
      <c r="AQ196" s="381">
        <v>1E-3</v>
      </c>
      <c r="AR196" s="381">
        <v>1E-3</v>
      </c>
      <c r="AS196" s="381">
        <v>1E-3</v>
      </c>
      <c r="AT196" s="381">
        <v>1E-3</v>
      </c>
      <c r="AU196" s="381">
        <v>1E-3</v>
      </c>
      <c r="AV196" s="381">
        <v>1E-3</v>
      </c>
      <c r="AW196" s="381">
        <v>1E-3</v>
      </c>
      <c r="AX196" s="335"/>
      <c r="AZ196" s="1097" t="s">
        <v>140</v>
      </c>
    </row>
    <row r="197" spans="1:52" x14ac:dyDescent="0.2">
      <c r="A197" s="1184">
        <v>189</v>
      </c>
      <c r="B197" s="1097" t="s">
        <v>141</v>
      </c>
      <c r="C197" s="1185">
        <v>234</v>
      </c>
      <c r="D197" s="1114">
        <v>43103382</v>
      </c>
      <c r="E197" s="1520">
        <v>8</v>
      </c>
      <c r="F197" s="1517">
        <v>0</v>
      </c>
      <c r="G197" s="1251">
        <v>0</v>
      </c>
      <c r="H197" s="1240">
        <v>0</v>
      </c>
      <c r="I197" s="1147">
        <v>1E-3</v>
      </c>
      <c r="J197" s="383">
        <v>0</v>
      </c>
      <c r="K197" s="487">
        <v>1E-3</v>
      </c>
      <c r="L197" s="487">
        <v>0</v>
      </c>
      <c r="M197" s="927"/>
      <c r="N197" s="672">
        <v>0</v>
      </c>
      <c r="O197" s="389">
        <v>1E-3</v>
      </c>
      <c r="P197" s="1092">
        <v>0</v>
      </c>
      <c r="Q197" s="1093">
        <v>0</v>
      </c>
      <c r="R197" s="381">
        <v>0</v>
      </c>
      <c r="S197" s="382"/>
      <c r="T197" s="381"/>
      <c r="U197" s="624"/>
      <c r="V197" s="569">
        <v>0</v>
      </c>
      <c r="W197" s="607"/>
      <c r="X197" s="383"/>
      <c r="Y197" s="607"/>
      <c r="Z197" s="383"/>
      <c r="AA197" s="607"/>
      <c r="AB197" s="718"/>
      <c r="AC197" s="335"/>
      <c r="AD197" s="389">
        <v>1E-3</v>
      </c>
      <c r="AE197" s="381">
        <v>1E-3</v>
      </c>
      <c r="AF197" s="389">
        <v>1E-3</v>
      </c>
      <c r="AG197" s="381">
        <v>1E-3</v>
      </c>
      <c r="AH197" s="389">
        <v>1E-3</v>
      </c>
      <c r="AI197" s="381">
        <v>1E-3</v>
      </c>
      <c r="AJ197" s="389">
        <v>1E-3</v>
      </c>
      <c r="AK197" s="381">
        <v>1E-3</v>
      </c>
      <c r="AL197" s="381">
        <v>1E-3</v>
      </c>
      <c r="AM197" s="381">
        <v>1E-3</v>
      </c>
      <c r="AN197" s="381">
        <v>1E-3</v>
      </c>
      <c r="AO197" s="381">
        <v>1E-3</v>
      </c>
      <c r="AP197" s="381">
        <v>1E-3</v>
      </c>
      <c r="AQ197" s="381">
        <v>1E-3</v>
      </c>
      <c r="AR197" s="381">
        <v>1E-3</v>
      </c>
      <c r="AS197" s="381">
        <v>1E-3</v>
      </c>
      <c r="AT197" s="381">
        <v>1E-3</v>
      </c>
      <c r="AU197" s="381">
        <v>1E-3</v>
      </c>
      <c r="AV197" s="381">
        <v>1E-3</v>
      </c>
      <c r="AW197" s="381">
        <v>1E-3</v>
      </c>
      <c r="AX197" s="335"/>
      <c r="AZ197" s="1097" t="s">
        <v>141</v>
      </c>
    </row>
    <row r="198" spans="1:52" x14ac:dyDescent="0.2">
      <c r="A198" s="1184">
        <v>190</v>
      </c>
      <c r="B198" s="1097" t="s">
        <v>142</v>
      </c>
      <c r="C198" s="1185">
        <v>266</v>
      </c>
      <c r="D198" s="1114">
        <v>3520885</v>
      </c>
      <c r="E198" s="1520">
        <v>3</v>
      </c>
      <c r="F198" s="1517">
        <v>0</v>
      </c>
      <c r="G198" s="1251">
        <v>0</v>
      </c>
      <c r="H198" s="1240">
        <v>0</v>
      </c>
      <c r="I198" s="1147">
        <v>1E-3</v>
      </c>
      <c r="J198" s="383">
        <v>0</v>
      </c>
      <c r="K198" s="487">
        <v>1E-3</v>
      </c>
      <c r="L198" s="487">
        <v>0</v>
      </c>
      <c r="M198" s="927"/>
      <c r="N198" s="672">
        <v>0</v>
      </c>
      <c r="O198" s="389">
        <v>1E-3</v>
      </c>
      <c r="P198" s="1092">
        <v>0</v>
      </c>
      <c r="Q198" s="1093">
        <v>0</v>
      </c>
      <c r="R198" s="381">
        <v>0</v>
      </c>
      <c r="S198" s="382"/>
      <c r="T198" s="381"/>
      <c r="U198" s="624"/>
      <c r="V198" s="569">
        <v>0</v>
      </c>
      <c r="W198" s="607"/>
      <c r="X198" s="383"/>
      <c r="Y198" s="607"/>
      <c r="Z198" s="383"/>
      <c r="AA198" s="607"/>
      <c r="AB198" s="718"/>
      <c r="AC198" s="335"/>
      <c r="AD198" s="389">
        <v>1E-3</v>
      </c>
      <c r="AE198" s="381">
        <v>1E-3</v>
      </c>
      <c r="AF198" s="389">
        <v>1E-3</v>
      </c>
      <c r="AG198" s="381">
        <v>1E-3</v>
      </c>
      <c r="AH198" s="389">
        <v>1E-3</v>
      </c>
      <c r="AI198" s="381">
        <v>1E-3</v>
      </c>
      <c r="AJ198" s="389">
        <v>1E-3</v>
      </c>
      <c r="AK198" s="381">
        <v>1E-3</v>
      </c>
      <c r="AL198" s="381">
        <v>1E-3</v>
      </c>
      <c r="AM198" s="381">
        <v>1E-3</v>
      </c>
      <c r="AN198" s="381">
        <v>1E-3</v>
      </c>
      <c r="AO198" s="381">
        <v>1E-3</v>
      </c>
      <c r="AP198" s="381">
        <v>1E-3</v>
      </c>
      <c r="AQ198" s="381">
        <v>1E-3</v>
      </c>
      <c r="AR198" s="381">
        <v>1E-3</v>
      </c>
      <c r="AS198" s="381">
        <v>1E-3</v>
      </c>
      <c r="AT198" s="381">
        <v>1E-3</v>
      </c>
      <c r="AU198" s="381">
        <v>1E-3</v>
      </c>
      <c r="AV198" s="381">
        <v>1E-3</v>
      </c>
      <c r="AW198" s="381">
        <v>1E-3</v>
      </c>
      <c r="AX198" s="335"/>
      <c r="AZ198" s="1097" t="s">
        <v>142</v>
      </c>
    </row>
    <row r="199" spans="1:52" x14ac:dyDescent="0.2">
      <c r="A199" s="1184">
        <v>191</v>
      </c>
      <c r="B199" s="1097" t="s">
        <v>199</v>
      </c>
      <c r="C199" s="1185">
        <v>317</v>
      </c>
      <c r="D199" s="1114">
        <v>70049729</v>
      </c>
      <c r="E199" s="1520">
        <v>7</v>
      </c>
      <c r="F199" s="1517">
        <v>0</v>
      </c>
      <c r="G199" s="1251">
        <v>0</v>
      </c>
      <c r="H199" s="1240">
        <v>0</v>
      </c>
      <c r="I199" s="1147">
        <v>1E-3</v>
      </c>
      <c r="J199" s="383">
        <v>0</v>
      </c>
      <c r="K199" s="487">
        <v>1E-3</v>
      </c>
      <c r="L199" s="487">
        <v>0</v>
      </c>
      <c r="M199" s="927"/>
      <c r="N199" s="672">
        <v>0</v>
      </c>
      <c r="O199" s="389">
        <v>1E-3</v>
      </c>
      <c r="P199" s="1092">
        <v>0</v>
      </c>
      <c r="Q199" s="1093">
        <v>0</v>
      </c>
      <c r="R199" s="381">
        <v>0</v>
      </c>
      <c r="S199" s="382"/>
      <c r="T199" s="381"/>
      <c r="U199" s="624"/>
      <c r="V199" s="569">
        <v>0</v>
      </c>
      <c r="W199" s="607"/>
      <c r="X199" s="383"/>
      <c r="Y199" s="607"/>
      <c r="Z199" s="383"/>
      <c r="AA199" s="607"/>
      <c r="AB199" s="718"/>
      <c r="AC199" s="335"/>
      <c r="AD199" s="389">
        <v>1E-3</v>
      </c>
      <c r="AE199" s="381">
        <v>1E-3</v>
      </c>
      <c r="AF199" s="389">
        <v>1E-3</v>
      </c>
      <c r="AG199" s="381">
        <v>1E-3</v>
      </c>
      <c r="AH199" s="389">
        <v>1E-3</v>
      </c>
      <c r="AI199" s="381">
        <v>1E-3</v>
      </c>
      <c r="AJ199" s="389">
        <v>1E-3</v>
      </c>
      <c r="AK199" s="381">
        <v>1E-3</v>
      </c>
      <c r="AL199" s="381">
        <v>1E-3</v>
      </c>
      <c r="AM199" s="381">
        <v>1E-3</v>
      </c>
      <c r="AN199" s="381">
        <v>1E-3</v>
      </c>
      <c r="AO199" s="381">
        <v>1E-3</v>
      </c>
      <c r="AP199" s="381">
        <v>1E-3</v>
      </c>
      <c r="AQ199" s="381">
        <v>1E-3</v>
      </c>
      <c r="AR199" s="381">
        <v>1E-3</v>
      </c>
      <c r="AS199" s="381">
        <v>1E-3</v>
      </c>
      <c r="AT199" s="381">
        <v>1E-3</v>
      </c>
      <c r="AU199" s="381">
        <v>1E-3</v>
      </c>
      <c r="AV199" s="381">
        <v>1E-3</v>
      </c>
      <c r="AW199" s="381">
        <v>1E-3</v>
      </c>
      <c r="AX199" s="335"/>
      <c r="AZ199" s="1097" t="s">
        <v>199</v>
      </c>
    </row>
    <row r="200" spans="1:52" x14ac:dyDescent="0.2">
      <c r="A200" s="1184">
        <v>192</v>
      </c>
      <c r="B200" s="1137" t="s">
        <v>740</v>
      </c>
      <c r="C200" s="1185">
        <v>319</v>
      </c>
      <c r="D200" s="1114">
        <v>901035800</v>
      </c>
      <c r="E200" s="1520">
        <v>5</v>
      </c>
      <c r="F200" s="1517">
        <v>1179078.8578594101</v>
      </c>
      <c r="G200" s="1251">
        <v>0</v>
      </c>
      <c r="H200" s="1240">
        <v>1179078.8578594101</v>
      </c>
      <c r="I200" s="1148">
        <v>3</v>
      </c>
      <c r="J200" s="383">
        <v>365921.02485292027</v>
      </c>
      <c r="K200" s="712">
        <v>12</v>
      </c>
      <c r="L200" s="487">
        <v>813157.83300648979</v>
      </c>
      <c r="M200" s="927"/>
      <c r="N200" s="672">
        <v>0</v>
      </c>
      <c r="O200" s="389">
        <v>1E-3</v>
      </c>
      <c r="P200" s="1092">
        <v>0</v>
      </c>
      <c r="Q200" s="1093">
        <v>0</v>
      </c>
      <c r="R200" s="381">
        <v>0</v>
      </c>
      <c r="S200" s="382"/>
      <c r="T200" s="381"/>
      <c r="U200" s="624"/>
      <c r="V200" s="569">
        <v>0</v>
      </c>
      <c r="W200" s="607"/>
      <c r="X200" s="383"/>
      <c r="Y200" s="607"/>
      <c r="Z200" s="383"/>
      <c r="AA200" s="607"/>
      <c r="AB200" s="718"/>
      <c r="AC200" s="335"/>
      <c r="AD200" s="389">
        <v>3</v>
      </c>
      <c r="AE200" s="381">
        <v>334847.20429439994</v>
      </c>
      <c r="AF200" s="389">
        <v>12</v>
      </c>
      <c r="AG200" s="381">
        <v>744104.89843200007</v>
      </c>
      <c r="AH200" s="389">
        <v>1E-3</v>
      </c>
      <c r="AI200" s="381">
        <v>1E-3</v>
      </c>
      <c r="AJ200" s="389">
        <v>1E-3</v>
      </c>
      <c r="AK200" s="381">
        <v>1E-3</v>
      </c>
      <c r="AL200" s="381">
        <v>1E-3</v>
      </c>
      <c r="AM200" s="381">
        <v>1E-3</v>
      </c>
      <c r="AN200" s="381">
        <v>1E-3</v>
      </c>
      <c r="AO200" s="381">
        <v>1E-3</v>
      </c>
      <c r="AP200" s="381">
        <v>1E-3</v>
      </c>
      <c r="AQ200" s="381">
        <v>1E-3</v>
      </c>
      <c r="AR200" s="381">
        <v>1E-3</v>
      </c>
      <c r="AS200" s="381">
        <v>1E-3</v>
      </c>
      <c r="AT200" s="381">
        <v>1E-3</v>
      </c>
      <c r="AU200" s="381">
        <v>1E-3</v>
      </c>
      <c r="AV200" s="381">
        <v>1E-3</v>
      </c>
      <c r="AW200" s="381">
        <v>1E-3</v>
      </c>
      <c r="AX200" s="335"/>
      <c r="AZ200" s="1137" t="s">
        <v>740</v>
      </c>
    </row>
    <row r="201" spans="1:52" x14ac:dyDescent="0.2">
      <c r="A201" s="1184">
        <v>193</v>
      </c>
      <c r="B201" s="1137" t="s">
        <v>195</v>
      </c>
      <c r="C201" s="1185">
        <v>37</v>
      </c>
      <c r="D201" s="1114">
        <v>900258791</v>
      </c>
      <c r="E201" s="1520">
        <v>0</v>
      </c>
      <c r="F201" s="1517">
        <v>0</v>
      </c>
      <c r="G201" s="1251">
        <v>0</v>
      </c>
      <c r="H201" s="1240">
        <v>0</v>
      </c>
      <c r="I201" s="1147">
        <v>1E-3</v>
      </c>
      <c r="J201" s="383">
        <v>0</v>
      </c>
      <c r="K201" s="487">
        <v>1E-3</v>
      </c>
      <c r="L201" s="487">
        <v>0</v>
      </c>
      <c r="M201" s="927"/>
      <c r="N201" s="672">
        <v>0</v>
      </c>
      <c r="O201" s="389">
        <v>1E-3</v>
      </c>
      <c r="P201" s="1092">
        <v>0</v>
      </c>
      <c r="Q201" s="1093">
        <v>0</v>
      </c>
      <c r="R201" s="381">
        <v>0</v>
      </c>
      <c r="S201" s="382"/>
      <c r="T201" s="381"/>
      <c r="U201" s="624"/>
      <c r="V201" s="569">
        <v>0</v>
      </c>
      <c r="W201" s="607"/>
      <c r="X201" s="383"/>
      <c r="Y201" s="607"/>
      <c r="Z201" s="383"/>
      <c r="AA201" s="607"/>
      <c r="AB201" s="718"/>
      <c r="AC201" s="335"/>
      <c r="AD201" s="389">
        <v>1E-3</v>
      </c>
      <c r="AE201" s="381">
        <v>1E-3</v>
      </c>
      <c r="AF201" s="389">
        <v>1E-3</v>
      </c>
      <c r="AG201" s="381">
        <v>1E-3</v>
      </c>
      <c r="AH201" s="389">
        <v>1E-3</v>
      </c>
      <c r="AI201" s="381">
        <v>1E-3</v>
      </c>
      <c r="AJ201" s="389">
        <v>1E-3</v>
      </c>
      <c r="AK201" s="381">
        <v>1E-3</v>
      </c>
      <c r="AL201" s="381">
        <v>1E-3</v>
      </c>
      <c r="AM201" s="381">
        <v>1E-3</v>
      </c>
      <c r="AN201" s="381">
        <v>1E-3</v>
      </c>
      <c r="AO201" s="381">
        <v>1E-3</v>
      </c>
      <c r="AP201" s="381">
        <v>1E-3</v>
      </c>
      <c r="AQ201" s="381">
        <v>1E-3</v>
      </c>
      <c r="AR201" s="381">
        <v>1E-3</v>
      </c>
      <c r="AS201" s="381">
        <v>1E-3</v>
      </c>
      <c r="AT201" s="381">
        <v>1E-3</v>
      </c>
      <c r="AU201" s="381">
        <v>1E-3</v>
      </c>
      <c r="AV201" s="381">
        <v>1E-3</v>
      </c>
      <c r="AW201" s="381">
        <v>1E-3</v>
      </c>
      <c r="AX201" s="335"/>
      <c r="AZ201" s="1137" t="s">
        <v>195</v>
      </c>
    </row>
    <row r="202" spans="1:52" x14ac:dyDescent="0.2">
      <c r="A202" s="1184">
        <v>194</v>
      </c>
      <c r="B202" s="1097" t="s">
        <v>143</v>
      </c>
      <c r="C202" s="1185">
        <v>264</v>
      </c>
      <c r="D202" s="1114">
        <v>32504732</v>
      </c>
      <c r="E202" s="1520">
        <v>3</v>
      </c>
      <c r="F202" s="1517">
        <v>0</v>
      </c>
      <c r="G202" s="1251">
        <v>0</v>
      </c>
      <c r="H202" s="1240">
        <v>0</v>
      </c>
      <c r="I202" s="1147">
        <v>1E-3</v>
      </c>
      <c r="J202" s="383">
        <v>0</v>
      </c>
      <c r="K202" s="487">
        <v>1E-3</v>
      </c>
      <c r="L202" s="487">
        <v>0</v>
      </c>
      <c r="M202" s="927"/>
      <c r="N202" s="672">
        <v>0</v>
      </c>
      <c r="O202" s="389">
        <v>1E-3</v>
      </c>
      <c r="P202" s="1092">
        <v>0</v>
      </c>
      <c r="Q202" s="1093">
        <v>0</v>
      </c>
      <c r="R202" s="381">
        <v>0</v>
      </c>
      <c r="S202" s="382"/>
      <c r="T202" s="381"/>
      <c r="U202" s="624"/>
      <c r="V202" s="569">
        <v>0</v>
      </c>
      <c r="W202" s="607"/>
      <c r="X202" s="383"/>
      <c r="Y202" s="607"/>
      <c r="Z202" s="383"/>
      <c r="AA202" s="607"/>
      <c r="AB202" s="718"/>
      <c r="AC202" s="335"/>
      <c r="AD202" s="389">
        <v>1E-3</v>
      </c>
      <c r="AE202" s="381">
        <v>1E-3</v>
      </c>
      <c r="AF202" s="389">
        <v>1E-3</v>
      </c>
      <c r="AG202" s="381">
        <v>1E-3</v>
      </c>
      <c r="AH202" s="389">
        <v>1E-3</v>
      </c>
      <c r="AI202" s="381">
        <v>1E-3</v>
      </c>
      <c r="AJ202" s="389">
        <v>1E-3</v>
      </c>
      <c r="AK202" s="381">
        <v>1E-3</v>
      </c>
      <c r="AL202" s="381">
        <v>1E-3</v>
      </c>
      <c r="AM202" s="381">
        <v>1E-3</v>
      </c>
      <c r="AN202" s="381">
        <v>1E-3</v>
      </c>
      <c r="AO202" s="381">
        <v>1E-3</v>
      </c>
      <c r="AP202" s="381">
        <v>1E-3</v>
      </c>
      <c r="AQ202" s="381">
        <v>1E-3</v>
      </c>
      <c r="AR202" s="381">
        <v>1E-3</v>
      </c>
      <c r="AS202" s="381">
        <v>1E-3</v>
      </c>
      <c r="AT202" s="381">
        <v>1E-3</v>
      </c>
      <c r="AU202" s="381">
        <v>1E-3</v>
      </c>
      <c r="AV202" s="381">
        <v>1E-3</v>
      </c>
      <c r="AW202" s="381">
        <v>1E-3</v>
      </c>
      <c r="AX202" s="335"/>
      <c r="AZ202" s="1097" t="s">
        <v>143</v>
      </c>
    </row>
    <row r="203" spans="1:52" x14ac:dyDescent="0.2">
      <c r="A203" s="1184">
        <v>195</v>
      </c>
      <c r="B203" s="1097" t="s">
        <v>785</v>
      </c>
      <c r="C203" s="1185">
        <v>281</v>
      </c>
      <c r="D203" s="1114">
        <v>32403951</v>
      </c>
      <c r="E203" s="1520">
        <v>6</v>
      </c>
      <c r="F203" s="1517">
        <v>0</v>
      </c>
      <c r="G203" s="1251">
        <v>0</v>
      </c>
      <c r="H203" s="1240">
        <v>0</v>
      </c>
      <c r="I203" s="1147">
        <v>1E-3</v>
      </c>
      <c r="J203" s="383">
        <v>0</v>
      </c>
      <c r="K203" s="487">
        <v>1E-3</v>
      </c>
      <c r="L203" s="487">
        <v>0</v>
      </c>
      <c r="M203" s="927"/>
      <c r="N203" s="672">
        <v>0</v>
      </c>
      <c r="O203" s="389">
        <v>1E-3</v>
      </c>
      <c r="P203" s="1092">
        <v>0</v>
      </c>
      <c r="Q203" s="1093">
        <v>0</v>
      </c>
      <c r="R203" s="381">
        <v>0</v>
      </c>
      <c r="S203" s="382"/>
      <c r="T203" s="381"/>
      <c r="U203" s="624"/>
      <c r="V203" s="569">
        <v>0</v>
      </c>
      <c r="W203" s="607"/>
      <c r="X203" s="383"/>
      <c r="Y203" s="607"/>
      <c r="Z203" s="383"/>
      <c r="AA203" s="607"/>
      <c r="AB203" s="718"/>
      <c r="AC203" s="335"/>
      <c r="AD203" s="389">
        <v>1E-3</v>
      </c>
      <c r="AE203" s="381">
        <v>1E-3</v>
      </c>
      <c r="AF203" s="389">
        <v>1E-3</v>
      </c>
      <c r="AG203" s="381">
        <v>1E-3</v>
      </c>
      <c r="AH203" s="389">
        <v>1E-3</v>
      </c>
      <c r="AI203" s="381">
        <v>1E-3</v>
      </c>
      <c r="AJ203" s="389">
        <v>1E-3</v>
      </c>
      <c r="AK203" s="381">
        <v>1E-3</v>
      </c>
      <c r="AL203" s="381">
        <v>1E-3</v>
      </c>
      <c r="AM203" s="381">
        <v>1E-3</v>
      </c>
      <c r="AN203" s="381">
        <v>1E-3</v>
      </c>
      <c r="AO203" s="381">
        <v>1E-3</v>
      </c>
      <c r="AP203" s="381">
        <v>1E-3</v>
      </c>
      <c r="AQ203" s="381">
        <v>1E-3</v>
      </c>
      <c r="AR203" s="381">
        <v>1E-3</v>
      </c>
      <c r="AS203" s="381">
        <v>1E-3</v>
      </c>
      <c r="AT203" s="381">
        <v>1E-3</v>
      </c>
      <c r="AU203" s="381">
        <v>1E-3</v>
      </c>
      <c r="AV203" s="381">
        <v>1E-3</v>
      </c>
      <c r="AW203" s="381">
        <v>1E-3</v>
      </c>
      <c r="AX203" s="335"/>
      <c r="AZ203" s="1097" t="s">
        <v>785</v>
      </c>
    </row>
    <row r="204" spans="1:52" x14ac:dyDescent="0.2">
      <c r="A204" s="1184">
        <v>196</v>
      </c>
      <c r="B204" s="1097" t="s">
        <v>144</v>
      </c>
      <c r="C204" s="1185">
        <v>180</v>
      </c>
      <c r="D204" s="1114">
        <v>42871237</v>
      </c>
      <c r="E204" s="1520">
        <v>8</v>
      </c>
      <c r="F204" s="1517">
        <v>0</v>
      </c>
      <c r="G204" s="1251">
        <v>0</v>
      </c>
      <c r="H204" s="1240">
        <v>0</v>
      </c>
      <c r="I204" s="1147">
        <v>1E-3</v>
      </c>
      <c r="J204" s="383">
        <v>0</v>
      </c>
      <c r="K204" s="487">
        <v>1E-3</v>
      </c>
      <c r="L204" s="487">
        <v>0</v>
      </c>
      <c r="M204" s="927"/>
      <c r="N204" s="672">
        <v>0</v>
      </c>
      <c r="O204" s="389">
        <v>1E-3</v>
      </c>
      <c r="P204" s="1092">
        <v>0</v>
      </c>
      <c r="Q204" s="1093">
        <v>0</v>
      </c>
      <c r="R204" s="381">
        <v>0</v>
      </c>
      <c r="S204" s="382"/>
      <c r="T204" s="381"/>
      <c r="U204" s="624"/>
      <c r="V204" s="569">
        <v>0</v>
      </c>
      <c r="W204" s="607"/>
      <c r="X204" s="383"/>
      <c r="Y204" s="607"/>
      <c r="Z204" s="383"/>
      <c r="AA204" s="607"/>
      <c r="AB204" s="718"/>
      <c r="AC204" s="335"/>
      <c r="AD204" s="389">
        <v>1E-3</v>
      </c>
      <c r="AE204" s="381">
        <v>1E-3</v>
      </c>
      <c r="AF204" s="389">
        <v>1E-3</v>
      </c>
      <c r="AG204" s="381">
        <v>1E-3</v>
      </c>
      <c r="AH204" s="389">
        <v>1E-3</v>
      </c>
      <c r="AI204" s="381">
        <v>1E-3</v>
      </c>
      <c r="AJ204" s="389">
        <v>1E-3</v>
      </c>
      <c r="AK204" s="381">
        <v>1E-3</v>
      </c>
      <c r="AL204" s="381">
        <v>1E-3</v>
      </c>
      <c r="AM204" s="381">
        <v>1E-3</v>
      </c>
      <c r="AN204" s="381">
        <v>1E-3</v>
      </c>
      <c r="AO204" s="381">
        <v>1E-3</v>
      </c>
      <c r="AP204" s="381">
        <v>1E-3</v>
      </c>
      <c r="AQ204" s="381">
        <v>1E-3</v>
      </c>
      <c r="AR204" s="381">
        <v>1E-3</v>
      </c>
      <c r="AS204" s="381">
        <v>1E-3</v>
      </c>
      <c r="AT204" s="381">
        <v>1E-3</v>
      </c>
      <c r="AU204" s="381">
        <v>1E-3</v>
      </c>
      <c r="AV204" s="381">
        <v>1E-3</v>
      </c>
      <c r="AW204" s="381">
        <v>1E-3</v>
      </c>
      <c r="AX204" s="335"/>
      <c r="AZ204" s="1097" t="s">
        <v>144</v>
      </c>
    </row>
    <row r="205" spans="1:52" x14ac:dyDescent="0.2">
      <c r="A205" s="1184">
        <v>197</v>
      </c>
      <c r="B205" s="1097" t="s">
        <v>249</v>
      </c>
      <c r="C205" s="1185">
        <v>311</v>
      </c>
      <c r="D205" s="1114">
        <v>21378911</v>
      </c>
      <c r="E205" s="1520">
        <v>4</v>
      </c>
      <c r="F205" s="1517">
        <v>0</v>
      </c>
      <c r="G205" s="1251">
        <v>0</v>
      </c>
      <c r="H205" s="1240">
        <v>0</v>
      </c>
      <c r="I205" s="1147">
        <v>1E-3</v>
      </c>
      <c r="J205" s="383">
        <v>0</v>
      </c>
      <c r="K205" s="487">
        <v>1E-3</v>
      </c>
      <c r="L205" s="487">
        <v>0</v>
      </c>
      <c r="M205" s="927"/>
      <c r="N205" s="672">
        <v>0</v>
      </c>
      <c r="O205" s="389">
        <v>1E-3</v>
      </c>
      <c r="P205" s="1092">
        <v>0</v>
      </c>
      <c r="Q205" s="1093">
        <v>0</v>
      </c>
      <c r="R205" s="381">
        <v>0</v>
      </c>
      <c r="S205" s="382"/>
      <c r="T205" s="381"/>
      <c r="U205" s="624"/>
      <c r="V205" s="569">
        <v>0</v>
      </c>
      <c r="W205" s="607"/>
      <c r="X205" s="383"/>
      <c r="Y205" s="607"/>
      <c r="Z205" s="383"/>
      <c r="AA205" s="607"/>
      <c r="AB205" s="718"/>
      <c r="AC205" s="335"/>
      <c r="AD205" s="389">
        <v>1E-3</v>
      </c>
      <c r="AE205" s="381">
        <v>1E-3</v>
      </c>
      <c r="AF205" s="389">
        <v>1E-3</v>
      </c>
      <c r="AG205" s="381">
        <v>1E-3</v>
      </c>
      <c r="AH205" s="389">
        <v>1E-3</v>
      </c>
      <c r="AI205" s="381">
        <v>1E-3</v>
      </c>
      <c r="AJ205" s="389">
        <v>1E-3</v>
      </c>
      <c r="AK205" s="381">
        <v>1E-3</v>
      </c>
      <c r="AL205" s="381">
        <v>1E-3</v>
      </c>
      <c r="AM205" s="381">
        <v>1E-3</v>
      </c>
      <c r="AN205" s="381">
        <v>1E-3</v>
      </c>
      <c r="AO205" s="381">
        <v>1E-3</v>
      </c>
      <c r="AP205" s="381">
        <v>1E-3</v>
      </c>
      <c r="AQ205" s="381">
        <v>1E-3</v>
      </c>
      <c r="AR205" s="381">
        <v>1E-3</v>
      </c>
      <c r="AS205" s="381">
        <v>1E-3</v>
      </c>
      <c r="AT205" s="381">
        <v>1E-3</v>
      </c>
      <c r="AU205" s="381">
        <v>1E-3</v>
      </c>
      <c r="AV205" s="381">
        <v>1E-3</v>
      </c>
      <c r="AW205" s="381">
        <v>1E-3</v>
      </c>
      <c r="AX205" s="335"/>
      <c r="AZ205" s="1097" t="s">
        <v>249</v>
      </c>
    </row>
    <row r="206" spans="1:52" x14ac:dyDescent="0.2">
      <c r="A206" s="1184">
        <v>198</v>
      </c>
      <c r="B206" s="1097" t="s">
        <v>145</v>
      </c>
      <c r="C206" s="1185">
        <v>241</v>
      </c>
      <c r="D206" s="1114">
        <v>43073222</v>
      </c>
      <c r="E206" s="1520">
        <v>8</v>
      </c>
      <c r="F206" s="1517">
        <v>0</v>
      </c>
      <c r="G206" s="1251">
        <v>0</v>
      </c>
      <c r="H206" s="1240">
        <v>0</v>
      </c>
      <c r="I206" s="1147">
        <v>1E-3</v>
      </c>
      <c r="J206" s="383">
        <v>0</v>
      </c>
      <c r="K206" s="487">
        <v>1E-3</v>
      </c>
      <c r="L206" s="487">
        <v>0</v>
      </c>
      <c r="M206" s="927"/>
      <c r="N206" s="672">
        <v>0</v>
      </c>
      <c r="O206" s="389">
        <v>1E-3</v>
      </c>
      <c r="P206" s="1092">
        <v>0</v>
      </c>
      <c r="Q206" s="1093">
        <v>0</v>
      </c>
      <c r="R206" s="381">
        <v>0</v>
      </c>
      <c r="S206" s="382"/>
      <c r="T206" s="381"/>
      <c r="U206" s="624"/>
      <c r="V206" s="569">
        <v>0</v>
      </c>
      <c r="W206" s="607"/>
      <c r="X206" s="383"/>
      <c r="Y206" s="607"/>
      <c r="Z206" s="383"/>
      <c r="AA206" s="607"/>
      <c r="AB206" s="718"/>
      <c r="AC206" s="335"/>
      <c r="AD206" s="389">
        <v>1E-3</v>
      </c>
      <c r="AE206" s="381">
        <v>1E-3</v>
      </c>
      <c r="AF206" s="389">
        <v>1E-3</v>
      </c>
      <c r="AG206" s="381">
        <v>1E-3</v>
      </c>
      <c r="AH206" s="389">
        <v>1E-3</v>
      </c>
      <c r="AI206" s="381">
        <v>1E-3</v>
      </c>
      <c r="AJ206" s="389">
        <v>1E-3</v>
      </c>
      <c r="AK206" s="381">
        <v>1E-3</v>
      </c>
      <c r="AL206" s="381">
        <v>1E-3</v>
      </c>
      <c r="AM206" s="381">
        <v>1E-3</v>
      </c>
      <c r="AN206" s="381">
        <v>1E-3</v>
      </c>
      <c r="AO206" s="381">
        <v>1E-3</v>
      </c>
      <c r="AP206" s="381">
        <v>1E-3</v>
      </c>
      <c r="AQ206" s="381">
        <v>1E-3</v>
      </c>
      <c r="AR206" s="381">
        <v>1E-3</v>
      </c>
      <c r="AS206" s="381">
        <v>1E-3</v>
      </c>
      <c r="AT206" s="381">
        <v>1E-3</v>
      </c>
      <c r="AU206" s="381">
        <v>1E-3</v>
      </c>
      <c r="AV206" s="381">
        <v>1E-3</v>
      </c>
      <c r="AW206" s="381">
        <v>1E-3</v>
      </c>
      <c r="AX206" s="335"/>
      <c r="AZ206" s="1097" t="s">
        <v>145</v>
      </c>
    </row>
    <row r="207" spans="1:52" x14ac:dyDescent="0.2">
      <c r="A207" s="1184">
        <v>199</v>
      </c>
      <c r="B207" s="1097" t="s">
        <v>146</v>
      </c>
      <c r="C207" s="1185">
        <v>182</v>
      </c>
      <c r="D207" s="1114">
        <v>21371978</v>
      </c>
      <c r="E207" s="1520">
        <v>5</v>
      </c>
      <c r="F207" s="1517">
        <v>0</v>
      </c>
      <c r="G207" s="1251">
        <v>0</v>
      </c>
      <c r="H207" s="1240">
        <v>0</v>
      </c>
      <c r="I207" s="1147">
        <v>1E-3</v>
      </c>
      <c r="J207" s="383">
        <v>0</v>
      </c>
      <c r="K207" s="487">
        <v>1E-3</v>
      </c>
      <c r="L207" s="487">
        <v>0</v>
      </c>
      <c r="M207" s="927"/>
      <c r="N207" s="672">
        <v>0</v>
      </c>
      <c r="O207" s="389">
        <v>1E-3</v>
      </c>
      <c r="P207" s="1092">
        <v>0</v>
      </c>
      <c r="Q207" s="1093">
        <v>0</v>
      </c>
      <c r="R207" s="381">
        <v>0</v>
      </c>
      <c r="S207" s="382"/>
      <c r="T207" s="381"/>
      <c r="U207" s="624"/>
      <c r="V207" s="569">
        <v>0</v>
      </c>
      <c r="W207" s="607"/>
      <c r="X207" s="383"/>
      <c r="Y207" s="607"/>
      <c r="Z207" s="383"/>
      <c r="AA207" s="607"/>
      <c r="AB207" s="718"/>
      <c r="AC207" s="335"/>
      <c r="AD207" s="389">
        <v>1E-3</v>
      </c>
      <c r="AE207" s="381">
        <v>1E-3</v>
      </c>
      <c r="AF207" s="389">
        <v>1E-3</v>
      </c>
      <c r="AG207" s="381">
        <v>1E-3</v>
      </c>
      <c r="AH207" s="389">
        <v>1E-3</v>
      </c>
      <c r="AI207" s="381">
        <v>1E-3</v>
      </c>
      <c r="AJ207" s="389">
        <v>1E-3</v>
      </c>
      <c r="AK207" s="381">
        <v>1E-3</v>
      </c>
      <c r="AL207" s="381">
        <v>1E-3</v>
      </c>
      <c r="AM207" s="381">
        <v>1E-3</v>
      </c>
      <c r="AN207" s="381">
        <v>1E-3</v>
      </c>
      <c r="AO207" s="381">
        <v>1E-3</v>
      </c>
      <c r="AP207" s="381">
        <v>1E-3</v>
      </c>
      <c r="AQ207" s="381">
        <v>1E-3</v>
      </c>
      <c r="AR207" s="381">
        <v>1E-3</v>
      </c>
      <c r="AS207" s="381">
        <v>1E-3</v>
      </c>
      <c r="AT207" s="381">
        <v>1E-3</v>
      </c>
      <c r="AU207" s="381">
        <v>1E-3</v>
      </c>
      <c r="AV207" s="381">
        <v>1E-3</v>
      </c>
      <c r="AW207" s="381">
        <v>1E-3</v>
      </c>
      <c r="AX207" s="335"/>
      <c r="AZ207" s="1097" t="s">
        <v>146</v>
      </c>
    </row>
    <row r="208" spans="1:52" x14ac:dyDescent="0.2">
      <c r="A208" s="1184">
        <v>200</v>
      </c>
      <c r="B208" s="1097" t="s">
        <v>361</v>
      </c>
      <c r="C208" s="1185">
        <v>183</v>
      </c>
      <c r="D208" s="1114">
        <v>8226721</v>
      </c>
      <c r="E208" s="1520">
        <v>2</v>
      </c>
      <c r="F208" s="1517">
        <v>0</v>
      </c>
      <c r="G208" s="1251">
        <v>0</v>
      </c>
      <c r="H208" s="1240">
        <v>0</v>
      </c>
      <c r="I208" s="1147">
        <v>1E-3</v>
      </c>
      <c r="J208" s="383">
        <v>0</v>
      </c>
      <c r="K208" s="487">
        <v>1E-3</v>
      </c>
      <c r="L208" s="487">
        <v>0</v>
      </c>
      <c r="M208" s="927"/>
      <c r="N208" s="672">
        <v>0</v>
      </c>
      <c r="O208" s="389">
        <v>1E-3</v>
      </c>
      <c r="P208" s="1092">
        <v>0</v>
      </c>
      <c r="Q208" s="1093">
        <v>0</v>
      </c>
      <c r="R208" s="381">
        <v>0</v>
      </c>
      <c r="S208" s="382"/>
      <c r="T208" s="381"/>
      <c r="U208" s="624"/>
      <c r="V208" s="569">
        <v>0</v>
      </c>
      <c r="W208" s="607"/>
      <c r="X208" s="383"/>
      <c r="Y208" s="607"/>
      <c r="Z208" s="383"/>
      <c r="AA208" s="607"/>
      <c r="AB208" s="718"/>
      <c r="AC208" s="335"/>
      <c r="AD208" s="389">
        <v>1E-3</v>
      </c>
      <c r="AE208" s="381">
        <v>1E-3</v>
      </c>
      <c r="AF208" s="389">
        <v>1E-3</v>
      </c>
      <c r="AG208" s="381">
        <v>1E-3</v>
      </c>
      <c r="AH208" s="389">
        <v>1E-3</v>
      </c>
      <c r="AI208" s="381">
        <v>1E-3</v>
      </c>
      <c r="AJ208" s="389">
        <v>1E-3</v>
      </c>
      <c r="AK208" s="381">
        <v>1E-3</v>
      </c>
      <c r="AL208" s="381">
        <v>1E-3</v>
      </c>
      <c r="AM208" s="381">
        <v>1E-3</v>
      </c>
      <c r="AN208" s="381">
        <v>1E-3</v>
      </c>
      <c r="AO208" s="381">
        <v>1E-3</v>
      </c>
      <c r="AP208" s="381">
        <v>1E-3</v>
      </c>
      <c r="AQ208" s="381">
        <v>1E-3</v>
      </c>
      <c r="AR208" s="381">
        <v>1E-3</v>
      </c>
      <c r="AS208" s="381">
        <v>1E-3</v>
      </c>
      <c r="AT208" s="381">
        <v>1E-3</v>
      </c>
      <c r="AU208" s="381">
        <v>1E-3</v>
      </c>
      <c r="AV208" s="381">
        <v>1E-3</v>
      </c>
      <c r="AW208" s="381">
        <v>1E-3</v>
      </c>
      <c r="AX208" s="335"/>
      <c r="AZ208" s="1097" t="s">
        <v>361</v>
      </c>
    </row>
    <row r="209" spans="1:52" x14ac:dyDescent="0.2">
      <c r="A209" s="1184">
        <v>201</v>
      </c>
      <c r="B209" s="1097" t="s">
        <v>651</v>
      </c>
      <c r="C209" s="1185">
        <v>201</v>
      </c>
      <c r="D209" s="1114">
        <v>32476227</v>
      </c>
      <c r="E209" s="1520">
        <v>4</v>
      </c>
      <c r="F209" s="1517">
        <v>0</v>
      </c>
      <c r="G209" s="1251">
        <v>0</v>
      </c>
      <c r="H209" s="1240">
        <v>0</v>
      </c>
      <c r="I209" s="1147">
        <v>1E-3</v>
      </c>
      <c r="J209" s="383">
        <v>0</v>
      </c>
      <c r="K209" s="487">
        <v>1E-3</v>
      </c>
      <c r="L209" s="487">
        <v>0</v>
      </c>
      <c r="M209" s="927"/>
      <c r="N209" s="672">
        <v>0</v>
      </c>
      <c r="O209" s="389">
        <v>1E-3</v>
      </c>
      <c r="P209" s="1092">
        <v>0</v>
      </c>
      <c r="Q209" s="1093">
        <v>0</v>
      </c>
      <c r="R209" s="381">
        <v>0</v>
      </c>
      <c r="S209" s="382"/>
      <c r="T209" s="381"/>
      <c r="U209" s="624"/>
      <c r="V209" s="569">
        <v>0</v>
      </c>
      <c r="W209" s="607"/>
      <c r="X209" s="383"/>
      <c r="Y209" s="607"/>
      <c r="Z209" s="383"/>
      <c r="AA209" s="607"/>
      <c r="AB209" s="718"/>
      <c r="AC209" s="335"/>
      <c r="AD209" s="389">
        <v>1E-3</v>
      </c>
      <c r="AE209" s="381">
        <v>1E-3</v>
      </c>
      <c r="AF209" s="389">
        <v>1E-3</v>
      </c>
      <c r="AG209" s="381">
        <v>1E-3</v>
      </c>
      <c r="AH209" s="389">
        <v>1E-3</v>
      </c>
      <c r="AI209" s="381">
        <v>1E-3</v>
      </c>
      <c r="AJ209" s="389">
        <v>1E-3</v>
      </c>
      <c r="AK209" s="381">
        <v>1E-3</v>
      </c>
      <c r="AL209" s="381">
        <v>1E-3</v>
      </c>
      <c r="AM209" s="381">
        <v>1E-3</v>
      </c>
      <c r="AN209" s="381">
        <v>1E-3</v>
      </c>
      <c r="AO209" s="381">
        <v>1E-3</v>
      </c>
      <c r="AP209" s="381">
        <v>1E-3</v>
      </c>
      <c r="AQ209" s="381">
        <v>1E-3</v>
      </c>
      <c r="AR209" s="381">
        <v>1E-3</v>
      </c>
      <c r="AS209" s="381">
        <v>1E-3</v>
      </c>
      <c r="AT209" s="381">
        <v>1E-3</v>
      </c>
      <c r="AU209" s="381">
        <v>1E-3</v>
      </c>
      <c r="AV209" s="381">
        <v>1E-3</v>
      </c>
      <c r="AW209" s="381">
        <v>1E-3</v>
      </c>
      <c r="AX209" s="335"/>
      <c r="AZ209" s="1493" t="s">
        <v>651</v>
      </c>
    </row>
    <row r="210" spans="1:52" x14ac:dyDescent="0.2">
      <c r="A210" s="1184">
        <v>202</v>
      </c>
      <c r="B210" s="1097" t="s">
        <v>645</v>
      </c>
      <c r="C210" s="1185">
        <v>205</v>
      </c>
      <c r="D210" s="1114">
        <v>42969424</v>
      </c>
      <c r="E210" s="1520">
        <v>1</v>
      </c>
      <c r="F210" s="1517">
        <v>0</v>
      </c>
      <c r="G210" s="1251">
        <v>0</v>
      </c>
      <c r="H210" s="1240">
        <v>0</v>
      </c>
      <c r="I210" s="1147">
        <v>1E-3</v>
      </c>
      <c r="J210" s="383">
        <v>0</v>
      </c>
      <c r="K210" s="487">
        <v>1E-3</v>
      </c>
      <c r="L210" s="487">
        <v>0</v>
      </c>
      <c r="M210" s="927"/>
      <c r="N210" s="672">
        <v>0</v>
      </c>
      <c r="O210" s="389">
        <v>1E-3</v>
      </c>
      <c r="P210" s="1092">
        <v>0</v>
      </c>
      <c r="Q210" s="1093">
        <v>0</v>
      </c>
      <c r="R210" s="381">
        <v>0</v>
      </c>
      <c r="S210" s="382"/>
      <c r="T210" s="381"/>
      <c r="U210" s="624"/>
      <c r="V210" s="569">
        <v>0</v>
      </c>
      <c r="W210" s="607"/>
      <c r="X210" s="383"/>
      <c r="Y210" s="607"/>
      <c r="Z210" s="383"/>
      <c r="AA210" s="607"/>
      <c r="AB210" s="718"/>
      <c r="AC210" s="335"/>
      <c r="AD210" s="389">
        <v>1E-3</v>
      </c>
      <c r="AE210" s="381">
        <v>1E-3</v>
      </c>
      <c r="AF210" s="389">
        <v>1E-3</v>
      </c>
      <c r="AG210" s="381">
        <v>1E-3</v>
      </c>
      <c r="AH210" s="389">
        <v>1E-3</v>
      </c>
      <c r="AI210" s="381">
        <v>1E-3</v>
      </c>
      <c r="AJ210" s="389">
        <v>1E-3</v>
      </c>
      <c r="AK210" s="381">
        <v>1E-3</v>
      </c>
      <c r="AL210" s="381">
        <v>1E-3</v>
      </c>
      <c r="AM210" s="381">
        <v>1E-3</v>
      </c>
      <c r="AN210" s="381">
        <v>1E-3</v>
      </c>
      <c r="AO210" s="381">
        <v>1E-3</v>
      </c>
      <c r="AP210" s="381">
        <v>1E-3</v>
      </c>
      <c r="AQ210" s="381">
        <v>1E-3</v>
      </c>
      <c r="AR210" s="381">
        <v>1E-3</v>
      </c>
      <c r="AS210" s="381">
        <v>1E-3</v>
      </c>
      <c r="AT210" s="381">
        <v>1E-3</v>
      </c>
      <c r="AU210" s="381">
        <v>1E-3</v>
      </c>
      <c r="AV210" s="381">
        <v>1E-3</v>
      </c>
      <c r="AW210" s="381">
        <v>1E-3</v>
      </c>
      <c r="AX210" s="335"/>
      <c r="AZ210" s="1493" t="s">
        <v>645</v>
      </c>
    </row>
    <row r="211" spans="1:52" ht="51" x14ac:dyDescent="0.2">
      <c r="A211" s="1184">
        <v>203</v>
      </c>
      <c r="B211" s="1097" t="s">
        <v>147</v>
      </c>
      <c r="C211" s="1185">
        <v>185</v>
      </c>
      <c r="D211" s="1114">
        <v>43041519</v>
      </c>
      <c r="E211" s="1520">
        <v>2</v>
      </c>
      <c r="F211" s="1517">
        <v>2420000</v>
      </c>
      <c r="G211" s="1251">
        <v>0</v>
      </c>
      <c r="H211" s="1240">
        <v>2420000</v>
      </c>
      <c r="I211" s="1147">
        <v>1E-3</v>
      </c>
      <c r="J211" s="383">
        <v>0</v>
      </c>
      <c r="K211" s="487">
        <v>1E-3</v>
      </c>
      <c r="L211" s="487">
        <v>0</v>
      </c>
      <c r="M211" s="927"/>
      <c r="N211" s="672">
        <v>0</v>
      </c>
      <c r="O211" s="389">
        <v>1E-3</v>
      </c>
      <c r="P211" s="1092">
        <v>0</v>
      </c>
      <c r="Q211" s="1093">
        <v>0</v>
      </c>
      <c r="R211" s="1585">
        <v>2420000</v>
      </c>
      <c r="S211" s="1586" t="s">
        <v>833</v>
      </c>
      <c r="T211" s="381"/>
      <c r="U211" s="624"/>
      <c r="V211" s="569">
        <v>0</v>
      </c>
      <c r="W211" s="607"/>
      <c r="X211" s="383"/>
      <c r="Y211" s="607"/>
      <c r="Z211" s="383"/>
      <c r="AA211" s="607"/>
      <c r="AB211" s="718"/>
      <c r="AC211" s="335"/>
      <c r="AD211" s="389">
        <v>1E-3</v>
      </c>
      <c r="AE211" s="381">
        <v>1E-3</v>
      </c>
      <c r="AF211" s="389">
        <v>1E-3</v>
      </c>
      <c r="AG211" s="381">
        <v>1E-3</v>
      </c>
      <c r="AH211" s="389">
        <v>1E-3</v>
      </c>
      <c r="AI211" s="381">
        <v>1E-3</v>
      </c>
      <c r="AJ211" s="389">
        <v>1E-3</v>
      </c>
      <c r="AK211" s="381">
        <v>1E-3</v>
      </c>
      <c r="AL211" s="381">
        <v>1E-3</v>
      </c>
      <c r="AM211" s="381">
        <v>1000000</v>
      </c>
      <c r="AN211" s="381" t="s">
        <v>747</v>
      </c>
      <c r="AO211" s="381">
        <v>1E-3</v>
      </c>
      <c r="AP211" s="381">
        <v>1E-3</v>
      </c>
      <c r="AQ211" s="381">
        <v>1E-3</v>
      </c>
      <c r="AR211" s="381">
        <v>1E-3</v>
      </c>
      <c r="AS211" s="381">
        <v>1E-3</v>
      </c>
      <c r="AT211" s="381">
        <v>1E-3</v>
      </c>
      <c r="AU211" s="381">
        <v>1E-3</v>
      </c>
      <c r="AV211" s="381">
        <v>1E-3</v>
      </c>
      <c r="AW211" s="381">
        <v>1E-3</v>
      </c>
      <c r="AX211" s="335"/>
      <c r="AZ211" s="1097" t="s">
        <v>147</v>
      </c>
    </row>
    <row r="212" spans="1:52" x14ac:dyDescent="0.2">
      <c r="A212" s="1184">
        <v>204</v>
      </c>
      <c r="B212" s="1097" t="s">
        <v>148</v>
      </c>
      <c r="C212" s="1185">
        <v>187</v>
      </c>
      <c r="D212" s="1114">
        <v>71595523</v>
      </c>
      <c r="E212" s="1520">
        <v>1</v>
      </c>
      <c r="F212" s="1517">
        <v>0</v>
      </c>
      <c r="G212" s="1251">
        <v>0</v>
      </c>
      <c r="H212" s="1240">
        <v>0</v>
      </c>
      <c r="I212" s="1147">
        <v>1E-3</v>
      </c>
      <c r="J212" s="383">
        <v>0</v>
      </c>
      <c r="K212" s="487">
        <v>1E-3</v>
      </c>
      <c r="L212" s="487">
        <v>0</v>
      </c>
      <c r="M212" s="927"/>
      <c r="N212" s="672">
        <v>0</v>
      </c>
      <c r="O212" s="389">
        <v>1E-3</v>
      </c>
      <c r="P212" s="1092">
        <v>0</v>
      </c>
      <c r="Q212" s="1093">
        <v>0</v>
      </c>
      <c r="R212" s="381">
        <v>0</v>
      </c>
      <c r="S212" s="382"/>
      <c r="T212" s="381"/>
      <c r="U212" s="624"/>
      <c r="V212" s="569">
        <v>0</v>
      </c>
      <c r="W212" s="607"/>
      <c r="X212" s="383"/>
      <c r="Y212" s="607"/>
      <c r="Z212" s="383"/>
      <c r="AA212" s="607"/>
      <c r="AB212" s="718"/>
      <c r="AC212" s="335"/>
      <c r="AD212" s="389">
        <v>1E-3</v>
      </c>
      <c r="AE212" s="381">
        <v>1E-3</v>
      </c>
      <c r="AF212" s="389">
        <v>1E-3</v>
      </c>
      <c r="AG212" s="381">
        <v>1E-3</v>
      </c>
      <c r="AH212" s="389">
        <v>1E-3</v>
      </c>
      <c r="AI212" s="381">
        <v>1E-3</v>
      </c>
      <c r="AJ212" s="389">
        <v>1E-3</v>
      </c>
      <c r="AK212" s="381">
        <v>1E-3</v>
      </c>
      <c r="AL212" s="381">
        <v>1E-3</v>
      </c>
      <c r="AM212" s="381">
        <v>1E-3</v>
      </c>
      <c r="AN212" s="381">
        <v>1E-3</v>
      </c>
      <c r="AO212" s="381">
        <v>1E-3</v>
      </c>
      <c r="AP212" s="381">
        <v>1E-3</v>
      </c>
      <c r="AQ212" s="381">
        <v>1E-3</v>
      </c>
      <c r="AR212" s="381">
        <v>1E-3</v>
      </c>
      <c r="AS212" s="381">
        <v>1E-3</v>
      </c>
      <c r="AT212" s="381">
        <v>1E-3</v>
      </c>
      <c r="AU212" s="381">
        <v>1E-3</v>
      </c>
      <c r="AV212" s="381">
        <v>1E-3</v>
      </c>
      <c r="AW212" s="381">
        <v>1E-3</v>
      </c>
      <c r="AX212" s="335"/>
      <c r="AZ212" s="1470" t="s">
        <v>148</v>
      </c>
    </row>
    <row r="213" spans="1:52" x14ac:dyDescent="0.2">
      <c r="A213" s="1184">
        <v>205</v>
      </c>
      <c r="B213" s="1491" t="s">
        <v>359</v>
      </c>
      <c r="C213" s="1185">
        <v>188</v>
      </c>
      <c r="D213" s="1114">
        <v>70567656</v>
      </c>
      <c r="E213" s="1520">
        <v>1</v>
      </c>
      <c r="F213" s="1517">
        <v>0</v>
      </c>
      <c r="G213" s="1251">
        <v>0</v>
      </c>
      <c r="H213" s="1240">
        <v>0</v>
      </c>
      <c r="I213" s="1147">
        <v>1E-3</v>
      </c>
      <c r="J213" s="383">
        <v>0</v>
      </c>
      <c r="K213" s="487">
        <v>1E-3</v>
      </c>
      <c r="L213" s="487">
        <v>0</v>
      </c>
      <c r="M213" s="927"/>
      <c r="N213" s="672">
        <v>0</v>
      </c>
      <c r="O213" s="389">
        <v>1E-3</v>
      </c>
      <c r="P213" s="1092">
        <v>0</v>
      </c>
      <c r="Q213" s="1093">
        <v>0</v>
      </c>
      <c r="R213" s="381">
        <v>0</v>
      </c>
      <c r="S213" s="382"/>
      <c r="T213" s="381"/>
      <c r="U213" s="624"/>
      <c r="V213" s="569">
        <v>0</v>
      </c>
      <c r="W213" s="607"/>
      <c r="X213" s="383"/>
      <c r="Y213" s="607"/>
      <c r="Z213" s="383"/>
      <c r="AA213" s="607"/>
      <c r="AB213" s="718"/>
      <c r="AC213" s="335"/>
      <c r="AD213" s="389">
        <v>1E-3</v>
      </c>
      <c r="AE213" s="381">
        <v>1E-3</v>
      </c>
      <c r="AF213" s="389">
        <v>1E-3</v>
      </c>
      <c r="AG213" s="381">
        <v>1E-3</v>
      </c>
      <c r="AH213" s="389">
        <v>1E-3</v>
      </c>
      <c r="AI213" s="381">
        <v>1E-3</v>
      </c>
      <c r="AJ213" s="389">
        <v>1E-3</v>
      </c>
      <c r="AK213" s="381">
        <v>1E-3</v>
      </c>
      <c r="AL213" s="381">
        <v>1E-3</v>
      </c>
      <c r="AM213" s="381">
        <v>1E-3</v>
      </c>
      <c r="AN213" s="381">
        <v>1E-3</v>
      </c>
      <c r="AO213" s="381">
        <v>1E-3</v>
      </c>
      <c r="AP213" s="381">
        <v>1E-3</v>
      </c>
      <c r="AQ213" s="381">
        <v>1E-3</v>
      </c>
      <c r="AR213" s="381">
        <v>1E-3</v>
      </c>
      <c r="AS213" s="381">
        <v>1E-3</v>
      </c>
      <c r="AT213" s="381">
        <v>1E-3</v>
      </c>
      <c r="AU213" s="381">
        <v>1E-3</v>
      </c>
      <c r="AV213" s="381">
        <v>1E-3</v>
      </c>
      <c r="AW213" s="381">
        <v>1E-3</v>
      </c>
      <c r="AX213" s="335"/>
      <c r="AZ213" s="1491" t="s">
        <v>359</v>
      </c>
    </row>
    <row r="214" spans="1:52" x14ac:dyDescent="0.2">
      <c r="A214" s="1184">
        <v>206</v>
      </c>
      <c r="B214" s="1201" t="s">
        <v>149</v>
      </c>
      <c r="C214" s="1185">
        <v>189</v>
      </c>
      <c r="D214" s="1114">
        <v>42877800</v>
      </c>
      <c r="E214" s="1520">
        <v>2</v>
      </c>
      <c r="F214" s="1517">
        <v>495921.02485292027</v>
      </c>
      <c r="G214" s="1251">
        <v>0</v>
      </c>
      <c r="H214" s="1240">
        <v>495921.02485292027</v>
      </c>
      <c r="I214" s="1148">
        <v>3</v>
      </c>
      <c r="J214" s="383">
        <v>365921.02485292027</v>
      </c>
      <c r="K214" s="487">
        <v>1E-3</v>
      </c>
      <c r="L214" s="487">
        <v>0</v>
      </c>
      <c r="M214" s="927"/>
      <c r="N214" s="672">
        <v>0</v>
      </c>
      <c r="O214" s="389" t="s">
        <v>318</v>
      </c>
      <c r="P214" s="1589">
        <v>130000</v>
      </c>
      <c r="Q214" s="1093">
        <v>0</v>
      </c>
      <c r="R214" s="381">
        <v>0</v>
      </c>
      <c r="S214" s="382"/>
      <c r="T214" s="381"/>
      <c r="U214" s="624"/>
      <c r="V214" s="569">
        <v>0</v>
      </c>
      <c r="W214" s="607"/>
      <c r="X214" s="383"/>
      <c r="Y214" s="607"/>
      <c r="Z214" s="383"/>
      <c r="AA214" s="607"/>
      <c r="AB214" s="718"/>
      <c r="AC214" s="335"/>
      <c r="AD214" s="389">
        <v>6</v>
      </c>
      <c r="AE214" s="381">
        <v>669694.40858879988</v>
      </c>
      <c r="AF214" s="389">
        <v>1E-3</v>
      </c>
      <c r="AG214" s="381">
        <v>0</v>
      </c>
      <c r="AH214" s="389">
        <v>1E-3</v>
      </c>
      <c r="AI214" s="381">
        <v>0</v>
      </c>
      <c r="AJ214" s="389" t="s">
        <v>318</v>
      </c>
      <c r="AK214" s="381">
        <v>60000</v>
      </c>
      <c r="AL214" s="381">
        <v>1E-3</v>
      </c>
      <c r="AM214" s="381">
        <v>1E-3</v>
      </c>
      <c r="AN214" s="381">
        <v>1E-3</v>
      </c>
      <c r="AO214" s="381">
        <v>1E-3</v>
      </c>
      <c r="AP214" s="381">
        <v>1E-3</v>
      </c>
      <c r="AQ214" s="381">
        <v>1E-3</v>
      </c>
      <c r="AR214" s="381">
        <v>1E-3</v>
      </c>
      <c r="AS214" s="381">
        <v>1E-3</v>
      </c>
      <c r="AT214" s="381">
        <v>1E-3</v>
      </c>
      <c r="AU214" s="381">
        <v>1E-3</v>
      </c>
      <c r="AV214" s="381">
        <v>1E-3</v>
      </c>
      <c r="AW214" s="381">
        <v>1E-3</v>
      </c>
      <c r="AX214" s="335"/>
      <c r="AZ214" s="1097" t="s">
        <v>149</v>
      </c>
    </row>
    <row r="215" spans="1:52" x14ac:dyDescent="0.2">
      <c r="A215" s="1184">
        <v>207</v>
      </c>
      <c r="B215" s="1097" t="s">
        <v>150</v>
      </c>
      <c r="C215" s="1185">
        <v>190</v>
      </c>
      <c r="D215" s="1114">
        <v>21717463</v>
      </c>
      <c r="E215" s="1520">
        <v>1</v>
      </c>
      <c r="F215" s="1517">
        <v>0</v>
      </c>
      <c r="G215" s="1251">
        <v>0</v>
      </c>
      <c r="H215" s="1240">
        <v>0</v>
      </c>
      <c r="I215" s="1147">
        <v>1E-3</v>
      </c>
      <c r="J215" s="383">
        <v>0</v>
      </c>
      <c r="K215" s="487">
        <v>1E-3</v>
      </c>
      <c r="L215" s="487">
        <v>0</v>
      </c>
      <c r="M215" s="927"/>
      <c r="N215" s="672">
        <v>0</v>
      </c>
      <c r="O215" s="389">
        <v>1E-3</v>
      </c>
      <c r="P215" s="1092">
        <v>0</v>
      </c>
      <c r="Q215" s="1093">
        <v>0</v>
      </c>
      <c r="R215" s="381">
        <v>0</v>
      </c>
      <c r="S215" s="382"/>
      <c r="T215" s="381"/>
      <c r="U215" s="624"/>
      <c r="V215" s="569">
        <v>0</v>
      </c>
      <c r="W215" s="607"/>
      <c r="X215" s="383"/>
      <c r="Y215" s="607"/>
      <c r="Z215" s="383"/>
      <c r="AA215" s="607"/>
      <c r="AB215" s="718"/>
      <c r="AC215" s="335"/>
      <c r="AD215" s="389">
        <v>1E-3</v>
      </c>
      <c r="AE215" s="381">
        <v>1E-3</v>
      </c>
      <c r="AF215" s="389">
        <v>1E-3</v>
      </c>
      <c r="AG215" s="381">
        <v>1E-3</v>
      </c>
      <c r="AH215" s="389">
        <v>1E-3</v>
      </c>
      <c r="AI215" s="381">
        <v>1E-3</v>
      </c>
      <c r="AJ215" s="389">
        <v>1E-3</v>
      </c>
      <c r="AK215" s="381">
        <v>1E-3</v>
      </c>
      <c r="AL215" s="381">
        <v>1E-3</v>
      </c>
      <c r="AM215" s="381">
        <v>1E-3</v>
      </c>
      <c r="AN215" s="381">
        <v>1E-3</v>
      </c>
      <c r="AO215" s="381">
        <v>1E-3</v>
      </c>
      <c r="AP215" s="381">
        <v>1E-3</v>
      </c>
      <c r="AQ215" s="381">
        <v>1E-3</v>
      </c>
      <c r="AR215" s="381">
        <v>1E-3</v>
      </c>
      <c r="AS215" s="381">
        <v>1E-3</v>
      </c>
      <c r="AT215" s="381">
        <v>1E-3</v>
      </c>
      <c r="AU215" s="381">
        <v>1E-3</v>
      </c>
      <c r="AV215" s="381">
        <v>1E-3</v>
      </c>
      <c r="AW215" s="381">
        <v>1E-3</v>
      </c>
      <c r="AX215" s="335"/>
      <c r="AZ215" s="1097" t="s">
        <v>150</v>
      </c>
    </row>
    <row r="216" spans="1:52" x14ac:dyDescent="0.2">
      <c r="A216" s="1184">
        <v>208</v>
      </c>
      <c r="B216" s="1137" t="s">
        <v>455</v>
      </c>
      <c r="C216" s="1185">
        <v>192</v>
      </c>
      <c r="D216" s="1114">
        <v>21717467</v>
      </c>
      <c r="E216" s="1520">
        <v>0</v>
      </c>
      <c r="F216" s="1517">
        <v>0</v>
      </c>
      <c r="G216" s="1251">
        <v>0</v>
      </c>
      <c r="H216" s="1240">
        <v>0</v>
      </c>
      <c r="I216" s="1147">
        <v>1E-3</v>
      </c>
      <c r="J216" s="383">
        <v>0</v>
      </c>
      <c r="K216" s="487">
        <v>1E-3</v>
      </c>
      <c r="L216" s="487">
        <v>0</v>
      </c>
      <c r="M216" s="927"/>
      <c r="N216" s="672">
        <v>0</v>
      </c>
      <c r="O216" s="389">
        <v>1E-3</v>
      </c>
      <c r="P216" s="1092">
        <v>0</v>
      </c>
      <c r="Q216" s="1093">
        <v>0</v>
      </c>
      <c r="R216" s="381">
        <v>0</v>
      </c>
      <c r="S216" s="382"/>
      <c r="T216" s="381"/>
      <c r="U216" s="624"/>
      <c r="V216" s="569">
        <v>0</v>
      </c>
      <c r="W216" s="607"/>
      <c r="X216" s="383"/>
      <c r="Y216" s="607"/>
      <c r="Z216" s="383"/>
      <c r="AA216" s="607"/>
      <c r="AB216" s="718"/>
      <c r="AC216" s="335"/>
      <c r="AD216" s="389">
        <v>1E-3</v>
      </c>
      <c r="AE216" s="381">
        <v>1E-3</v>
      </c>
      <c r="AF216" s="389">
        <v>1E-3</v>
      </c>
      <c r="AG216" s="381">
        <v>1E-3</v>
      </c>
      <c r="AH216" s="389">
        <v>1E-3</v>
      </c>
      <c r="AI216" s="381">
        <v>1E-3</v>
      </c>
      <c r="AJ216" s="389">
        <v>1E-3</v>
      </c>
      <c r="AK216" s="381">
        <v>1E-3</v>
      </c>
      <c r="AL216" s="381">
        <v>1E-3</v>
      </c>
      <c r="AM216" s="381">
        <v>1E-3</v>
      </c>
      <c r="AN216" s="381">
        <v>1E-3</v>
      </c>
      <c r="AO216" s="381">
        <v>1E-3</v>
      </c>
      <c r="AP216" s="381">
        <v>1E-3</v>
      </c>
      <c r="AQ216" s="381">
        <v>1E-3</v>
      </c>
      <c r="AR216" s="381">
        <v>1E-3</v>
      </c>
      <c r="AS216" s="381">
        <v>1E-3</v>
      </c>
      <c r="AT216" s="381">
        <v>1E-3</v>
      </c>
      <c r="AU216" s="381">
        <v>1E-3</v>
      </c>
      <c r="AV216" s="381">
        <v>1E-3</v>
      </c>
      <c r="AW216" s="381">
        <v>1E-3</v>
      </c>
      <c r="AX216" s="335"/>
      <c r="AZ216" s="1097" t="s">
        <v>455</v>
      </c>
    </row>
    <row r="217" spans="1:52" x14ac:dyDescent="0.2">
      <c r="A217" s="1184">
        <v>209</v>
      </c>
      <c r="B217" s="1097" t="s">
        <v>152</v>
      </c>
      <c r="C217" s="1185">
        <v>193</v>
      </c>
      <c r="D217" s="1114">
        <v>32326870</v>
      </c>
      <c r="E217" s="1520">
        <v>8</v>
      </c>
      <c r="F217" s="1517">
        <v>0</v>
      </c>
      <c r="G217" s="1251">
        <v>0</v>
      </c>
      <c r="H217" s="1240">
        <v>0</v>
      </c>
      <c r="I217" s="1147">
        <v>1E-3</v>
      </c>
      <c r="J217" s="383">
        <v>0</v>
      </c>
      <c r="K217" s="487">
        <v>1E-3</v>
      </c>
      <c r="L217" s="487">
        <v>0</v>
      </c>
      <c r="M217" s="927"/>
      <c r="N217" s="672">
        <v>0</v>
      </c>
      <c r="O217" s="389">
        <v>1E-3</v>
      </c>
      <c r="P217" s="1092">
        <v>0</v>
      </c>
      <c r="Q217" s="1093">
        <v>0</v>
      </c>
      <c r="R217" s="381">
        <v>0</v>
      </c>
      <c r="S217" s="382"/>
      <c r="T217" s="381"/>
      <c r="U217" s="624"/>
      <c r="V217" s="569">
        <v>0</v>
      </c>
      <c r="W217" s="607"/>
      <c r="X217" s="383"/>
      <c r="Y217" s="607"/>
      <c r="Z217" s="383"/>
      <c r="AA217" s="607"/>
      <c r="AB217" s="718"/>
      <c r="AC217" s="335"/>
      <c r="AD217" s="389">
        <v>1E-3</v>
      </c>
      <c r="AE217" s="381">
        <v>1E-3</v>
      </c>
      <c r="AF217" s="389">
        <v>1E-3</v>
      </c>
      <c r="AG217" s="381">
        <v>1E-3</v>
      </c>
      <c r="AH217" s="389">
        <v>1E-3</v>
      </c>
      <c r="AI217" s="381">
        <v>1E-3</v>
      </c>
      <c r="AJ217" s="389">
        <v>1E-3</v>
      </c>
      <c r="AK217" s="381">
        <v>1E-3</v>
      </c>
      <c r="AL217" s="381">
        <v>1E-3</v>
      </c>
      <c r="AM217" s="381">
        <v>1E-3</v>
      </c>
      <c r="AN217" s="381">
        <v>1E-3</v>
      </c>
      <c r="AO217" s="381">
        <v>1E-3</v>
      </c>
      <c r="AP217" s="381">
        <v>1E-3</v>
      </c>
      <c r="AQ217" s="381">
        <v>1E-3</v>
      </c>
      <c r="AR217" s="381">
        <v>1E-3</v>
      </c>
      <c r="AS217" s="381">
        <v>1E-3</v>
      </c>
      <c r="AT217" s="381">
        <v>1E-3</v>
      </c>
      <c r="AU217" s="381">
        <v>1E-3</v>
      </c>
      <c r="AV217" s="381">
        <v>1E-3</v>
      </c>
      <c r="AW217" s="381">
        <v>1E-3</v>
      </c>
      <c r="AX217" s="335"/>
      <c r="AZ217" s="1097" t="s">
        <v>152</v>
      </c>
    </row>
    <row r="218" spans="1:52" x14ac:dyDescent="0.2">
      <c r="A218" s="1184">
        <v>210</v>
      </c>
      <c r="B218" s="1097" t="s">
        <v>153</v>
      </c>
      <c r="C218" s="1185">
        <v>194</v>
      </c>
      <c r="D218" s="1114">
        <v>70562691</v>
      </c>
      <c r="E218" s="1520">
        <v>5</v>
      </c>
      <c r="F218" s="1517">
        <v>0</v>
      </c>
      <c r="G218" s="1251">
        <v>0</v>
      </c>
      <c r="H218" s="1240">
        <v>0</v>
      </c>
      <c r="I218" s="1147">
        <v>1E-3</v>
      </c>
      <c r="J218" s="383">
        <v>0</v>
      </c>
      <c r="K218" s="487">
        <v>1E-3</v>
      </c>
      <c r="L218" s="487">
        <v>0</v>
      </c>
      <c r="M218" s="927"/>
      <c r="N218" s="672">
        <v>0</v>
      </c>
      <c r="O218" s="389">
        <v>1E-3</v>
      </c>
      <c r="P218" s="1092">
        <v>0</v>
      </c>
      <c r="Q218" s="1093">
        <v>0</v>
      </c>
      <c r="R218" s="381">
        <v>0</v>
      </c>
      <c r="S218" s="382"/>
      <c r="T218" s="381"/>
      <c r="U218" s="624"/>
      <c r="V218" s="569">
        <v>0</v>
      </c>
      <c r="W218" s="607"/>
      <c r="X218" s="383"/>
      <c r="Y218" s="607"/>
      <c r="Z218" s="383"/>
      <c r="AA218" s="607"/>
      <c r="AB218" s="718"/>
      <c r="AC218" s="335"/>
      <c r="AD218" s="389">
        <v>1E-3</v>
      </c>
      <c r="AE218" s="381">
        <v>1E-3</v>
      </c>
      <c r="AF218" s="389">
        <v>1E-3</v>
      </c>
      <c r="AG218" s="381">
        <v>1E-3</v>
      </c>
      <c r="AH218" s="389">
        <v>1E-3</v>
      </c>
      <c r="AI218" s="381">
        <v>1E-3</v>
      </c>
      <c r="AJ218" s="389">
        <v>1E-3</v>
      </c>
      <c r="AK218" s="381">
        <v>1E-3</v>
      </c>
      <c r="AL218" s="381">
        <v>1E-3</v>
      </c>
      <c r="AM218" s="381">
        <v>1E-3</v>
      </c>
      <c r="AN218" s="381">
        <v>1E-3</v>
      </c>
      <c r="AO218" s="381">
        <v>1E-3</v>
      </c>
      <c r="AP218" s="381">
        <v>1E-3</v>
      </c>
      <c r="AQ218" s="381">
        <v>1E-3</v>
      </c>
      <c r="AR218" s="381">
        <v>1E-3</v>
      </c>
      <c r="AS218" s="381">
        <v>1E-3</v>
      </c>
      <c r="AT218" s="381">
        <v>1E-3</v>
      </c>
      <c r="AU218" s="381">
        <v>1E-3</v>
      </c>
      <c r="AV218" s="381">
        <v>1E-3</v>
      </c>
      <c r="AW218" s="381">
        <v>1E-3</v>
      </c>
      <c r="AX218" s="335"/>
      <c r="AZ218" s="1097" t="s">
        <v>153</v>
      </c>
    </row>
    <row r="219" spans="1:52" x14ac:dyDescent="0.2">
      <c r="A219" s="1184">
        <v>211</v>
      </c>
      <c r="B219" s="1097" t="s">
        <v>154</v>
      </c>
      <c r="C219" s="1185">
        <v>197</v>
      </c>
      <c r="D219" s="1114">
        <v>21354620</v>
      </c>
      <c r="E219" s="1520">
        <v>2</v>
      </c>
      <c r="F219" s="1517">
        <v>435921.02485292032</v>
      </c>
      <c r="G219" s="1251">
        <v>0</v>
      </c>
      <c r="H219" s="1240">
        <v>435921.02485292032</v>
      </c>
      <c r="I219" s="1148">
        <v>3</v>
      </c>
      <c r="J219" s="383">
        <v>365921.02485292032</v>
      </c>
      <c r="K219" s="487">
        <v>1E-3</v>
      </c>
      <c r="L219" s="487">
        <v>0</v>
      </c>
      <c r="M219" s="927"/>
      <c r="N219" s="672">
        <v>0</v>
      </c>
      <c r="O219" s="389" t="s">
        <v>318</v>
      </c>
      <c r="P219" s="1092">
        <v>70000</v>
      </c>
      <c r="Q219" s="1093">
        <v>0</v>
      </c>
      <c r="R219" s="381">
        <v>0</v>
      </c>
      <c r="S219" s="382"/>
      <c r="T219" s="381"/>
      <c r="U219" s="624"/>
      <c r="V219" s="569">
        <v>0</v>
      </c>
      <c r="W219" s="607"/>
      <c r="X219" s="383"/>
      <c r="Y219" s="607"/>
      <c r="Z219" s="383"/>
      <c r="AA219" s="607"/>
      <c r="AB219" s="718"/>
      <c r="AC219" s="335"/>
      <c r="AD219" s="389">
        <v>3</v>
      </c>
      <c r="AE219" s="381">
        <v>334847.2042944</v>
      </c>
      <c r="AF219" s="389">
        <v>1E-3</v>
      </c>
      <c r="AG219" s="381">
        <v>1E-3</v>
      </c>
      <c r="AH219" s="389">
        <v>1E-3</v>
      </c>
      <c r="AI219" s="381">
        <v>1E-3</v>
      </c>
      <c r="AJ219" s="389" t="s">
        <v>318</v>
      </c>
      <c r="AK219" s="381">
        <v>60000</v>
      </c>
      <c r="AL219" s="381">
        <v>1E-3</v>
      </c>
      <c r="AM219" s="381">
        <v>1E-3</v>
      </c>
      <c r="AN219" s="381">
        <v>1E-3</v>
      </c>
      <c r="AO219" s="381">
        <v>1E-3</v>
      </c>
      <c r="AP219" s="381">
        <v>1E-3</v>
      </c>
      <c r="AQ219" s="381">
        <v>1E-3</v>
      </c>
      <c r="AR219" s="381">
        <v>1E-3</v>
      </c>
      <c r="AS219" s="381">
        <v>1E-3</v>
      </c>
      <c r="AT219" s="381">
        <v>1E-3</v>
      </c>
      <c r="AU219" s="381">
        <v>1E-3</v>
      </c>
      <c r="AV219" s="381">
        <v>1E-3</v>
      </c>
      <c r="AW219" s="381">
        <v>1E-3</v>
      </c>
      <c r="AX219" s="335"/>
      <c r="AZ219" s="1097" t="s">
        <v>154</v>
      </c>
    </row>
    <row r="220" spans="1:52" x14ac:dyDescent="0.2">
      <c r="A220" s="1184">
        <v>212</v>
      </c>
      <c r="B220" s="1097" t="s">
        <v>155</v>
      </c>
      <c r="C220" s="1185">
        <v>198</v>
      </c>
      <c r="D220" s="1114">
        <v>8291095</v>
      </c>
      <c r="E220" s="1520">
        <v>6</v>
      </c>
      <c r="F220" s="1517">
        <v>0</v>
      </c>
      <c r="G220" s="1251">
        <v>0</v>
      </c>
      <c r="H220" s="1240">
        <v>0</v>
      </c>
      <c r="I220" s="1147">
        <v>1E-3</v>
      </c>
      <c r="J220" s="383">
        <v>0</v>
      </c>
      <c r="K220" s="487">
        <v>1E-3</v>
      </c>
      <c r="L220" s="487">
        <v>0</v>
      </c>
      <c r="M220" s="927"/>
      <c r="N220" s="672">
        <v>0</v>
      </c>
      <c r="O220" s="389">
        <v>1E-3</v>
      </c>
      <c r="P220" s="1092">
        <v>0</v>
      </c>
      <c r="Q220" s="1093">
        <v>0</v>
      </c>
      <c r="R220" s="381">
        <v>0</v>
      </c>
      <c r="S220" s="382"/>
      <c r="T220" s="381"/>
      <c r="U220" s="624"/>
      <c r="V220" s="569">
        <v>0</v>
      </c>
      <c r="W220" s="607"/>
      <c r="X220" s="383"/>
      <c r="Y220" s="607"/>
      <c r="Z220" s="383"/>
      <c r="AA220" s="607"/>
      <c r="AB220" s="718"/>
      <c r="AC220" s="335"/>
      <c r="AD220" s="389">
        <v>1E-3</v>
      </c>
      <c r="AE220" s="381">
        <v>1E-3</v>
      </c>
      <c r="AF220" s="389">
        <v>1E-3</v>
      </c>
      <c r="AG220" s="381">
        <v>1E-3</v>
      </c>
      <c r="AH220" s="389">
        <v>1E-3</v>
      </c>
      <c r="AI220" s="381">
        <v>1E-3</v>
      </c>
      <c r="AJ220" s="389">
        <v>1E-3</v>
      </c>
      <c r="AK220" s="381">
        <v>1E-3</v>
      </c>
      <c r="AL220" s="381">
        <v>1E-3</v>
      </c>
      <c r="AM220" s="381">
        <v>1E-3</v>
      </c>
      <c r="AN220" s="381">
        <v>1E-3</v>
      </c>
      <c r="AO220" s="381">
        <v>1E-3</v>
      </c>
      <c r="AP220" s="381">
        <v>1E-3</v>
      </c>
      <c r="AQ220" s="381">
        <v>1E-3</v>
      </c>
      <c r="AR220" s="381">
        <v>1E-3</v>
      </c>
      <c r="AS220" s="381">
        <v>1E-3</v>
      </c>
      <c r="AT220" s="381">
        <v>1E-3</v>
      </c>
      <c r="AU220" s="381">
        <v>1E-3</v>
      </c>
      <c r="AV220" s="381">
        <v>1E-3</v>
      </c>
      <c r="AW220" s="381">
        <v>1E-3</v>
      </c>
      <c r="AX220" s="335"/>
      <c r="AZ220" s="1097" t="s">
        <v>155</v>
      </c>
    </row>
    <row r="221" spans="1:52" x14ac:dyDescent="0.2">
      <c r="A221" s="1184">
        <v>213</v>
      </c>
      <c r="B221" s="1097" t="s">
        <v>156</v>
      </c>
      <c r="C221" s="1185">
        <v>199</v>
      </c>
      <c r="D221" s="1114">
        <v>32403117</v>
      </c>
      <c r="E221" s="1520">
        <v>1</v>
      </c>
      <c r="F221" s="1517">
        <v>0</v>
      </c>
      <c r="G221" s="1251">
        <v>0</v>
      </c>
      <c r="H221" s="1240">
        <v>0</v>
      </c>
      <c r="I221" s="1147">
        <v>1E-3</v>
      </c>
      <c r="J221" s="383">
        <v>0</v>
      </c>
      <c r="K221" s="487">
        <v>1E-3</v>
      </c>
      <c r="L221" s="487">
        <v>0</v>
      </c>
      <c r="M221" s="927"/>
      <c r="N221" s="672">
        <v>0</v>
      </c>
      <c r="O221" s="389">
        <v>1E-3</v>
      </c>
      <c r="P221" s="1092">
        <v>0</v>
      </c>
      <c r="Q221" s="1093">
        <v>0</v>
      </c>
      <c r="R221" s="381">
        <v>0</v>
      </c>
      <c r="S221" s="382"/>
      <c r="T221" s="381"/>
      <c r="U221" s="624"/>
      <c r="V221" s="569">
        <v>0</v>
      </c>
      <c r="W221" s="607"/>
      <c r="X221" s="383"/>
      <c r="Y221" s="607"/>
      <c r="Z221" s="383"/>
      <c r="AA221" s="607"/>
      <c r="AB221" s="718"/>
      <c r="AC221" s="335"/>
      <c r="AD221" s="389">
        <v>1E-3</v>
      </c>
      <c r="AE221" s="381">
        <v>1E-3</v>
      </c>
      <c r="AF221" s="389">
        <v>1E-3</v>
      </c>
      <c r="AG221" s="381">
        <v>1E-3</v>
      </c>
      <c r="AH221" s="389">
        <v>1E-3</v>
      </c>
      <c r="AI221" s="381">
        <v>1E-3</v>
      </c>
      <c r="AJ221" s="389">
        <v>1E-3</v>
      </c>
      <c r="AK221" s="381">
        <v>1E-3</v>
      </c>
      <c r="AL221" s="381">
        <v>1E-3</v>
      </c>
      <c r="AM221" s="381">
        <v>1E-3</v>
      </c>
      <c r="AN221" s="381">
        <v>1E-3</v>
      </c>
      <c r="AO221" s="381">
        <v>1E-3</v>
      </c>
      <c r="AP221" s="381">
        <v>1E-3</v>
      </c>
      <c r="AQ221" s="381">
        <v>1E-3</v>
      </c>
      <c r="AR221" s="381">
        <v>1E-3</v>
      </c>
      <c r="AS221" s="381">
        <v>1E-3</v>
      </c>
      <c r="AT221" s="381">
        <v>1E-3</v>
      </c>
      <c r="AU221" s="381">
        <v>1E-3</v>
      </c>
      <c r="AV221" s="381">
        <v>1E-3</v>
      </c>
      <c r="AW221" s="381">
        <v>1E-3</v>
      </c>
      <c r="AX221" s="335"/>
      <c r="AZ221" s="1097" t="s">
        <v>156</v>
      </c>
    </row>
    <row r="222" spans="1:52" x14ac:dyDescent="0.2">
      <c r="A222" s="1184">
        <v>214</v>
      </c>
      <c r="B222" s="1097" t="s">
        <v>157</v>
      </c>
      <c r="C222" s="1185">
        <v>200</v>
      </c>
      <c r="D222" s="1114">
        <v>700004170</v>
      </c>
      <c r="E222" s="1520">
        <v>1</v>
      </c>
      <c r="F222" s="1517">
        <v>0</v>
      </c>
      <c r="G222" s="1251">
        <v>0</v>
      </c>
      <c r="H222" s="1240">
        <v>0</v>
      </c>
      <c r="I222" s="1147">
        <v>1E-3</v>
      </c>
      <c r="J222" s="383">
        <v>0</v>
      </c>
      <c r="K222" s="487">
        <v>1E-3</v>
      </c>
      <c r="L222" s="487">
        <v>0</v>
      </c>
      <c r="M222" s="927"/>
      <c r="N222" s="672">
        <v>0</v>
      </c>
      <c r="O222" s="389">
        <v>1E-3</v>
      </c>
      <c r="P222" s="1092">
        <v>0</v>
      </c>
      <c r="Q222" s="1093">
        <v>0</v>
      </c>
      <c r="R222" s="381">
        <v>0</v>
      </c>
      <c r="S222" s="382"/>
      <c r="T222" s="381"/>
      <c r="U222" s="624"/>
      <c r="V222" s="569">
        <v>0</v>
      </c>
      <c r="W222" s="607"/>
      <c r="X222" s="383"/>
      <c r="Y222" s="607"/>
      <c r="Z222" s="383"/>
      <c r="AA222" s="607"/>
      <c r="AB222" s="718"/>
      <c r="AC222" s="335"/>
      <c r="AD222" s="389">
        <v>1E-3</v>
      </c>
      <c r="AE222" s="381">
        <v>1E-3</v>
      </c>
      <c r="AF222" s="389">
        <v>1E-3</v>
      </c>
      <c r="AG222" s="381">
        <v>1E-3</v>
      </c>
      <c r="AH222" s="389">
        <v>1E-3</v>
      </c>
      <c r="AI222" s="381">
        <v>1E-3</v>
      </c>
      <c r="AJ222" s="389">
        <v>1E-3</v>
      </c>
      <c r="AK222" s="381">
        <v>1E-3</v>
      </c>
      <c r="AL222" s="381">
        <v>1E-3</v>
      </c>
      <c r="AM222" s="381">
        <v>1E-3</v>
      </c>
      <c r="AN222" s="381">
        <v>1E-3</v>
      </c>
      <c r="AO222" s="381">
        <v>1E-3</v>
      </c>
      <c r="AP222" s="381">
        <v>1E-3</v>
      </c>
      <c r="AQ222" s="381">
        <v>1E-3</v>
      </c>
      <c r="AR222" s="381">
        <v>1E-3</v>
      </c>
      <c r="AS222" s="381">
        <v>1E-3</v>
      </c>
      <c r="AT222" s="381">
        <v>1E-3</v>
      </c>
      <c r="AU222" s="381">
        <v>1E-3</v>
      </c>
      <c r="AV222" s="381">
        <v>1E-3</v>
      </c>
      <c r="AW222" s="381">
        <v>1E-3</v>
      </c>
      <c r="AX222" s="335"/>
      <c r="AZ222" s="1097" t="s">
        <v>157</v>
      </c>
    </row>
    <row r="223" spans="1:52" x14ac:dyDescent="0.2">
      <c r="A223" s="1184">
        <v>215</v>
      </c>
      <c r="B223" s="1097" t="s">
        <v>403</v>
      </c>
      <c r="C223" s="1185">
        <v>117</v>
      </c>
      <c r="D223" s="1114">
        <v>70875845</v>
      </c>
      <c r="E223" s="1520">
        <v>6</v>
      </c>
      <c r="F223" s="1517">
        <v>0</v>
      </c>
      <c r="G223" s="1251">
        <v>0</v>
      </c>
      <c r="H223" s="1240">
        <v>0</v>
      </c>
      <c r="I223" s="1147">
        <v>1E-3</v>
      </c>
      <c r="J223" s="383">
        <v>0</v>
      </c>
      <c r="K223" s="487">
        <v>1E-3</v>
      </c>
      <c r="L223" s="487">
        <v>0</v>
      </c>
      <c r="M223" s="927"/>
      <c r="N223" s="672">
        <v>0</v>
      </c>
      <c r="O223" s="389">
        <v>1E-3</v>
      </c>
      <c r="P223" s="1092">
        <v>0</v>
      </c>
      <c r="Q223" s="1093">
        <v>0</v>
      </c>
      <c r="R223" s="381">
        <v>0</v>
      </c>
      <c r="S223" s="382"/>
      <c r="T223" s="381"/>
      <c r="U223" s="624"/>
      <c r="V223" s="569">
        <v>0</v>
      </c>
      <c r="W223" s="607"/>
      <c r="X223" s="383"/>
      <c r="Y223" s="607"/>
      <c r="Z223" s="383"/>
      <c r="AA223" s="607"/>
      <c r="AB223" s="718"/>
      <c r="AC223" s="335"/>
      <c r="AD223" s="389">
        <v>1E-3</v>
      </c>
      <c r="AE223" s="381">
        <v>1E-3</v>
      </c>
      <c r="AF223" s="389">
        <v>1E-3</v>
      </c>
      <c r="AG223" s="381">
        <v>1E-3</v>
      </c>
      <c r="AH223" s="389">
        <v>1E-3</v>
      </c>
      <c r="AI223" s="381">
        <v>1E-3</v>
      </c>
      <c r="AJ223" s="389">
        <v>1E-3</v>
      </c>
      <c r="AK223" s="381">
        <v>1E-3</v>
      </c>
      <c r="AL223" s="381">
        <v>1E-3</v>
      </c>
      <c r="AM223" s="381">
        <v>1E-3</v>
      </c>
      <c r="AN223" s="381">
        <v>1E-3</v>
      </c>
      <c r="AO223" s="381">
        <v>1E-3</v>
      </c>
      <c r="AP223" s="381">
        <v>1E-3</v>
      </c>
      <c r="AQ223" s="381">
        <v>1E-3</v>
      </c>
      <c r="AR223" s="381">
        <v>1E-3</v>
      </c>
      <c r="AS223" s="381">
        <v>1E-3</v>
      </c>
      <c r="AT223" s="381">
        <v>1E-3</v>
      </c>
      <c r="AU223" s="381">
        <v>1E-3</v>
      </c>
      <c r="AV223" s="381">
        <v>1E-3</v>
      </c>
      <c r="AW223" s="381">
        <v>1E-3</v>
      </c>
      <c r="AX223" s="335"/>
      <c r="AZ223" s="1097" t="s">
        <v>403</v>
      </c>
    </row>
    <row r="224" spans="1:52" x14ac:dyDescent="0.2">
      <c r="A224" s="1184">
        <v>216</v>
      </c>
      <c r="B224" s="1097" t="s">
        <v>158</v>
      </c>
      <c r="C224" s="1185">
        <v>240</v>
      </c>
      <c r="D224" s="1114">
        <v>42795956</v>
      </c>
      <c r="E224" s="1520">
        <v>1</v>
      </c>
      <c r="F224" s="1517">
        <v>0</v>
      </c>
      <c r="G224" s="1251">
        <v>0</v>
      </c>
      <c r="H224" s="1240">
        <v>0</v>
      </c>
      <c r="I224" s="1147">
        <v>1E-3</v>
      </c>
      <c r="J224" s="383">
        <v>0</v>
      </c>
      <c r="K224" s="487">
        <v>1E-3</v>
      </c>
      <c r="L224" s="487">
        <v>0</v>
      </c>
      <c r="M224" s="927"/>
      <c r="N224" s="672">
        <v>0</v>
      </c>
      <c r="O224" s="389">
        <v>1E-3</v>
      </c>
      <c r="P224" s="1092">
        <v>0</v>
      </c>
      <c r="Q224" s="1093">
        <v>0</v>
      </c>
      <c r="R224" s="381">
        <v>0</v>
      </c>
      <c r="S224" s="382"/>
      <c r="T224" s="381"/>
      <c r="U224" s="624"/>
      <c r="V224" s="569">
        <v>0</v>
      </c>
      <c r="W224" s="607"/>
      <c r="X224" s="383"/>
      <c r="Y224" s="607"/>
      <c r="Z224" s="383"/>
      <c r="AA224" s="607"/>
      <c r="AB224" s="718"/>
      <c r="AC224" s="335"/>
      <c r="AD224" s="389">
        <v>1E-3</v>
      </c>
      <c r="AE224" s="381">
        <v>1E-3</v>
      </c>
      <c r="AF224" s="389">
        <v>1E-3</v>
      </c>
      <c r="AG224" s="381">
        <v>1E-3</v>
      </c>
      <c r="AH224" s="389">
        <v>1E-3</v>
      </c>
      <c r="AI224" s="381">
        <v>1E-3</v>
      </c>
      <c r="AJ224" s="389">
        <v>1E-3</v>
      </c>
      <c r="AK224" s="381">
        <v>1E-3</v>
      </c>
      <c r="AL224" s="381">
        <v>1E-3</v>
      </c>
      <c r="AM224" s="381">
        <v>1E-3</v>
      </c>
      <c r="AN224" s="381">
        <v>1E-3</v>
      </c>
      <c r="AO224" s="381">
        <v>1E-3</v>
      </c>
      <c r="AP224" s="381">
        <v>1E-3</v>
      </c>
      <c r="AQ224" s="381">
        <v>1E-3</v>
      </c>
      <c r="AR224" s="381">
        <v>1E-3</v>
      </c>
      <c r="AS224" s="381">
        <v>1E-3</v>
      </c>
      <c r="AT224" s="381">
        <v>1E-3</v>
      </c>
      <c r="AU224" s="381">
        <v>1E-3</v>
      </c>
      <c r="AV224" s="381">
        <v>1E-3</v>
      </c>
      <c r="AW224" s="381">
        <v>1E-3</v>
      </c>
      <c r="AX224" s="335"/>
      <c r="AZ224" s="1097" t="s">
        <v>158</v>
      </c>
    </row>
    <row r="225" spans="1:52" x14ac:dyDescent="0.2">
      <c r="A225" s="1184">
        <v>217</v>
      </c>
      <c r="B225" s="1097" t="s">
        <v>159</v>
      </c>
      <c r="C225" s="1185">
        <v>202</v>
      </c>
      <c r="D225" s="1114">
        <v>42795057</v>
      </c>
      <c r="E225" s="1520">
        <v>3</v>
      </c>
      <c r="F225" s="1517">
        <v>0</v>
      </c>
      <c r="G225" s="1251">
        <v>0</v>
      </c>
      <c r="H225" s="1240">
        <v>0</v>
      </c>
      <c r="I225" s="1147">
        <v>1E-3</v>
      </c>
      <c r="J225" s="383">
        <v>0</v>
      </c>
      <c r="K225" s="487">
        <v>1E-3</v>
      </c>
      <c r="L225" s="487">
        <v>0</v>
      </c>
      <c r="M225" s="927"/>
      <c r="N225" s="672">
        <v>0</v>
      </c>
      <c r="O225" s="389">
        <v>1E-3</v>
      </c>
      <c r="P225" s="1092">
        <v>0</v>
      </c>
      <c r="Q225" s="1093">
        <v>0</v>
      </c>
      <c r="R225" s="381">
        <v>0</v>
      </c>
      <c r="S225" s="382"/>
      <c r="T225" s="381"/>
      <c r="U225" s="624"/>
      <c r="V225" s="569">
        <v>0</v>
      </c>
      <c r="W225" s="607"/>
      <c r="X225" s="383"/>
      <c r="Y225" s="607"/>
      <c r="Z225" s="383"/>
      <c r="AA225" s="607"/>
      <c r="AB225" s="718"/>
      <c r="AC225" s="335"/>
      <c r="AD225" s="389">
        <v>1E-3</v>
      </c>
      <c r="AE225" s="381">
        <v>1E-3</v>
      </c>
      <c r="AF225" s="389">
        <v>1E-3</v>
      </c>
      <c r="AG225" s="381">
        <v>1E-3</v>
      </c>
      <c r="AH225" s="389">
        <v>1E-3</v>
      </c>
      <c r="AI225" s="381">
        <v>1E-3</v>
      </c>
      <c r="AJ225" s="389">
        <v>1E-3</v>
      </c>
      <c r="AK225" s="381">
        <v>1E-3</v>
      </c>
      <c r="AL225" s="381">
        <v>1E-3</v>
      </c>
      <c r="AM225" s="381">
        <v>1E-3</v>
      </c>
      <c r="AN225" s="381">
        <v>1E-3</v>
      </c>
      <c r="AO225" s="381">
        <v>1E-3</v>
      </c>
      <c r="AP225" s="381">
        <v>1E-3</v>
      </c>
      <c r="AQ225" s="381">
        <v>1E-3</v>
      </c>
      <c r="AR225" s="381">
        <v>1E-3</v>
      </c>
      <c r="AS225" s="381">
        <v>1E-3</v>
      </c>
      <c r="AT225" s="381">
        <v>1E-3</v>
      </c>
      <c r="AU225" s="381">
        <v>1E-3</v>
      </c>
      <c r="AV225" s="381">
        <v>1E-3</v>
      </c>
      <c r="AW225" s="381">
        <v>1E-3</v>
      </c>
      <c r="AX225" s="335"/>
      <c r="AZ225" s="1097" t="s">
        <v>159</v>
      </c>
    </row>
    <row r="226" spans="1:52" x14ac:dyDescent="0.2">
      <c r="A226" s="1184">
        <v>218</v>
      </c>
      <c r="B226" s="1097" t="s">
        <v>160</v>
      </c>
      <c r="C226" s="1185">
        <v>203</v>
      </c>
      <c r="D226" s="1114">
        <v>71641349</v>
      </c>
      <c r="E226" s="1520">
        <v>3</v>
      </c>
      <c r="F226" s="1517">
        <v>806634.62325292022</v>
      </c>
      <c r="G226" s="1251">
        <v>0</v>
      </c>
      <c r="H226" s="1240">
        <v>806634.62325292022</v>
      </c>
      <c r="I226" s="1148">
        <v>3</v>
      </c>
      <c r="J226" s="383">
        <v>366634.62325292022</v>
      </c>
      <c r="K226" s="487">
        <v>1E-3</v>
      </c>
      <c r="L226" s="487">
        <v>0</v>
      </c>
      <c r="M226" s="927"/>
      <c r="N226" s="672">
        <v>0</v>
      </c>
      <c r="O226" s="389" t="s">
        <v>318</v>
      </c>
      <c r="P226" s="1092">
        <v>440000</v>
      </c>
      <c r="Q226" s="1093">
        <v>0</v>
      </c>
      <c r="R226" s="381">
        <v>0</v>
      </c>
      <c r="S226" s="382"/>
      <c r="T226" s="381"/>
      <c r="U226" s="624"/>
      <c r="V226" s="569">
        <v>0</v>
      </c>
      <c r="W226" s="607"/>
      <c r="X226" s="383"/>
      <c r="Y226" s="607"/>
      <c r="Z226" s="383"/>
      <c r="AA226" s="607"/>
      <c r="AB226" s="718"/>
      <c r="AC226" s="335"/>
      <c r="AD226" s="389">
        <v>6</v>
      </c>
      <c r="AE226" s="381">
        <v>671000.40858879988</v>
      </c>
      <c r="AF226" s="389">
        <v>1E-3</v>
      </c>
      <c r="AG226" s="381">
        <v>0</v>
      </c>
      <c r="AH226" s="389">
        <v>1E-3</v>
      </c>
      <c r="AI226" s="381">
        <v>0</v>
      </c>
      <c r="AJ226" s="389" t="s">
        <v>318</v>
      </c>
      <c r="AK226" s="381">
        <v>400000</v>
      </c>
      <c r="AL226" s="381">
        <v>0</v>
      </c>
      <c r="AM226" s="381">
        <v>1E-3</v>
      </c>
      <c r="AN226" s="381">
        <v>1E-3</v>
      </c>
      <c r="AO226" s="381">
        <v>1E-3</v>
      </c>
      <c r="AP226" s="381">
        <v>1E-3</v>
      </c>
      <c r="AQ226" s="381">
        <v>1E-3</v>
      </c>
      <c r="AR226" s="381">
        <v>1E-3</v>
      </c>
      <c r="AS226" s="381">
        <v>1E-3</v>
      </c>
      <c r="AT226" s="381">
        <v>1E-3</v>
      </c>
      <c r="AU226" s="381">
        <v>1E-3</v>
      </c>
      <c r="AV226" s="381">
        <v>1E-3</v>
      </c>
      <c r="AW226" s="381">
        <v>1E-3</v>
      </c>
      <c r="AX226" s="335"/>
      <c r="AZ226" s="1097" t="s">
        <v>160</v>
      </c>
    </row>
    <row r="227" spans="1:52" x14ac:dyDescent="0.2">
      <c r="A227" s="1184">
        <v>219</v>
      </c>
      <c r="B227" s="1097" t="s">
        <v>162</v>
      </c>
      <c r="C227" s="1185">
        <v>220</v>
      </c>
      <c r="D227" s="1114">
        <v>43976629</v>
      </c>
      <c r="E227" s="1520">
        <v>7</v>
      </c>
      <c r="F227" s="1517">
        <v>0</v>
      </c>
      <c r="G227" s="1251">
        <v>0</v>
      </c>
      <c r="H227" s="1240">
        <v>0</v>
      </c>
      <c r="I227" s="1147">
        <v>1E-3</v>
      </c>
      <c r="J227" s="383">
        <v>0</v>
      </c>
      <c r="K227" s="487">
        <v>1E-3</v>
      </c>
      <c r="L227" s="487">
        <v>0</v>
      </c>
      <c r="M227" s="927"/>
      <c r="N227" s="672">
        <v>0</v>
      </c>
      <c r="O227" s="389">
        <v>1E-3</v>
      </c>
      <c r="P227" s="1092">
        <v>0</v>
      </c>
      <c r="Q227" s="1093">
        <v>0</v>
      </c>
      <c r="R227" s="381">
        <v>0</v>
      </c>
      <c r="S227" s="382"/>
      <c r="T227" s="381"/>
      <c r="U227" s="624"/>
      <c r="V227" s="569">
        <v>0</v>
      </c>
      <c r="W227" s="607"/>
      <c r="X227" s="383"/>
      <c r="Y227" s="607"/>
      <c r="Z227" s="383"/>
      <c r="AA227" s="607"/>
      <c r="AB227" s="718"/>
      <c r="AC227" s="335"/>
      <c r="AD227" s="389">
        <v>1E-3</v>
      </c>
      <c r="AE227" s="381">
        <v>1E-3</v>
      </c>
      <c r="AF227" s="389">
        <v>1E-3</v>
      </c>
      <c r="AG227" s="381">
        <v>1E-3</v>
      </c>
      <c r="AH227" s="389">
        <v>1E-3</v>
      </c>
      <c r="AI227" s="381">
        <v>1E-3</v>
      </c>
      <c r="AJ227" s="389">
        <v>1E-3</v>
      </c>
      <c r="AK227" s="381">
        <v>1E-3</v>
      </c>
      <c r="AL227" s="381">
        <v>1E-3</v>
      </c>
      <c r="AM227" s="381">
        <v>1E-3</v>
      </c>
      <c r="AN227" s="381">
        <v>1E-3</v>
      </c>
      <c r="AO227" s="381">
        <v>1E-3</v>
      </c>
      <c r="AP227" s="381">
        <v>1E-3</v>
      </c>
      <c r="AQ227" s="381">
        <v>1E-3</v>
      </c>
      <c r="AR227" s="381">
        <v>1E-3</v>
      </c>
      <c r="AS227" s="381">
        <v>1E-3</v>
      </c>
      <c r="AT227" s="381">
        <v>1E-3</v>
      </c>
      <c r="AU227" s="381">
        <v>1E-3</v>
      </c>
      <c r="AV227" s="381">
        <v>1E-3</v>
      </c>
      <c r="AW227" s="381">
        <v>1E-3</v>
      </c>
      <c r="AX227" s="335"/>
      <c r="AZ227" s="1097" t="s">
        <v>162</v>
      </c>
    </row>
    <row r="228" spans="1:52" x14ac:dyDescent="0.2">
      <c r="A228" s="1184">
        <v>220</v>
      </c>
      <c r="B228" s="1097" t="s">
        <v>163</v>
      </c>
      <c r="C228" s="1185">
        <v>206</v>
      </c>
      <c r="D228" s="1114">
        <v>32469463</v>
      </c>
      <c r="E228" s="1520">
        <v>7</v>
      </c>
      <c r="F228" s="1517">
        <v>0</v>
      </c>
      <c r="G228" s="1251">
        <v>0</v>
      </c>
      <c r="H228" s="1240">
        <v>0</v>
      </c>
      <c r="I228" s="1147">
        <v>1E-3</v>
      </c>
      <c r="J228" s="383">
        <v>0</v>
      </c>
      <c r="K228" s="487">
        <v>1E-3</v>
      </c>
      <c r="L228" s="487">
        <v>0</v>
      </c>
      <c r="M228" s="927"/>
      <c r="N228" s="672">
        <v>0</v>
      </c>
      <c r="O228" s="389">
        <v>1E-3</v>
      </c>
      <c r="P228" s="1092">
        <v>0</v>
      </c>
      <c r="Q228" s="1093">
        <v>0</v>
      </c>
      <c r="R228" s="381">
        <v>0</v>
      </c>
      <c r="S228" s="382"/>
      <c r="T228" s="381"/>
      <c r="U228" s="624"/>
      <c r="V228" s="569">
        <v>0</v>
      </c>
      <c r="W228" s="607"/>
      <c r="X228" s="383"/>
      <c r="Y228" s="607"/>
      <c r="Z228" s="383"/>
      <c r="AA228" s="607"/>
      <c r="AB228" s="718"/>
      <c r="AC228" s="335"/>
      <c r="AD228" s="389">
        <v>1E-3</v>
      </c>
      <c r="AE228" s="381">
        <v>1E-3</v>
      </c>
      <c r="AF228" s="389">
        <v>1E-3</v>
      </c>
      <c r="AG228" s="381">
        <v>1E-3</v>
      </c>
      <c r="AH228" s="389">
        <v>1E-3</v>
      </c>
      <c r="AI228" s="381">
        <v>1E-3</v>
      </c>
      <c r="AJ228" s="389">
        <v>1E-3</v>
      </c>
      <c r="AK228" s="381">
        <v>1E-3</v>
      </c>
      <c r="AL228" s="381">
        <v>1E-3</v>
      </c>
      <c r="AM228" s="381">
        <v>1E-3</v>
      </c>
      <c r="AN228" s="381">
        <v>1E-3</v>
      </c>
      <c r="AO228" s="381">
        <v>1E-3</v>
      </c>
      <c r="AP228" s="381">
        <v>1E-3</v>
      </c>
      <c r="AQ228" s="381">
        <v>1E-3</v>
      </c>
      <c r="AR228" s="381">
        <v>1E-3</v>
      </c>
      <c r="AS228" s="381">
        <v>1E-3</v>
      </c>
      <c r="AT228" s="381">
        <v>1E-3</v>
      </c>
      <c r="AU228" s="381">
        <v>1E-3</v>
      </c>
      <c r="AV228" s="381">
        <v>1E-3</v>
      </c>
      <c r="AW228" s="381">
        <v>1E-3</v>
      </c>
      <c r="AX228" s="335"/>
      <c r="AZ228" s="1137" t="s">
        <v>163</v>
      </c>
    </row>
    <row r="229" spans="1:52" x14ac:dyDescent="0.2">
      <c r="A229" s="1184">
        <v>221</v>
      </c>
      <c r="B229" s="1137" t="s">
        <v>164</v>
      </c>
      <c r="C229" s="1185">
        <v>207</v>
      </c>
      <c r="D229" s="1114">
        <v>71720224</v>
      </c>
      <c r="E229" s="1520">
        <v>0</v>
      </c>
      <c r="F229" s="1517">
        <v>0</v>
      </c>
      <c r="G229" s="1251">
        <v>0</v>
      </c>
      <c r="H229" s="1240">
        <v>0</v>
      </c>
      <c r="I229" s="1147">
        <v>1E-3</v>
      </c>
      <c r="J229" s="383">
        <v>0</v>
      </c>
      <c r="K229" s="487">
        <v>1E-3</v>
      </c>
      <c r="L229" s="487">
        <v>0</v>
      </c>
      <c r="M229" s="927"/>
      <c r="N229" s="672">
        <v>0</v>
      </c>
      <c r="O229" s="389">
        <v>1E-3</v>
      </c>
      <c r="P229" s="1092">
        <v>0</v>
      </c>
      <c r="Q229" s="1093">
        <v>0</v>
      </c>
      <c r="R229" s="381">
        <v>0</v>
      </c>
      <c r="S229" s="382"/>
      <c r="T229" s="381"/>
      <c r="U229" s="624"/>
      <c r="V229" s="569">
        <v>0</v>
      </c>
      <c r="W229" s="607"/>
      <c r="X229" s="383"/>
      <c r="Y229" s="607"/>
      <c r="Z229" s="383"/>
      <c r="AA229" s="607"/>
      <c r="AB229" s="718"/>
      <c r="AC229" s="335"/>
      <c r="AD229" s="389">
        <v>1E-3</v>
      </c>
      <c r="AE229" s="381">
        <v>1E-3</v>
      </c>
      <c r="AF229" s="389">
        <v>1E-3</v>
      </c>
      <c r="AG229" s="381">
        <v>1E-3</v>
      </c>
      <c r="AH229" s="389">
        <v>1E-3</v>
      </c>
      <c r="AI229" s="381">
        <v>1E-3</v>
      </c>
      <c r="AJ229" s="389">
        <v>1E-3</v>
      </c>
      <c r="AK229" s="381">
        <v>1E-3</v>
      </c>
      <c r="AL229" s="381">
        <v>1E-3</v>
      </c>
      <c r="AM229" s="381">
        <v>1E-3</v>
      </c>
      <c r="AN229" s="381">
        <v>1E-3</v>
      </c>
      <c r="AO229" s="381">
        <v>1E-3</v>
      </c>
      <c r="AP229" s="381">
        <v>1E-3</v>
      </c>
      <c r="AQ229" s="381">
        <v>1E-3</v>
      </c>
      <c r="AR229" s="381">
        <v>1E-3</v>
      </c>
      <c r="AS229" s="381">
        <v>1E-3</v>
      </c>
      <c r="AT229" s="381">
        <v>1E-3</v>
      </c>
      <c r="AU229" s="381">
        <v>1E-3</v>
      </c>
      <c r="AV229" s="381">
        <v>1E-3</v>
      </c>
      <c r="AW229" s="381">
        <v>1E-3</v>
      </c>
      <c r="AX229" s="335"/>
      <c r="AZ229" s="1137" t="s">
        <v>164</v>
      </c>
    </row>
    <row r="230" spans="1:52" x14ac:dyDescent="0.2">
      <c r="A230" s="1184">
        <v>222</v>
      </c>
      <c r="B230" s="1097" t="s">
        <v>165</v>
      </c>
      <c r="C230" s="1185">
        <v>208</v>
      </c>
      <c r="D230" s="1114">
        <v>70569069</v>
      </c>
      <c r="E230" s="1520">
        <v>5</v>
      </c>
      <c r="F230" s="1517">
        <v>0</v>
      </c>
      <c r="G230" s="1251">
        <v>0</v>
      </c>
      <c r="H230" s="1240">
        <v>0</v>
      </c>
      <c r="I230" s="1147">
        <v>1E-3</v>
      </c>
      <c r="J230" s="383">
        <v>0</v>
      </c>
      <c r="K230" s="487">
        <v>1E-3</v>
      </c>
      <c r="L230" s="487">
        <v>0</v>
      </c>
      <c r="M230" s="927"/>
      <c r="N230" s="672">
        <v>0</v>
      </c>
      <c r="O230" s="389">
        <v>1E-3</v>
      </c>
      <c r="P230" s="1092">
        <v>0</v>
      </c>
      <c r="Q230" s="1093">
        <v>0</v>
      </c>
      <c r="R230" s="381">
        <v>0</v>
      </c>
      <c r="S230" s="382"/>
      <c r="T230" s="381"/>
      <c r="U230" s="624"/>
      <c r="V230" s="569">
        <v>0</v>
      </c>
      <c r="W230" s="607"/>
      <c r="X230" s="383"/>
      <c r="Y230" s="607"/>
      <c r="Z230" s="383"/>
      <c r="AA230" s="607"/>
      <c r="AB230" s="718"/>
      <c r="AC230" s="335"/>
      <c r="AD230" s="389">
        <v>1E-3</v>
      </c>
      <c r="AE230" s="381">
        <v>1E-3</v>
      </c>
      <c r="AF230" s="389">
        <v>1E-3</v>
      </c>
      <c r="AG230" s="381">
        <v>1E-3</v>
      </c>
      <c r="AH230" s="389">
        <v>1E-3</v>
      </c>
      <c r="AI230" s="381">
        <v>1E-3</v>
      </c>
      <c r="AJ230" s="389">
        <v>1E-3</v>
      </c>
      <c r="AK230" s="381">
        <v>1E-3</v>
      </c>
      <c r="AL230" s="381">
        <v>1E-3</v>
      </c>
      <c r="AM230" s="381">
        <v>1E-3</v>
      </c>
      <c r="AN230" s="381">
        <v>1E-3</v>
      </c>
      <c r="AO230" s="381">
        <v>1E-3</v>
      </c>
      <c r="AP230" s="381">
        <v>1E-3</v>
      </c>
      <c r="AQ230" s="381">
        <v>1E-3</v>
      </c>
      <c r="AR230" s="381">
        <v>1E-3</v>
      </c>
      <c r="AS230" s="381">
        <v>1E-3</v>
      </c>
      <c r="AT230" s="381">
        <v>1E-3</v>
      </c>
      <c r="AU230" s="381">
        <v>1E-3</v>
      </c>
      <c r="AV230" s="381">
        <v>1E-3</v>
      </c>
      <c r="AW230" s="381">
        <v>1E-3</v>
      </c>
      <c r="AX230" s="335"/>
      <c r="AZ230" s="1393" t="s">
        <v>165</v>
      </c>
    </row>
    <row r="231" spans="1:52" x14ac:dyDescent="0.2">
      <c r="A231" s="1184">
        <v>223</v>
      </c>
      <c r="B231" s="1097" t="s">
        <v>168</v>
      </c>
      <c r="C231" s="1185">
        <v>211</v>
      </c>
      <c r="D231" s="1114">
        <v>8252575</v>
      </c>
      <c r="E231" s="1520">
        <v>3</v>
      </c>
      <c r="F231" s="1517">
        <v>0</v>
      </c>
      <c r="G231" s="1251">
        <v>0</v>
      </c>
      <c r="H231" s="1240">
        <v>0</v>
      </c>
      <c r="I231" s="1147">
        <v>1E-3</v>
      </c>
      <c r="J231" s="383">
        <v>0</v>
      </c>
      <c r="K231" s="487">
        <v>1E-3</v>
      </c>
      <c r="L231" s="487">
        <v>0</v>
      </c>
      <c r="M231" s="927"/>
      <c r="N231" s="672">
        <v>0</v>
      </c>
      <c r="O231" s="389">
        <v>1E-3</v>
      </c>
      <c r="P231" s="1092">
        <v>0</v>
      </c>
      <c r="Q231" s="1093">
        <v>0</v>
      </c>
      <c r="R231" s="381">
        <v>0</v>
      </c>
      <c r="S231" s="382"/>
      <c r="T231" s="381"/>
      <c r="U231" s="624"/>
      <c r="V231" s="569">
        <v>0</v>
      </c>
      <c r="W231" s="607"/>
      <c r="X231" s="383"/>
      <c r="Y231" s="607"/>
      <c r="Z231" s="383"/>
      <c r="AA231" s="607"/>
      <c r="AB231" s="718"/>
      <c r="AC231" s="335"/>
      <c r="AD231" s="389">
        <v>1E-3</v>
      </c>
      <c r="AE231" s="381">
        <v>1E-3</v>
      </c>
      <c r="AF231" s="389">
        <v>1E-3</v>
      </c>
      <c r="AG231" s="381">
        <v>1E-3</v>
      </c>
      <c r="AH231" s="389">
        <v>1E-3</v>
      </c>
      <c r="AI231" s="381">
        <v>1E-3</v>
      </c>
      <c r="AJ231" s="389">
        <v>1E-3</v>
      </c>
      <c r="AK231" s="381">
        <v>1E-3</v>
      </c>
      <c r="AL231" s="381">
        <v>1E-3</v>
      </c>
      <c r="AM231" s="381">
        <v>1E-3</v>
      </c>
      <c r="AN231" s="381">
        <v>1E-3</v>
      </c>
      <c r="AO231" s="381">
        <v>1E-3</v>
      </c>
      <c r="AP231" s="381">
        <v>1E-3</v>
      </c>
      <c r="AQ231" s="381">
        <v>1E-3</v>
      </c>
      <c r="AR231" s="381">
        <v>1E-3</v>
      </c>
      <c r="AS231" s="381">
        <v>1E-3</v>
      </c>
      <c r="AT231" s="381">
        <v>1E-3</v>
      </c>
      <c r="AU231" s="381">
        <v>1E-3</v>
      </c>
      <c r="AV231" s="381">
        <v>1E-3</v>
      </c>
      <c r="AW231" s="381">
        <v>1E-3</v>
      </c>
      <c r="AX231" s="335"/>
      <c r="AZ231" s="1393" t="s">
        <v>168</v>
      </c>
    </row>
    <row r="232" spans="1:52" x14ac:dyDescent="0.2">
      <c r="A232" s="1184">
        <v>224</v>
      </c>
      <c r="B232" s="1097" t="s">
        <v>316</v>
      </c>
      <c r="C232" s="1185">
        <v>335</v>
      </c>
      <c r="D232" s="1114">
        <v>98496653</v>
      </c>
      <c r="E232" s="1520">
        <v>4</v>
      </c>
      <c r="F232" s="1517">
        <v>0</v>
      </c>
      <c r="G232" s="1251">
        <v>0</v>
      </c>
      <c r="H232" s="1240">
        <v>0</v>
      </c>
      <c r="I232" s="1147">
        <v>1E-3</v>
      </c>
      <c r="J232" s="383">
        <v>0</v>
      </c>
      <c r="K232" s="487">
        <v>1E-3</v>
      </c>
      <c r="L232" s="487">
        <v>0</v>
      </c>
      <c r="M232" s="927"/>
      <c r="N232" s="672">
        <v>0</v>
      </c>
      <c r="O232" s="389">
        <v>1E-3</v>
      </c>
      <c r="P232" s="1092">
        <v>0</v>
      </c>
      <c r="Q232" s="1093">
        <v>0</v>
      </c>
      <c r="R232" s="381">
        <v>0</v>
      </c>
      <c r="S232" s="382"/>
      <c r="T232" s="381"/>
      <c r="U232" s="624"/>
      <c r="V232" s="569">
        <v>0</v>
      </c>
      <c r="W232" s="607"/>
      <c r="X232" s="383"/>
      <c r="Y232" s="607"/>
      <c r="Z232" s="383"/>
      <c r="AA232" s="607"/>
      <c r="AB232" s="718"/>
      <c r="AC232" s="335"/>
      <c r="AD232" s="389">
        <v>1E-3</v>
      </c>
      <c r="AE232" s="381">
        <v>1E-3</v>
      </c>
      <c r="AF232" s="389">
        <v>1E-3</v>
      </c>
      <c r="AG232" s="381">
        <v>1E-3</v>
      </c>
      <c r="AH232" s="389">
        <v>1E-3</v>
      </c>
      <c r="AI232" s="381">
        <v>1E-3</v>
      </c>
      <c r="AJ232" s="389">
        <v>1E-3</v>
      </c>
      <c r="AK232" s="381">
        <v>1E-3</v>
      </c>
      <c r="AL232" s="381">
        <v>1E-3</v>
      </c>
      <c r="AM232" s="381">
        <v>1E-3</v>
      </c>
      <c r="AN232" s="381">
        <v>1E-3</v>
      </c>
      <c r="AO232" s="381">
        <v>1E-3</v>
      </c>
      <c r="AP232" s="381">
        <v>1E-3</v>
      </c>
      <c r="AQ232" s="381">
        <v>1E-3</v>
      </c>
      <c r="AR232" s="381">
        <v>1E-3</v>
      </c>
      <c r="AS232" s="381">
        <v>1E-3</v>
      </c>
      <c r="AT232" s="381">
        <v>1E-3</v>
      </c>
      <c r="AU232" s="381">
        <v>1E-3</v>
      </c>
      <c r="AV232" s="381">
        <v>1E-3</v>
      </c>
      <c r="AW232" s="381">
        <v>1E-3</v>
      </c>
      <c r="AX232" s="335"/>
      <c r="AZ232" s="1494" t="s">
        <v>316</v>
      </c>
    </row>
    <row r="233" spans="1:52" x14ac:dyDescent="0.2">
      <c r="A233" s="1184">
        <v>225</v>
      </c>
      <c r="B233" s="1097" t="s">
        <v>169</v>
      </c>
      <c r="C233" s="1185">
        <v>278</v>
      </c>
      <c r="D233" s="1114">
        <v>71629287</v>
      </c>
      <c r="E233" s="1520">
        <v>6</v>
      </c>
      <c r="F233" s="1517">
        <v>0</v>
      </c>
      <c r="G233" s="1251">
        <v>0</v>
      </c>
      <c r="H233" s="1240">
        <v>0</v>
      </c>
      <c r="I233" s="1147">
        <v>1E-3</v>
      </c>
      <c r="J233" s="383">
        <v>0</v>
      </c>
      <c r="K233" s="487">
        <v>1E-3</v>
      </c>
      <c r="L233" s="487">
        <v>0</v>
      </c>
      <c r="M233" s="927"/>
      <c r="N233" s="672">
        <v>0</v>
      </c>
      <c r="O233" s="389">
        <v>1E-3</v>
      </c>
      <c r="P233" s="1092">
        <v>0</v>
      </c>
      <c r="Q233" s="1093">
        <v>0</v>
      </c>
      <c r="R233" s="381">
        <v>0</v>
      </c>
      <c r="S233" s="382"/>
      <c r="T233" s="381"/>
      <c r="U233" s="624"/>
      <c r="V233" s="569">
        <v>0</v>
      </c>
      <c r="W233" s="607"/>
      <c r="X233" s="383"/>
      <c r="Y233" s="607"/>
      <c r="Z233" s="383"/>
      <c r="AA233" s="607"/>
      <c r="AB233" s="718"/>
      <c r="AC233" s="335"/>
      <c r="AD233" s="389">
        <v>1E-3</v>
      </c>
      <c r="AE233" s="381">
        <v>1E-3</v>
      </c>
      <c r="AF233" s="389">
        <v>1E-3</v>
      </c>
      <c r="AG233" s="381">
        <v>1E-3</v>
      </c>
      <c r="AH233" s="389">
        <v>1E-3</v>
      </c>
      <c r="AI233" s="381">
        <v>1E-3</v>
      </c>
      <c r="AJ233" s="389">
        <v>1E-3</v>
      </c>
      <c r="AK233" s="381">
        <v>1E-3</v>
      </c>
      <c r="AL233" s="381">
        <v>1E-3</v>
      </c>
      <c r="AM233" s="381">
        <v>1E-3</v>
      </c>
      <c r="AN233" s="381">
        <v>1E-3</v>
      </c>
      <c r="AO233" s="381">
        <v>1E-3</v>
      </c>
      <c r="AP233" s="381">
        <v>1E-3</v>
      </c>
      <c r="AQ233" s="381">
        <v>1E-3</v>
      </c>
      <c r="AR233" s="381">
        <v>1E-3</v>
      </c>
      <c r="AS233" s="381">
        <v>1E-3</v>
      </c>
      <c r="AT233" s="381">
        <v>1E-3</v>
      </c>
      <c r="AU233" s="381">
        <v>1E-3</v>
      </c>
      <c r="AV233" s="381">
        <v>1E-3</v>
      </c>
      <c r="AW233" s="381">
        <v>1E-3</v>
      </c>
      <c r="AX233" s="335"/>
      <c r="AZ233" s="1097" t="s">
        <v>169</v>
      </c>
    </row>
    <row r="234" spans="1:52" x14ac:dyDescent="0.2">
      <c r="A234" s="1184">
        <v>226</v>
      </c>
      <c r="B234" s="1097" t="s">
        <v>778</v>
      </c>
      <c r="C234" s="1185">
        <v>363</v>
      </c>
      <c r="D234" s="1114">
        <v>43903734</v>
      </c>
      <c r="E234" s="1520">
        <v>1</v>
      </c>
      <c r="F234" s="1517">
        <v>0</v>
      </c>
      <c r="G234" s="1251">
        <v>0</v>
      </c>
      <c r="H234" s="1240">
        <v>0</v>
      </c>
      <c r="I234" s="1147">
        <v>1E-3</v>
      </c>
      <c r="J234" s="383">
        <v>0</v>
      </c>
      <c r="K234" s="487">
        <v>1E-3</v>
      </c>
      <c r="L234" s="487">
        <v>0</v>
      </c>
      <c r="M234" s="927"/>
      <c r="N234" s="672">
        <v>0</v>
      </c>
      <c r="O234" s="389">
        <v>1E-3</v>
      </c>
      <c r="P234" s="1092">
        <v>0</v>
      </c>
      <c r="Q234" s="1093">
        <v>0</v>
      </c>
      <c r="R234" s="381">
        <v>0</v>
      </c>
      <c r="S234" s="382"/>
      <c r="T234" s="381"/>
      <c r="U234" s="624"/>
      <c r="V234" s="569">
        <v>0</v>
      </c>
      <c r="W234" s="607"/>
      <c r="X234" s="383"/>
      <c r="Y234" s="607"/>
      <c r="Z234" s="383"/>
      <c r="AA234" s="607"/>
      <c r="AB234" s="718"/>
      <c r="AC234" s="335"/>
      <c r="AD234" s="389">
        <v>1E-3</v>
      </c>
      <c r="AE234" s="381">
        <v>1E-3</v>
      </c>
      <c r="AF234" s="389">
        <v>1E-3</v>
      </c>
      <c r="AG234" s="381">
        <v>1E-3</v>
      </c>
      <c r="AH234" s="389">
        <v>1E-3</v>
      </c>
      <c r="AI234" s="381">
        <v>1E-3</v>
      </c>
      <c r="AJ234" s="389">
        <v>1E-3</v>
      </c>
      <c r="AK234" s="381">
        <v>1E-3</v>
      </c>
      <c r="AL234" s="381">
        <v>1E-3</v>
      </c>
      <c r="AM234" s="381">
        <v>1E-3</v>
      </c>
      <c r="AN234" s="381">
        <v>1E-3</v>
      </c>
      <c r="AO234" s="381">
        <v>1E-3</v>
      </c>
      <c r="AP234" s="381">
        <v>1E-3</v>
      </c>
      <c r="AQ234" s="381">
        <v>1E-3</v>
      </c>
      <c r="AR234" s="381">
        <v>1E-3</v>
      </c>
      <c r="AS234" s="381">
        <v>1E-3</v>
      </c>
      <c r="AT234" s="381">
        <v>1E-3</v>
      </c>
      <c r="AU234" s="381">
        <v>1E-3</v>
      </c>
      <c r="AV234" s="381">
        <v>1E-3</v>
      </c>
      <c r="AW234" s="381">
        <v>1E-3</v>
      </c>
      <c r="AX234" s="335"/>
      <c r="AZ234" s="1097" t="s">
        <v>778</v>
      </c>
    </row>
    <row r="235" spans="1:52" x14ac:dyDescent="0.2">
      <c r="A235" s="1184"/>
      <c r="B235" s="1097"/>
      <c r="C235" s="1097"/>
      <c r="D235" s="1097"/>
      <c r="E235" s="1521"/>
      <c r="F235" s="1517"/>
      <c r="G235" s="1251"/>
      <c r="H235" s="1240"/>
      <c r="I235" s="1147"/>
      <c r="J235" s="383"/>
      <c r="K235" s="712"/>
      <c r="L235" s="487"/>
      <c r="M235" s="927"/>
      <c r="N235" s="672">
        <v>0</v>
      </c>
      <c r="O235" s="713"/>
      <c r="P235" s="1092">
        <v>0</v>
      </c>
      <c r="Q235" s="1093">
        <v>0</v>
      </c>
      <c r="R235" s="381">
        <v>0</v>
      </c>
      <c r="S235" s="382"/>
      <c r="T235" s="381"/>
      <c r="U235" s="624"/>
      <c r="V235" s="569">
        <v>0</v>
      </c>
      <c r="W235" s="607"/>
      <c r="X235" s="383"/>
      <c r="Y235" s="607"/>
      <c r="Z235" s="383"/>
      <c r="AA235" s="607"/>
      <c r="AB235" s="718"/>
      <c r="AC235" s="335"/>
      <c r="AD235" s="389"/>
      <c r="AE235" s="381"/>
      <c r="AF235" s="389"/>
      <c r="AG235" s="381"/>
      <c r="AH235" s="389"/>
      <c r="AI235" s="381"/>
      <c r="AJ235" s="389"/>
      <c r="AK235" s="381"/>
      <c r="AL235" s="381"/>
      <c r="AM235" s="381"/>
      <c r="AN235" s="381"/>
      <c r="AO235" s="381"/>
      <c r="AP235" s="381"/>
      <c r="AQ235" s="381"/>
      <c r="AR235" s="381"/>
      <c r="AS235" s="381"/>
      <c r="AT235" s="381"/>
      <c r="AU235" s="381"/>
      <c r="AV235" s="381"/>
      <c r="AW235" s="381"/>
      <c r="AX235" s="335"/>
    </row>
    <row r="236" spans="1:52" x14ac:dyDescent="0.2">
      <c r="A236" s="1184"/>
      <c r="B236" s="1097"/>
      <c r="C236" s="1097"/>
      <c r="D236" s="1097"/>
      <c r="E236" s="1521"/>
      <c r="F236" s="1517"/>
      <c r="G236" s="1251"/>
      <c r="H236" s="1240"/>
      <c r="I236" s="1147"/>
      <c r="J236" s="383"/>
      <c r="K236" s="712"/>
      <c r="L236" s="487"/>
      <c r="M236" s="927"/>
      <c r="N236" s="672">
        <v>0</v>
      </c>
      <c r="O236" s="713"/>
      <c r="P236" s="1092">
        <v>0</v>
      </c>
      <c r="Q236" s="1093">
        <v>0</v>
      </c>
      <c r="R236" s="381">
        <v>0</v>
      </c>
      <c r="S236" s="382"/>
      <c r="T236" s="381"/>
      <c r="U236" s="624"/>
      <c r="V236" s="569">
        <v>0</v>
      </c>
      <c r="W236" s="607"/>
      <c r="X236" s="383"/>
      <c r="Y236" s="607"/>
      <c r="Z236" s="383"/>
      <c r="AA236" s="607"/>
      <c r="AB236" s="718"/>
      <c r="AC236" s="335"/>
      <c r="AD236" s="389"/>
      <c r="AE236" s="381"/>
      <c r="AF236" s="389"/>
      <c r="AG236" s="381"/>
      <c r="AH236" s="389"/>
      <c r="AI236" s="381"/>
      <c r="AJ236" s="389"/>
      <c r="AK236" s="381"/>
      <c r="AL236" s="381"/>
      <c r="AM236" s="381"/>
      <c r="AN236" s="381"/>
      <c r="AO236" s="381"/>
      <c r="AP236" s="381"/>
      <c r="AQ236" s="381"/>
      <c r="AR236" s="381"/>
      <c r="AS236" s="381"/>
      <c r="AT236" s="381"/>
      <c r="AU236" s="381"/>
      <c r="AV236" s="381"/>
      <c r="AW236" s="381"/>
      <c r="AX236" s="335"/>
      <c r="AZ236" s="352"/>
    </row>
    <row r="237" spans="1:52" x14ac:dyDescent="0.2">
      <c r="A237" s="1184"/>
      <c r="B237" s="1097"/>
      <c r="C237" s="1097"/>
      <c r="D237" s="1097"/>
      <c r="E237" s="1521"/>
      <c r="F237" s="1517"/>
      <c r="G237" s="1251"/>
      <c r="H237" s="1240"/>
      <c r="I237" s="1147"/>
      <c r="J237" s="383"/>
      <c r="K237" s="712"/>
      <c r="L237" s="487"/>
      <c r="M237" s="927"/>
      <c r="N237" s="672">
        <v>0</v>
      </c>
      <c r="O237" s="713"/>
      <c r="P237" s="1092">
        <v>0</v>
      </c>
      <c r="Q237" s="1093">
        <v>0</v>
      </c>
      <c r="R237" s="381">
        <v>0</v>
      </c>
      <c r="S237" s="382"/>
      <c r="T237" s="381"/>
      <c r="U237" s="624"/>
      <c r="V237" s="569">
        <v>0</v>
      </c>
      <c r="W237" s="607"/>
      <c r="X237" s="383"/>
      <c r="Y237" s="607"/>
      <c r="Z237" s="383"/>
      <c r="AA237" s="607"/>
      <c r="AB237" s="718"/>
      <c r="AC237" s="335"/>
      <c r="AD237" s="389"/>
      <c r="AE237" s="381"/>
      <c r="AF237" s="389"/>
      <c r="AG237" s="381"/>
      <c r="AH237" s="389"/>
      <c r="AI237" s="381"/>
      <c r="AJ237" s="389"/>
      <c r="AK237" s="381"/>
      <c r="AL237" s="381"/>
      <c r="AM237" s="381"/>
      <c r="AN237" s="381"/>
      <c r="AO237" s="381"/>
      <c r="AP237" s="381"/>
      <c r="AQ237" s="381"/>
      <c r="AR237" s="381"/>
      <c r="AS237" s="381"/>
      <c r="AT237" s="381"/>
      <c r="AU237" s="381"/>
      <c r="AV237" s="381"/>
      <c r="AW237" s="381"/>
      <c r="AX237" s="335"/>
      <c r="AZ237" s="352"/>
    </row>
    <row r="238" spans="1:52" x14ac:dyDescent="0.2">
      <c r="A238" s="1184"/>
      <c r="B238" s="1097"/>
      <c r="C238" s="1097"/>
      <c r="D238" s="1097"/>
      <c r="E238" s="1521"/>
      <c r="F238" s="1517"/>
      <c r="G238" s="1251"/>
      <c r="H238" s="1240"/>
      <c r="I238" s="1147"/>
      <c r="J238" s="383"/>
      <c r="K238" s="712"/>
      <c r="L238" s="487"/>
      <c r="M238" s="927"/>
      <c r="N238" s="672">
        <v>0</v>
      </c>
      <c r="O238" s="713"/>
      <c r="P238" s="1092">
        <v>0</v>
      </c>
      <c r="Q238" s="1093">
        <v>0</v>
      </c>
      <c r="R238" s="381">
        <v>0</v>
      </c>
      <c r="S238" s="382"/>
      <c r="T238" s="381"/>
      <c r="U238" s="624"/>
      <c r="V238" s="569">
        <v>0</v>
      </c>
      <c r="W238" s="607"/>
      <c r="X238" s="383"/>
      <c r="Y238" s="607"/>
      <c r="Z238" s="383"/>
      <c r="AA238" s="607"/>
      <c r="AB238" s="718"/>
      <c r="AC238" s="335"/>
      <c r="AD238" s="389"/>
      <c r="AE238" s="381"/>
      <c r="AF238" s="389"/>
      <c r="AG238" s="381"/>
      <c r="AH238" s="389"/>
      <c r="AI238" s="381"/>
      <c r="AJ238" s="389"/>
      <c r="AK238" s="381"/>
      <c r="AL238" s="381"/>
      <c r="AM238" s="381"/>
      <c r="AN238" s="381"/>
      <c r="AO238" s="381"/>
      <c r="AP238" s="381"/>
      <c r="AQ238" s="381"/>
      <c r="AR238" s="381"/>
      <c r="AS238" s="381"/>
      <c r="AT238" s="381"/>
      <c r="AU238" s="381"/>
      <c r="AV238" s="381"/>
      <c r="AW238" s="381"/>
      <c r="AX238" s="335"/>
      <c r="AZ238" s="352"/>
    </row>
    <row r="239" spans="1:52" ht="13.5" thickBot="1" x14ac:dyDescent="0.25">
      <c r="A239" s="393"/>
      <c r="B239" s="742"/>
      <c r="C239" s="830"/>
      <c r="D239" s="830"/>
      <c r="E239" s="1522"/>
      <c r="F239" s="1518"/>
      <c r="G239" s="1252"/>
      <c r="H239" s="1241"/>
      <c r="I239" s="743"/>
      <c r="J239" s="743"/>
      <c r="K239" s="714"/>
      <c r="L239" s="517"/>
      <c r="M239" s="928"/>
      <c r="N239" s="715"/>
      <c r="O239" s="716"/>
      <c r="P239" s="744"/>
      <c r="Q239" s="745"/>
      <c r="R239" s="392"/>
      <c r="S239" s="746"/>
      <c r="T239" s="392"/>
      <c r="U239" s="747"/>
      <c r="V239" s="622"/>
      <c r="W239" s="623"/>
      <c r="X239" s="743"/>
      <c r="Y239" s="623"/>
      <c r="Z239" s="743"/>
      <c r="AA239" s="623"/>
      <c r="AB239" s="748"/>
      <c r="AC239" s="335"/>
      <c r="AD239" s="389"/>
      <c r="AE239" s="487"/>
      <c r="AF239" s="389"/>
      <c r="AG239" s="381"/>
      <c r="AH239" s="389"/>
      <c r="AI239" s="381"/>
      <c r="AJ239" s="389"/>
      <c r="AK239" s="487"/>
      <c r="AL239" s="381"/>
      <c r="AM239" s="381"/>
      <c r="AN239" s="382"/>
      <c r="AO239" s="381"/>
      <c r="AP239" s="381"/>
      <c r="AQ239" s="383"/>
      <c r="AR239" s="383"/>
      <c r="AS239" s="383"/>
      <c r="AT239" s="383"/>
      <c r="AU239" s="383"/>
      <c r="AV239" s="383"/>
      <c r="AW239" s="383"/>
      <c r="AX239" s="335"/>
      <c r="AZ239" s="352"/>
    </row>
    <row r="240" spans="1:52" ht="13.5" thickBot="1" x14ac:dyDescent="0.25">
      <c r="A240" s="727"/>
      <c r="B240" s="728" t="s">
        <v>385</v>
      </c>
      <c r="C240" s="831"/>
      <c r="D240" s="831"/>
      <c r="E240" s="831"/>
      <c r="F240" s="729">
        <v>142096243.99863234</v>
      </c>
      <c r="G240" s="1253"/>
      <c r="H240" s="1243"/>
      <c r="I240" s="1657"/>
      <c r="J240" s="730">
        <v>19357501.083599865</v>
      </c>
      <c r="K240" s="731"/>
      <c r="L240" s="732">
        <v>17295789.16503245</v>
      </c>
      <c r="M240" s="929"/>
      <c r="N240" s="733">
        <v>14586075</v>
      </c>
      <c r="O240" s="734"/>
      <c r="P240" s="735">
        <v>2400000</v>
      </c>
      <c r="Q240" s="736">
        <v>15600000</v>
      </c>
      <c r="R240" s="737">
        <v>31050000</v>
      </c>
      <c r="S240" s="738"/>
      <c r="T240" s="233"/>
      <c r="U240" s="729">
        <v>0</v>
      </c>
      <c r="V240" s="739">
        <v>0</v>
      </c>
      <c r="W240" s="740"/>
      <c r="X240" s="730">
        <v>0</v>
      </c>
      <c r="Y240" s="740"/>
      <c r="Z240" s="730">
        <v>0</v>
      </c>
      <c r="AA240" s="740"/>
      <c r="AB240" s="741">
        <v>0</v>
      </c>
      <c r="AC240" s="335"/>
      <c r="AD240" s="389"/>
      <c r="AE240" s="684">
        <v>7518803.2340752222</v>
      </c>
      <c r="AF240" s="381"/>
      <c r="AG240" s="684">
        <v>3975524.7021600213</v>
      </c>
      <c r="AH240" s="381"/>
      <c r="AI240" s="684">
        <v>0.21400000000000016</v>
      </c>
      <c r="AJ240" s="389"/>
      <c r="AK240" s="684">
        <v>2140000.2009999966</v>
      </c>
      <c r="AL240" s="684">
        <v>3000000.2210000185</v>
      </c>
      <c r="AM240" s="684">
        <v>6420000.2190000163</v>
      </c>
      <c r="AN240" s="684">
        <v>0.22000000000000017</v>
      </c>
      <c r="AO240" s="381"/>
      <c r="AP240" s="684">
        <v>0.22600000000000017</v>
      </c>
      <c r="AQ240" s="684">
        <v>0.22600000000000017</v>
      </c>
      <c r="AR240" s="684">
        <v>0.22600000000000017</v>
      </c>
      <c r="AS240" s="684">
        <v>0.22600000000000017</v>
      </c>
      <c r="AT240" s="684">
        <v>0.22600000000000017</v>
      </c>
      <c r="AU240" s="684">
        <v>0.22600000000000017</v>
      </c>
      <c r="AV240" s="684">
        <v>0.22600000000000017</v>
      </c>
      <c r="AW240" s="684">
        <v>0.22600000000000017</v>
      </c>
      <c r="AX240" s="335"/>
      <c r="AZ240" s="352"/>
    </row>
    <row r="241" spans="1:52" x14ac:dyDescent="0.2">
      <c r="A241" s="694"/>
      <c r="B241" s="337"/>
      <c r="C241" s="337"/>
      <c r="D241" s="337"/>
      <c r="E241" s="337"/>
      <c r="F241" s="336"/>
      <c r="G241" s="1250"/>
      <c r="H241" s="336"/>
      <c r="AC241" s="335"/>
      <c r="AD241" s="687"/>
      <c r="AE241" s="688"/>
      <c r="AF241" s="689"/>
      <c r="AG241" s="688"/>
      <c r="AH241" s="689"/>
      <c r="AI241" s="689"/>
      <c r="AJ241" s="689"/>
      <c r="AK241" s="689"/>
      <c r="AL241" s="689"/>
      <c r="AM241" s="690"/>
      <c r="AN241" s="688"/>
      <c r="AO241" s="689"/>
      <c r="AP241" s="691"/>
      <c r="AX241" s="335"/>
      <c r="AZ241" s="923"/>
    </row>
    <row r="242" spans="1:52" x14ac:dyDescent="0.2">
      <c r="A242" s="338"/>
      <c r="B242" s="339"/>
      <c r="C242" s="339"/>
      <c r="D242" s="339"/>
      <c r="E242" s="339"/>
      <c r="F242" s="340"/>
      <c r="G242" s="711"/>
      <c r="H242" s="340"/>
      <c r="I242" s="1658"/>
      <c r="J242" s="344"/>
      <c r="K242" s="340"/>
      <c r="L242" s="335"/>
      <c r="M242" s="930"/>
      <c r="N242" s="673"/>
      <c r="O242" s="679"/>
      <c r="P242" s="680"/>
      <c r="Q242" s="683"/>
      <c r="R242" s="685"/>
      <c r="S242" s="346"/>
      <c r="T242" s="335"/>
      <c r="U242" s="335"/>
      <c r="V242" s="711"/>
      <c r="W242" s="711"/>
      <c r="X242" s="344"/>
      <c r="Y242" s="711"/>
      <c r="Z242" s="344"/>
      <c r="AA242" s="711"/>
      <c r="AB242" s="344"/>
      <c r="AC242" s="335"/>
      <c r="AD242" s="335"/>
      <c r="AE242" s="335"/>
      <c r="AF242" s="335"/>
      <c r="AG242" s="335"/>
      <c r="AH242" s="335"/>
      <c r="AI242" s="335"/>
      <c r="AJ242" s="335"/>
      <c r="AK242" s="335"/>
      <c r="AL242" s="335"/>
      <c r="AM242" s="335"/>
      <c r="AN242" s="335"/>
      <c r="AO242" s="335"/>
      <c r="AP242" s="335"/>
      <c r="AQ242" s="335"/>
      <c r="AR242" s="335"/>
      <c r="AS242" s="335"/>
      <c r="AT242" s="335"/>
      <c r="AU242" s="335"/>
      <c r="AV242" s="335"/>
      <c r="AW242" s="335"/>
      <c r="AX242" s="335"/>
      <c r="AZ242" s="352"/>
    </row>
    <row r="243" spans="1:52" x14ac:dyDescent="0.2">
      <c r="A243" s="921">
        <v>226</v>
      </c>
      <c r="C243" s="710"/>
      <c r="D243" s="710"/>
      <c r="E243" s="710"/>
      <c r="F243" s="336"/>
      <c r="G243" s="1250"/>
      <c r="H243" s="336"/>
    </row>
    <row r="244" spans="1:52" x14ac:dyDescent="0.2">
      <c r="A244" s="922">
        <v>0</v>
      </c>
      <c r="B244" s="710"/>
      <c r="C244" s="710"/>
      <c r="D244" s="710"/>
      <c r="E244" s="710"/>
      <c r="F244" s="336"/>
      <c r="G244" s="1250"/>
      <c r="H244" s="336"/>
    </row>
    <row r="246" spans="1:52" x14ac:dyDescent="0.2">
      <c r="AZ246" s="65"/>
    </row>
    <row r="248" spans="1:52" x14ac:dyDescent="0.2">
      <c r="A248" s="1515" t="s">
        <v>822</v>
      </c>
      <c r="B248" s="1495"/>
    </row>
    <row r="249" spans="1:52" x14ac:dyDescent="0.2">
      <c r="A249" s="1496">
        <v>1</v>
      </c>
      <c r="B249" s="1416" t="s">
        <v>410</v>
      </c>
      <c r="C249" s="490">
        <v>36</v>
      </c>
      <c r="D249" s="834">
        <v>15317755</v>
      </c>
      <c r="E249" s="497">
        <v>9</v>
      </c>
      <c r="F249" s="721">
        <v>0</v>
      </c>
      <c r="G249" s="1251">
        <v>0</v>
      </c>
      <c r="H249" s="1240">
        <v>0</v>
      </c>
      <c r="I249" s="1654"/>
      <c r="J249" s="383">
        <v>0</v>
      </c>
      <c r="K249" s="712"/>
      <c r="L249" s="487">
        <v>0</v>
      </c>
      <c r="M249" s="927"/>
      <c r="N249" s="672">
        <v>0</v>
      </c>
      <c r="O249" s="389">
        <v>1E-3</v>
      </c>
      <c r="P249" s="1092">
        <v>0</v>
      </c>
      <c r="Q249" s="1093">
        <v>0</v>
      </c>
      <c r="R249" s="381">
        <v>0</v>
      </c>
      <c r="S249" s="382"/>
      <c r="T249" s="381"/>
      <c r="U249" s="624"/>
      <c r="V249" s="569">
        <v>0</v>
      </c>
      <c r="W249" s="607"/>
      <c r="X249" s="383"/>
      <c r="Y249" s="607"/>
      <c r="Z249" s="383"/>
      <c r="AA249" s="607"/>
      <c r="AB249" s="718"/>
      <c r="AC249" s="335"/>
      <c r="AD249" s="389">
        <v>1E-3</v>
      </c>
      <c r="AE249" s="381">
        <v>1E-3</v>
      </c>
      <c r="AF249" s="389">
        <v>1E-3</v>
      </c>
      <c r="AG249" s="381">
        <v>1E-3</v>
      </c>
      <c r="AH249" s="389">
        <v>1E-3</v>
      </c>
      <c r="AI249" s="381">
        <v>1E-3</v>
      </c>
      <c r="AJ249" s="389">
        <v>1E-3</v>
      </c>
      <c r="AK249" s="381">
        <v>1E-3</v>
      </c>
      <c r="AL249" s="381">
        <v>1E-3</v>
      </c>
      <c r="AM249" s="381">
        <v>1E-3</v>
      </c>
      <c r="AN249" s="381">
        <v>1E-3</v>
      </c>
      <c r="AO249" s="381">
        <v>1E-3</v>
      </c>
      <c r="AP249" s="381">
        <v>1E-3</v>
      </c>
      <c r="AQ249" s="381">
        <v>1E-3</v>
      </c>
      <c r="AR249" s="381">
        <v>1E-3</v>
      </c>
      <c r="AS249" s="381">
        <v>1E-3</v>
      </c>
      <c r="AT249" s="381">
        <v>1E-3</v>
      </c>
      <c r="AU249" s="381">
        <v>1E-3</v>
      </c>
      <c r="AV249" s="381">
        <v>1E-3</v>
      </c>
      <c r="AW249" s="381">
        <v>1E-3</v>
      </c>
      <c r="AX249" s="335"/>
    </row>
    <row r="250" spans="1:52" x14ac:dyDescent="0.2">
      <c r="A250" s="1496">
        <v>2</v>
      </c>
      <c r="B250" s="1416" t="s">
        <v>407</v>
      </c>
      <c r="C250" s="490">
        <v>38</v>
      </c>
      <c r="D250" s="834">
        <v>43871132</v>
      </c>
      <c r="E250" s="497">
        <v>7</v>
      </c>
      <c r="F250" s="721">
        <v>0</v>
      </c>
      <c r="G250" s="1251">
        <v>0</v>
      </c>
      <c r="H250" s="1240">
        <v>0</v>
      </c>
      <c r="I250" s="1654"/>
      <c r="J250" s="383">
        <v>0</v>
      </c>
      <c r="K250" s="712"/>
      <c r="L250" s="487">
        <v>0</v>
      </c>
      <c r="M250" s="927"/>
      <c r="N250" s="672">
        <v>0</v>
      </c>
      <c r="O250" s="389">
        <v>1E-3</v>
      </c>
      <c r="P250" s="1092">
        <v>0</v>
      </c>
      <c r="Q250" s="1093">
        <v>0</v>
      </c>
      <c r="R250" s="381">
        <v>0</v>
      </c>
      <c r="S250" s="382"/>
      <c r="T250" s="381"/>
      <c r="U250" s="624"/>
      <c r="V250" s="569">
        <v>0</v>
      </c>
      <c r="W250" s="607"/>
      <c r="X250" s="383"/>
      <c r="Y250" s="607"/>
      <c r="Z250" s="383"/>
      <c r="AA250" s="607"/>
      <c r="AB250" s="718"/>
      <c r="AC250" s="335"/>
      <c r="AD250" s="389">
        <v>1E-3</v>
      </c>
      <c r="AE250" s="381">
        <v>1E-3</v>
      </c>
      <c r="AF250" s="389">
        <v>1E-3</v>
      </c>
      <c r="AG250" s="381">
        <v>1E-3</v>
      </c>
      <c r="AH250" s="389">
        <v>1E-3</v>
      </c>
      <c r="AI250" s="381">
        <v>1E-3</v>
      </c>
      <c r="AJ250" s="389">
        <v>1E-3</v>
      </c>
      <c r="AK250" s="381">
        <v>1E-3</v>
      </c>
      <c r="AL250" s="381">
        <v>1E-3</v>
      </c>
      <c r="AM250" s="381">
        <v>1E-3</v>
      </c>
      <c r="AN250" s="381">
        <v>1E-3</v>
      </c>
      <c r="AO250" s="381">
        <v>1E-3</v>
      </c>
      <c r="AP250" s="381">
        <v>1E-3</v>
      </c>
      <c r="AQ250" s="381">
        <v>1E-3</v>
      </c>
      <c r="AR250" s="381">
        <v>1E-3</v>
      </c>
      <c r="AS250" s="381">
        <v>1E-3</v>
      </c>
      <c r="AT250" s="381">
        <v>1E-3</v>
      </c>
      <c r="AU250" s="381">
        <v>1E-3</v>
      </c>
      <c r="AV250" s="381">
        <v>1E-3</v>
      </c>
      <c r="AW250" s="381">
        <v>1E-3</v>
      </c>
      <c r="AX250" s="335"/>
    </row>
    <row r="251" spans="1:52" x14ac:dyDescent="0.2">
      <c r="A251" s="1496">
        <v>3</v>
      </c>
      <c r="B251" s="1416" t="s">
        <v>12</v>
      </c>
      <c r="C251" s="490">
        <v>51</v>
      </c>
      <c r="D251" s="834">
        <v>3333089</v>
      </c>
      <c r="E251" s="497">
        <v>5</v>
      </c>
      <c r="F251" s="721">
        <v>0</v>
      </c>
      <c r="G251" s="1251">
        <v>0</v>
      </c>
      <c r="H251" s="1240">
        <v>0</v>
      </c>
      <c r="I251" s="1654"/>
      <c r="J251" s="383">
        <v>0</v>
      </c>
      <c r="K251" s="712"/>
      <c r="L251" s="487">
        <v>0</v>
      </c>
      <c r="M251" s="927"/>
      <c r="N251" s="672">
        <v>0</v>
      </c>
      <c r="O251" s="389">
        <v>1E-3</v>
      </c>
      <c r="P251" s="1092">
        <v>0</v>
      </c>
      <c r="Q251" s="1093">
        <v>0</v>
      </c>
      <c r="R251" s="381">
        <v>0</v>
      </c>
      <c r="S251" s="382"/>
      <c r="T251" s="381"/>
      <c r="U251" s="624"/>
      <c r="V251" s="569">
        <v>0</v>
      </c>
      <c r="W251" s="607"/>
      <c r="X251" s="383"/>
      <c r="Y251" s="607"/>
      <c r="Z251" s="383"/>
      <c r="AA251" s="607"/>
      <c r="AB251" s="718"/>
      <c r="AC251" s="335"/>
      <c r="AD251" s="389">
        <v>1E-3</v>
      </c>
      <c r="AE251" s="381">
        <v>1E-3</v>
      </c>
      <c r="AF251" s="389">
        <v>1E-3</v>
      </c>
      <c r="AG251" s="381">
        <v>1E-3</v>
      </c>
      <c r="AH251" s="389">
        <v>1E-3</v>
      </c>
      <c r="AI251" s="381">
        <v>1E-3</v>
      </c>
      <c r="AJ251" s="389">
        <v>1E-3</v>
      </c>
      <c r="AK251" s="381">
        <v>1E-3</v>
      </c>
      <c r="AL251" s="381">
        <v>1E-3</v>
      </c>
      <c r="AM251" s="381">
        <v>1E-3</v>
      </c>
      <c r="AN251" s="381">
        <v>1E-3</v>
      </c>
      <c r="AO251" s="381">
        <v>1E-3</v>
      </c>
      <c r="AP251" s="381">
        <v>1E-3</v>
      </c>
      <c r="AQ251" s="381">
        <v>1E-3</v>
      </c>
      <c r="AR251" s="381">
        <v>1E-3</v>
      </c>
      <c r="AS251" s="381">
        <v>1E-3</v>
      </c>
      <c r="AT251" s="381">
        <v>1E-3</v>
      </c>
      <c r="AU251" s="381">
        <v>1E-3</v>
      </c>
      <c r="AV251" s="381">
        <v>1E-3</v>
      </c>
      <c r="AW251" s="381">
        <v>1E-3</v>
      </c>
      <c r="AX251" s="335"/>
    </row>
    <row r="252" spans="1:52" ht="25.5" x14ac:dyDescent="0.2">
      <c r="A252" s="1496">
        <v>4</v>
      </c>
      <c r="B252" s="1497" t="s">
        <v>365</v>
      </c>
      <c r="C252" s="490">
        <v>2</v>
      </c>
      <c r="D252" s="834">
        <v>890910962</v>
      </c>
      <c r="E252" s="497">
        <v>4</v>
      </c>
      <c r="F252" s="721">
        <v>0</v>
      </c>
      <c r="G252" s="1251">
        <v>0</v>
      </c>
      <c r="H252" s="1240">
        <v>0</v>
      </c>
      <c r="I252" s="1654"/>
      <c r="J252" s="383">
        <v>0</v>
      </c>
      <c r="K252" s="712"/>
      <c r="L252" s="487">
        <v>0</v>
      </c>
      <c r="M252" s="927"/>
      <c r="N252" s="672">
        <v>0</v>
      </c>
      <c r="O252" s="389">
        <v>1E-3</v>
      </c>
      <c r="P252" s="1092">
        <v>0</v>
      </c>
      <c r="Q252" s="1093">
        <v>0</v>
      </c>
      <c r="R252" s="381">
        <v>0</v>
      </c>
      <c r="S252" s="382"/>
      <c r="T252" s="381"/>
      <c r="U252" s="624"/>
      <c r="V252" s="569">
        <v>0</v>
      </c>
      <c r="W252" s="607"/>
      <c r="X252" s="383"/>
      <c r="Y252" s="607"/>
      <c r="Z252" s="383"/>
      <c r="AA252" s="607"/>
      <c r="AB252" s="718"/>
      <c r="AC252" s="335"/>
      <c r="AD252" s="389">
        <v>1E-3</v>
      </c>
      <c r="AE252" s="381">
        <v>1E-3</v>
      </c>
      <c r="AF252" s="389">
        <v>1E-3</v>
      </c>
      <c r="AG252" s="381">
        <v>1E-3</v>
      </c>
      <c r="AH252" s="389">
        <v>1E-3</v>
      </c>
      <c r="AI252" s="381">
        <v>1E-3</v>
      </c>
      <c r="AJ252" s="389">
        <v>1E-3</v>
      </c>
      <c r="AK252" s="381">
        <v>1E-3</v>
      </c>
      <c r="AL252" s="381">
        <v>1E-3</v>
      </c>
      <c r="AM252" s="381">
        <v>1E-3</v>
      </c>
      <c r="AN252" s="381">
        <v>1E-3</v>
      </c>
      <c r="AO252" s="381">
        <v>1E-3</v>
      </c>
      <c r="AP252" s="381">
        <v>1E-3</v>
      </c>
      <c r="AQ252" s="381">
        <v>1E-3</v>
      </c>
      <c r="AR252" s="381">
        <v>1E-3</v>
      </c>
      <c r="AS252" s="381">
        <v>1E-3</v>
      </c>
      <c r="AT252" s="381">
        <v>1E-3</v>
      </c>
      <c r="AU252" s="381">
        <v>1E-3</v>
      </c>
      <c r="AV252" s="381">
        <v>1E-3</v>
      </c>
      <c r="AW252" s="381">
        <v>1E-3</v>
      </c>
      <c r="AX252" s="335"/>
    </row>
    <row r="253" spans="1:52" x14ac:dyDescent="0.2">
      <c r="A253" s="1496">
        <v>5</v>
      </c>
      <c r="B253" s="1497" t="s">
        <v>656</v>
      </c>
      <c r="C253" s="490">
        <v>257</v>
      </c>
      <c r="D253" s="834">
        <v>78691058</v>
      </c>
      <c r="E253" s="497">
        <v>4</v>
      </c>
      <c r="F253" s="721">
        <v>0</v>
      </c>
      <c r="G253" s="1251">
        <v>0</v>
      </c>
      <c r="H253" s="1240">
        <v>0</v>
      </c>
      <c r="I253" s="1654"/>
      <c r="J253" s="383">
        <v>0</v>
      </c>
      <c r="K253" s="712"/>
      <c r="L253" s="487">
        <v>0</v>
      </c>
      <c r="M253" s="927"/>
      <c r="N253" s="672">
        <v>0</v>
      </c>
      <c r="O253" s="389">
        <v>1E-3</v>
      </c>
      <c r="P253" s="1092">
        <v>0</v>
      </c>
      <c r="Q253" s="1093">
        <v>0</v>
      </c>
      <c r="R253" s="381">
        <v>0</v>
      </c>
      <c r="S253" s="382"/>
      <c r="T253" s="381"/>
      <c r="U253" s="624"/>
      <c r="V253" s="569">
        <v>0</v>
      </c>
      <c r="W253" s="607"/>
      <c r="X253" s="383"/>
      <c r="Y253" s="607"/>
      <c r="Z253" s="383"/>
      <c r="AA253" s="607"/>
      <c r="AB253" s="718"/>
      <c r="AC253" s="335"/>
      <c r="AD253" s="389">
        <v>1E-3</v>
      </c>
      <c r="AE253" s="381">
        <v>1E-3</v>
      </c>
      <c r="AF253" s="389">
        <v>1E-3</v>
      </c>
      <c r="AG253" s="381">
        <v>1E-3</v>
      </c>
      <c r="AH253" s="389">
        <v>1E-3</v>
      </c>
      <c r="AI253" s="381">
        <v>1E-3</v>
      </c>
      <c r="AJ253" s="389">
        <v>1E-3</v>
      </c>
      <c r="AK253" s="381">
        <v>1E-3</v>
      </c>
      <c r="AL253" s="381">
        <v>1E-3</v>
      </c>
      <c r="AM253" s="381">
        <v>1E-3</v>
      </c>
      <c r="AN253" s="381">
        <v>1E-3</v>
      </c>
      <c r="AO253" s="381">
        <v>1E-3</v>
      </c>
      <c r="AP253" s="381">
        <v>1E-3</v>
      </c>
      <c r="AQ253" s="381">
        <v>1E-3</v>
      </c>
      <c r="AR253" s="381">
        <v>1E-3</v>
      </c>
      <c r="AS253" s="381">
        <v>1E-3</v>
      </c>
      <c r="AT253" s="381">
        <v>1E-3</v>
      </c>
      <c r="AU253" s="381">
        <v>1E-3</v>
      </c>
      <c r="AV253" s="381">
        <v>1E-3</v>
      </c>
      <c r="AW253" s="381">
        <v>1E-3</v>
      </c>
      <c r="AX253" s="335"/>
    </row>
    <row r="254" spans="1:52" x14ac:dyDescent="0.2">
      <c r="A254" s="1496">
        <v>6</v>
      </c>
      <c r="B254" s="1416" t="s">
        <v>399</v>
      </c>
      <c r="C254" s="490">
        <v>353</v>
      </c>
      <c r="D254" s="834">
        <v>1017207619</v>
      </c>
      <c r="E254" s="497">
        <v>1</v>
      </c>
      <c r="F254" s="721">
        <v>0</v>
      </c>
      <c r="G254" s="1251">
        <v>0</v>
      </c>
      <c r="H254" s="1240">
        <v>0</v>
      </c>
      <c r="I254" s="1654"/>
      <c r="J254" s="383">
        <v>0</v>
      </c>
      <c r="K254" s="712"/>
      <c r="L254" s="487">
        <v>0</v>
      </c>
      <c r="M254" s="927"/>
      <c r="N254" s="672">
        <v>0</v>
      </c>
      <c r="O254" s="389">
        <v>1E-3</v>
      </c>
      <c r="P254" s="1092">
        <v>0</v>
      </c>
      <c r="Q254" s="1093">
        <v>0</v>
      </c>
      <c r="R254" s="381">
        <v>0</v>
      </c>
      <c r="S254" s="382"/>
      <c r="T254" s="381"/>
      <c r="U254" s="624"/>
      <c r="V254" s="569">
        <v>0</v>
      </c>
      <c r="W254" s="607"/>
      <c r="X254" s="383"/>
      <c r="Y254" s="607"/>
      <c r="Z254" s="383"/>
      <c r="AA254" s="607"/>
      <c r="AB254" s="718"/>
      <c r="AC254" s="335"/>
      <c r="AD254" s="389">
        <v>1E-3</v>
      </c>
      <c r="AE254" s="381">
        <v>1E-3</v>
      </c>
      <c r="AF254" s="389">
        <v>1E-3</v>
      </c>
      <c r="AG254" s="381">
        <v>1E-3</v>
      </c>
      <c r="AH254" s="389">
        <v>1E-3</v>
      </c>
      <c r="AI254" s="381">
        <v>1E-3</v>
      </c>
      <c r="AJ254" s="389">
        <v>1E-3</v>
      </c>
      <c r="AK254" s="381">
        <v>1E-3</v>
      </c>
      <c r="AL254" s="381">
        <v>1E-3</v>
      </c>
      <c r="AM254" s="381">
        <v>1E-3</v>
      </c>
      <c r="AN254" s="381">
        <v>1E-3</v>
      </c>
      <c r="AO254" s="381">
        <v>1E-3</v>
      </c>
      <c r="AP254" s="381">
        <v>1E-3</v>
      </c>
      <c r="AQ254" s="381">
        <v>1E-3</v>
      </c>
      <c r="AR254" s="381">
        <v>1E-3</v>
      </c>
      <c r="AS254" s="381">
        <v>1E-3</v>
      </c>
      <c r="AT254" s="381">
        <v>1E-3</v>
      </c>
      <c r="AU254" s="381">
        <v>1E-3</v>
      </c>
      <c r="AV254" s="381">
        <v>1E-3</v>
      </c>
      <c r="AW254" s="381">
        <v>1E-3</v>
      </c>
      <c r="AX254" s="335"/>
    </row>
    <row r="255" spans="1:52" x14ac:dyDescent="0.2">
      <c r="A255" s="1496">
        <v>7</v>
      </c>
      <c r="B255" s="1416" t="s">
        <v>16</v>
      </c>
      <c r="C255" s="490">
        <v>270</v>
      </c>
      <c r="D255" s="834">
        <v>8299801</v>
      </c>
      <c r="E255" s="497">
        <v>6</v>
      </c>
      <c r="F255" s="721">
        <v>0</v>
      </c>
      <c r="G255" s="1251">
        <v>0</v>
      </c>
      <c r="H255" s="1240">
        <v>0</v>
      </c>
      <c r="I255" s="1654"/>
      <c r="J255" s="383">
        <v>0</v>
      </c>
      <c r="K255" s="712"/>
      <c r="L255" s="487">
        <v>0</v>
      </c>
      <c r="M255" s="927"/>
      <c r="N255" s="672">
        <v>0</v>
      </c>
      <c r="O255" s="389">
        <v>1E-3</v>
      </c>
      <c r="P255" s="1092">
        <v>0</v>
      </c>
      <c r="Q255" s="1093">
        <v>0</v>
      </c>
      <c r="R255" s="381">
        <v>0</v>
      </c>
      <c r="S255" s="382"/>
      <c r="T255" s="381"/>
      <c r="U255" s="624"/>
      <c r="V255" s="569">
        <v>0</v>
      </c>
      <c r="W255" s="607"/>
      <c r="X255" s="383"/>
      <c r="Y255" s="607"/>
      <c r="Z255" s="383"/>
      <c r="AA255" s="607"/>
      <c r="AB255" s="718"/>
      <c r="AC255" s="335"/>
      <c r="AD255" s="389">
        <v>1E-3</v>
      </c>
      <c r="AE255" s="381">
        <v>1E-3</v>
      </c>
      <c r="AF255" s="389">
        <v>1E-3</v>
      </c>
      <c r="AG255" s="381">
        <v>1E-3</v>
      </c>
      <c r="AH255" s="389">
        <v>1E-3</v>
      </c>
      <c r="AI255" s="381">
        <v>1E-3</v>
      </c>
      <c r="AJ255" s="389">
        <v>1E-3</v>
      </c>
      <c r="AK255" s="381">
        <v>1E-3</v>
      </c>
      <c r="AL255" s="381">
        <v>1E-3</v>
      </c>
      <c r="AM255" s="381">
        <v>1E-3</v>
      </c>
      <c r="AN255" s="381">
        <v>1E-3</v>
      </c>
      <c r="AO255" s="381">
        <v>1E-3</v>
      </c>
      <c r="AP255" s="381">
        <v>1E-3</v>
      </c>
      <c r="AQ255" s="381">
        <v>1E-3</v>
      </c>
      <c r="AR255" s="381">
        <v>1E-3</v>
      </c>
      <c r="AS255" s="381">
        <v>1E-3</v>
      </c>
      <c r="AT255" s="381">
        <v>1E-3</v>
      </c>
      <c r="AU255" s="381">
        <v>1E-3</v>
      </c>
      <c r="AV255" s="381">
        <v>1E-3</v>
      </c>
      <c r="AW255" s="381">
        <v>1E-3</v>
      </c>
      <c r="AX255" s="335"/>
    </row>
    <row r="256" spans="1:52" x14ac:dyDescent="0.2">
      <c r="A256" s="1496">
        <v>8</v>
      </c>
      <c r="B256" s="1416" t="s">
        <v>50</v>
      </c>
      <c r="C256" s="1498">
        <v>90</v>
      </c>
      <c r="D256" s="1446">
        <v>21380573</v>
      </c>
      <c r="E256" s="1499">
        <v>4</v>
      </c>
      <c r="F256" s="1500">
        <v>0</v>
      </c>
      <c r="G256" s="1501">
        <v>0</v>
      </c>
      <c r="H256" s="1502">
        <v>0</v>
      </c>
      <c r="I256" s="1659"/>
      <c r="J256" s="1503">
        <v>0</v>
      </c>
      <c r="K256" s="1504"/>
      <c r="L256" s="1505">
        <v>0</v>
      </c>
      <c r="M256" s="1506"/>
      <c r="N256" s="1507">
        <v>0</v>
      </c>
      <c r="O256" s="1508">
        <v>1E-3</v>
      </c>
      <c r="P256" s="1509">
        <v>0</v>
      </c>
      <c r="Q256" s="1093">
        <v>0</v>
      </c>
      <c r="R256" s="381">
        <v>0</v>
      </c>
      <c r="S256" s="382"/>
      <c r="T256" s="381"/>
      <c r="U256" s="624"/>
      <c r="V256" s="569">
        <v>0</v>
      </c>
      <c r="W256" s="607"/>
      <c r="X256" s="383"/>
      <c r="Y256" s="607"/>
      <c r="Z256" s="383"/>
      <c r="AA256" s="607"/>
      <c r="AB256" s="718"/>
      <c r="AC256" s="335"/>
      <c r="AD256" s="389">
        <v>1E-3</v>
      </c>
      <c r="AE256" s="381">
        <v>1E-3</v>
      </c>
      <c r="AF256" s="389">
        <v>1E-3</v>
      </c>
      <c r="AG256" s="381">
        <v>1E-3</v>
      </c>
      <c r="AH256" s="389">
        <v>1E-3</v>
      </c>
      <c r="AI256" s="381">
        <v>1E-3</v>
      </c>
      <c r="AJ256" s="389">
        <v>1E-3</v>
      </c>
      <c r="AK256" s="381">
        <v>1E-3</v>
      </c>
      <c r="AL256" s="381">
        <v>1E-3</v>
      </c>
      <c r="AM256" s="381">
        <v>1500000</v>
      </c>
      <c r="AN256" s="381" t="s">
        <v>745</v>
      </c>
      <c r="AO256" s="381">
        <v>1E-3</v>
      </c>
      <c r="AP256" s="381">
        <v>1E-3</v>
      </c>
      <c r="AQ256" s="381">
        <v>1E-3</v>
      </c>
      <c r="AR256" s="381">
        <v>1E-3</v>
      </c>
      <c r="AS256" s="381">
        <v>1E-3</v>
      </c>
      <c r="AT256" s="381">
        <v>1E-3</v>
      </c>
      <c r="AU256" s="381">
        <v>1E-3</v>
      </c>
      <c r="AV256" s="381">
        <v>1E-3</v>
      </c>
      <c r="AW256" s="381">
        <v>1E-3</v>
      </c>
      <c r="AX256" s="335"/>
    </row>
    <row r="257" spans="1:52" x14ac:dyDescent="0.2">
      <c r="A257" s="1496">
        <v>9</v>
      </c>
      <c r="B257" s="1416" t="s">
        <v>319</v>
      </c>
      <c r="C257" s="1498">
        <v>262</v>
      </c>
      <c r="D257" s="1446">
        <v>71662891</v>
      </c>
      <c r="E257" s="1499">
        <v>4</v>
      </c>
      <c r="F257" s="1500">
        <v>0</v>
      </c>
      <c r="G257" s="1501">
        <v>0</v>
      </c>
      <c r="H257" s="1502">
        <v>0</v>
      </c>
      <c r="I257" s="1659"/>
      <c r="J257" s="1503">
        <v>0</v>
      </c>
      <c r="K257" s="1504"/>
      <c r="L257" s="1505">
        <v>0</v>
      </c>
      <c r="M257" s="1506"/>
      <c r="N257" s="1507">
        <v>0</v>
      </c>
      <c r="O257" s="1508">
        <v>1E-3</v>
      </c>
      <c r="P257" s="1509">
        <v>0</v>
      </c>
      <c r="Q257" s="1093">
        <v>0</v>
      </c>
      <c r="R257" s="381">
        <v>0</v>
      </c>
      <c r="S257" s="382"/>
      <c r="T257" s="381"/>
      <c r="U257" s="624"/>
      <c r="V257" s="569">
        <v>0</v>
      </c>
      <c r="W257" s="607"/>
      <c r="X257" s="383"/>
      <c r="Y257" s="607"/>
      <c r="Z257" s="383"/>
      <c r="AA257" s="607"/>
      <c r="AB257" s="718"/>
      <c r="AC257" s="335"/>
      <c r="AD257" s="389">
        <v>1E-3</v>
      </c>
      <c r="AE257" s="381">
        <v>1E-3</v>
      </c>
      <c r="AF257" s="389">
        <v>1E-3</v>
      </c>
      <c r="AG257" s="381">
        <v>1E-3</v>
      </c>
      <c r="AH257" s="389">
        <v>1E-3</v>
      </c>
      <c r="AI257" s="381">
        <v>1E-3</v>
      </c>
      <c r="AJ257" s="389">
        <v>1E-3</v>
      </c>
      <c r="AK257" s="381">
        <v>1E-3</v>
      </c>
      <c r="AL257" s="381">
        <v>1E-3</v>
      </c>
      <c r="AM257" s="381">
        <v>1E-3</v>
      </c>
      <c r="AN257" s="381">
        <v>1E-3</v>
      </c>
      <c r="AO257" s="381">
        <v>1E-3</v>
      </c>
      <c r="AP257" s="381">
        <v>1E-3</v>
      </c>
      <c r="AQ257" s="381">
        <v>1E-3</v>
      </c>
      <c r="AR257" s="381">
        <v>1E-3</v>
      </c>
      <c r="AS257" s="381">
        <v>1E-3</v>
      </c>
      <c r="AT257" s="381">
        <v>1E-3</v>
      </c>
      <c r="AU257" s="381">
        <v>1E-3</v>
      </c>
      <c r="AV257" s="381">
        <v>1E-3</v>
      </c>
      <c r="AW257" s="381">
        <v>1E-3</v>
      </c>
      <c r="AX257" s="335"/>
    </row>
    <row r="258" spans="1:52" x14ac:dyDescent="0.2">
      <c r="A258" s="1496">
        <v>10</v>
      </c>
      <c r="B258" s="1416" t="s">
        <v>51</v>
      </c>
      <c r="C258" s="1498">
        <v>355</v>
      </c>
      <c r="D258" s="1446">
        <v>15258730</v>
      </c>
      <c r="E258" s="1499">
        <v>1</v>
      </c>
      <c r="F258" s="1500">
        <v>0</v>
      </c>
      <c r="G258" s="1501">
        <v>0</v>
      </c>
      <c r="H258" s="1502">
        <v>0</v>
      </c>
      <c r="I258" s="1659"/>
      <c r="J258" s="1503">
        <v>0</v>
      </c>
      <c r="K258" s="1504"/>
      <c r="L258" s="1505">
        <v>0</v>
      </c>
      <c r="M258" s="1506"/>
      <c r="N258" s="1507">
        <v>0</v>
      </c>
      <c r="O258" s="1508">
        <v>1E-3</v>
      </c>
      <c r="P258" s="1509">
        <v>0</v>
      </c>
      <c r="Q258" s="1093">
        <v>0</v>
      </c>
      <c r="R258" s="381">
        <v>0</v>
      </c>
      <c r="S258" s="382"/>
      <c r="T258" s="381"/>
      <c r="U258" s="624"/>
      <c r="V258" s="569">
        <v>0</v>
      </c>
      <c r="W258" s="607"/>
      <c r="X258" s="383"/>
      <c r="Y258" s="607"/>
      <c r="Z258" s="383"/>
      <c r="AA258" s="607"/>
      <c r="AB258" s="718"/>
      <c r="AC258" s="335"/>
      <c r="AD258" s="389">
        <v>1E-3</v>
      </c>
      <c r="AE258" s="381">
        <v>1E-3</v>
      </c>
      <c r="AF258" s="389">
        <v>1E-3</v>
      </c>
      <c r="AG258" s="381">
        <v>1E-3</v>
      </c>
      <c r="AH258" s="389">
        <v>1E-3</v>
      </c>
      <c r="AI258" s="381">
        <v>1E-3</v>
      </c>
      <c r="AJ258" s="389">
        <v>1E-3</v>
      </c>
      <c r="AK258" s="381">
        <v>1E-3</v>
      </c>
      <c r="AL258" s="381">
        <v>1E-3</v>
      </c>
      <c r="AM258" s="381">
        <v>1E-3</v>
      </c>
      <c r="AN258" s="381">
        <v>1E-3</v>
      </c>
      <c r="AO258" s="381">
        <v>1E-3</v>
      </c>
      <c r="AP258" s="381">
        <v>1E-3</v>
      </c>
      <c r="AQ258" s="381">
        <v>1E-3</v>
      </c>
      <c r="AR258" s="381">
        <v>1E-3</v>
      </c>
      <c r="AS258" s="381">
        <v>1E-3</v>
      </c>
      <c r="AT258" s="381">
        <v>1E-3</v>
      </c>
      <c r="AU258" s="381">
        <v>1E-3</v>
      </c>
      <c r="AV258" s="381">
        <v>1E-3</v>
      </c>
      <c r="AW258" s="381">
        <v>1E-3</v>
      </c>
      <c r="AX258" s="335"/>
    </row>
    <row r="259" spans="1:52" x14ac:dyDescent="0.2">
      <c r="A259" s="1496">
        <v>11</v>
      </c>
      <c r="B259" s="1416" t="s">
        <v>434</v>
      </c>
      <c r="C259" s="1498">
        <v>362</v>
      </c>
      <c r="D259" s="1446">
        <v>43734799</v>
      </c>
      <c r="E259" s="1499">
        <v>2</v>
      </c>
      <c r="F259" s="1500">
        <v>0</v>
      </c>
      <c r="G259" s="1501">
        <v>0</v>
      </c>
      <c r="H259" s="1502">
        <v>0</v>
      </c>
      <c r="I259" s="1659"/>
      <c r="J259" s="1503">
        <v>0</v>
      </c>
      <c r="K259" s="1504"/>
      <c r="L259" s="1505">
        <v>0</v>
      </c>
      <c r="M259" s="1506"/>
      <c r="N259" s="1507">
        <v>0</v>
      </c>
      <c r="O259" s="1508">
        <v>1E-3</v>
      </c>
      <c r="P259" s="1509">
        <v>0</v>
      </c>
      <c r="Q259" s="1093">
        <v>0</v>
      </c>
      <c r="R259" s="381">
        <v>0</v>
      </c>
      <c r="S259" s="382"/>
      <c r="T259" s="381"/>
      <c r="U259" s="624"/>
      <c r="V259" s="569">
        <v>0</v>
      </c>
      <c r="W259" s="607"/>
      <c r="X259" s="383"/>
      <c r="Y259" s="607"/>
      <c r="Z259" s="383"/>
      <c r="AA259" s="607"/>
      <c r="AB259" s="718"/>
      <c r="AC259" s="335"/>
      <c r="AD259" s="389">
        <v>1E-3</v>
      </c>
      <c r="AE259" s="381">
        <v>1E-3</v>
      </c>
      <c r="AF259" s="389">
        <v>1E-3</v>
      </c>
      <c r="AG259" s="381">
        <v>1E-3</v>
      </c>
      <c r="AH259" s="389">
        <v>1E-3</v>
      </c>
      <c r="AI259" s="381">
        <v>1E-3</v>
      </c>
      <c r="AJ259" s="389">
        <v>1E-3</v>
      </c>
      <c r="AK259" s="381">
        <v>1E-3</v>
      </c>
      <c r="AL259" s="381">
        <v>1E-3</v>
      </c>
      <c r="AM259" s="381">
        <v>1E-3</v>
      </c>
      <c r="AN259" s="381">
        <v>1E-3</v>
      </c>
      <c r="AO259" s="381">
        <v>1E-3</v>
      </c>
      <c r="AP259" s="381">
        <v>1E-3</v>
      </c>
      <c r="AQ259" s="381">
        <v>1E-3</v>
      </c>
      <c r="AR259" s="381">
        <v>1E-3</v>
      </c>
      <c r="AS259" s="381">
        <v>1E-3</v>
      </c>
      <c r="AT259" s="381">
        <v>1E-3</v>
      </c>
      <c r="AU259" s="381">
        <v>1E-3</v>
      </c>
      <c r="AV259" s="381">
        <v>1E-3</v>
      </c>
      <c r="AW259" s="381">
        <v>1E-3</v>
      </c>
      <c r="AX259" s="335"/>
    </row>
    <row r="260" spans="1:52" x14ac:dyDescent="0.2">
      <c r="A260" s="1496">
        <v>12</v>
      </c>
      <c r="B260" s="1416" t="s">
        <v>334</v>
      </c>
      <c r="C260" s="490">
        <v>347</v>
      </c>
      <c r="D260" s="834">
        <v>507881</v>
      </c>
      <c r="E260" s="497">
        <v>1</v>
      </c>
      <c r="F260" s="721">
        <v>0</v>
      </c>
      <c r="G260" s="1251">
        <v>0</v>
      </c>
      <c r="H260" s="1240">
        <v>0</v>
      </c>
      <c r="I260" s="1654"/>
      <c r="J260" s="383">
        <v>0</v>
      </c>
      <c r="K260" s="712"/>
      <c r="L260" s="487">
        <v>0</v>
      </c>
      <c r="M260" s="927"/>
      <c r="N260" s="672">
        <v>0</v>
      </c>
      <c r="O260" s="389">
        <v>1E-3</v>
      </c>
      <c r="P260" s="1092">
        <v>0</v>
      </c>
      <c r="Q260" s="1093">
        <v>0</v>
      </c>
      <c r="R260" s="381">
        <v>0</v>
      </c>
      <c r="S260" s="382"/>
      <c r="T260" s="381"/>
      <c r="U260" s="624"/>
      <c r="V260" s="569">
        <v>0</v>
      </c>
      <c r="W260" s="607"/>
      <c r="X260" s="383"/>
      <c r="Y260" s="607"/>
      <c r="Z260" s="383"/>
      <c r="AA260" s="607"/>
      <c r="AB260" s="718"/>
      <c r="AC260" s="335"/>
      <c r="AD260" s="389">
        <v>1E-3</v>
      </c>
      <c r="AE260" s="381">
        <v>1E-3</v>
      </c>
      <c r="AF260" s="389">
        <v>1E-3</v>
      </c>
      <c r="AG260" s="381">
        <v>1E-3</v>
      </c>
      <c r="AH260" s="389">
        <v>1E-3</v>
      </c>
      <c r="AI260" s="381">
        <v>1E-3</v>
      </c>
      <c r="AJ260" s="389">
        <v>1E-3</v>
      </c>
      <c r="AK260" s="381">
        <v>1E-3</v>
      </c>
      <c r="AL260" s="381">
        <v>1E-3</v>
      </c>
      <c r="AM260" s="381">
        <v>1E-3</v>
      </c>
      <c r="AN260" s="381">
        <v>1E-3</v>
      </c>
      <c r="AO260" s="381">
        <v>1E-3</v>
      </c>
      <c r="AP260" s="381">
        <v>1E-3</v>
      </c>
      <c r="AQ260" s="381">
        <v>1E-3</v>
      </c>
      <c r="AR260" s="381">
        <v>1E-3</v>
      </c>
      <c r="AS260" s="381">
        <v>1E-3</v>
      </c>
      <c r="AT260" s="381">
        <v>1E-3</v>
      </c>
      <c r="AU260" s="381">
        <v>1E-3</v>
      </c>
      <c r="AV260" s="381">
        <v>1E-3</v>
      </c>
      <c r="AW260" s="381">
        <v>1E-3</v>
      </c>
      <c r="AX260" s="335"/>
    </row>
    <row r="261" spans="1:52" x14ac:dyDescent="0.2">
      <c r="A261" s="1496">
        <v>13</v>
      </c>
      <c r="B261" s="1510" t="s">
        <v>414</v>
      </c>
      <c r="C261" s="490">
        <v>131</v>
      </c>
      <c r="D261" s="834">
        <v>901042480</v>
      </c>
      <c r="E261" s="497">
        <v>0</v>
      </c>
      <c r="F261" s="721">
        <v>0</v>
      </c>
      <c r="G261" s="1251">
        <v>0</v>
      </c>
      <c r="H261" s="1240">
        <v>0</v>
      </c>
      <c r="I261" s="1654"/>
      <c r="J261" s="383">
        <v>0</v>
      </c>
      <c r="K261" s="712"/>
      <c r="L261" s="487">
        <v>0</v>
      </c>
      <c r="M261" s="927"/>
      <c r="N261" s="672">
        <v>0</v>
      </c>
      <c r="O261" s="389">
        <v>1E-3</v>
      </c>
      <c r="P261" s="1092">
        <v>0</v>
      </c>
      <c r="Q261" s="1093">
        <v>0</v>
      </c>
      <c r="R261" s="381">
        <v>0</v>
      </c>
      <c r="S261" s="382"/>
      <c r="T261" s="381"/>
      <c r="U261" s="624"/>
      <c r="V261" s="569">
        <v>0</v>
      </c>
      <c r="W261" s="607"/>
      <c r="X261" s="383"/>
      <c r="Y261" s="607"/>
      <c r="Z261" s="383"/>
      <c r="AA261" s="607"/>
      <c r="AB261" s="718"/>
      <c r="AC261" s="335"/>
      <c r="AD261" s="389">
        <v>1E-3</v>
      </c>
      <c r="AE261" s="381">
        <v>1E-3</v>
      </c>
      <c r="AF261" s="389">
        <v>1E-3</v>
      </c>
      <c r="AG261" s="381">
        <v>1E-3</v>
      </c>
      <c r="AH261" s="389">
        <v>1E-3</v>
      </c>
      <c r="AI261" s="381">
        <v>1E-3</v>
      </c>
      <c r="AJ261" s="389">
        <v>1E-3</v>
      </c>
      <c r="AK261" s="381">
        <v>1E-3</v>
      </c>
      <c r="AL261" s="381">
        <v>1E-3</v>
      </c>
      <c r="AM261" s="381">
        <v>1E-3</v>
      </c>
      <c r="AN261" s="381">
        <v>1E-3</v>
      </c>
      <c r="AO261" s="381">
        <v>1E-3</v>
      </c>
      <c r="AP261" s="381">
        <v>1E-3</v>
      </c>
      <c r="AQ261" s="381">
        <v>1E-3</v>
      </c>
      <c r="AR261" s="381">
        <v>1E-3</v>
      </c>
      <c r="AS261" s="381">
        <v>1E-3</v>
      </c>
      <c r="AT261" s="381">
        <v>1E-3</v>
      </c>
      <c r="AU261" s="381">
        <v>1E-3</v>
      </c>
      <c r="AV261" s="381">
        <v>1E-3</v>
      </c>
      <c r="AW261" s="381">
        <v>1E-3</v>
      </c>
      <c r="AX261" s="335"/>
    </row>
    <row r="262" spans="1:52" x14ac:dyDescent="0.2">
      <c r="A262" s="1496">
        <v>14</v>
      </c>
      <c r="B262" s="1416" t="s">
        <v>66</v>
      </c>
      <c r="C262" s="490">
        <v>109</v>
      </c>
      <c r="D262" s="834">
        <v>542853</v>
      </c>
      <c r="E262" s="497">
        <v>1</v>
      </c>
      <c r="F262" s="721">
        <v>0</v>
      </c>
      <c r="G262" s="1251">
        <v>0</v>
      </c>
      <c r="H262" s="1240">
        <v>0</v>
      </c>
      <c r="I262" s="1654"/>
      <c r="J262" s="383">
        <v>0</v>
      </c>
      <c r="K262" s="712"/>
      <c r="L262" s="487">
        <v>0</v>
      </c>
      <c r="M262" s="927"/>
      <c r="N262" s="672">
        <v>0</v>
      </c>
      <c r="O262" s="389">
        <v>1E-3</v>
      </c>
      <c r="P262" s="1092">
        <v>0</v>
      </c>
      <c r="Q262" s="1093">
        <v>0</v>
      </c>
      <c r="R262" s="381">
        <v>0</v>
      </c>
      <c r="S262" s="382"/>
      <c r="T262" s="381"/>
      <c r="U262" s="624"/>
      <c r="V262" s="569">
        <v>0</v>
      </c>
      <c r="W262" s="607"/>
      <c r="X262" s="383"/>
      <c r="Y262" s="607"/>
      <c r="Z262" s="383"/>
      <c r="AA262" s="607"/>
      <c r="AB262" s="718"/>
      <c r="AC262" s="335"/>
      <c r="AD262" s="389">
        <v>1E-3</v>
      </c>
      <c r="AE262" s="381">
        <v>1E-3</v>
      </c>
      <c r="AF262" s="389">
        <v>1E-3</v>
      </c>
      <c r="AG262" s="381">
        <v>1E-3</v>
      </c>
      <c r="AH262" s="389">
        <v>1E-3</v>
      </c>
      <c r="AI262" s="381">
        <v>1E-3</v>
      </c>
      <c r="AJ262" s="389">
        <v>1E-3</v>
      </c>
      <c r="AK262" s="381">
        <v>1E-3</v>
      </c>
      <c r="AL262" s="381">
        <v>1E-3</v>
      </c>
      <c r="AM262" s="381">
        <v>1E-3</v>
      </c>
      <c r="AN262" s="381">
        <v>1E-3</v>
      </c>
      <c r="AO262" s="381">
        <v>1E-3</v>
      </c>
      <c r="AP262" s="381">
        <v>1E-3</v>
      </c>
      <c r="AQ262" s="381">
        <v>1E-3</v>
      </c>
      <c r="AR262" s="381">
        <v>1E-3</v>
      </c>
      <c r="AS262" s="381">
        <v>1E-3</v>
      </c>
      <c r="AT262" s="381">
        <v>1E-3</v>
      </c>
      <c r="AU262" s="381">
        <v>1E-3</v>
      </c>
      <c r="AV262" s="381">
        <v>1E-3</v>
      </c>
      <c r="AW262" s="381">
        <v>1E-3</v>
      </c>
      <c r="AX262" s="335"/>
    </row>
    <row r="263" spans="1:52" x14ac:dyDescent="0.2">
      <c r="A263" s="1496">
        <v>15</v>
      </c>
      <c r="B263" s="1416" t="s">
        <v>652</v>
      </c>
      <c r="C263" s="490">
        <v>256</v>
      </c>
      <c r="D263" s="834">
        <v>10192638</v>
      </c>
      <c r="E263" s="497">
        <v>8</v>
      </c>
      <c r="F263" s="721">
        <v>0</v>
      </c>
      <c r="G263" s="1251">
        <v>0</v>
      </c>
      <c r="H263" s="1240">
        <v>0</v>
      </c>
      <c r="I263" s="1654"/>
      <c r="J263" s="383">
        <v>0</v>
      </c>
      <c r="K263" s="712"/>
      <c r="L263" s="487">
        <v>0</v>
      </c>
      <c r="M263" s="927"/>
      <c r="N263" s="672">
        <v>0</v>
      </c>
      <c r="O263" s="389">
        <v>1E-3</v>
      </c>
      <c r="P263" s="1092">
        <v>0</v>
      </c>
      <c r="Q263" s="1093">
        <v>0</v>
      </c>
      <c r="R263" s="381">
        <v>0</v>
      </c>
      <c r="S263" s="382"/>
      <c r="T263" s="381"/>
      <c r="U263" s="624"/>
      <c r="V263" s="569">
        <v>0</v>
      </c>
      <c r="W263" s="607"/>
      <c r="X263" s="383"/>
      <c r="Y263" s="607"/>
      <c r="Z263" s="383"/>
      <c r="AA263" s="607"/>
      <c r="AB263" s="718"/>
      <c r="AC263" s="335"/>
      <c r="AD263" s="389">
        <v>1E-3</v>
      </c>
      <c r="AE263" s="381">
        <v>1E-3</v>
      </c>
      <c r="AF263" s="389">
        <v>1E-3</v>
      </c>
      <c r="AG263" s="381">
        <v>1E-3</v>
      </c>
      <c r="AH263" s="389">
        <v>1E-3</v>
      </c>
      <c r="AI263" s="381">
        <v>1E-3</v>
      </c>
      <c r="AJ263" s="389">
        <v>1E-3</v>
      </c>
      <c r="AK263" s="381">
        <v>1E-3</v>
      </c>
      <c r="AL263" s="381">
        <v>1E-3</v>
      </c>
      <c r="AM263" s="381">
        <v>1E-3</v>
      </c>
      <c r="AN263" s="381">
        <v>1E-3</v>
      </c>
      <c r="AO263" s="381">
        <v>1E-3</v>
      </c>
      <c r="AP263" s="381">
        <v>1E-3</v>
      </c>
      <c r="AQ263" s="381">
        <v>1E-3</v>
      </c>
      <c r="AR263" s="381">
        <v>1E-3</v>
      </c>
      <c r="AS263" s="381">
        <v>1E-3</v>
      </c>
      <c r="AT263" s="381">
        <v>1E-3</v>
      </c>
      <c r="AU263" s="381">
        <v>1E-3</v>
      </c>
      <c r="AV263" s="381">
        <v>1E-3</v>
      </c>
      <c r="AW263" s="381">
        <v>1E-3</v>
      </c>
      <c r="AX263" s="335"/>
    </row>
    <row r="264" spans="1:52" x14ac:dyDescent="0.2">
      <c r="A264" s="1511">
        <v>16</v>
      </c>
      <c r="B264" s="1416" t="s">
        <v>329</v>
      </c>
      <c r="C264" s="490">
        <v>251</v>
      </c>
      <c r="D264" s="834">
        <v>42962503</v>
      </c>
      <c r="E264" s="497">
        <v>3</v>
      </c>
      <c r="F264" s="721">
        <v>0</v>
      </c>
      <c r="G264" s="1251">
        <v>0</v>
      </c>
      <c r="H264" s="1240">
        <v>0</v>
      </c>
      <c r="I264" s="1654"/>
      <c r="J264" s="383">
        <v>0</v>
      </c>
      <c r="K264" s="712"/>
      <c r="L264" s="487">
        <v>0</v>
      </c>
      <c r="M264" s="927"/>
      <c r="N264" s="672">
        <v>0</v>
      </c>
      <c r="O264" s="389">
        <v>1E-3</v>
      </c>
      <c r="P264" s="1092">
        <v>0</v>
      </c>
      <c r="Q264" s="1093">
        <v>0</v>
      </c>
      <c r="R264" s="381">
        <v>0</v>
      </c>
      <c r="S264" s="382"/>
      <c r="T264" s="381"/>
      <c r="U264" s="624"/>
      <c r="V264" s="569">
        <v>0</v>
      </c>
      <c r="W264" s="607"/>
      <c r="X264" s="383"/>
      <c r="Y264" s="607"/>
      <c r="Z264" s="383"/>
      <c r="AA264" s="607"/>
      <c r="AB264" s="718"/>
      <c r="AC264" s="335"/>
      <c r="AD264" s="389">
        <v>1E-3</v>
      </c>
      <c r="AE264" s="381">
        <v>1E-3</v>
      </c>
      <c r="AF264" s="389">
        <v>1E-3</v>
      </c>
      <c r="AG264" s="381">
        <v>1E-3</v>
      </c>
      <c r="AH264" s="389">
        <v>1E-3</v>
      </c>
      <c r="AI264" s="381">
        <v>1E-3</v>
      </c>
      <c r="AJ264" s="389">
        <v>1E-3</v>
      </c>
      <c r="AK264" s="381">
        <v>1E-3</v>
      </c>
      <c r="AL264" s="381">
        <v>1E-3</v>
      </c>
      <c r="AM264" s="381">
        <v>1E-3</v>
      </c>
      <c r="AN264" s="381">
        <v>1E-3</v>
      </c>
      <c r="AO264" s="381">
        <v>1E-3</v>
      </c>
      <c r="AP264" s="381">
        <v>1E-3</v>
      </c>
      <c r="AQ264" s="381">
        <v>1E-3</v>
      </c>
      <c r="AR264" s="381">
        <v>1E-3</v>
      </c>
      <c r="AS264" s="381">
        <v>1E-3</v>
      </c>
      <c r="AT264" s="381">
        <v>1E-3</v>
      </c>
      <c r="AU264" s="381">
        <v>1E-3</v>
      </c>
      <c r="AV264" s="381">
        <v>1E-3</v>
      </c>
      <c r="AW264" s="381">
        <v>1E-3</v>
      </c>
      <c r="AX264" s="335"/>
    </row>
    <row r="265" spans="1:52" x14ac:dyDescent="0.2">
      <c r="A265" s="1511">
        <v>17</v>
      </c>
      <c r="B265" s="1416" t="s">
        <v>660</v>
      </c>
      <c r="C265" s="490">
        <v>261</v>
      </c>
      <c r="D265" s="834">
        <v>42760284</v>
      </c>
      <c r="E265" s="497">
        <v>8</v>
      </c>
      <c r="F265" s="721">
        <v>0</v>
      </c>
      <c r="G265" s="1251">
        <v>0</v>
      </c>
      <c r="H265" s="1240">
        <v>0</v>
      </c>
      <c r="I265" s="1654"/>
      <c r="J265" s="383">
        <v>0</v>
      </c>
      <c r="K265" s="712"/>
      <c r="L265" s="487">
        <v>0</v>
      </c>
      <c r="M265" s="927"/>
      <c r="N265" s="672">
        <v>0</v>
      </c>
      <c r="O265" s="389">
        <v>1E-3</v>
      </c>
      <c r="P265" s="1092">
        <v>0</v>
      </c>
      <c r="Q265" s="1093">
        <v>0</v>
      </c>
      <c r="R265" s="381">
        <v>0</v>
      </c>
      <c r="S265" s="382"/>
      <c r="T265" s="381"/>
      <c r="U265" s="624"/>
      <c r="V265" s="569">
        <v>0</v>
      </c>
      <c r="W265" s="607"/>
      <c r="X265" s="383"/>
      <c r="Y265" s="607"/>
      <c r="Z265" s="383"/>
      <c r="AA265" s="607"/>
      <c r="AB265" s="718"/>
      <c r="AC265" s="335"/>
      <c r="AD265" s="389">
        <v>1E-3</v>
      </c>
      <c r="AE265" s="381">
        <v>1E-3</v>
      </c>
      <c r="AF265" s="389">
        <v>1E-3</v>
      </c>
      <c r="AG265" s="381">
        <v>1E-3</v>
      </c>
      <c r="AH265" s="389">
        <v>1E-3</v>
      </c>
      <c r="AI265" s="381">
        <v>1E-3</v>
      </c>
      <c r="AJ265" s="389">
        <v>1E-3</v>
      </c>
      <c r="AK265" s="381">
        <v>1E-3</v>
      </c>
      <c r="AL265" s="381">
        <v>1E-3</v>
      </c>
      <c r="AM265" s="381">
        <v>1E-3</v>
      </c>
      <c r="AN265" s="381">
        <v>1E-3</v>
      </c>
      <c r="AO265" s="381">
        <v>1E-3</v>
      </c>
      <c r="AP265" s="381">
        <v>1E-3</v>
      </c>
      <c r="AQ265" s="381">
        <v>1E-3</v>
      </c>
      <c r="AR265" s="381">
        <v>1E-3</v>
      </c>
      <c r="AS265" s="381">
        <v>1E-3</v>
      </c>
      <c r="AT265" s="381">
        <v>1E-3</v>
      </c>
      <c r="AU265" s="381">
        <v>1E-3</v>
      </c>
      <c r="AV265" s="381">
        <v>1E-3</v>
      </c>
      <c r="AW265" s="381">
        <v>1E-3</v>
      </c>
      <c r="AX265" s="335"/>
    </row>
    <row r="266" spans="1:52" x14ac:dyDescent="0.2">
      <c r="A266" s="1511">
        <v>18</v>
      </c>
      <c r="B266" s="1510" t="s">
        <v>178</v>
      </c>
      <c r="C266" s="490">
        <v>17</v>
      </c>
      <c r="D266" s="834">
        <v>811021789</v>
      </c>
      <c r="E266" s="497">
        <v>4</v>
      </c>
      <c r="F266" s="721">
        <v>0</v>
      </c>
      <c r="G266" s="1251">
        <v>0</v>
      </c>
      <c r="H266" s="1240">
        <v>0</v>
      </c>
      <c r="I266" s="1654"/>
      <c r="J266" s="383">
        <v>0</v>
      </c>
      <c r="K266" s="712"/>
      <c r="L266" s="487">
        <v>0</v>
      </c>
      <c r="M266" s="927"/>
      <c r="N266" s="672">
        <v>0</v>
      </c>
      <c r="O266" s="389">
        <v>1E-3</v>
      </c>
      <c r="P266" s="1092">
        <v>0</v>
      </c>
      <c r="Q266" s="1093">
        <v>0</v>
      </c>
      <c r="R266" s="381">
        <v>0</v>
      </c>
      <c r="S266" s="382"/>
      <c r="T266" s="381"/>
      <c r="U266" s="624"/>
      <c r="V266" s="569">
        <v>0</v>
      </c>
      <c r="W266" s="607"/>
      <c r="X266" s="383"/>
      <c r="Y266" s="607"/>
      <c r="Z266" s="383"/>
      <c r="AA266" s="607"/>
      <c r="AB266" s="718"/>
      <c r="AC266" s="335"/>
      <c r="AD266" s="389">
        <v>1E-3</v>
      </c>
      <c r="AE266" s="381">
        <v>1E-3</v>
      </c>
      <c r="AF266" s="389">
        <v>1E-3</v>
      </c>
      <c r="AG266" s="381">
        <v>1E-3</v>
      </c>
      <c r="AH266" s="389">
        <v>1E-3</v>
      </c>
      <c r="AI266" s="381">
        <v>1E-3</v>
      </c>
      <c r="AJ266" s="389">
        <v>1E-3</v>
      </c>
      <c r="AK266" s="381">
        <v>1E-3</v>
      </c>
      <c r="AL266" s="381">
        <v>1E-3</v>
      </c>
      <c r="AM266" s="381">
        <v>1E-3</v>
      </c>
      <c r="AN266" s="381">
        <v>1E-3</v>
      </c>
      <c r="AO266" s="381">
        <v>1E-3</v>
      </c>
      <c r="AP266" s="381">
        <v>1E-3</v>
      </c>
      <c r="AQ266" s="381">
        <v>1E-3</v>
      </c>
      <c r="AR266" s="381">
        <v>1E-3</v>
      </c>
      <c r="AS266" s="381">
        <v>1E-3</v>
      </c>
      <c r="AT266" s="381">
        <v>1E-3</v>
      </c>
      <c r="AU266" s="381">
        <v>1E-3</v>
      </c>
      <c r="AV266" s="381">
        <v>1E-3</v>
      </c>
      <c r="AW266" s="381">
        <v>1E-3</v>
      </c>
      <c r="AX266" s="335"/>
    </row>
    <row r="267" spans="1:52" x14ac:dyDescent="0.2">
      <c r="A267" s="1478">
        <v>19</v>
      </c>
      <c r="B267" s="924" t="s">
        <v>364</v>
      </c>
      <c r="C267" s="1479">
        <v>337</v>
      </c>
      <c r="D267" s="1480">
        <v>901237382</v>
      </c>
      <c r="E267" s="1481">
        <v>5</v>
      </c>
      <c r="F267" s="721">
        <v>0</v>
      </c>
      <c r="G267" s="1251">
        <v>0</v>
      </c>
      <c r="H267" s="1240">
        <v>0</v>
      </c>
      <c r="I267" s="1654"/>
      <c r="J267" s="383">
        <v>0</v>
      </c>
      <c r="K267" s="712"/>
      <c r="L267" s="487">
        <v>0</v>
      </c>
      <c r="M267" s="927"/>
      <c r="N267" s="672">
        <v>0</v>
      </c>
      <c r="O267" s="1482" t="s">
        <v>266</v>
      </c>
      <c r="P267" s="1092">
        <v>0</v>
      </c>
      <c r="Q267" s="1093">
        <v>0</v>
      </c>
      <c r="R267" s="381">
        <v>0</v>
      </c>
      <c r="S267" s="382"/>
      <c r="T267" s="381"/>
      <c r="U267" s="624"/>
      <c r="V267" s="569">
        <v>0</v>
      </c>
      <c r="W267" s="607"/>
      <c r="X267" s="383"/>
      <c r="Y267" s="607"/>
      <c r="Z267" s="383"/>
      <c r="AA267" s="607"/>
      <c r="AB267" s="718"/>
      <c r="AC267" s="335"/>
      <c r="AD267" s="389">
        <v>1E-3</v>
      </c>
      <c r="AE267" s="381">
        <v>1E-3</v>
      </c>
      <c r="AF267" s="389">
        <v>1E-3</v>
      </c>
      <c r="AG267" s="381">
        <v>1E-3</v>
      </c>
      <c r="AH267" s="389">
        <v>1E-3</v>
      </c>
      <c r="AI267" s="381">
        <v>1E-3</v>
      </c>
      <c r="AJ267" s="389" t="s">
        <v>318</v>
      </c>
      <c r="AK267" s="381">
        <v>60000</v>
      </c>
      <c r="AL267" s="381">
        <v>1E-3</v>
      </c>
      <c r="AM267" s="381">
        <v>1E-3</v>
      </c>
      <c r="AN267" s="381">
        <v>1E-3</v>
      </c>
      <c r="AO267" s="381">
        <v>1E-3</v>
      </c>
      <c r="AP267" s="381">
        <v>1E-3</v>
      </c>
      <c r="AQ267" s="381">
        <v>1E-3</v>
      </c>
      <c r="AR267" s="381">
        <v>1E-3</v>
      </c>
      <c r="AS267" s="381">
        <v>1E-3</v>
      </c>
      <c r="AT267" s="381">
        <v>1E-3</v>
      </c>
      <c r="AU267" s="381">
        <v>1E-3</v>
      </c>
      <c r="AV267" s="381">
        <v>1E-3</v>
      </c>
      <c r="AW267" s="381">
        <v>1E-3</v>
      </c>
      <c r="AX267" s="335"/>
      <c r="AZ267" s="1137" t="s">
        <v>364</v>
      </c>
    </row>
    <row r="268" spans="1:52" ht="25.5" x14ac:dyDescent="0.2">
      <c r="A268" s="1496">
        <v>20</v>
      </c>
      <c r="B268" s="1510" t="s">
        <v>182</v>
      </c>
      <c r="C268" s="490">
        <v>23</v>
      </c>
      <c r="D268" s="834">
        <v>890906415</v>
      </c>
      <c r="E268" s="497">
        <v>1</v>
      </c>
      <c r="F268" s="721">
        <v>0</v>
      </c>
      <c r="G268" s="1251">
        <v>0</v>
      </c>
      <c r="H268" s="1240">
        <v>0</v>
      </c>
      <c r="I268" s="1654"/>
      <c r="J268" s="383">
        <v>0</v>
      </c>
      <c r="K268" s="712"/>
      <c r="L268" s="487">
        <v>0</v>
      </c>
      <c r="M268" s="927"/>
      <c r="N268" s="672">
        <v>0</v>
      </c>
      <c r="O268" s="389">
        <v>1E-3</v>
      </c>
      <c r="P268" s="1092">
        <v>0</v>
      </c>
      <c r="Q268" s="1093">
        <v>0</v>
      </c>
      <c r="R268" s="381">
        <v>0</v>
      </c>
      <c r="S268" s="382"/>
      <c r="T268" s="381"/>
      <c r="U268" s="624"/>
      <c r="V268" s="569">
        <v>0</v>
      </c>
      <c r="W268" s="607"/>
      <c r="X268" s="383"/>
      <c r="Y268" s="607"/>
      <c r="Z268" s="383"/>
      <c r="AA268" s="607"/>
      <c r="AB268" s="718"/>
      <c r="AC268" s="335"/>
      <c r="AD268" s="389">
        <v>1E-3</v>
      </c>
      <c r="AE268" s="381">
        <v>1E-3</v>
      </c>
      <c r="AF268" s="389">
        <v>1E-3</v>
      </c>
      <c r="AG268" s="381">
        <v>1E-3</v>
      </c>
      <c r="AH268" s="389">
        <v>1E-3</v>
      </c>
      <c r="AI268" s="381">
        <v>1E-3</v>
      </c>
      <c r="AJ268" s="389">
        <v>1E-3</v>
      </c>
      <c r="AK268" s="381">
        <v>1E-3</v>
      </c>
      <c r="AL268" s="381">
        <v>1E-3</v>
      </c>
      <c r="AM268" s="381">
        <v>1E-3</v>
      </c>
      <c r="AN268" s="381">
        <v>1E-3</v>
      </c>
      <c r="AO268" s="381">
        <v>1E-3</v>
      </c>
      <c r="AP268" s="381">
        <v>1E-3</v>
      </c>
      <c r="AQ268" s="381">
        <v>1E-3</v>
      </c>
      <c r="AR268" s="381">
        <v>1E-3</v>
      </c>
      <c r="AS268" s="381">
        <v>1E-3</v>
      </c>
      <c r="AT268" s="381">
        <v>1E-3</v>
      </c>
      <c r="AU268" s="381">
        <v>1E-3</v>
      </c>
      <c r="AV268" s="381">
        <v>1E-3</v>
      </c>
      <c r="AW268" s="381">
        <v>1E-3</v>
      </c>
      <c r="AX268" s="335"/>
    </row>
    <row r="269" spans="1:52" x14ac:dyDescent="0.2">
      <c r="A269" s="1478">
        <v>21</v>
      </c>
      <c r="B269" s="924" t="s">
        <v>268</v>
      </c>
      <c r="C269" s="1479">
        <v>318</v>
      </c>
      <c r="D269" s="1480">
        <v>901035759</v>
      </c>
      <c r="E269" s="1481">
        <v>0</v>
      </c>
      <c r="F269" s="721">
        <v>0</v>
      </c>
      <c r="G269" s="1251">
        <v>0</v>
      </c>
      <c r="H269" s="1240">
        <v>0</v>
      </c>
      <c r="I269" s="1654"/>
      <c r="J269" s="383">
        <v>0</v>
      </c>
      <c r="K269" s="712"/>
      <c r="L269" s="487">
        <v>0</v>
      </c>
      <c r="M269" s="927"/>
      <c r="N269" s="672">
        <v>0</v>
      </c>
      <c r="O269" s="1482" t="s">
        <v>266</v>
      </c>
      <c r="P269" s="1092">
        <v>0</v>
      </c>
      <c r="Q269" s="1093">
        <v>0</v>
      </c>
      <c r="R269" s="381">
        <v>0</v>
      </c>
      <c r="S269" s="382"/>
      <c r="T269" s="381"/>
      <c r="U269" s="624"/>
      <c r="V269" s="569">
        <v>0</v>
      </c>
      <c r="W269" s="607"/>
      <c r="X269" s="383"/>
      <c r="Y269" s="607"/>
      <c r="Z269" s="383"/>
      <c r="AA269" s="607"/>
      <c r="AB269" s="718"/>
      <c r="AC269" s="335"/>
      <c r="AD269" s="389">
        <v>1E-3</v>
      </c>
      <c r="AE269" s="381">
        <v>1E-3</v>
      </c>
      <c r="AF269" s="389">
        <v>1E-3</v>
      </c>
      <c r="AG269" s="381">
        <v>1E-3</v>
      </c>
      <c r="AH269" s="389">
        <v>1E-3</v>
      </c>
      <c r="AI269" s="381">
        <v>1E-3</v>
      </c>
      <c r="AJ269" s="389">
        <v>1E-3</v>
      </c>
      <c r="AK269" s="381">
        <v>60000</v>
      </c>
      <c r="AL269" s="381">
        <v>0</v>
      </c>
      <c r="AM269" s="381">
        <v>240000</v>
      </c>
      <c r="AN269" s="381" t="s">
        <v>744</v>
      </c>
      <c r="AO269" s="381">
        <v>1E-3</v>
      </c>
      <c r="AP269" s="381">
        <v>1E-3</v>
      </c>
      <c r="AQ269" s="381">
        <v>1E-3</v>
      </c>
      <c r="AR269" s="381">
        <v>1E-3</v>
      </c>
      <c r="AS269" s="381">
        <v>1E-3</v>
      </c>
      <c r="AT269" s="381">
        <v>1E-3</v>
      </c>
      <c r="AU269" s="381">
        <v>1E-3</v>
      </c>
      <c r="AV269" s="381">
        <v>1E-3</v>
      </c>
      <c r="AW269" s="381">
        <v>1E-3</v>
      </c>
      <c r="AX269" s="335"/>
      <c r="AZ269" s="1137" t="s">
        <v>268</v>
      </c>
    </row>
    <row r="270" spans="1:52" x14ac:dyDescent="0.2">
      <c r="A270" s="1496">
        <v>22</v>
      </c>
      <c r="B270" s="1510" t="s">
        <v>367</v>
      </c>
      <c r="C270" s="490">
        <v>34</v>
      </c>
      <c r="D270" s="834">
        <v>890941339</v>
      </c>
      <c r="E270" s="497">
        <v>8</v>
      </c>
      <c r="F270" s="721">
        <v>0</v>
      </c>
      <c r="G270" s="1251">
        <v>0</v>
      </c>
      <c r="H270" s="1240">
        <v>0</v>
      </c>
      <c r="I270" s="1654"/>
      <c r="J270" s="383">
        <v>0</v>
      </c>
      <c r="K270" s="712"/>
      <c r="L270" s="487">
        <v>0</v>
      </c>
      <c r="M270" s="927"/>
      <c r="N270" s="672">
        <v>0</v>
      </c>
      <c r="O270" s="389">
        <v>1E-3</v>
      </c>
      <c r="P270" s="1092">
        <v>0</v>
      </c>
      <c r="Q270" s="1093">
        <v>0</v>
      </c>
      <c r="R270" s="381">
        <v>0</v>
      </c>
      <c r="S270" s="382"/>
      <c r="T270" s="381"/>
      <c r="U270" s="624"/>
      <c r="V270" s="569">
        <v>0</v>
      </c>
      <c r="W270" s="607"/>
      <c r="X270" s="383"/>
      <c r="Y270" s="607"/>
      <c r="Z270" s="383"/>
      <c r="AA270" s="607"/>
      <c r="AB270" s="718"/>
      <c r="AC270" s="335"/>
      <c r="AD270" s="389">
        <v>1E-3</v>
      </c>
      <c r="AE270" s="381">
        <v>1E-3</v>
      </c>
      <c r="AF270" s="389">
        <v>1E-3</v>
      </c>
      <c r="AG270" s="381">
        <v>1E-3</v>
      </c>
      <c r="AH270" s="389">
        <v>1E-3</v>
      </c>
      <c r="AI270" s="381">
        <v>1E-3</v>
      </c>
      <c r="AJ270" s="389">
        <v>1E-3</v>
      </c>
      <c r="AK270" s="381">
        <v>1E-3</v>
      </c>
      <c r="AL270" s="381">
        <v>1E-3</v>
      </c>
      <c r="AM270" s="381">
        <v>1E-3</v>
      </c>
      <c r="AN270" s="381">
        <v>1E-3</v>
      </c>
      <c r="AO270" s="381">
        <v>1E-3</v>
      </c>
      <c r="AP270" s="381">
        <v>1E-3</v>
      </c>
      <c r="AQ270" s="381">
        <v>1E-3</v>
      </c>
      <c r="AR270" s="381">
        <v>1E-3</v>
      </c>
      <c r="AS270" s="381">
        <v>1E-3</v>
      </c>
      <c r="AT270" s="381">
        <v>1E-3</v>
      </c>
      <c r="AU270" s="381">
        <v>1E-3</v>
      </c>
      <c r="AV270" s="381">
        <v>1E-3</v>
      </c>
      <c r="AW270" s="381">
        <v>1E-3</v>
      </c>
      <c r="AX270" s="335"/>
    </row>
    <row r="271" spans="1:52" x14ac:dyDescent="0.2">
      <c r="A271" s="1478">
        <v>23</v>
      </c>
      <c r="B271" s="924" t="s">
        <v>749</v>
      </c>
      <c r="C271" s="1479">
        <v>310</v>
      </c>
      <c r="D271" s="1480">
        <v>901011421</v>
      </c>
      <c r="E271" s="1481">
        <v>3</v>
      </c>
      <c r="F271" s="721">
        <v>0</v>
      </c>
      <c r="G271" s="1251">
        <v>0</v>
      </c>
      <c r="H271" s="1240">
        <v>0</v>
      </c>
      <c r="I271" s="1654"/>
      <c r="J271" s="383">
        <v>0</v>
      </c>
      <c r="K271" s="712"/>
      <c r="L271" s="487">
        <v>0</v>
      </c>
      <c r="M271" s="927"/>
      <c r="N271" s="672">
        <v>0</v>
      </c>
      <c r="O271" s="1482" t="s">
        <v>266</v>
      </c>
      <c r="P271" s="1092">
        <v>0</v>
      </c>
      <c r="Q271" s="1093">
        <v>0</v>
      </c>
      <c r="R271" s="381">
        <v>0</v>
      </c>
      <c r="S271" s="382"/>
      <c r="T271" s="381"/>
      <c r="U271" s="624"/>
      <c r="V271" s="569">
        <v>0</v>
      </c>
      <c r="W271" s="607"/>
      <c r="X271" s="383"/>
      <c r="Y271" s="607"/>
      <c r="Z271" s="383"/>
      <c r="AA271" s="607"/>
      <c r="AB271" s="718"/>
      <c r="AC271" s="335"/>
      <c r="AD271" s="389">
        <v>1E-3</v>
      </c>
      <c r="AE271" s="381">
        <v>1E-3</v>
      </c>
      <c r="AF271" s="389">
        <v>1E-3</v>
      </c>
      <c r="AG271" s="381">
        <v>1E-3</v>
      </c>
      <c r="AH271" s="389">
        <v>1E-3</v>
      </c>
      <c r="AI271" s="381">
        <v>1E-3</v>
      </c>
      <c r="AJ271" s="389">
        <v>1E-3</v>
      </c>
      <c r="AK271" s="381">
        <v>1E-3</v>
      </c>
      <c r="AL271" s="381">
        <v>1E-3</v>
      </c>
      <c r="AM271" s="381">
        <v>1E-3</v>
      </c>
      <c r="AN271" s="381">
        <v>1E-3</v>
      </c>
      <c r="AO271" s="381">
        <v>1E-3</v>
      </c>
      <c r="AP271" s="381">
        <v>1E-3</v>
      </c>
      <c r="AQ271" s="381">
        <v>1E-3</v>
      </c>
      <c r="AR271" s="381">
        <v>1E-3</v>
      </c>
      <c r="AS271" s="381">
        <v>1E-3</v>
      </c>
      <c r="AT271" s="381">
        <v>1E-3</v>
      </c>
      <c r="AU271" s="381">
        <v>1E-3</v>
      </c>
      <c r="AV271" s="381">
        <v>1E-3</v>
      </c>
      <c r="AW271" s="381">
        <v>1E-3</v>
      </c>
      <c r="AX271" s="335"/>
      <c r="AZ271" s="1137" t="s">
        <v>749</v>
      </c>
    </row>
    <row r="272" spans="1:52" x14ac:dyDescent="0.2">
      <c r="A272" s="1496">
        <v>24</v>
      </c>
      <c r="B272" s="1512" t="s">
        <v>242</v>
      </c>
      <c r="C272" s="490">
        <v>315</v>
      </c>
      <c r="D272" s="834">
        <v>20270143</v>
      </c>
      <c r="E272" s="497">
        <v>5</v>
      </c>
      <c r="F272" s="721">
        <v>0</v>
      </c>
      <c r="G272" s="1251">
        <v>0</v>
      </c>
      <c r="H272" s="1240">
        <v>0</v>
      </c>
      <c r="I272" s="1654"/>
      <c r="J272" s="383">
        <v>0</v>
      </c>
      <c r="K272" s="712"/>
      <c r="L272" s="487">
        <v>0</v>
      </c>
      <c r="M272" s="927"/>
      <c r="N272" s="672">
        <v>0</v>
      </c>
      <c r="O272" s="389">
        <v>1E-3</v>
      </c>
      <c r="P272" s="1092">
        <v>0</v>
      </c>
      <c r="Q272" s="1093">
        <v>0</v>
      </c>
      <c r="R272" s="381">
        <v>0</v>
      </c>
      <c r="S272" s="382"/>
      <c r="T272" s="381"/>
      <c r="U272" s="624"/>
      <c r="V272" s="569">
        <v>0</v>
      </c>
      <c r="W272" s="607"/>
      <c r="X272" s="383"/>
      <c r="Y272" s="607"/>
      <c r="Z272" s="383"/>
      <c r="AA272" s="607"/>
      <c r="AB272" s="718"/>
      <c r="AC272" s="335"/>
      <c r="AD272" s="389">
        <v>1E-3</v>
      </c>
      <c r="AE272" s="381">
        <v>1E-3</v>
      </c>
      <c r="AF272" s="389">
        <v>1E-3</v>
      </c>
      <c r="AG272" s="381">
        <v>1E-3</v>
      </c>
      <c r="AH272" s="389">
        <v>1E-3</v>
      </c>
      <c r="AI272" s="381">
        <v>1E-3</v>
      </c>
      <c r="AJ272" s="389">
        <v>1E-3</v>
      </c>
      <c r="AK272" s="381">
        <v>1E-3</v>
      </c>
      <c r="AL272" s="381">
        <v>1E-3</v>
      </c>
      <c r="AM272" s="381">
        <v>1E-3</v>
      </c>
      <c r="AN272" s="381">
        <v>1E-3</v>
      </c>
      <c r="AO272" s="381">
        <v>1E-3</v>
      </c>
      <c r="AP272" s="381">
        <v>1E-3</v>
      </c>
      <c r="AQ272" s="381">
        <v>1E-3</v>
      </c>
      <c r="AR272" s="381">
        <v>1E-3</v>
      </c>
      <c r="AS272" s="381">
        <v>1E-3</v>
      </c>
      <c r="AT272" s="381">
        <v>1E-3</v>
      </c>
      <c r="AU272" s="381">
        <v>1E-3</v>
      </c>
      <c r="AV272" s="381">
        <v>1E-3</v>
      </c>
      <c r="AW272" s="381">
        <v>1E-3</v>
      </c>
      <c r="AX272" s="335"/>
    </row>
    <row r="273" spans="1:52" x14ac:dyDescent="0.2">
      <c r="A273" s="1496">
        <v>25</v>
      </c>
      <c r="B273" s="1416" t="s">
        <v>85</v>
      </c>
      <c r="C273" s="490">
        <v>66</v>
      </c>
      <c r="D273" s="834">
        <v>71576106</v>
      </c>
      <c r="E273" s="497">
        <v>2</v>
      </c>
      <c r="F273" s="721">
        <v>0</v>
      </c>
      <c r="G273" s="1251">
        <v>0</v>
      </c>
      <c r="H273" s="1240">
        <v>0</v>
      </c>
      <c r="I273" s="1654"/>
      <c r="J273" s="383">
        <v>0</v>
      </c>
      <c r="K273" s="712"/>
      <c r="L273" s="487">
        <v>0</v>
      </c>
      <c r="M273" s="927"/>
      <c r="N273" s="672">
        <v>0</v>
      </c>
      <c r="O273" s="389">
        <v>1E-3</v>
      </c>
      <c r="P273" s="1092">
        <v>0</v>
      </c>
      <c r="Q273" s="1093">
        <v>0</v>
      </c>
      <c r="R273" s="381">
        <v>0</v>
      </c>
      <c r="S273" s="382"/>
      <c r="T273" s="381"/>
      <c r="U273" s="624"/>
      <c r="V273" s="569">
        <v>0</v>
      </c>
      <c r="W273" s="607"/>
      <c r="X273" s="383"/>
      <c r="Y273" s="607"/>
      <c r="Z273" s="383"/>
      <c r="AA273" s="607"/>
      <c r="AB273" s="718"/>
      <c r="AC273" s="335"/>
      <c r="AD273" s="389">
        <v>1E-3</v>
      </c>
      <c r="AE273" s="381">
        <v>1E-3</v>
      </c>
      <c r="AF273" s="389">
        <v>1E-3</v>
      </c>
      <c r="AG273" s="381">
        <v>1E-3</v>
      </c>
      <c r="AH273" s="389">
        <v>1E-3</v>
      </c>
      <c r="AI273" s="381">
        <v>1E-3</v>
      </c>
      <c r="AJ273" s="389">
        <v>1E-3</v>
      </c>
      <c r="AK273" s="381">
        <v>1E-3</v>
      </c>
      <c r="AL273" s="381">
        <v>1E-3</v>
      </c>
      <c r="AM273" s="381">
        <v>1E-3</v>
      </c>
      <c r="AN273" s="381">
        <v>1E-3</v>
      </c>
      <c r="AO273" s="381">
        <v>1E-3</v>
      </c>
      <c r="AP273" s="381">
        <v>1E-3</v>
      </c>
      <c r="AQ273" s="381">
        <v>1E-3</v>
      </c>
      <c r="AR273" s="381">
        <v>1E-3</v>
      </c>
      <c r="AS273" s="381">
        <v>1E-3</v>
      </c>
      <c r="AT273" s="381">
        <v>1E-3</v>
      </c>
      <c r="AU273" s="381">
        <v>1E-3</v>
      </c>
      <c r="AV273" s="381">
        <v>1E-3</v>
      </c>
      <c r="AW273" s="381">
        <v>1E-3</v>
      </c>
      <c r="AX273" s="335"/>
    </row>
    <row r="274" spans="1:52" x14ac:dyDescent="0.2">
      <c r="A274" s="1496">
        <v>26</v>
      </c>
      <c r="B274" s="1416" t="s">
        <v>95</v>
      </c>
      <c r="C274" s="490">
        <v>249</v>
      </c>
      <c r="D274" s="834">
        <v>549117</v>
      </c>
      <c r="E274" s="497">
        <v>0</v>
      </c>
      <c r="F274" s="721">
        <v>0</v>
      </c>
      <c r="G274" s="1251">
        <v>0</v>
      </c>
      <c r="H274" s="1240">
        <v>0</v>
      </c>
      <c r="I274" s="1654"/>
      <c r="J274" s="383">
        <v>0</v>
      </c>
      <c r="K274" s="712"/>
      <c r="L274" s="487">
        <v>0</v>
      </c>
      <c r="M274" s="927"/>
      <c r="N274" s="672">
        <v>0</v>
      </c>
      <c r="O274" s="389">
        <v>1E-3</v>
      </c>
      <c r="P274" s="1092">
        <v>0</v>
      </c>
      <c r="Q274" s="1093">
        <v>0</v>
      </c>
      <c r="R274" s="381">
        <v>0</v>
      </c>
      <c r="S274" s="382"/>
      <c r="T274" s="381"/>
      <c r="U274" s="624"/>
      <c r="V274" s="569">
        <v>0</v>
      </c>
      <c r="W274" s="607"/>
      <c r="X274" s="383"/>
      <c r="Y274" s="607"/>
      <c r="Z274" s="383"/>
      <c r="AA274" s="607"/>
      <c r="AB274" s="718"/>
      <c r="AC274" s="335"/>
      <c r="AD274" s="389">
        <v>1E-3</v>
      </c>
      <c r="AE274" s="381">
        <v>1E-3</v>
      </c>
      <c r="AF274" s="389">
        <v>1E-3</v>
      </c>
      <c r="AG274" s="381">
        <v>1E-3</v>
      </c>
      <c r="AH274" s="389">
        <v>1E-3</v>
      </c>
      <c r="AI274" s="381">
        <v>1E-3</v>
      </c>
      <c r="AJ274" s="389">
        <v>1E-3</v>
      </c>
      <c r="AK274" s="381">
        <v>1E-3</v>
      </c>
      <c r="AL274" s="381">
        <v>1E-3</v>
      </c>
      <c r="AM274" s="381">
        <v>1E-3</v>
      </c>
      <c r="AN274" s="381">
        <v>1E-3</v>
      </c>
      <c r="AO274" s="381">
        <v>1E-3</v>
      </c>
      <c r="AP274" s="381">
        <v>1E-3</v>
      </c>
      <c r="AQ274" s="381">
        <v>1E-3</v>
      </c>
      <c r="AR274" s="381">
        <v>1E-3</v>
      </c>
      <c r="AS274" s="381">
        <v>1E-3</v>
      </c>
      <c r="AT274" s="381">
        <v>1E-3</v>
      </c>
      <c r="AU274" s="381">
        <v>1E-3</v>
      </c>
      <c r="AV274" s="381">
        <v>1E-3</v>
      </c>
      <c r="AW274" s="381">
        <v>1E-3</v>
      </c>
      <c r="AX274" s="335"/>
    </row>
    <row r="275" spans="1:52" x14ac:dyDescent="0.2">
      <c r="A275" s="1496">
        <v>27</v>
      </c>
      <c r="B275" s="1416" t="s">
        <v>96</v>
      </c>
      <c r="C275" s="490">
        <v>82</v>
      </c>
      <c r="D275" s="834">
        <v>42886207</v>
      </c>
      <c r="E275" s="497">
        <v>2</v>
      </c>
      <c r="F275" s="721">
        <v>0</v>
      </c>
      <c r="G275" s="1251">
        <v>0</v>
      </c>
      <c r="H275" s="1240">
        <v>0</v>
      </c>
      <c r="I275" s="1654"/>
      <c r="J275" s="383">
        <v>0</v>
      </c>
      <c r="K275" s="712"/>
      <c r="L275" s="487">
        <v>0</v>
      </c>
      <c r="M275" s="927"/>
      <c r="N275" s="672">
        <v>0</v>
      </c>
      <c r="O275" s="389">
        <v>1E-3</v>
      </c>
      <c r="P275" s="1092">
        <v>0</v>
      </c>
      <c r="Q275" s="1093">
        <v>0</v>
      </c>
      <c r="R275" s="381">
        <v>0</v>
      </c>
      <c r="S275" s="382"/>
      <c r="T275" s="381"/>
      <c r="U275" s="624"/>
      <c r="V275" s="569">
        <v>0</v>
      </c>
      <c r="W275" s="607"/>
      <c r="X275" s="383"/>
      <c r="Y275" s="607"/>
      <c r="Z275" s="383"/>
      <c r="AA275" s="607"/>
      <c r="AB275" s="718"/>
      <c r="AC275" s="335"/>
      <c r="AD275" s="389">
        <v>1E-3</v>
      </c>
      <c r="AE275" s="381">
        <v>1E-3</v>
      </c>
      <c r="AF275" s="389">
        <v>1E-3</v>
      </c>
      <c r="AG275" s="381">
        <v>1E-3</v>
      </c>
      <c r="AH275" s="389">
        <v>1E-3</v>
      </c>
      <c r="AI275" s="381">
        <v>1E-3</v>
      </c>
      <c r="AJ275" s="389">
        <v>1E-3</v>
      </c>
      <c r="AK275" s="381">
        <v>1E-3</v>
      </c>
      <c r="AL275" s="381">
        <v>1E-3</v>
      </c>
      <c r="AM275" s="381">
        <v>1E-3</v>
      </c>
      <c r="AN275" s="381">
        <v>1E-3</v>
      </c>
      <c r="AO275" s="381">
        <v>1E-3</v>
      </c>
      <c r="AP275" s="381">
        <v>1E-3</v>
      </c>
      <c r="AQ275" s="381">
        <v>1E-3</v>
      </c>
      <c r="AR275" s="381">
        <v>1E-3</v>
      </c>
      <c r="AS275" s="381">
        <v>1E-3</v>
      </c>
      <c r="AT275" s="381">
        <v>1E-3</v>
      </c>
      <c r="AU275" s="381">
        <v>1E-3</v>
      </c>
      <c r="AV275" s="381">
        <v>1E-3</v>
      </c>
      <c r="AW275" s="381">
        <v>1E-3</v>
      </c>
      <c r="AX275" s="335"/>
    </row>
    <row r="276" spans="1:52" x14ac:dyDescent="0.2">
      <c r="A276" s="1496">
        <v>28</v>
      </c>
      <c r="B276" s="1416" t="s">
        <v>108</v>
      </c>
      <c r="C276" s="490">
        <v>145</v>
      </c>
      <c r="D276" s="834">
        <v>71653411</v>
      </c>
      <c r="E276" s="497">
        <v>4</v>
      </c>
      <c r="F276" s="721">
        <v>0</v>
      </c>
      <c r="G276" s="1251">
        <v>0</v>
      </c>
      <c r="H276" s="1240">
        <v>0</v>
      </c>
      <c r="I276" s="1654"/>
      <c r="J276" s="383">
        <v>0</v>
      </c>
      <c r="K276" s="712"/>
      <c r="L276" s="487">
        <v>0</v>
      </c>
      <c r="M276" s="927"/>
      <c r="N276" s="672">
        <v>0</v>
      </c>
      <c r="O276" s="389">
        <v>1E-3</v>
      </c>
      <c r="P276" s="1092">
        <v>0</v>
      </c>
      <c r="Q276" s="1093">
        <v>0</v>
      </c>
      <c r="R276" s="381">
        <v>0</v>
      </c>
      <c r="S276" s="382"/>
      <c r="T276" s="381"/>
      <c r="U276" s="624"/>
      <c r="V276" s="569">
        <v>0</v>
      </c>
      <c r="W276" s="607"/>
      <c r="X276" s="383"/>
      <c r="Y276" s="607"/>
      <c r="Z276" s="383"/>
      <c r="AA276" s="607"/>
      <c r="AB276" s="718"/>
      <c r="AC276" s="335"/>
      <c r="AD276" s="389">
        <v>1E-3</v>
      </c>
      <c r="AE276" s="381">
        <v>1E-3</v>
      </c>
      <c r="AF276" s="389">
        <v>1E-3</v>
      </c>
      <c r="AG276" s="381">
        <v>1E-3</v>
      </c>
      <c r="AH276" s="389">
        <v>1E-3</v>
      </c>
      <c r="AI276" s="381">
        <v>1E-3</v>
      </c>
      <c r="AJ276" s="389">
        <v>1E-3</v>
      </c>
      <c r="AK276" s="381">
        <v>1E-3</v>
      </c>
      <c r="AL276" s="381">
        <v>1E-3</v>
      </c>
      <c r="AM276" s="381">
        <v>1E-3</v>
      </c>
      <c r="AN276" s="381">
        <v>1E-3</v>
      </c>
      <c r="AO276" s="381">
        <v>1E-3</v>
      </c>
      <c r="AP276" s="381">
        <v>1E-3</v>
      </c>
      <c r="AQ276" s="381">
        <v>1E-3</v>
      </c>
      <c r="AR276" s="381">
        <v>1E-3</v>
      </c>
      <c r="AS276" s="381">
        <v>1E-3</v>
      </c>
      <c r="AT276" s="381">
        <v>1E-3</v>
      </c>
      <c r="AU276" s="381">
        <v>1E-3</v>
      </c>
      <c r="AV276" s="381">
        <v>1E-3</v>
      </c>
      <c r="AW276" s="381">
        <v>1E-3</v>
      </c>
      <c r="AX276" s="335"/>
    </row>
    <row r="277" spans="1:52" x14ac:dyDescent="0.2">
      <c r="A277" s="1496">
        <v>29</v>
      </c>
      <c r="B277" s="1513" t="s">
        <v>494</v>
      </c>
      <c r="C277" s="490">
        <v>184</v>
      </c>
      <c r="D277" s="834">
        <v>1036631072</v>
      </c>
      <c r="E277" s="497">
        <v>1</v>
      </c>
      <c r="F277" s="721">
        <v>0</v>
      </c>
      <c r="G277" s="1251">
        <v>0</v>
      </c>
      <c r="H277" s="1240">
        <v>0</v>
      </c>
      <c r="I277" s="1654"/>
      <c r="J277" s="383">
        <v>0</v>
      </c>
      <c r="K277" s="712"/>
      <c r="L277" s="487">
        <v>0</v>
      </c>
      <c r="M277" s="927"/>
      <c r="N277" s="672">
        <v>0</v>
      </c>
      <c r="O277" s="389">
        <v>1E-3</v>
      </c>
      <c r="P277" s="1092">
        <v>0</v>
      </c>
      <c r="Q277" s="1093">
        <v>0</v>
      </c>
      <c r="R277" s="381">
        <v>0</v>
      </c>
      <c r="S277" s="382"/>
      <c r="T277" s="381"/>
      <c r="U277" s="624"/>
      <c r="V277" s="569">
        <v>0</v>
      </c>
      <c r="W277" s="607"/>
      <c r="X277" s="383"/>
      <c r="Y277" s="607"/>
      <c r="Z277" s="383"/>
      <c r="AA277" s="607"/>
      <c r="AB277" s="718"/>
      <c r="AC277" s="335"/>
      <c r="AD277" s="389">
        <v>1E-3</v>
      </c>
      <c r="AE277" s="381">
        <v>1E-3</v>
      </c>
      <c r="AF277" s="389">
        <v>1E-3</v>
      </c>
      <c r="AG277" s="381">
        <v>1E-3</v>
      </c>
      <c r="AH277" s="389">
        <v>1E-3</v>
      </c>
      <c r="AI277" s="381">
        <v>1E-3</v>
      </c>
      <c r="AJ277" s="389">
        <v>1E-3</v>
      </c>
      <c r="AK277" s="381">
        <v>1E-3</v>
      </c>
      <c r="AL277" s="381">
        <v>1E-3</v>
      </c>
      <c r="AM277" s="381">
        <v>1E-3</v>
      </c>
      <c r="AN277" s="381">
        <v>1E-3</v>
      </c>
      <c r="AO277" s="381">
        <v>1E-3</v>
      </c>
      <c r="AP277" s="381">
        <v>1E-3</v>
      </c>
      <c r="AQ277" s="381">
        <v>1E-3</v>
      </c>
      <c r="AR277" s="381">
        <v>1E-3</v>
      </c>
      <c r="AS277" s="381">
        <v>1E-3</v>
      </c>
      <c r="AT277" s="381">
        <v>1E-3</v>
      </c>
      <c r="AU277" s="381">
        <v>1E-3</v>
      </c>
      <c r="AV277" s="381">
        <v>1E-3</v>
      </c>
      <c r="AW277" s="381">
        <v>1E-3</v>
      </c>
      <c r="AX277" s="335"/>
    </row>
    <row r="278" spans="1:52" x14ac:dyDescent="0.2">
      <c r="A278" s="1496">
        <v>30</v>
      </c>
      <c r="B278" s="1416" t="s">
        <v>398</v>
      </c>
      <c r="C278" s="490">
        <v>104</v>
      </c>
      <c r="D278" s="834">
        <v>1039683603</v>
      </c>
      <c r="E278" s="497">
        <v>4</v>
      </c>
      <c r="F278" s="721">
        <v>0</v>
      </c>
      <c r="G278" s="1251">
        <v>0</v>
      </c>
      <c r="H278" s="1240">
        <v>0</v>
      </c>
      <c r="I278" s="1654"/>
      <c r="J278" s="383">
        <v>0</v>
      </c>
      <c r="K278" s="712"/>
      <c r="L278" s="487">
        <v>0</v>
      </c>
      <c r="M278" s="927"/>
      <c r="N278" s="672">
        <v>0</v>
      </c>
      <c r="O278" s="389">
        <v>1E-3</v>
      </c>
      <c r="P278" s="1092">
        <v>0</v>
      </c>
      <c r="Q278" s="1093">
        <v>0</v>
      </c>
      <c r="R278" s="381">
        <v>0</v>
      </c>
      <c r="S278" s="382"/>
      <c r="T278" s="381"/>
      <c r="U278" s="624"/>
      <c r="V278" s="569">
        <v>0</v>
      </c>
      <c r="W278" s="607"/>
      <c r="X278" s="383"/>
      <c r="Y278" s="607"/>
      <c r="Z278" s="383"/>
      <c r="AA278" s="607"/>
      <c r="AB278" s="718"/>
      <c r="AC278" s="335"/>
      <c r="AD278" s="389">
        <v>1E-3</v>
      </c>
      <c r="AE278" s="381">
        <v>1E-3</v>
      </c>
      <c r="AF278" s="389">
        <v>1E-3</v>
      </c>
      <c r="AG278" s="381">
        <v>1E-3</v>
      </c>
      <c r="AH278" s="389">
        <v>1E-3</v>
      </c>
      <c r="AI278" s="381">
        <v>1E-3</v>
      </c>
      <c r="AJ278" s="389">
        <v>1E-3</v>
      </c>
      <c r="AK278" s="381">
        <v>1E-3</v>
      </c>
      <c r="AL278" s="381">
        <v>1E-3</v>
      </c>
      <c r="AM278" s="381">
        <v>1E-3</v>
      </c>
      <c r="AN278" s="381">
        <v>1E-3</v>
      </c>
      <c r="AO278" s="381">
        <v>1E-3</v>
      </c>
      <c r="AP278" s="381">
        <v>1E-3</v>
      </c>
      <c r="AQ278" s="381">
        <v>1E-3</v>
      </c>
      <c r="AR278" s="381">
        <v>1E-3</v>
      </c>
      <c r="AS278" s="381">
        <v>1E-3</v>
      </c>
      <c r="AT278" s="381">
        <v>1E-3</v>
      </c>
      <c r="AU278" s="381">
        <v>1E-3</v>
      </c>
      <c r="AV278" s="381">
        <v>1E-3</v>
      </c>
      <c r="AW278" s="381">
        <v>1E-3</v>
      </c>
      <c r="AX278" s="335"/>
    </row>
    <row r="279" spans="1:52" x14ac:dyDescent="0.2">
      <c r="A279" s="1496">
        <v>31</v>
      </c>
      <c r="B279" s="1416" t="s">
        <v>662</v>
      </c>
      <c r="C279" s="490">
        <v>268</v>
      </c>
      <c r="D279" s="834">
        <v>1214737189</v>
      </c>
      <c r="E279" s="497">
        <v>4</v>
      </c>
      <c r="F279" s="721">
        <v>0</v>
      </c>
      <c r="G279" s="1251">
        <v>0</v>
      </c>
      <c r="H279" s="1240">
        <v>0</v>
      </c>
      <c r="I279" s="1654"/>
      <c r="J279" s="383">
        <v>0</v>
      </c>
      <c r="K279" s="712"/>
      <c r="L279" s="487">
        <v>0</v>
      </c>
      <c r="M279" s="927"/>
      <c r="N279" s="672">
        <v>0</v>
      </c>
      <c r="O279" s="389">
        <v>1E-3</v>
      </c>
      <c r="P279" s="1092">
        <v>0</v>
      </c>
      <c r="Q279" s="1093">
        <v>0</v>
      </c>
      <c r="R279" s="381">
        <v>0</v>
      </c>
      <c r="S279" s="382"/>
      <c r="T279" s="381"/>
      <c r="U279" s="624"/>
      <c r="V279" s="569">
        <v>0</v>
      </c>
      <c r="W279" s="607"/>
      <c r="X279" s="383"/>
      <c r="Y279" s="607"/>
      <c r="Z279" s="383"/>
      <c r="AA279" s="607"/>
      <c r="AB279" s="718"/>
      <c r="AC279" s="335"/>
      <c r="AD279" s="389">
        <v>1E-3</v>
      </c>
      <c r="AE279" s="381">
        <v>1E-3</v>
      </c>
      <c r="AF279" s="389">
        <v>1E-3</v>
      </c>
      <c r="AG279" s="381">
        <v>1E-3</v>
      </c>
      <c r="AH279" s="389">
        <v>1E-3</v>
      </c>
      <c r="AI279" s="381">
        <v>1E-3</v>
      </c>
      <c r="AJ279" s="389">
        <v>1E-3</v>
      </c>
      <c r="AK279" s="381">
        <v>1E-3</v>
      </c>
      <c r="AL279" s="381">
        <v>1E-3</v>
      </c>
      <c r="AM279" s="381">
        <v>1E-3</v>
      </c>
      <c r="AN279" s="381">
        <v>1E-3</v>
      </c>
      <c r="AO279" s="381">
        <v>1E-3</v>
      </c>
      <c r="AP279" s="381">
        <v>1E-3</v>
      </c>
      <c r="AQ279" s="381">
        <v>1E-3</v>
      </c>
      <c r="AR279" s="381">
        <v>1E-3</v>
      </c>
      <c r="AS279" s="381">
        <v>1E-3</v>
      </c>
      <c r="AT279" s="381">
        <v>1E-3</v>
      </c>
      <c r="AU279" s="381">
        <v>1E-3</v>
      </c>
      <c r="AV279" s="381">
        <v>1E-3</v>
      </c>
      <c r="AW279" s="381">
        <v>1E-3</v>
      </c>
      <c r="AX279" s="335"/>
    </row>
    <row r="280" spans="1:52" x14ac:dyDescent="0.2">
      <c r="A280" s="1496">
        <v>32</v>
      </c>
      <c r="B280" s="1416" t="s">
        <v>383</v>
      </c>
      <c r="C280" s="490">
        <v>130</v>
      </c>
      <c r="D280" s="834">
        <v>43562001</v>
      </c>
      <c r="E280" s="497">
        <v>5</v>
      </c>
      <c r="F280" s="721">
        <v>0</v>
      </c>
      <c r="G280" s="1251">
        <v>0</v>
      </c>
      <c r="H280" s="1240">
        <v>0</v>
      </c>
      <c r="I280" s="1654"/>
      <c r="J280" s="383">
        <v>0</v>
      </c>
      <c r="K280" s="712"/>
      <c r="L280" s="487">
        <v>0</v>
      </c>
      <c r="M280" s="927"/>
      <c r="N280" s="672">
        <v>0</v>
      </c>
      <c r="O280" s="389">
        <v>1E-3</v>
      </c>
      <c r="P280" s="1092">
        <v>0</v>
      </c>
      <c r="Q280" s="1093">
        <v>0</v>
      </c>
      <c r="R280" s="381">
        <v>0</v>
      </c>
      <c r="S280" s="382"/>
      <c r="T280" s="381"/>
      <c r="U280" s="624"/>
      <c r="V280" s="569">
        <v>0</v>
      </c>
      <c r="W280" s="607"/>
      <c r="X280" s="383"/>
      <c r="Y280" s="607"/>
      <c r="Z280" s="383"/>
      <c r="AA280" s="607"/>
      <c r="AB280" s="718"/>
      <c r="AC280" s="335"/>
      <c r="AD280" s="389">
        <v>1E-3</v>
      </c>
      <c r="AE280" s="381">
        <v>1E-3</v>
      </c>
      <c r="AF280" s="389">
        <v>1E-3</v>
      </c>
      <c r="AG280" s="381">
        <v>1E-3</v>
      </c>
      <c r="AH280" s="389">
        <v>1E-3</v>
      </c>
      <c r="AI280" s="381">
        <v>1E-3</v>
      </c>
      <c r="AJ280" s="389">
        <v>1E-3</v>
      </c>
      <c r="AK280" s="381">
        <v>1E-3</v>
      </c>
      <c r="AL280" s="381">
        <v>1E-3</v>
      </c>
      <c r="AM280" s="381">
        <v>1E-3</v>
      </c>
      <c r="AN280" s="381">
        <v>1E-3</v>
      </c>
      <c r="AO280" s="381">
        <v>1E-3</v>
      </c>
      <c r="AP280" s="381">
        <v>1E-3</v>
      </c>
      <c r="AQ280" s="381">
        <v>1E-3</v>
      </c>
      <c r="AR280" s="381">
        <v>1E-3</v>
      </c>
      <c r="AS280" s="381">
        <v>1E-3</v>
      </c>
      <c r="AT280" s="381">
        <v>1E-3</v>
      </c>
      <c r="AU280" s="381">
        <v>1E-3</v>
      </c>
      <c r="AV280" s="381">
        <v>1E-3</v>
      </c>
      <c r="AW280" s="381">
        <v>1E-3</v>
      </c>
      <c r="AX280" s="335"/>
    </row>
    <row r="281" spans="1:52" x14ac:dyDescent="0.2">
      <c r="A281" s="1496">
        <v>33</v>
      </c>
      <c r="B281" s="1416" t="s">
        <v>311</v>
      </c>
      <c r="C281" s="490">
        <v>336</v>
      </c>
      <c r="D281" s="834">
        <v>32503970</v>
      </c>
      <c r="E281" s="497">
        <v>5</v>
      </c>
      <c r="F281" s="721">
        <v>0</v>
      </c>
      <c r="G281" s="1251">
        <v>0</v>
      </c>
      <c r="H281" s="1240">
        <v>0</v>
      </c>
      <c r="I281" s="1654"/>
      <c r="J281" s="383">
        <v>0</v>
      </c>
      <c r="K281" s="712"/>
      <c r="L281" s="487">
        <v>0</v>
      </c>
      <c r="M281" s="927"/>
      <c r="N281" s="672">
        <v>0</v>
      </c>
      <c r="O281" s="713"/>
      <c r="P281" s="1092">
        <v>0</v>
      </c>
      <c r="Q281" s="1093">
        <v>0</v>
      </c>
      <c r="R281" s="381">
        <v>0</v>
      </c>
      <c r="S281" s="382"/>
      <c r="T281" s="381"/>
      <c r="U281" s="624"/>
      <c r="V281" s="569">
        <v>0</v>
      </c>
      <c r="W281" s="607"/>
      <c r="X281" s="383"/>
      <c r="Y281" s="607"/>
      <c r="Z281" s="383"/>
      <c r="AA281" s="607"/>
      <c r="AB281" s="718"/>
      <c r="AC281" s="335"/>
      <c r="AD281" s="389">
        <v>1E-3</v>
      </c>
      <c r="AE281" s="381">
        <v>1E-3</v>
      </c>
      <c r="AF281" s="389">
        <v>1E-3</v>
      </c>
      <c r="AG281" s="381">
        <v>1E-3</v>
      </c>
      <c r="AH281" s="389">
        <v>1E-3</v>
      </c>
      <c r="AI281" s="381">
        <v>1E-3</v>
      </c>
      <c r="AJ281" s="389">
        <v>1E-3</v>
      </c>
      <c r="AK281" s="381">
        <v>1E-3</v>
      </c>
      <c r="AL281" s="381">
        <v>1E-3</v>
      </c>
      <c r="AM281" s="381">
        <v>1E-3</v>
      </c>
      <c r="AN281" s="381">
        <v>1E-3</v>
      </c>
      <c r="AO281" s="381">
        <v>1E-3</v>
      </c>
      <c r="AP281" s="381">
        <v>1E-3</v>
      </c>
      <c r="AQ281" s="381">
        <v>1E-3</v>
      </c>
      <c r="AR281" s="381">
        <v>1E-3</v>
      </c>
      <c r="AS281" s="381">
        <v>1E-3</v>
      </c>
      <c r="AT281" s="381">
        <v>1E-3</v>
      </c>
      <c r="AU281" s="381">
        <v>1E-3</v>
      </c>
      <c r="AV281" s="381">
        <v>1E-3</v>
      </c>
      <c r="AW281" s="381">
        <v>1E-3</v>
      </c>
      <c r="AX281" s="335"/>
      <c r="AZ281" s="352"/>
    </row>
    <row r="282" spans="1:52" x14ac:dyDescent="0.2">
      <c r="A282" s="1496">
        <v>34</v>
      </c>
      <c r="B282" s="1510" t="s">
        <v>250</v>
      </c>
      <c r="C282" s="1498">
        <v>11</v>
      </c>
      <c r="D282" s="1446">
        <v>890913504</v>
      </c>
      <c r="E282" s="1499">
        <v>8</v>
      </c>
      <c r="F282" s="721">
        <v>0</v>
      </c>
      <c r="G282" s="1251">
        <v>0</v>
      </c>
      <c r="H282" s="1240">
        <v>0</v>
      </c>
      <c r="I282" s="1654"/>
      <c r="J282" s="383">
        <v>0</v>
      </c>
      <c r="K282" s="712"/>
      <c r="L282" s="487">
        <v>0</v>
      </c>
      <c r="M282" s="927"/>
      <c r="N282" s="672">
        <v>0</v>
      </c>
      <c r="O282" s="389">
        <v>1E-3</v>
      </c>
      <c r="P282" s="1092">
        <v>0</v>
      </c>
      <c r="Q282" s="1093">
        <v>0</v>
      </c>
      <c r="R282" s="381">
        <v>0</v>
      </c>
      <c r="S282" s="382"/>
      <c r="T282" s="381"/>
      <c r="U282" s="624"/>
      <c r="V282" s="569">
        <v>0</v>
      </c>
      <c r="W282" s="607"/>
      <c r="X282" s="383"/>
      <c r="Y282" s="607"/>
      <c r="Z282" s="383"/>
      <c r="AA282" s="607"/>
      <c r="AB282" s="718"/>
      <c r="AC282" s="335"/>
      <c r="AD282" s="389">
        <v>1E-3</v>
      </c>
      <c r="AE282" s="381">
        <v>1E-3</v>
      </c>
      <c r="AF282" s="389">
        <v>1E-3</v>
      </c>
      <c r="AG282" s="381">
        <v>1E-3</v>
      </c>
      <c r="AH282" s="389">
        <v>1E-3</v>
      </c>
      <c r="AI282" s="381">
        <v>1E-3</v>
      </c>
      <c r="AJ282" s="389">
        <v>1E-3</v>
      </c>
      <c r="AK282" s="381">
        <v>1E-3</v>
      </c>
      <c r="AL282" s="381">
        <v>1E-3</v>
      </c>
      <c r="AM282" s="381">
        <v>1E-3</v>
      </c>
      <c r="AN282" s="381">
        <v>1E-3</v>
      </c>
      <c r="AO282" s="381">
        <v>1E-3</v>
      </c>
      <c r="AP282" s="381">
        <v>1E-3</v>
      </c>
      <c r="AQ282" s="381">
        <v>1E-3</v>
      </c>
      <c r="AR282" s="381">
        <v>1E-3</v>
      </c>
      <c r="AS282" s="381">
        <v>1E-3</v>
      </c>
      <c r="AT282" s="381">
        <v>1E-3</v>
      </c>
      <c r="AU282" s="381">
        <v>1E-3</v>
      </c>
      <c r="AV282" s="381">
        <v>1E-3</v>
      </c>
      <c r="AW282" s="381">
        <v>1E-3</v>
      </c>
      <c r="AX282" s="335"/>
      <c r="AZ282" s="1097"/>
    </row>
    <row r="283" spans="1:52" x14ac:dyDescent="0.2">
      <c r="A283" s="1496">
        <v>35</v>
      </c>
      <c r="B283" s="1416" t="s">
        <v>60</v>
      </c>
      <c r="C283" s="1498">
        <v>55</v>
      </c>
      <c r="D283" s="1446">
        <v>43052310</v>
      </c>
      <c r="E283" s="1499">
        <v>8</v>
      </c>
      <c r="F283" s="721">
        <v>0</v>
      </c>
      <c r="G283" s="1251">
        <v>0</v>
      </c>
      <c r="H283" s="1240">
        <v>0</v>
      </c>
      <c r="I283" s="1654"/>
      <c r="J283" s="383">
        <v>0</v>
      </c>
      <c r="K283" s="712"/>
      <c r="L283" s="487">
        <v>0</v>
      </c>
      <c r="M283" s="927"/>
      <c r="N283" s="672">
        <v>0</v>
      </c>
      <c r="O283" s="389">
        <v>1E-3</v>
      </c>
      <c r="P283" s="1092">
        <v>0</v>
      </c>
      <c r="Q283" s="1093">
        <v>0</v>
      </c>
      <c r="R283" s="381">
        <v>0</v>
      </c>
      <c r="S283" s="382"/>
      <c r="T283" s="381"/>
      <c r="U283" s="624"/>
      <c r="V283" s="569">
        <v>0</v>
      </c>
      <c r="W283" s="607"/>
      <c r="X283" s="383"/>
      <c r="Y283" s="607"/>
      <c r="Z283" s="383"/>
      <c r="AA283" s="607"/>
      <c r="AB283" s="718"/>
      <c r="AC283" s="335"/>
      <c r="AD283" s="389">
        <v>1E-3</v>
      </c>
      <c r="AE283" s="381">
        <v>1E-3</v>
      </c>
      <c r="AF283" s="389">
        <v>1E-3</v>
      </c>
      <c r="AG283" s="381">
        <v>1E-3</v>
      </c>
      <c r="AH283" s="389">
        <v>1E-3</v>
      </c>
      <c r="AI283" s="381">
        <v>1E-3</v>
      </c>
      <c r="AJ283" s="389">
        <v>1E-3</v>
      </c>
      <c r="AK283" s="381">
        <v>1E-3</v>
      </c>
      <c r="AL283" s="381">
        <v>1E-3</v>
      </c>
      <c r="AM283" s="381">
        <v>1E-3</v>
      </c>
      <c r="AN283" s="381">
        <v>1E-3</v>
      </c>
      <c r="AO283" s="381">
        <v>1E-3</v>
      </c>
      <c r="AP283" s="381">
        <v>1E-3</v>
      </c>
      <c r="AQ283" s="381">
        <v>1E-3</v>
      </c>
      <c r="AR283" s="381">
        <v>1E-3</v>
      </c>
      <c r="AS283" s="381">
        <v>1E-3</v>
      </c>
      <c r="AT283" s="381">
        <v>1E-3</v>
      </c>
      <c r="AU283" s="381">
        <v>1E-3</v>
      </c>
      <c r="AV283" s="381">
        <v>1E-3</v>
      </c>
      <c r="AW283" s="381">
        <v>1E-3</v>
      </c>
      <c r="AX283" s="335"/>
    </row>
    <row r="284" spans="1:52" x14ac:dyDescent="0.2">
      <c r="A284" s="1496">
        <v>36</v>
      </c>
      <c r="B284" s="1510" t="s">
        <v>671</v>
      </c>
      <c r="C284" s="1498">
        <v>20</v>
      </c>
      <c r="D284" s="1446">
        <v>900146430</v>
      </c>
      <c r="E284" s="1499">
        <v>6</v>
      </c>
      <c r="F284" s="721">
        <v>0</v>
      </c>
      <c r="G284" s="1251">
        <v>0</v>
      </c>
      <c r="H284" s="1240">
        <v>0</v>
      </c>
      <c r="I284" s="1654"/>
      <c r="J284" s="383">
        <v>0</v>
      </c>
      <c r="K284" s="712"/>
      <c r="L284" s="487">
        <v>0</v>
      </c>
      <c r="M284" s="927"/>
      <c r="N284" s="672">
        <v>0</v>
      </c>
      <c r="O284" s="389">
        <v>1E-3</v>
      </c>
      <c r="P284" s="1092">
        <v>0</v>
      </c>
      <c r="Q284" s="1093">
        <v>0</v>
      </c>
      <c r="R284" s="381">
        <v>0</v>
      </c>
      <c r="S284" s="382"/>
      <c r="T284" s="381"/>
      <c r="U284" s="624"/>
      <c r="V284" s="569">
        <v>0</v>
      </c>
      <c r="W284" s="607"/>
      <c r="X284" s="383"/>
      <c r="Y284" s="607"/>
      <c r="Z284" s="383"/>
      <c r="AA284" s="607"/>
      <c r="AB284" s="718"/>
      <c r="AC284" s="335"/>
      <c r="AD284" s="389">
        <v>1E-3</v>
      </c>
      <c r="AE284" s="381">
        <v>1E-3</v>
      </c>
      <c r="AF284" s="389">
        <v>1E-3</v>
      </c>
      <c r="AG284" s="381">
        <v>1E-3</v>
      </c>
      <c r="AH284" s="389">
        <v>1E-3</v>
      </c>
      <c r="AI284" s="381">
        <v>1E-3</v>
      </c>
      <c r="AJ284" s="389">
        <v>1E-3</v>
      </c>
      <c r="AK284" s="381">
        <v>1E-3</v>
      </c>
      <c r="AL284" s="381">
        <v>1E-3</v>
      </c>
      <c r="AM284" s="381">
        <v>1E-3</v>
      </c>
      <c r="AN284" s="381">
        <v>1E-3</v>
      </c>
      <c r="AO284" s="381">
        <v>1E-3</v>
      </c>
      <c r="AP284" s="381">
        <v>1E-3</v>
      </c>
      <c r="AQ284" s="381">
        <v>1E-3</v>
      </c>
      <c r="AR284" s="381">
        <v>1E-3</v>
      </c>
      <c r="AS284" s="381">
        <v>1E-3</v>
      </c>
      <c r="AT284" s="381">
        <v>1E-3</v>
      </c>
      <c r="AU284" s="381">
        <v>1E-3</v>
      </c>
      <c r="AV284" s="381">
        <v>1E-3</v>
      </c>
      <c r="AW284" s="381">
        <v>1E-3</v>
      </c>
      <c r="AX284" s="335"/>
    </row>
    <row r="285" spans="1:52" x14ac:dyDescent="0.2">
      <c r="A285" s="1496">
        <v>37</v>
      </c>
      <c r="B285" s="1416" t="s">
        <v>119</v>
      </c>
      <c r="C285" s="1498">
        <v>103</v>
      </c>
      <c r="D285" s="1446">
        <v>21345431</v>
      </c>
      <c r="E285" s="1499">
        <v>9</v>
      </c>
      <c r="F285" s="721">
        <v>0</v>
      </c>
      <c r="G285" s="1251">
        <v>0</v>
      </c>
      <c r="H285" s="1240">
        <v>0</v>
      </c>
      <c r="I285" s="1654"/>
      <c r="J285" s="383">
        <v>0</v>
      </c>
      <c r="K285" s="712"/>
      <c r="L285" s="487">
        <v>0</v>
      </c>
      <c r="M285" s="927"/>
      <c r="N285" s="672">
        <v>0</v>
      </c>
      <c r="O285" s="389">
        <v>1E-3</v>
      </c>
      <c r="P285" s="1092">
        <v>0</v>
      </c>
      <c r="Q285" s="1093">
        <v>0</v>
      </c>
      <c r="R285" s="381">
        <v>0</v>
      </c>
      <c r="S285" s="382"/>
      <c r="T285" s="381"/>
      <c r="U285" s="624"/>
      <c r="V285" s="569">
        <v>0</v>
      </c>
      <c r="W285" s="607"/>
      <c r="X285" s="383"/>
      <c r="Y285" s="607"/>
      <c r="Z285" s="383"/>
      <c r="AA285" s="607"/>
      <c r="AB285" s="718"/>
      <c r="AC285" s="335"/>
      <c r="AD285" s="389">
        <v>1E-3</v>
      </c>
      <c r="AE285" s="381">
        <v>1E-3</v>
      </c>
      <c r="AF285" s="389">
        <v>1E-3</v>
      </c>
      <c r="AG285" s="381">
        <v>1E-3</v>
      </c>
      <c r="AH285" s="389">
        <v>1E-3</v>
      </c>
      <c r="AI285" s="381">
        <v>1E-3</v>
      </c>
      <c r="AJ285" s="389">
        <v>1E-3</v>
      </c>
      <c r="AK285" s="381">
        <v>1E-3</v>
      </c>
      <c r="AL285" s="381">
        <v>1E-3</v>
      </c>
      <c r="AM285" s="381">
        <v>1E-3</v>
      </c>
      <c r="AN285" s="381">
        <v>1E-3</v>
      </c>
      <c r="AO285" s="381">
        <v>1E-3</v>
      </c>
      <c r="AP285" s="381">
        <v>1E-3</v>
      </c>
      <c r="AQ285" s="381">
        <v>1E-3</v>
      </c>
      <c r="AR285" s="381">
        <v>1E-3</v>
      </c>
      <c r="AS285" s="381">
        <v>1E-3</v>
      </c>
      <c r="AT285" s="381">
        <v>1E-3</v>
      </c>
      <c r="AU285" s="381">
        <v>1E-3</v>
      </c>
      <c r="AV285" s="381">
        <v>1E-3</v>
      </c>
      <c r="AW285" s="381">
        <v>1E-3</v>
      </c>
      <c r="AX285" s="335"/>
    </row>
    <row r="286" spans="1:52" x14ac:dyDescent="0.2">
      <c r="AE286" s="1047">
        <v>3.7000000000000026E-2</v>
      </c>
      <c r="AF286" s="1047">
        <v>3.7000000000000026E-2</v>
      </c>
      <c r="AG286" s="1047">
        <v>3.7000000000000026E-2</v>
      </c>
      <c r="AH286" s="1047">
        <v>3.7000000000000026E-2</v>
      </c>
      <c r="AI286" s="1047">
        <v>3.7000000000000026E-2</v>
      </c>
      <c r="AJ286" s="1047">
        <v>3.6000000000000025E-2</v>
      </c>
      <c r="AK286" s="1047">
        <v>120000.03500000006</v>
      </c>
      <c r="AL286" s="1047">
        <v>3.6000000000000025E-2</v>
      </c>
      <c r="AM286" s="1047">
        <v>1740000.0349999981</v>
      </c>
      <c r="AN286" s="1047">
        <v>3.5000000000000024E-2</v>
      </c>
      <c r="AO286" s="1047">
        <v>3.7000000000000026E-2</v>
      </c>
      <c r="AP286" s="1047">
        <v>3.7000000000000026E-2</v>
      </c>
      <c r="AQ286" s="1047">
        <v>3.7000000000000026E-2</v>
      </c>
      <c r="AR286" s="1047">
        <v>3.7000000000000026E-2</v>
      </c>
      <c r="AS286" s="1047">
        <v>3.7000000000000026E-2</v>
      </c>
      <c r="AT286" s="1047">
        <v>3.7000000000000026E-2</v>
      </c>
      <c r="AU286" s="1047">
        <v>3.7000000000000026E-2</v>
      </c>
      <c r="AV286" s="1047">
        <v>3.7000000000000026E-2</v>
      </c>
      <c r="AW286" s="1047">
        <v>3.7000000000000026E-2</v>
      </c>
    </row>
    <row r="287" spans="1:52" x14ac:dyDescent="0.2">
      <c r="A287" s="1530">
        <v>263</v>
      </c>
      <c r="AD287" s="358"/>
      <c r="AE287" s="1081">
        <v>7518803.2710752217</v>
      </c>
      <c r="AF287" s="1081"/>
      <c r="AG287" s="1081">
        <v>3975524.7391600213</v>
      </c>
      <c r="AH287" s="1081"/>
      <c r="AI287" s="1081">
        <v>0.25100000000000017</v>
      </c>
      <c r="AJ287" s="1081"/>
      <c r="AK287" s="1081">
        <v>2260000.2359999968</v>
      </c>
      <c r="AL287" s="1081">
        <v>3000000.2570000184</v>
      </c>
      <c r="AM287" s="1081">
        <v>8160000.2540000146</v>
      </c>
      <c r="AN287" s="1081">
        <v>0.25500000000000017</v>
      </c>
      <c r="AO287" s="1081">
        <v>3.7000000000000026E-2</v>
      </c>
      <c r="AP287" s="1081">
        <v>0.26300000000000018</v>
      </c>
      <c r="AQ287" s="1081">
        <v>0.26300000000000018</v>
      </c>
      <c r="AR287" s="1081">
        <v>0.26300000000000018</v>
      </c>
      <c r="AS287" s="1081">
        <v>0.26300000000000018</v>
      </c>
      <c r="AT287" s="1081">
        <v>0.26300000000000018</v>
      </c>
      <c r="AU287" s="1081">
        <v>0.26300000000000018</v>
      </c>
      <c r="AV287" s="1081">
        <v>0.26300000000000018</v>
      </c>
      <c r="AW287" s="1081">
        <v>0.26300000000000018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1FA9D-039B-4616-AFDB-CDFDFA6732E8}">
  <sheetPr codeName="Hoja9"/>
  <dimension ref="A1:Y842"/>
  <sheetViews>
    <sheetView showGridLines="0"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573" sqref="B573"/>
    </sheetView>
  </sheetViews>
  <sheetFormatPr baseColWidth="10" defaultColWidth="9.77734375" defaultRowHeight="12.75" x14ac:dyDescent="0.2"/>
  <cols>
    <col min="1" max="1" width="9.21875" style="352" customWidth="1"/>
    <col min="2" max="2" width="31.6640625" style="337" customWidth="1"/>
    <col min="3" max="3" width="16.33203125" style="761" bestFit="1" customWidth="1"/>
    <col min="4" max="4" width="2.33203125" style="771" customWidth="1"/>
    <col min="5" max="5" width="11.88671875" style="1308" customWidth="1"/>
    <col min="6" max="6" width="8.5546875" style="762" customWidth="1"/>
    <col min="7" max="7" width="6.33203125" style="352" customWidth="1"/>
    <col min="8" max="9" width="5.88671875" style="763" customWidth="1"/>
    <col min="10" max="10" width="22.77734375" style="1267" customWidth="1"/>
    <col min="11" max="11" width="37.88671875" style="148" customWidth="1"/>
    <col min="12" max="12" width="1.44140625" style="770" customWidth="1"/>
    <col min="13" max="13" width="43" style="1309" customWidth="1"/>
    <col min="14" max="14" width="15.44140625" style="1309" bestFit="1" customWidth="1"/>
    <col min="15" max="15" width="10" style="1309" bestFit="1" customWidth="1"/>
    <col min="16" max="16384" width="9.77734375" style="1309"/>
  </cols>
  <sheetData>
    <row r="1" spans="1:25" x14ac:dyDescent="0.2">
      <c r="A1" s="348" t="s">
        <v>352</v>
      </c>
      <c r="L1" s="767"/>
    </row>
    <row r="2" spans="1:25" x14ac:dyDescent="0.2">
      <c r="A2" s="1900" t="s">
        <v>404</v>
      </c>
      <c r="B2" s="1900"/>
      <c r="C2" s="1900"/>
      <c r="D2" s="1900"/>
      <c r="E2" s="337"/>
      <c r="L2" s="767"/>
    </row>
    <row r="3" spans="1:25" x14ac:dyDescent="0.2">
      <c r="A3" s="348" t="s">
        <v>535</v>
      </c>
      <c r="L3" s="767"/>
    </row>
    <row r="4" spans="1:25" x14ac:dyDescent="0.2">
      <c r="A4" s="653" t="s">
        <v>725</v>
      </c>
      <c r="L4" s="767"/>
    </row>
    <row r="5" spans="1:25" s="1308" customFormat="1" x14ac:dyDescent="0.2">
      <c r="A5" s="771"/>
      <c r="B5" s="1310"/>
      <c r="C5" s="158"/>
      <c r="D5" s="771"/>
      <c r="F5" s="1268"/>
      <c r="G5" s="771"/>
      <c r="H5" s="763"/>
      <c r="I5" s="1901"/>
      <c r="J5" s="1901"/>
      <c r="K5" s="763"/>
      <c r="L5" s="767"/>
      <c r="M5" s="1309"/>
      <c r="N5" s="1309"/>
      <c r="O5" s="1309"/>
      <c r="P5" s="1309"/>
      <c r="Q5" s="1309"/>
      <c r="R5" s="1309"/>
      <c r="S5" s="1309"/>
      <c r="T5" s="1309"/>
      <c r="U5" s="1309"/>
      <c r="V5" s="1309"/>
      <c r="W5" s="1309"/>
      <c r="X5" s="1309"/>
      <c r="Y5" s="1309"/>
    </row>
    <row r="6" spans="1:25" s="347" customFormat="1" x14ac:dyDescent="0.2">
      <c r="A6" s="1885" t="s">
        <v>2</v>
      </c>
      <c r="B6" s="1887" t="s">
        <v>353</v>
      </c>
      <c r="C6" s="1889" t="s">
        <v>280</v>
      </c>
      <c r="D6" s="1887" t="s">
        <v>333</v>
      </c>
      <c r="E6" s="1891" t="s">
        <v>394</v>
      </c>
      <c r="F6" s="1891" t="s">
        <v>395</v>
      </c>
      <c r="G6" s="1887" t="s">
        <v>497</v>
      </c>
      <c r="H6" s="1893" t="s">
        <v>536</v>
      </c>
      <c r="I6" s="1894"/>
      <c r="J6" s="1895"/>
      <c r="K6" s="1891" t="s">
        <v>201</v>
      </c>
      <c r="L6" s="767"/>
      <c r="M6" s="1309"/>
      <c r="N6" s="1309"/>
      <c r="O6" s="1309"/>
      <c r="P6" s="1309"/>
      <c r="Q6" s="1309"/>
      <c r="R6" s="1309"/>
      <c r="S6" s="1309"/>
      <c r="T6" s="1309"/>
      <c r="U6" s="1309"/>
      <c r="V6" s="1309"/>
      <c r="W6" s="1309"/>
      <c r="X6" s="1309"/>
      <c r="Y6" s="1309"/>
    </row>
    <row r="7" spans="1:25" s="347" customFormat="1" x14ac:dyDescent="0.2">
      <c r="A7" s="1886"/>
      <c r="B7" s="1888"/>
      <c r="C7" s="1890"/>
      <c r="D7" s="1888"/>
      <c r="E7" s="1892"/>
      <c r="F7" s="1892"/>
      <c r="G7" s="1888"/>
      <c r="H7" s="1269" t="s">
        <v>498</v>
      </c>
      <c r="I7" s="1133" t="s">
        <v>499</v>
      </c>
      <c r="J7" s="1135" t="s">
        <v>500</v>
      </c>
      <c r="K7" s="1892"/>
      <c r="L7" s="767"/>
      <c r="M7" s="1309"/>
      <c r="N7" s="1309"/>
      <c r="O7" s="1309"/>
      <c r="P7" s="1309"/>
      <c r="Q7" s="1309"/>
      <c r="R7" s="1309"/>
      <c r="S7" s="1309"/>
      <c r="T7" s="1309"/>
      <c r="U7" s="1309"/>
      <c r="V7" s="1309"/>
      <c r="W7" s="1309"/>
      <c r="X7" s="1309"/>
      <c r="Y7" s="1309"/>
    </row>
    <row r="8" spans="1:25" x14ac:dyDescent="0.2">
      <c r="D8" s="769"/>
      <c r="L8" s="767"/>
    </row>
    <row r="9" spans="1:25" hidden="1" x14ac:dyDescent="0.2">
      <c r="A9" s="348" t="s">
        <v>537</v>
      </c>
      <c r="C9" s="686"/>
      <c r="G9" s="769"/>
      <c r="H9" s="1883">
        <v>45516</v>
      </c>
      <c r="I9" s="1883"/>
      <c r="J9" s="1883"/>
      <c r="K9" s="1270" t="s">
        <v>768</v>
      </c>
      <c r="L9" s="767"/>
    </row>
    <row r="10" spans="1:25" hidden="1" x14ac:dyDescent="0.2">
      <c r="C10" s="686"/>
      <c r="H10" s="199" t="s">
        <v>769</v>
      </c>
      <c r="K10" s="199"/>
      <c r="L10" s="767"/>
    </row>
    <row r="11" spans="1:25" hidden="1" x14ac:dyDescent="0.2">
      <c r="A11" s="1198">
        <v>1</v>
      </c>
      <c r="B11" s="1137" t="s">
        <v>16</v>
      </c>
      <c r="C11" s="1200">
        <v>8299801</v>
      </c>
      <c r="D11" s="1168">
        <v>6</v>
      </c>
      <c r="E11" s="1153" t="s">
        <v>396</v>
      </c>
      <c r="F11" s="1271"/>
      <c r="G11" s="1157" t="s">
        <v>501</v>
      </c>
      <c r="H11" s="1272"/>
      <c r="I11" s="1157"/>
      <c r="J11" s="1145">
        <v>0</v>
      </c>
      <c r="K11" s="1157"/>
      <c r="L11" s="767"/>
    </row>
    <row r="12" spans="1:25" hidden="1" x14ac:dyDescent="0.2">
      <c r="A12" s="1198">
        <v>2</v>
      </c>
      <c r="B12" s="1137" t="s">
        <v>397</v>
      </c>
      <c r="C12" s="1200">
        <v>1037630601</v>
      </c>
      <c r="D12" s="1168">
        <v>5</v>
      </c>
      <c r="E12" s="1153" t="s">
        <v>396</v>
      </c>
      <c r="F12" s="1271"/>
      <c r="G12" s="1157" t="s">
        <v>501</v>
      </c>
      <c r="H12" s="1272"/>
      <c r="I12" s="1157"/>
      <c r="J12" s="1145">
        <v>0</v>
      </c>
      <c r="K12" s="1282"/>
      <c r="L12" s="767"/>
    </row>
    <row r="13" spans="1:25" hidden="1" x14ac:dyDescent="0.2">
      <c r="A13" s="1198">
        <v>3</v>
      </c>
      <c r="B13" s="1137" t="s">
        <v>106</v>
      </c>
      <c r="C13" s="1200">
        <v>98581002</v>
      </c>
      <c r="D13" s="1168">
        <v>3</v>
      </c>
      <c r="E13" s="1153" t="s">
        <v>396</v>
      </c>
      <c r="F13" s="1271"/>
      <c r="G13" s="1157" t="s">
        <v>495</v>
      </c>
      <c r="H13" s="1272"/>
      <c r="I13" s="1157"/>
      <c r="J13" s="1145">
        <v>8370000</v>
      </c>
      <c r="K13" s="1157"/>
      <c r="L13" s="767"/>
    </row>
    <row r="14" spans="1:25" hidden="1" x14ac:dyDescent="0.2">
      <c r="A14" s="1198">
        <v>4</v>
      </c>
      <c r="B14" s="1137" t="s">
        <v>383</v>
      </c>
      <c r="C14" s="1200">
        <v>43562001</v>
      </c>
      <c r="D14" s="1168">
        <v>5</v>
      </c>
      <c r="E14" s="1153" t="s">
        <v>396</v>
      </c>
      <c r="F14" s="1271"/>
      <c r="G14" s="1157" t="s">
        <v>501</v>
      </c>
      <c r="H14" s="1272"/>
      <c r="I14" s="1157"/>
      <c r="J14" s="1145">
        <v>0</v>
      </c>
      <c r="K14" s="1157"/>
      <c r="L14" s="767"/>
    </row>
    <row r="15" spans="1:25" hidden="1" x14ac:dyDescent="0.2">
      <c r="A15" s="1198"/>
      <c r="B15" s="1137"/>
      <c r="C15" s="1200"/>
      <c r="D15" s="1168"/>
      <c r="E15" s="1311"/>
      <c r="F15" s="1271"/>
      <c r="G15" s="1157"/>
      <c r="H15" s="1162"/>
      <c r="I15" s="1140"/>
      <c r="J15" s="1273"/>
      <c r="K15" s="1157"/>
      <c r="L15" s="767"/>
    </row>
    <row r="16" spans="1:25" hidden="1" x14ac:dyDescent="0.2">
      <c r="K16" s="1309"/>
      <c r="L16" s="767"/>
    </row>
    <row r="17" spans="1:12" hidden="1" x14ac:dyDescent="0.2">
      <c r="A17" s="348" t="s">
        <v>538</v>
      </c>
      <c r="C17" s="686"/>
      <c r="G17" s="769"/>
      <c r="H17" s="1883">
        <v>45517</v>
      </c>
      <c r="I17" s="1883"/>
      <c r="J17" s="1883"/>
      <c r="K17" s="1270" t="s">
        <v>768</v>
      </c>
      <c r="L17" s="767"/>
    </row>
    <row r="18" spans="1:12" hidden="1" x14ac:dyDescent="0.2">
      <c r="C18" s="686"/>
      <c r="H18" s="199" t="s">
        <v>769</v>
      </c>
      <c r="K18" s="1309"/>
      <c r="L18" s="767"/>
    </row>
    <row r="19" spans="1:12" hidden="1" x14ac:dyDescent="0.2">
      <c r="A19" s="1198">
        <v>5</v>
      </c>
      <c r="B19" s="1137" t="s">
        <v>329</v>
      </c>
      <c r="C19" s="1200">
        <v>42962503</v>
      </c>
      <c r="D19" s="1168">
        <v>3</v>
      </c>
      <c r="E19" s="1153" t="s">
        <v>396</v>
      </c>
      <c r="F19" s="1157"/>
      <c r="G19" s="1157" t="s">
        <v>496</v>
      </c>
      <c r="H19" s="1141"/>
      <c r="I19" s="1157"/>
      <c r="J19" s="1145">
        <v>-425000</v>
      </c>
      <c r="K19" s="1157"/>
      <c r="L19" s="767"/>
    </row>
    <row r="20" spans="1:12" hidden="1" x14ac:dyDescent="0.2">
      <c r="A20" s="1198">
        <v>6</v>
      </c>
      <c r="B20" s="1137" t="s">
        <v>398</v>
      </c>
      <c r="C20" s="1200">
        <v>1039683603</v>
      </c>
      <c r="D20" s="1168">
        <v>4</v>
      </c>
      <c r="E20" s="1153" t="s">
        <v>396</v>
      </c>
      <c r="F20" s="1271"/>
      <c r="G20" s="1274"/>
      <c r="H20" s="1274"/>
      <c r="I20" s="1274"/>
      <c r="J20" s="1275"/>
      <c r="K20" s="1312" t="s">
        <v>654</v>
      </c>
      <c r="L20" s="767"/>
    </row>
    <row r="21" spans="1:12" hidden="1" x14ac:dyDescent="0.2">
      <c r="K21" s="1309"/>
      <c r="L21" s="767"/>
    </row>
    <row r="22" spans="1:12" hidden="1" x14ac:dyDescent="0.2">
      <c r="A22" s="348" t="s">
        <v>539</v>
      </c>
      <c r="C22" s="686"/>
      <c r="G22" s="769"/>
      <c r="H22" s="1883">
        <v>45518</v>
      </c>
      <c r="I22" s="1883"/>
      <c r="J22" s="1883"/>
      <c r="K22" s="1270" t="s">
        <v>768</v>
      </c>
      <c r="L22" s="767"/>
    </row>
    <row r="23" spans="1:12" hidden="1" x14ac:dyDescent="0.2">
      <c r="C23" s="686"/>
      <c r="H23" s="199" t="s">
        <v>769</v>
      </c>
      <c r="K23" s="1309"/>
      <c r="L23" s="767"/>
    </row>
    <row r="24" spans="1:12" ht="24.95" hidden="1" customHeight="1" x14ac:dyDescent="0.2">
      <c r="A24" s="1198">
        <v>7</v>
      </c>
      <c r="B24" s="1137" t="s">
        <v>85</v>
      </c>
      <c r="C24" s="1200">
        <v>71576106</v>
      </c>
      <c r="D24" s="1168">
        <v>2</v>
      </c>
      <c r="E24" s="1153" t="s">
        <v>396</v>
      </c>
      <c r="F24" s="1271"/>
      <c r="G24" s="1157" t="s">
        <v>496</v>
      </c>
      <c r="H24" s="1141"/>
      <c r="I24" s="1157"/>
      <c r="J24" s="1145">
        <v>-2750000</v>
      </c>
      <c r="K24" s="1157"/>
      <c r="L24" s="767"/>
    </row>
    <row r="25" spans="1:12" hidden="1" x14ac:dyDescent="0.2">
      <c r="A25" s="1198">
        <v>8</v>
      </c>
      <c r="B25" s="1137" t="s">
        <v>104</v>
      </c>
      <c r="C25" s="1200">
        <v>98473805</v>
      </c>
      <c r="D25" s="1168">
        <v>8</v>
      </c>
      <c r="E25" s="1153" t="s">
        <v>396</v>
      </c>
      <c r="F25" s="1271"/>
      <c r="G25" s="1157" t="s">
        <v>495</v>
      </c>
      <c r="H25" s="1272"/>
      <c r="I25" s="1157"/>
      <c r="J25" s="1145">
        <v>7515000</v>
      </c>
      <c r="K25" s="1157"/>
      <c r="L25" s="767"/>
    </row>
    <row r="26" spans="1:12" hidden="1" x14ac:dyDescent="0.2">
      <c r="A26" s="1198"/>
      <c r="B26" s="1137"/>
      <c r="C26" s="1200"/>
      <c r="D26" s="1168"/>
      <c r="E26" s="1311"/>
      <c r="F26" s="1271"/>
      <c r="G26" s="1157"/>
      <c r="H26" s="1162"/>
      <c r="I26" s="1140"/>
      <c r="J26" s="1273"/>
      <c r="K26" s="1157"/>
      <c r="L26" s="767"/>
    </row>
    <row r="27" spans="1:12" hidden="1" x14ac:dyDescent="0.2">
      <c r="K27" s="1309"/>
      <c r="L27" s="767"/>
    </row>
    <row r="28" spans="1:12" hidden="1" x14ac:dyDescent="0.2">
      <c r="A28" s="348" t="s">
        <v>540</v>
      </c>
      <c r="C28" s="686"/>
      <c r="G28" s="769"/>
      <c r="H28" s="1883">
        <v>45519</v>
      </c>
      <c r="I28" s="1883"/>
      <c r="J28" s="1883"/>
      <c r="K28" s="1270" t="s">
        <v>768</v>
      </c>
      <c r="L28" s="767"/>
    </row>
    <row r="29" spans="1:12" hidden="1" x14ac:dyDescent="0.2">
      <c r="C29" s="686"/>
      <c r="H29" s="199" t="s">
        <v>769</v>
      </c>
      <c r="K29" s="1309"/>
      <c r="L29" s="767"/>
    </row>
    <row r="30" spans="1:12" hidden="1" x14ac:dyDescent="0.2">
      <c r="A30" s="1198">
        <v>9</v>
      </c>
      <c r="B30" s="1137" t="s">
        <v>362</v>
      </c>
      <c r="C30" s="1200">
        <v>43012007</v>
      </c>
      <c r="D30" s="1168">
        <v>1</v>
      </c>
      <c r="E30" s="1153" t="s">
        <v>396</v>
      </c>
      <c r="F30" s="1271"/>
      <c r="G30" s="1157" t="s">
        <v>501</v>
      </c>
      <c r="H30" s="1272"/>
      <c r="I30" s="1157"/>
      <c r="J30" s="1145">
        <v>0</v>
      </c>
      <c r="K30" s="1282"/>
      <c r="L30" s="767"/>
    </row>
    <row r="31" spans="1:12" hidden="1" x14ac:dyDescent="0.2">
      <c r="A31" s="1198">
        <v>10</v>
      </c>
      <c r="B31" s="1137" t="s">
        <v>20</v>
      </c>
      <c r="C31" s="1200">
        <v>1035852107</v>
      </c>
      <c r="D31" s="1168">
        <v>3</v>
      </c>
      <c r="E31" s="1153" t="s">
        <v>396</v>
      </c>
      <c r="F31" s="1271"/>
      <c r="G31" s="1157" t="s">
        <v>496</v>
      </c>
      <c r="H31" s="1141"/>
      <c r="I31" s="1157"/>
      <c r="J31" s="1145">
        <v>-311000</v>
      </c>
      <c r="K31" s="1157"/>
      <c r="L31" s="767"/>
    </row>
    <row r="32" spans="1:12" hidden="1" x14ac:dyDescent="0.2">
      <c r="A32" s="1198">
        <v>11</v>
      </c>
      <c r="B32" s="1137" t="s">
        <v>405</v>
      </c>
      <c r="C32" s="1200">
        <v>98549908</v>
      </c>
      <c r="D32" s="1168">
        <v>6</v>
      </c>
      <c r="E32" s="1153"/>
      <c r="F32" s="1271"/>
      <c r="G32" s="1157" t="s">
        <v>496</v>
      </c>
      <c r="H32" s="1141"/>
      <c r="I32" s="1157"/>
      <c r="J32" s="1145">
        <v>-555000</v>
      </c>
      <c r="K32" s="1313"/>
      <c r="L32" s="767"/>
    </row>
    <row r="33" spans="1:12" hidden="1" x14ac:dyDescent="0.2">
      <c r="A33" s="1198">
        <v>12</v>
      </c>
      <c r="B33" s="1137" t="s">
        <v>90</v>
      </c>
      <c r="C33" s="1200">
        <v>43064007</v>
      </c>
      <c r="D33" s="1168">
        <v>2</v>
      </c>
      <c r="E33" s="1153" t="s">
        <v>396</v>
      </c>
      <c r="F33" s="1271"/>
      <c r="G33" s="1157" t="s">
        <v>496</v>
      </c>
      <c r="H33" s="1141"/>
      <c r="I33" s="1157"/>
      <c r="J33" s="1145">
        <v>-9265000</v>
      </c>
      <c r="K33" s="1157"/>
      <c r="L33" s="767"/>
    </row>
    <row r="34" spans="1:12" hidden="1" x14ac:dyDescent="0.2">
      <c r="A34" s="1198">
        <v>13</v>
      </c>
      <c r="B34" s="1137" t="s">
        <v>96</v>
      </c>
      <c r="C34" s="1200">
        <v>42886207</v>
      </c>
      <c r="D34" s="1168">
        <v>2</v>
      </c>
      <c r="E34" s="1153" t="s">
        <v>396</v>
      </c>
      <c r="F34" s="1271"/>
      <c r="G34" s="1157" t="s">
        <v>501</v>
      </c>
      <c r="H34" s="1272"/>
      <c r="I34" s="1157"/>
      <c r="J34" s="1145">
        <v>0</v>
      </c>
      <c r="K34" s="1157"/>
      <c r="L34" s="767"/>
    </row>
    <row r="35" spans="1:12" ht="24.95" hidden="1" customHeight="1" x14ac:dyDescent="0.2">
      <c r="A35" s="1198">
        <v>14</v>
      </c>
      <c r="B35" s="1137" t="s">
        <v>474</v>
      </c>
      <c r="C35" s="1200">
        <v>32459508</v>
      </c>
      <c r="D35" s="1168">
        <v>7</v>
      </c>
      <c r="E35" s="1153" t="s">
        <v>396</v>
      </c>
      <c r="F35" s="1271"/>
      <c r="G35" s="1157" t="s">
        <v>501</v>
      </c>
      <c r="H35" s="1272"/>
      <c r="I35" s="1157"/>
      <c r="J35" s="1145">
        <v>0</v>
      </c>
      <c r="K35" s="1157"/>
      <c r="L35" s="767"/>
    </row>
    <row r="36" spans="1:12" hidden="1" x14ac:dyDescent="0.2">
      <c r="A36" s="1198"/>
      <c r="B36" s="1137"/>
      <c r="C36" s="1200"/>
      <c r="D36" s="1168"/>
      <c r="E36" s="1311"/>
      <c r="F36" s="1271"/>
      <c r="G36" s="1157"/>
      <c r="H36" s="1162"/>
      <c r="I36" s="1140"/>
      <c r="J36" s="1273"/>
      <c r="K36" s="1157"/>
      <c r="L36" s="767"/>
    </row>
    <row r="37" spans="1:12" hidden="1" x14ac:dyDescent="0.2">
      <c r="K37" s="1309"/>
      <c r="L37" s="767"/>
    </row>
    <row r="38" spans="1:12" hidden="1" x14ac:dyDescent="0.2">
      <c r="A38" s="348" t="s">
        <v>541</v>
      </c>
      <c r="C38" s="686"/>
      <c r="G38" s="769"/>
      <c r="H38" s="1883">
        <v>45520</v>
      </c>
      <c r="I38" s="1883"/>
      <c r="J38" s="1883"/>
      <c r="K38" s="1270" t="s">
        <v>768</v>
      </c>
      <c r="L38" s="767"/>
    </row>
    <row r="39" spans="1:12" hidden="1" x14ac:dyDescent="0.2">
      <c r="C39" s="686"/>
      <c r="H39" s="199" t="s">
        <v>769</v>
      </c>
      <c r="K39" s="1309"/>
      <c r="L39" s="767"/>
    </row>
    <row r="40" spans="1:12" hidden="1" x14ac:dyDescent="0.2">
      <c r="A40" s="1198">
        <v>15</v>
      </c>
      <c r="B40" s="1137" t="s">
        <v>33</v>
      </c>
      <c r="C40" s="1200">
        <v>21829209</v>
      </c>
      <c r="D40" s="1168">
        <v>8</v>
      </c>
      <c r="E40" s="1153" t="s">
        <v>396</v>
      </c>
      <c r="F40" s="1271"/>
      <c r="G40" s="1157" t="s">
        <v>495</v>
      </c>
      <c r="H40" s="1272"/>
      <c r="I40" s="1157"/>
      <c r="J40" s="1145">
        <v>4821000</v>
      </c>
      <c r="K40" s="1276" t="s">
        <v>770</v>
      </c>
      <c r="L40" s="767"/>
    </row>
    <row r="41" spans="1:12" hidden="1" x14ac:dyDescent="0.2">
      <c r="A41" s="1198">
        <v>16</v>
      </c>
      <c r="B41" s="1137" t="s">
        <v>60</v>
      </c>
      <c r="C41" s="1200">
        <v>43052310</v>
      </c>
      <c r="D41" s="1168">
        <v>8</v>
      </c>
      <c r="E41" s="1153" t="s">
        <v>396</v>
      </c>
      <c r="F41" s="1271"/>
      <c r="G41" s="1157" t="s">
        <v>496</v>
      </c>
      <c r="H41" s="1141"/>
      <c r="I41" s="1157"/>
      <c r="J41" s="1145">
        <v>-9741000</v>
      </c>
      <c r="K41" s="1157"/>
      <c r="L41" s="767"/>
    </row>
    <row r="42" spans="1:12" hidden="1" x14ac:dyDescent="0.2">
      <c r="A42" s="1198">
        <v>17</v>
      </c>
      <c r="B42" s="1137" t="s">
        <v>327</v>
      </c>
      <c r="C42" s="1200">
        <v>8162809</v>
      </c>
      <c r="D42" s="1168">
        <v>5</v>
      </c>
      <c r="E42" s="1153" t="s">
        <v>396</v>
      </c>
      <c r="F42" s="1271"/>
      <c r="G42" s="1157" t="s">
        <v>495</v>
      </c>
      <c r="H42" s="1272"/>
      <c r="I42" s="1157"/>
      <c r="J42" s="1145">
        <v>64720000</v>
      </c>
      <c r="K42" s="1157"/>
      <c r="L42" s="767"/>
    </row>
    <row r="43" spans="1:12" hidden="1" x14ac:dyDescent="0.2">
      <c r="A43" s="1198">
        <v>18</v>
      </c>
      <c r="B43" s="1137" t="s">
        <v>102</v>
      </c>
      <c r="C43" s="1200">
        <v>3306009</v>
      </c>
      <c r="D43" s="1168">
        <v>1</v>
      </c>
      <c r="E43" s="1153" t="s">
        <v>396</v>
      </c>
      <c r="F43" s="1271"/>
      <c r="G43" s="1157" t="s">
        <v>496</v>
      </c>
      <c r="H43" s="1141"/>
      <c r="I43" s="1157"/>
      <c r="J43" s="1145">
        <v>-5762000</v>
      </c>
      <c r="K43" s="1157"/>
      <c r="L43" s="767"/>
    </row>
    <row r="44" spans="1:12" hidden="1" x14ac:dyDescent="0.2">
      <c r="A44" s="1198">
        <v>19</v>
      </c>
      <c r="B44" s="1137" t="s">
        <v>137</v>
      </c>
      <c r="C44" s="1200">
        <v>71315509</v>
      </c>
      <c r="D44" s="1168">
        <v>8</v>
      </c>
      <c r="E44" s="1153" t="s">
        <v>396</v>
      </c>
      <c r="F44" s="1277" t="s">
        <v>318</v>
      </c>
      <c r="G44" s="1157" t="s">
        <v>495</v>
      </c>
      <c r="H44" s="1272"/>
      <c r="I44" s="1157"/>
      <c r="J44" s="1145">
        <v>2355000</v>
      </c>
      <c r="K44" s="1157"/>
      <c r="L44" s="767"/>
    </row>
    <row r="45" spans="1:12" hidden="1" x14ac:dyDescent="0.2">
      <c r="A45" s="1198"/>
      <c r="B45" s="1137"/>
      <c r="C45" s="1200"/>
      <c r="D45" s="1168"/>
      <c r="E45" s="1311"/>
      <c r="F45" s="1271"/>
      <c r="G45" s="1157"/>
      <c r="H45" s="1162"/>
      <c r="I45" s="1140"/>
      <c r="J45" s="1273"/>
      <c r="K45" s="1157"/>
      <c r="L45" s="767"/>
    </row>
    <row r="46" spans="1:12" hidden="1" x14ac:dyDescent="0.2">
      <c r="K46" s="1309"/>
      <c r="L46" s="767"/>
    </row>
    <row r="47" spans="1:12" hidden="1" x14ac:dyDescent="0.2">
      <c r="A47" s="348" t="s">
        <v>542</v>
      </c>
      <c r="C47" s="686"/>
      <c r="G47" s="769"/>
      <c r="H47" s="1883">
        <v>45524</v>
      </c>
      <c r="I47" s="1883"/>
      <c r="J47" s="1883"/>
      <c r="K47" s="769"/>
      <c r="L47" s="767"/>
    </row>
    <row r="48" spans="1:12" hidden="1" x14ac:dyDescent="0.2">
      <c r="C48" s="686"/>
      <c r="K48" s="1309"/>
      <c r="L48" s="767"/>
    </row>
    <row r="49" spans="1:12" hidden="1" x14ac:dyDescent="0.2">
      <c r="A49" s="1198">
        <v>20</v>
      </c>
      <c r="B49" s="1137" t="s">
        <v>17</v>
      </c>
      <c r="C49" s="1200">
        <v>43255512</v>
      </c>
      <c r="D49" s="1168">
        <v>0</v>
      </c>
      <c r="E49" s="1153" t="s">
        <v>396</v>
      </c>
      <c r="F49" s="1271"/>
      <c r="G49" s="1157" t="s">
        <v>496</v>
      </c>
      <c r="H49" s="1141"/>
      <c r="I49" s="1157"/>
      <c r="J49" s="1145">
        <v>-585000</v>
      </c>
      <c r="K49" s="1157"/>
      <c r="L49" s="767"/>
    </row>
    <row r="50" spans="1:12" hidden="1" x14ac:dyDescent="0.2">
      <c r="A50" s="1198">
        <v>21</v>
      </c>
      <c r="B50" s="1137" t="s">
        <v>18</v>
      </c>
      <c r="C50" s="1200">
        <v>3322312</v>
      </c>
      <c r="D50" s="1168">
        <v>6</v>
      </c>
      <c r="E50" s="1153" t="s">
        <v>396</v>
      </c>
      <c r="F50" s="1271"/>
      <c r="G50" s="1157" t="s">
        <v>501</v>
      </c>
      <c r="H50" s="1272"/>
      <c r="I50" s="1157"/>
      <c r="J50" s="1145">
        <v>0</v>
      </c>
      <c r="K50" s="1157"/>
      <c r="L50" s="767"/>
    </row>
    <row r="51" spans="1:12" ht="25.5" hidden="1" x14ac:dyDescent="0.2">
      <c r="A51" s="1198">
        <v>22</v>
      </c>
      <c r="B51" s="1137" t="s">
        <v>44</v>
      </c>
      <c r="C51" s="1200">
        <v>3309812</v>
      </c>
      <c r="D51" s="1168">
        <v>3</v>
      </c>
      <c r="E51" s="1153" t="s">
        <v>396</v>
      </c>
      <c r="F51" s="1271"/>
      <c r="G51" s="1157" t="s">
        <v>501</v>
      </c>
      <c r="H51" s="1272"/>
      <c r="I51" s="1157"/>
      <c r="J51" s="1145">
        <v>0</v>
      </c>
      <c r="K51" s="1278" t="s">
        <v>771</v>
      </c>
      <c r="L51" s="767"/>
    </row>
    <row r="52" spans="1:12" ht="24.95" hidden="1" customHeight="1" x14ac:dyDescent="0.2">
      <c r="A52" s="1198">
        <v>23</v>
      </c>
      <c r="B52" s="1137" t="s">
        <v>59</v>
      </c>
      <c r="C52" s="1200">
        <v>43422711</v>
      </c>
      <c r="D52" s="1168">
        <v>6</v>
      </c>
      <c r="E52" s="1153" t="s">
        <v>396</v>
      </c>
      <c r="F52" s="1271"/>
      <c r="G52" s="1157" t="s">
        <v>495</v>
      </c>
      <c r="H52" s="1272"/>
      <c r="I52" s="1157"/>
      <c r="J52" s="1145">
        <v>1584000</v>
      </c>
      <c r="K52" s="1278" t="s">
        <v>772</v>
      </c>
      <c r="L52" s="767"/>
    </row>
    <row r="53" spans="1:12" ht="24.95" hidden="1" customHeight="1" x14ac:dyDescent="0.2">
      <c r="A53" s="1198">
        <v>24</v>
      </c>
      <c r="B53" s="1137" t="s">
        <v>71</v>
      </c>
      <c r="C53" s="1200">
        <v>32476412</v>
      </c>
      <c r="D53" s="1168">
        <v>0</v>
      </c>
      <c r="E53" s="1153" t="s">
        <v>396</v>
      </c>
      <c r="F53" s="1271"/>
      <c r="G53" s="1157" t="s">
        <v>501</v>
      </c>
      <c r="H53" s="1272"/>
      <c r="I53" s="1157"/>
      <c r="J53" s="1145">
        <v>0</v>
      </c>
      <c r="K53" s="1157"/>
      <c r="L53" s="767"/>
    </row>
    <row r="54" spans="1:12" hidden="1" x14ac:dyDescent="0.2">
      <c r="A54" s="1198">
        <v>25</v>
      </c>
      <c r="B54" s="1137" t="s">
        <v>93</v>
      </c>
      <c r="C54" s="1200">
        <v>1152198312</v>
      </c>
      <c r="D54" s="1168">
        <v>6</v>
      </c>
      <c r="E54" s="1153" t="s">
        <v>396</v>
      </c>
      <c r="F54" s="1271"/>
      <c r="G54" s="1157" t="s">
        <v>495</v>
      </c>
      <c r="H54" s="1272"/>
      <c r="I54" s="1157"/>
      <c r="J54" s="1145">
        <v>1067000</v>
      </c>
      <c r="K54" s="1157"/>
      <c r="L54" s="767"/>
    </row>
    <row r="55" spans="1:12" ht="29.25" hidden="1" customHeight="1" x14ac:dyDescent="0.2">
      <c r="A55" s="1198">
        <v>26</v>
      </c>
      <c r="B55" s="1137" t="s">
        <v>108</v>
      </c>
      <c r="C55" s="1200">
        <v>71653411</v>
      </c>
      <c r="D55" s="1168">
        <v>4</v>
      </c>
      <c r="E55" s="1153" t="s">
        <v>396</v>
      </c>
      <c r="F55" s="1271"/>
      <c r="G55" s="1279"/>
      <c r="H55" s="1279"/>
      <c r="I55" s="1279"/>
      <c r="J55" s="1280"/>
      <c r="K55" s="1281" t="s">
        <v>773</v>
      </c>
      <c r="L55" s="767"/>
    </row>
    <row r="56" spans="1:12" hidden="1" x14ac:dyDescent="0.2">
      <c r="A56" s="1198">
        <v>27</v>
      </c>
      <c r="B56" s="1137" t="s">
        <v>249</v>
      </c>
      <c r="C56" s="1200">
        <v>21378911</v>
      </c>
      <c r="D56" s="1168">
        <v>4</v>
      </c>
      <c r="E56" s="1153" t="s">
        <v>396</v>
      </c>
      <c r="F56" s="1271"/>
      <c r="G56" s="1157" t="s">
        <v>496</v>
      </c>
      <c r="H56" s="1141"/>
      <c r="I56" s="1157"/>
      <c r="J56" s="1145">
        <v>-170000</v>
      </c>
      <c r="K56" s="1157"/>
      <c r="L56" s="767"/>
    </row>
    <row r="57" spans="1:12" hidden="1" x14ac:dyDescent="0.2">
      <c r="A57" s="1198"/>
      <c r="B57" s="1137"/>
      <c r="C57" s="1200"/>
      <c r="D57" s="1168"/>
      <c r="E57" s="1311"/>
      <c r="F57" s="1271"/>
      <c r="G57" s="1157"/>
      <c r="H57" s="1162"/>
      <c r="I57" s="1140"/>
      <c r="J57" s="1273"/>
      <c r="K57" s="1157"/>
      <c r="L57" s="767"/>
    </row>
    <row r="58" spans="1:12" hidden="1" x14ac:dyDescent="0.2">
      <c r="K58" s="1309"/>
      <c r="L58" s="767"/>
    </row>
    <row r="59" spans="1:12" hidden="1" x14ac:dyDescent="0.2">
      <c r="A59" s="348" t="s">
        <v>543</v>
      </c>
      <c r="C59" s="686"/>
      <c r="G59" s="769"/>
      <c r="H59" s="1883">
        <v>45525</v>
      </c>
      <c r="I59" s="1883"/>
      <c r="J59" s="1883"/>
      <c r="K59" s="769"/>
      <c r="L59" s="767"/>
    </row>
    <row r="60" spans="1:12" hidden="1" x14ac:dyDescent="0.2">
      <c r="C60" s="686"/>
      <c r="K60" s="1309"/>
      <c r="L60" s="767"/>
    </row>
    <row r="61" spans="1:12" hidden="1" x14ac:dyDescent="0.2">
      <c r="A61" s="1198">
        <v>28</v>
      </c>
      <c r="B61" s="1137" t="s">
        <v>486</v>
      </c>
      <c r="C61" s="1200">
        <v>1040746114</v>
      </c>
      <c r="D61" s="1168">
        <v>1</v>
      </c>
      <c r="E61" s="1153" t="s">
        <v>396</v>
      </c>
      <c r="F61" s="1271"/>
      <c r="G61" s="1157" t="s">
        <v>496</v>
      </c>
      <c r="H61" s="1141"/>
      <c r="I61" s="1157"/>
      <c r="J61" s="1145">
        <v>-426000</v>
      </c>
      <c r="K61" s="1313"/>
      <c r="L61" s="767"/>
    </row>
    <row r="62" spans="1:12" hidden="1" x14ac:dyDescent="0.2">
      <c r="A62" s="1198"/>
      <c r="B62" s="1137"/>
      <c r="C62" s="1200"/>
      <c r="D62" s="1168"/>
      <c r="E62" s="1311"/>
      <c r="F62" s="1271"/>
      <c r="G62" s="1157"/>
      <c r="H62" s="1162"/>
      <c r="I62" s="1140"/>
      <c r="J62" s="1273"/>
      <c r="K62" s="1157"/>
      <c r="L62" s="767"/>
    </row>
    <row r="63" spans="1:12" hidden="1" x14ac:dyDescent="0.2">
      <c r="K63" s="1309"/>
      <c r="L63" s="767"/>
    </row>
    <row r="64" spans="1:12" hidden="1" x14ac:dyDescent="0.2">
      <c r="A64" s="348" t="s">
        <v>544</v>
      </c>
      <c r="C64" s="686"/>
      <c r="G64" s="769"/>
      <c r="H64" s="1883">
        <v>45526</v>
      </c>
      <c r="I64" s="1883"/>
      <c r="J64" s="1883"/>
      <c r="K64" s="769"/>
      <c r="L64" s="767"/>
    </row>
    <row r="65" spans="1:25" hidden="1" x14ac:dyDescent="0.2">
      <c r="C65" s="686"/>
      <c r="K65" s="1309"/>
      <c r="L65" s="767"/>
    </row>
    <row r="66" spans="1:25" hidden="1" x14ac:dyDescent="0.2">
      <c r="A66" s="1198">
        <v>29</v>
      </c>
      <c r="B66" s="1137" t="s">
        <v>649</v>
      </c>
      <c r="C66" s="1200">
        <v>1036958916</v>
      </c>
      <c r="D66" s="1168">
        <v>5</v>
      </c>
      <c r="E66" s="1153"/>
      <c r="F66" s="1139"/>
      <c r="G66" s="1157" t="s">
        <v>501</v>
      </c>
      <c r="H66" s="1272"/>
      <c r="I66" s="1157"/>
      <c r="J66" s="1145">
        <v>0</v>
      </c>
      <c r="K66" s="1277" t="s">
        <v>794</v>
      </c>
      <c r="L66" s="767"/>
    </row>
    <row r="67" spans="1:25" ht="25.5" hidden="1" x14ac:dyDescent="0.2">
      <c r="A67" s="1198">
        <v>30</v>
      </c>
      <c r="B67" s="1137" t="s">
        <v>767</v>
      </c>
      <c r="C67" s="1200">
        <v>39295015</v>
      </c>
      <c r="D67" s="1168">
        <v>8</v>
      </c>
      <c r="E67" s="1311"/>
      <c r="F67" s="1271"/>
      <c r="G67" s="1157" t="s">
        <v>501</v>
      </c>
      <c r="H67" s="1272"/>
      <c r="I67" s="1157"/>
      <c r="J67" s="1145">
        <v>0</v>
      </c>
      <c r="K67" s="1314" t="s">
        <v>795</v>
      </c>
      <c r="L67" s="767"/>
    </row>
    <row r="68" spans="1:25" hidden="1" x14ac:dyDescent="0.2">
      <c r="K68" s="1309"/>
      <c r="L68" s="767"/>
    </row>
    <row r="69" spans="1:25" hidden="1" x14ac:dyDescent="0.2">
      <c r="A69" s="348" t="s">
        <v>545</v>
      </c>
      <c r="C69" s="686"/>
      <c r="G69" s="769"/>
      <c r="H69" s="1883">
        <v>45527</v>
      </c>
      <c r="I69" s="1883"/>
      <c r="J69" s="1883"/>
      <c r="K69" s="769"/>
      <c r="L69" s="767"/>
    </row>
    <row r="70" spans="1:25" hidden="1" x14ac:dyDescent="0.2">
      <c r="C70" s="686"/>
      <c r="K70" s="1309"/>
      <c r="L70" s="767"/>
    </row>
    <row r="71" spans="1:25" hidden="1" x14ac:dyDescent="0.2">
      <c r="A71" s="1198">
        <v>31</v>
      </c>
      <c r="B71" s="1137" t="s">
        <v>37</v>
      </c>
      <c r="C71" s="1200">
        <v>71750917</v>
      </c>
      <c r="D71" s="1168">
        <v>4</v>
      </c>
      <c r="E71" s="1153" t="s">
        <v>396</v>
      </c>
      <c r="F71" s="1271"/>
      <c r="G71" s="1157" t="s">
        <v>495</v>
      </c>
      <c r="H71" s="1272"/>
      <c r="I71" s="1157"/>
      <c r="J71" s="1145">
        <v>604000</v>
      </c>
      <c r="K71" s="1157"/>
      <c r="L71" s="767"/>
    </row>
    <row r="72" spans="1:25" hidden="1" x14ac:dyDescent="0.2">
      <c r="A72" s="1198">
        <v>32</v>
      </c>
      <c r="B72" s="1137" t="s">
        <v>65</v>
      </c>
      <c r="C72" s="1200">
        <v>42681418</v>
      </c>
      <c r="D72" s="1168">
        <v>9</v>
      </c>
      <c r="E72" s="1153" t="s">
        <v>396</v>
      </c>
      <c r="F72" s="1271"/>
      <c r="G72" s="1157" t="s">
        <v>496</v>
      </c>
      <c r="H72" s="1141"/>
      <c r="I72" s="1157"/>
      <c r="J72" s="1145">
        <v>-5673000</v>
      </c>
      <c r="K72" s="1315"/>
      <c r="L72" s="767"/>
    </row>
    <row r="73" spans="1:25" hidden="1" x14ac:dyDescent="0.2">
      <c r="A73" s="1198">
        <v>33</v>
      </c>
      <c r="B73" s="1137" t="s">
        <v>95</v>
      </c>
      <c r="C73" s="1200">
        <v>549117</v>
      </c>
      <c r="D73" s="1168">
        <v>0</v>
      </c>
      <c r="E73" s="1153" t="s">
        <v>396</v>
      </c>
      <c r="F73" s="1271"/>
      <c r="G73" s="1157" t="s">
        <v>496</v>
      </c>
      <c r="H73" s="1141"/>
      <c r="I73" s="1157"/>
      <c r="J73" s="1145">
        <v>-1078000</v>
      </c>
      <c r="K73" s="1157"/>
      <c r="L73" s="767"/>
    </row>
    <row r="74" spans="1:25" hidden="1" x14ac:dyDescent="0.2">
      <c r="A74" s="1198">
        <v>34</v>
      </c>
      <c r="B74" s="1137" t="s">
        <v>125</v>
      </c>
      <c r="C74" s="1200">
        <v>32404117</v>
      </c>
      <c r="D74" s="1168">
        <v>4</v>
      </c>
      <c r="E74" s="1153" t="s">
        <v>396</v>
      </c>
      <c r="F74" s="1282"/>
      <c r="G74" s="1157" t="s">
        <v>496</v>
      </c>
      <c r="H74" s="1141"/>
      <c r="I74" s="1157"/>
      <c r="J74" s="1145">
        <v>-4833000</v>
      </c>
      <c r="K74" s="1157"/>
      <c r="L74" s="767"/>
    </row>
    <row r="75" spans="1:25" hidden="1" x14ac:dyDescent="0.2">
      <c r="A75" s="1198">
        <v>35</v>
      </c>
      <c r="B75" s="1137" t="s">
        <v>140</v>
      </c>
      <c r="C75" s="1200">
        <v>70058618</v>
      </c>
      <c r="D75" s="1168">
        <v>6</v>
      </c>
      <c r="E75" s="1153" t="s">
        <v>396</v>
      </c>
      <c r="F75" s="1283" t="s">
        <v>266</v>
      </c>
      <c r="G75" s="1157" t="s">
        <v>495</v>
      </c>
      <c r="H75" s="1272"/>
      <c r="I75" s="1157"/>
      <c r="J75" s="1145">
        <v>4077000</v>
      </c>
      <c r="K75" s="1157"/>
      <c r="L75" s="767"/>
    </row>
    <row r="76" spans="1:25" s="1317" customFormat="1" hidden="1" x14ac:dyDescent="0.2">
      <c r="A76" s="1198">
        <v>36</v>
      </c>
      <c r="B76" s="1137" t="s">
        <v>156</v>
      </c>
      <c r="C76" s="1200">
        <v>32403117</v>
      </c>
      <c r="D76" s="1168">
        <v>1</v>
      </c>
      <c r="E76" s="1153" t="s">
        <v>396</v>
      </c>
      <c r="F76" s="1271"/>
      <c r="G76" s="1157" t="s">
        <v>501</v>
      </c>
      <c r="H76" s="1272"/>
      <c r="I76" s="1157"/>
      <c r="J76" s="1145">
        <v>0</v>
      </c>
      <c r="K76" s="1316" t="s">
        <v>796</v>
      </c>
      <c r="L76" s="767"/>
      <c r="M76" s="1309"/>
      <c r="N76" s="1309"/>
      <c r="O76" s="1309"/>
      <c r="P76" s="1309"/>
      <c r="Q76" s="1309"/>
      <c r="R76" s="1309"/>
      <c r="S76" s="1309"/>
      <c r="T76" s="1309"/>
      <c r="U76" s="1309"/>
      <c r="V76" s="1309"/>
      <c r="W76" s="1309"/>
      <c r="X76" s="1309"/>
      <c r="Y76" s="1309"/>
    </row>
    <row r="77" spans="1:25" hidden="1" x14ac:dyDescent="0.2">
      <c r="A77" s="1198"/>
      <c r="B77" s="1137"/>
      <c r="C77" s="1200"/>
      <c r="D77" s="1168"/>
      <c r="E77" s="1311"/>
      <c r="F77" s="1271"/>
      <c r="G77" s="1157"/>
      <c r="H77" s="1162"/>
      <c r="I77" s="1140"/>
      <c r="J77" s="1273"/>
      <c r="K77" s="1157"/>
      <c r="L77" s="767"/>
    </row>
    <row r="78" spans="1:25" hidden="1" x14ac:dyDescent="0.2">
      <c r="K78" s="1309"/>
      <c r="L78" s="767"/>
    </row>
    <row r="79" spans="1:25" hidden="1" x14ac:dyDescent="0.2">
      <c r="A79" s="348" t="s">
        <v>546</v>
      </c>
      <c r="C79" s="686"/>
      <c r="G79" s="769"/>
      <c r="H79" s="1883">
        <v>45530</v>
      </c>
      <c r="I79" s="1883"/>
      <c r="J79" s="1883"/>
      <c r="K79" s="769"/>
      <c r="L79" s="767"/>
    </row>
    <row r="80" spans="1:25" hidden="1" x14ac:dyDescent="0.2">
      <c r="C80" s="686"/>
      <c r="K80" s="1309"/>
      <c r="L80" s="767"/>
    </row>
    <row r="81" spans="1:12" hidden="1" x14ac:dyDescent="0.2">
      <c r="A81" s="1198">
        <v>37</v>
      </c>
      <c r="B81" s="1137" t="s">
        <v>399</v>
      </c>
      <c r="C81" s="1200">
        <v>1017207619</v>
      </c>
      <c r="D81" s="1168">
        <v>1</v>
      </c>
      <c r="E81" s="1153" t="s">
        <v>396</v>
      </c>
      <c r="F81" s="1271"/>
      <c r="G81" s="1157" t="s">
        <v>501</v>
      </c>
      <c r="H81" s="1272"/>
      <c r="I81" s="1157"/>
      <c r="J81" s="1145">
        <v>0</v>
      </c>
      <c r="K81" s="1282"/>
      <c r="L81" s="767"/>
    </row>
    <row r="82" spans="1:12" hidden="1" x14ac:dyDescent="0.2">
      <c r="A82" s="1198">
        <v>38</v>
      </c>
      <c r="B82" s="1137" t="s">
        <v>46</v>
      </c>
      <c r="C82" s="1200">
        <v>43870119</v>
      </c>
      <c r="D82" s="1168">
        <v>6</v>
      </c>
      <c r="E82" s="1153" t="s">
        <v>396</v>
      </c>
      <c r="F82" s="1271"/>
      <c r="G82" s="1157" t="s">
        <v>496</v>
      </c>
      <c r="H82" s="1141"/>
      <c r="I82" s="1157"/>
      <c r="J82" s="1145">
        <v>-8653000</v>
      </c>
      <c r="K82" s="1168"/>
      <c r="L82" s="767"/>
    </row>
    <row r="83" spans="1:12" hidden="1" x14ac:dyDescent="0.2">
      <c r="A83" s="1198">
        <v>39</v>
      </c>
      <c r="B83" s="1137" t="s">
        <v>62</v>
      </c>
      <c r="C83" s="1200">
        <v>1037601220</v>
      </c>
      <c r="D83" s="1168">
        <v>9</v>
      </c>
      <c r="E83" s="1153" t="s">
        <v>396</v>
      </c>
      <c r="F83" s="1271"/>
      <c r="G83" s="1157" t="s">
        <v>495</v>
      </c>
      <c r="H83" s="1272"/>
      <c r="I83" s="1157"/>
      <c r="J83" s="1145">
        <v>1045000</v>
      </c>
      <c r="K83" s="1168"/>
      <c r="L83" s="767"/>
    </row>
    <row r="84" spans="1:12" hidden="1" x14ac:dyDescent="0.2">
      <c r="A84" s="1198">
        <v>40</v>
      </c>
      <c r="B84" s="1137" t="s">
        <v>400</v>
      </c>
      <c r="C84" s="1200">
        <v>1036609920</v>
      </c>
      <c r="D84" s="1168">
        <v>9</v>
      </c>
      <c r="E84" s="1153" t="s">
        <v>396</v>
      </c>
      <c r="F84" s="1271"/>
      <c r="G84" s="1157" t="s">
        <v>495</v>
      </c>
      <c r="H84" s="1272"/>
      <c r="I84" s="1157"/>
      <c r="J84" s="1145">
        <v>3838000</v>
      </c>
      <c r="K84" s="1282"/>
      <c r="L84" s="767"/>
    </row>
    <row r="85" spans="1:12" ht="25.5" hidden="1" x14ac:dyDescent="0.2">
      <c r="A85" s="1198">
        <v>41</v>
      </c>
      <c r="B85" s="1137" t="s">
        <v>107</v>
      </c>
      <c r="C85" s="1200">
        <v>43075419</v>
      </c>
      <c r="D85" s="1168">
        <v>0</v>
      </c>
      <c r="E85" s="1153" t="s">
        <v>396</v>
      </c>
      <c r="F85" s="1271"/>
      <c r="G85" s="1157" t="s">
        <v>495</v>
      </c>
      <c r="H85" s="1272"/>
      <c r="I85" s="1157"/>
      <c r="J85" s="1145">
        <v>3250000</v>
      </c>
      <c r="K85" s="1157"/>
      <c r="L85" s="767"/>
    </row>
    <row r="86" spans="1:12" hidden="1" x14ac:dyDescent="0.2">
      <c r="A86" s="1198">
        <v>42</v>
      </c>
      <c r="B86" s="1137" t="s">
        <v>147</v>
      </c>
      <c r="C86" s="1200">
        <v>43041519</v>
      </c>
      <c r="D86" s="1168">
        <v>2</v>
      </c>
      <c r="E86" s="1153" t="s">
        <v>396</v>
      </c>
      <c r="F86" s="1271"/>
      <c r="G86" s="1157" t="s">
        <v>501</v>
      </c>
      <c r="H86" s="1272"/>
      <c r="I86" s="1157"/>
      <c r="J86" s="1145">
        <v>0</v>
      </c>
      <c r="K86" s="1157"/>
      <c r="L86" s="767"/>
    </row>
    <row r="87" spans="1:12" hidden="1" x14ac:dyDescent="0.2">
      <c r="A87" s="1198">
        <v>43</v>
      </c>
      <c r="B87" s="1137" t="s">
        <v>154</v>
      </c>
      <c r="C87" s="1200">
        <v>21354620</v>
      </c>
      <c r="D87" s="1168">
        <v>2</v>
      </c>
      <c r="E87" s="1153" t="s">
        <v>396</v>
      </c>
      <c r="F87" s="1277" t="s">
        <v>318</v>
      </c>
      <c r="G87" s="1157" t="s">
        <v>501</v>
      </c>
      <c r="H87" s="1272"/>
      <c r="I87" s="1157"/>
      <c r="J87" s="1145">
        <v>0</v>
      </c>
      <c r="K87" s="1157"/>
      <c r="L87" s="767"/>
    </row>
    <row r="88" spans="1:12" hidden="1" x14ac:dyDescent="0.2">
      <c r="A88" s="1198"/>
      <c r="B88" s="1137"/>
      <c r="C88" s="1200"/>
      <c r="D88" s="1168"/>
      <c r="E88" s="1311"/>
      <c r="F88" s="1271"/>
      <c r="G88" s="1157"/>
      <c r="H88" s="1162"/>
      <c r="I88" s="1168"/>
      <c r="J88" s="1273"/>
      <c r="K88" s="1157"/>
      <c r="L88" s="767"/>
    </row>
    <row r="89" spans="1:12" hidden="1" x14ac:dyDescent="0.2">
      <c r="K89" s="1309"/>
      <c r="L89" s="767"/>
    </row>
    <row r="90" spans="1:12" hidden="1" x14ac:dyDescent="0.2">
      <c r="A90" s="348" t="s">
        <v>547</v>
      </c>
      <c r="C90" s="686"/>
      <c r="G90" s="769"/>
      <c r="H90" s="1883">
        <v>45531</v>
      </c>
      <c r="I90" s="1883"/>
      <c r="J90" s="1883"/>
      <c r="K90" s="769"/>
      <c r="L90" s="767"/>
    </row>
    <row r="91" spans="1:12" hidden="1" x14ac:dyDescent="0.2">
      <c r="C91" s="686"/>
      <c r="K91" s="1309"/>
      <c r="L91" s="767"/>
    </row>
    <row r="92" spans="1:12" hidden="1" x14ac:dyDescent="0.2">
      <c r="A92" s="1198">
        <v>44</v>
      </c>
      <c r="B92" s="1137" t="s">
        <v>335</v>
      </c>
      <c r="C92" s="1200">
        <v>42874922</v>
      </c>
      <c r="D92" s="1168">
        <v>9</v>
      </c>
      <c r="E92" s="1153" t="s">
        <v>396</v>
      </c>
      <c r="F92" s="1271"/>
      <c r="G92" s="1157" t="s">
        <v>501</v>
      </c>
      <c r="H92" s="1272"/>
      <c r="I92" s="1157"/>
      <c r="J92" s="1145">
        <v>0</v>
      </c>
      <c r="K92" s="1157"/>
      <c r="L92" s="767"/>
    </row>
    <row r="93" spans="1:12" hidden="1" x14ac:dyDescent="0.2">
      <c r="A93" s="1198">
        <v>45</v>
      </c>
      <c r="B93" s="1137" t="s">
        <v>42</v>
      </c>
      <c r="C93" s="1200">
        <v>43832021</v>
      </c>
      <c r="D93" s="1168">
        <v>1</v>
      </c>
      <c r="E93" s="1153" t="s">
        <v>396</v>
      </c>
      <c r="F93" s="1271"/>
      <c r="G93" s="1157" t="s">
        <v>495</v>
      </c>
      <c r="H93" s="1272"/>
      <c r="I93" s="1157"/>
      <c r="J93" s="1145">
        <v>1666000</v>
      </c>
      <c r="K93" s="1157"/>
      <c r="L93" s="767"/>
    </row>
    <row r="94" spans="1:12" hidden="1" x14ac:dyDescent="0.2">
      <c r="A94" s="1198">
        <v>46</v>
      </c>
      <c r="B94" s="1137" t="s">
        <v>650</v>
      </c>
      <c r="C94" s="1200">
        <v>71274022</v>
      </c>
      <c r="D94" s="1168">
        <v>6</v>
      </c>
      <c r="E94" s="1153" t="s">
        <v>396</v>
      </c>
      <c r="F94" s="1271"/>
      <c r="G94" s="1157" t="s">
        <v>501</v>
      </c>
      <c r="H94" s="1272"/>
      <c r="I94" s="1157"/>
      <c r="J94" s="1145">
        <v>0</v>
      </c>
      <c r="K94" s="1277" t="s">
        <v>794</v>
      </c>
      <c r="L94" s="767"/>
    </row>
    <row r="95" spans="1:12" hidden="1" x14ac:dyDescent="0.2">
      <c r="A95" s="1198">
        <v>47</v>
      </c>
      <c r="B95" s="1137" t="s">
        <v>384</v>
      </c>
      <c r="C95" s="1200">
        <v>15925921</v>
      </c>
      <c r="D95" s="1168">
        <v>3</v>
      </c>
      <c r="E95" s="1153" t="s">
        <v>396</v>
      </c>
      <c r="F95" s="1271"/>
      <c r="G95" s="1157" t="s">
        <v>495</v>
      </c>
      <c r="H95" s="1272"/>
      <c r="I95" s="1157"/>
      <c r="J95" s="1145">
        <v>163000</v>
      </c>
      <c r="K95" s="1157"/>
      <c r="L95" s="767"/>
    </row>
    <row r="96" spans="1:12" hidden="1" x14ac:dyDescent="0.2">
      <c r="A96" s="1198">
        <v>48</v>
      </c>
      <c r="B96" s="1137" t="s">
        <v>145</v>
      </c>
      <c r="C96" s="1200">
        <v>43073222</v>
      </c>
      <c r="D96" s="1168">
        <v>8</v>
      </c>
      <c r="E96" s="1153" t="s">
        <v>396</v>
      </c>
      <c r="F96" s="1271"/>
      <c r="G96" s="1157" t="s">
        <v>496</v>
      </c>
      <c r="H96" s="1141"/>
      <c r="I96" s="1157"/>
      <c r="J96" s="1145">
        <v>-1611000</v>
      </c>
      <c r="K96" s="1157"/>
      <c r="L96" s="767"/>
    </row>
    <row r="97" spans="1:12" hidden="1" x14ac:dyDescent="0.2">
      <c r="A97" s="1198">
        <v>49</v>
      </c>
      <c r="B97" s="1137" t="s">
        <v>361</v>
      </c>
      <c r="C97" s="1200">
        <v>8226721</v>
      </c>
      <c r="D97" s="1168">
        <v>2</v>
      </c>
      <c r="E97" s="1153" t="s">
        <v>396</v>
      </c>
      <c r="F97" s="1271"/>
      <c r="G97" s="1157" t="s">
        <v>496</v>
      </c>
      <c r="H97" s="1141"/>
      <c r="I97" s="1157"/>
      <c r="J97" s="1145">
        <v>-654000</v>
      </c>
      <c r="K97" s="1157"/>
      <c r="L97" s="767"/>
    </row>
    <row r="98" spans="1:12" hidden="1" x14ac:dyDescent="0.2">
      <c r="A98" s="1198"/>
      <c r="B98" s="1137"/>
      <c r="C98" s="1200"/>
      <c r="D98" s="1168"/>
      <c r="E98" s="1311"/>
      <c r="F98" s="1271"/>
      <c r="G98" s="1157"/>
      <c r="H98" s="1162"/>
      <c r="I98" s="1140"/>
      <c r="J98" s="1273"/>
      <c r="K98" s="1157"/>
      <c r="L98" s="767"/>
    </row>
    <row r="99" spans="1:12" hidden="1" x14ac:dyDescent="0.2">
      <c r="K99" s="1309"/>
      <c r="L99" s="767"/>
    </row>
    <row r="100" spans="1:12" hidden="1" x14ac:dyDescent="0.2">
      <c r="A100" s="348" t="s">
        <v>548</v>
      </c>
      <c r="C100" s="686"/>
      <c r="G100" s="769"/>
      <c r="H100" s="1883">
        <v>45532</v>
      </c>
      <c r="I100" s="1883"/>
      <c r="J100" s="1883"/>
      <c r="K100" s="769"/>
      <c r="L100" s="767"/>
    </row>
    <row r="101" spans="1:12" hidden="1" x14ac:dyDescent="0.2">
      <c r="C101" s="686"/>
      <c r="K101" s="1309"/>
      <c r="L101" s="767"/>
    </row>
    <row r="102" spans="1:12" hidden="1" x14ac:dyDescent="0.2">
      <c r="A102" s="1198">
        <v>50</v>
      </c>
      <c r="B102" s="1137" t="s">
        <v>274</v>
      </c>
      <c r="C102" s="1200">
        <v>43820323</v>
      </c>
      <c r="D102" s="1168">
        <v>9</v>
      </c>
      <c r="E102" s="1153" t="s">
        <v>396</v>
      </c>
      <c r="F102" s="1271"/>
      <c r="G102" s="1157" t="s">
        <v>495</v>
      </c>
      <c r="H102" s="1272"/>
      <c r="I102" s="1157"/>
      <c r="J102" s="1145">
        <v>3975000</v>
      </c>
      <c r="K102" s="1157"/>
      <c r="L102" s="767"/>
    </row>
    <row r="103" spans="1:12" hidden="1" x14ac:dyDescent="0.2">
      <c r="A103" s="1198">
        <v>51</v>
      </c>
      <c r="B103" s="1137" t="s">
        <v>86</v>
      </c>
      <c r="C103" s="1200">
        <v>32416024</v>
      </c>
      <c r="D103" s="1168">
        <v>1</v>
      </c>
      <c r="E103" s="1153" t="s">
        <v>396</v>
      </c>
      <c r="F103" s="1271"/>
      <c r="G103" s="1157" t="s">
        <v>496</v>
      </c>
      <c r="H103" s="1141"/>
      <c r="I103" s="1157"/>
      <c r="J103" s="1145">
        <v>-7619000</v>
      </c>
      <c r="K103" s="1157"/>
      <c r="L103" s="767"/>
    </row>
    <row r="104" spans="1:12" hidden="1" x14ac:dyDescent="0.2">
      <c r="A104" s="1198">
        <v>52</v>
      </c>
      <c r="B104" s="1137" t="s">
        <v>131</v>
      </c>
      <c r="C104" s="1200">
        <v>675024</v>
      </c>
      <c r="D104" s="1168">
        <v>3</v>
      </c>
      <c r="E104" s="1153" t="s">
        <v>396</v>
      </c>
      <c r="F104" s="1271"/>
      <c r="G104" s="1157" t="s">
        <v>501</v>
      </c>
      <c r="H104" s="1272"/>
      <c r="I104" s="1157"/>
      <c r="J104" s="1145">
        <v>0</v>
      </c>
      <c r="K104" s="1157"/>
      <c r="L104" s="767"/>
    </row>
    <row r="105" spans="1:12" hidden="1" x14ac:dyDescent="0.2">
      <c r="A105" s="1198">
        <v>53</v>
      </c>
      <c r="B105" s="1137" t="s">
        <v>645</v>
      </c>
      <c r="C105" s="1200">
        <v>42969424</v>
      </c>
      <c r="D105" s="1168">
        <v>1</v>
      </c>
      <c r="E105" s="1153" t="s">
        <v>396</v>
      </c>
      <c r="F105" s="1271"/>
      <c r="G105" s="1157" t="s">
        <v>501</v>
      </c>
      <c r="H105" s="1272"/>
      <c r="I105" s="1157"/>
      <c r="J105" s="1145">
        <v>0</v>
      </c>
      <c r="K105" s="1277" t="s">
        <v>794</v>
      </c>
      <c r="L105" s="767"/>
    </row>
    <row r="106" spans="1:12" hidden="1" x14ac:dyDescent="0.2">
      <c r="A106" s="1198">
        <v>54</v>
      </c>
      <c r="B106" s="1137" t="s">
        <v>148</v>
      </c>
      <c r="C106" s="1200">
        <v>71595523</v>
      </c>
      <c r="D106" s="1168">
        <v>1</v>
      </c>
      <c r="E106" s="1153" t="s">
        <v>396</v>
      </c>
      <c r="F106" s="1271"/>
      <c r="G106" s="1157" t="s">
        <v>495</v>
      </c>
      <c r="H106" s="1272"/>
      <c r="I106" s="1157"/>
      <c r="J106" s="1145">
        <v>68000</v>
      </c>
      <c r="K106" s="1157"/>
      <c r="L106" s="767"/>
    </row>
    <row r="107" spans="1:12" hidden="1" x14ac:dyDescent="0.2">
      <c r="A107" s="1198">
        <v>55</v>
      </c>
      <c r="B107" s="1137" t="s">
        <v>164</v>
      </c>
      <c r="C107" s="1200">
        <v>71720224</v>
      </c>
      <c r="D107" s="1168">
        <v>0</v>
      </c>
      <c r="E107" s="1153" t="s">
        <v>396</v>
      </c>
      <c r="F107" s="1282"/>
      <c r="G107" s="1157" t="s">
        <v>496</v>
      </c>
      <c r="H107" s="1141"/>
      <c r="I107" s="1157"/>
      <c r="J107" s="1145">
        <v>-11535000</v>
      </c>
      <c r="K107" s="1157"/>
      <c r="L107" s="767"/>
    </row>
    <row r="108" spans="1:12" hidden="1" x14ac:dyDescent="0.2">
      <c r="A108" s="1198"/>
      <c r="B108" s="1137"/>
      <c r="C108" s="1200"/>
      <c r="D108" s="1168"/>
      <c r="E108" s="1311"/>
      <c r="F108" s="1271"/>
      <c r="G108" s="1157"/>
      <c r="H108" s="1162"/>
      <c r="I108" s="1140"/>
      <c r="J108" s="1273"/>
      <c r="K108" s="1157"/>
      <c r="L108" s="767"/>
    </row>
    <row r="109" spans="1:12" hidden="1" x14ac:dyDescent="0.2">
      <c r="K109" s="1309"/>
      <c r="L109" s="767"/>
    </row>
    <row r="110" spans="1:12" hidden="1" x14ac:dyDescent="0.2">
      <c r="A110" s="348" t="s">
        <v>549</v>
      </c>
      <c r="C110" s="686"/>
      <c r="G110" s="769"/>
      <c r="H110" s="1883">
        <v>45533</v>
      </c>
      <c r="I110" s="1883"/>
      <c r="J110" s="1883"/>
      <c r="K110" s="769"/>
      <c r="L110" s="767"/>
    </row>
    <row r="111" spans="1:12" hidden="1" x14ac:dyDescent="0.2">
      <c r="C111" s="686"/>
      <c r="K111" s="1309"/>
      <c r="L111" s="767"/>
    </row>
    <row r="112" spans="1:12" ht="24" hidden="1" customHeight="1" x14ac:dyDescent="0.2">
      <c r="A112" s="1198">
        <v>56</v>
      </c>
      <c r="B112" s="1137" t="s">
        <v>774</v>
      </c>
      <c r="C112" s="1200">
        <v>42780425</v>
      </c>
      <c r="D112" s="1168">
        <v>5</v>
      </c>
      <c r="E112" s="1153" t="s">
        <v>396</v>
      </c>
      <c r="F112" s="1271"/>
      <c r="G112" s="1157" t="s">
        <v>496</v>
      </c>
      <c r="H112" s="1141"/>
      <c r="I112" s="1157"/>
      <c r="J112" s="1145">
        <v>-194000</v>
      </c>
      <c r="K112" s="1312" t="s">
        <v>797</v>
      </c>
      <c r="L112" s="767"/>
    </row>
    <row r="113" spans="1:12" hidden="1" x14ac:dyDescent="0.2">
      <c r="A113" s="1198">
        <v>57</v>
      </c>
      <c r="B113" s="1137" t="s">
        <v>406</v>
      </c>
      <c r="C113" s="1200">
        <v>32415325</v>
      </c>
      <c r="D113" s="1168">
        <v>7</v>
      </c>
      <c r="E113" s="1153" t="s">
        <v>396</v>
      </c>
      <c r="F113" s="1271"/>
      <c r="G113" s="1157" t="s">
        <v>496</v>
      </c>
      <c r="H113" s="1141"/>
      <c r="I113" s="1157"/>
      <c r="J113" s="1145">
        <v>-2492000</v>
      </c>
      <c r="K113" s="1157"/>
      <c r="L113" s="767"/>
    </row>
    <row r="114" spans="1:12" hidden="1" x14ac:dyDescent="0.2">
      <c r="A114" s="1198">
        <v>58</v>
      </c>
      <c r="B114" s="1137" t="s">
        <v>326</v>
      </c>
      <c r="C114" s="1200">
        <v>1000717826</v>
      </c>
      <c r="D114" s="1168">
        <v>6</v>
      </c>
      <c r="E114" s="1153" t="s">
        <v>396</v>
      </c>
      <c r="F114" s="1271"/>
      <c r="G114" s="1157" t="s">
        <v>496</v>
      </c>
      <c r="H114" s="1141"/>
      <c r="I114" s="1157"/>
      <c r="J114" s="1145">
        <v>-567000</v>
      </c>
      <c r="K114" s="1282"/>
      <c r="L114" s="767"/>
    </row>
    <row r="115" spans="1:12" hidden="1" x14ac:dyDescent="0.2">
      <c r="A115" s="1198">
        <v>59</v>
      </c>
      <c r="B115" s="1137" t="s">
        <v>401</v>
      </c>
      <c r="C115" s="1200">
        <v>1152437125</v>
      </c>
      <c r="D115" s="1168">
        <v>1</v>
      </c>
      <c r="E115" s="1311"/>
      <c r="F115" s="1271"/>
      <c r="G115" s="1157" t="s">
        <v>501</v>
      </c>
      <c r="H115" s="1272"/>
      <c r="I115" s="1157"/>
      <c r="J115" s="1145">
        <v>0</v>
      </c>
      <c r="K115" s="1157"/>
      <c r="L115" s="767"/>
    </row>
    <row r="116" spans="1:12" hidden="1" x14ac:dyDescent="0.2">
      <c r="K116" s="1309"/>
      <c r="L116" s="767"/>
    </row>
    <row r="117" spans="1:12" hidden="1" x14ac:dyDescent="0.2">
      <c r="A117" s="348" t="s">
        <v>550</v>
      </c>
      <c r="C117" s="686"/>
      <c r="G117" s="769"/>
      <c r="H117" s="1883">
        <v>45537</v>
      </c>
      <c r="I117" s="1883"/>
      <c r="J117" s="1883"/>
      <c r="K117" s="769"/>
      <c r="L117" s="767"/>
    </row>
    <row r="118" spans="1:12" hidden="1" x14ac:dyDescent="0.2">
      <c r="C118" s="686"/>
      <c r="K118" s="1309"/>
      <c r="L118" s="767"/>
    </row>
    <row r="119" spans="1:12" hidden="1" x14ac:dyDescent="0.2">
      <c r="A119" s="1198">
        <v>60</v>
      </c>
      <c r="B119" s="1137" t="s">
        <v>7</v>
      </c>
      <c r="C119" s="1200">
        <v>21315528</v>
      </c>
      <c r="D119" s="1168">
        <v>6</v>
      </c>
      <c r="E119" s="1153" t="s">
        <v>396</v>
      </c>
      <c r="F119" s="1271"/>
      <c r="G119" s="1157" t="s">
        <v>496</v>
      </c>
      <c r="H119" s="1141"/>
      <c r="I119" s="1157"/>
      <c r="J119" s="1145">
        <v>-2164000</v>
      </c>
      <c r="K119" s="1157"/>
      <c r="L119" s="767"/>
    </row>
    <row r="120" spans="1:12" hidden="1" x14ac:dyDescent="0.2">
      <c r="A120" s="1198">
        <v>61</v>
      </c>
      <c r="B120" s="1137" t="s">
        <v>273</v>
      </c>
      <c r="C120" s="1200">
        <v>43221128</v>
      </c>
      <c r="D120" s="1168">
        <v>9</v>
      </c>
      <c r="E120" s="1153" t="s">
        <v>396</v>
      </c>
      <c r="F120" s="1271"/>
      <c r="G120" s="1157" t="s">
        <v>495</v>
      </c>
      <c r="H120" s="1272"/>
      <c r="I120" s="1157"/>
      <c r="J120" s="1145">
        <v>1647000</v>
      </c>
      <c r="K120" s="1157"/>
      <c r="L120" s="767"/>
    </row>
    <row r="121" spans="1:12" hidden="1" x14ac:dyDescent="0.2">
      <c r="A121" s="1198">
        <v>62</v>
      </c>
      <c r="B121" s="1137" t="s">
        <v>114</v>
      </c>
      <c r="C121" s="1200">
        <v>70547628</v>
      </c>
      <c r="D121" s="1168">
        <v>8</v>
      </c>
      <c r="E121" s="1153" t="s">
        <v>396</v>
      </c>
      <c r="F121" s="1271"/>
      <c r="G121" s="1157" t="s">
        <v>495</v>
      </c>
      <c r="H121" s="1272"/>
      <c r="I121" s="1157"/>
      <c r="J121" s="1145">
        <v>6957000</v>
      </c>
      <c r="K121" s="1157"/>
      <c r="L121" s="767"/>
    </row>
    <row r="122" spans="1:12" hidden="1" x14ac:dyDescent="0.2">
      <c r="A122" s="1198">
        <v>63</v>
      </c>
      <c r="B122" s="1137" t="s">
        <v>135</v>
      </c>
      <c r="C122" s="1200">
        <v>32413027</v>
      </c>
      <c r="D122" s="1168">
        <v>8</v>
      </c>
      <c r="E122" s="1153" t="s">
        <v>396</v>
      </c>
      <c r="F122" s="1277" t="s">
        <v>318</v>
      </c>
      <c r="G122" s="1157" t="s">
        <v>495</v>
      </c>
      <c r="H122" s="1272"/>
      <c r="I122" s="1157"/>
      <c r="J122" s="1145">
        <v>10190000</v>
      </c>
      <c r="K122" s="1157"/>
      <c r="L122" s="767"/>
    </row>
    <row r="123" spans="1:12" hidden="1" x14ac:dyDescent="0.2">
      <c r="A123" s="1198">
        <v>64</v>
      </c>
      <c r="B123" s="1137" t="s">
        <v>651</v>
      </c>
      <c r="C123" s="1200">
        <v>32476227</v>
      </c>
      <c r="D123" s="1168">
        <v>4</v>
      </c>
      <c r="E123" s="1153" t="s">
        <v>396</v>
      </c>
      <c r="F123" s="1271"/>
      <c r="G123" s="1157" t="s">
        <v>501</v>
      </c>
      <c r="H123" s="1272"/>
      <c r="I123" s="1157"/>
      <c r="J123" s="1145">
        <v>0</v>
      </c>
      <c r="K123" s="1277" t="s">
        <v>794</v>
      </c>
      <c r="L123" s="767"/>
    </row>
    <row r="124" spans="1:12" hidden="1" x14ac:dyDescent="0.2">
      <c r="A124" s="1198"/>
      <c r="B124" s="1137"/>
      <c r="C124" s="1200"/>
      <c r="D124" s="1168"/>
      <c r="E124" s="1311"/>
      <c r="F124" s="1271"/>
      <c r="G124" s="1168"/>
      <c r="H124" s="1162"/>
      <c r="I124" s="1140"/>
      <c r="J124" s="1273"/>
      <c r="K124" s="1157"/>
      <c r="L124" s="767"/>
    </row>
    <row r="125" spans="1:12" hidden="1" x14ac:dyDescent="0.2">
      <c r="K125" s="1309"/>
      <c r="L125" s="767"/>
    </row>
    <row r="126" spans="1:12" hidden="1" x14ac:dyDescent="0.2">
      <c r="A126" s="348" t="s">
        <v>551</v>
      </c>
      <c r="C126" s="686"/>
      <c r="G126" s="769"/>
      <c r="H126" s="1883">
        <v>45538</v>
      </c>
      <c r="I126" s="1883"/>
      <c r="J126" s="1883"/>
      <c r="K126" s="769"/>
      <c r="L126" s="767"/>
    </row>
    <row r="127" spans="1:12" hidden="1" x14ac:dyDescent="0.2">
      <c r="C127" s="686"/>
      <c r="K127" s="1309"/>
      <c r="L127" s="767"/>
    </row>
    <row r="128" spans="1:12" hidden="1" x14ac:dyDescent="0.2">
      <c r="A128" s="1198">
        <v>65</v>
      </c>
      <c r="B128" s="1137" t="s">
        <v>51</v>
      </c>
      <c r="C128" s="1200">
        <v>15258730</v>
      </c>
      <c r="D128" s="1168">
        <v>1</v>
      </c>
      <c r="E128" s="1153" t="s">
        <v>396</v>
      </c>
      <c r="F128" s="1271"/>
      <c r="G128" s="1157" t="s">
        <v>496</v>
      </c>
      <c r="H128" s="1141"/>
      <c r="I128" s="1157"/>
      <c r="J128" s="1145">
        <v>-46171000</v>
      </c>
      <c r="K128" s="1157"/>
      <c r="L128" s="767"/>
    </row>
    <row r="129" spans="1:12" hidden="1" x14ac:dyDescent="0.2">
      <c r="A129" s="1198">
        <v>66</v>
      </c>
      <c r="B129" s="1137" t="s">
        <v>57</v>
      </c>
      <c r="C129" s="1200">
        <v>43628330</v>
      </c>
      <c r="D129" s="1168">
        <v>9</v>
      </c>
      <c r="E129" s="1153" t="s">
        <v>396</v>
      </c>
      <c r="F129" s="1271"/>
      <c r="G129" s="1157" t="s">
        <v>495</v>
      </c>
      <c r="H129" s="1272"/>
      <c r="I129" s="1157"/>
      <c r="J129" s="1145">
        <v>615000</v>
      </c>
      <c r="K129" s="1157"/>
      <c r="L129" s="767"/>
    </row>
    <row r="130" spans="1:12" hidden="1" x14ac:dyDescent="0.2">
      <c r="A130" s="1198">
        <v>67</v>
      </c>
      <c r="B130" s="1137" t="s">
        <v>295</v>
      </c>
      <c r="C130" s="1200">
        <v>21350229</v>
      </c>
      <c r="D130" s="1168">
        <v>7</v>
      </c>
      <c r="E130" s="1153" t="s">
        <v>396</v>
      </c>
      <c r="F130" s="1271"/>
      <c r="G130" s="1157" t="s">
        <v>496</v>
      </c>
      <c r="H130" s="1141"/>
      <c r="I130" s="1157"/>
      <c r="J130" s="1145">
        <v>-36941000</v>
      </c>
      <c r="K130" s="1157"/>
      <c r="L130" s="767"/>
    </row>
    <row r="131" spans="1:12" hidden="1" x14ac:dyDescent="0.2">
      <c r="A131" s="1198">
        <v>68</v>
      </c>
      <c r="B131" s="1137" t="s">
        <v>110</v>
      </c>
      <c r="C131" s="1200">
        <v>42995829</v>
      </c>
      <c r="D131" s="1168">
        <v>0</v>
      </c>
      <c r="E131" s="1153" t="s">
        <v>396</v>
      </c>
      <c r="F131" s="1271"/>
      <c r="G131" s="1157" t="s">
        <v>496</v>
      </c>
      <c r="H131" s="1141"/>
      <c r="I131" s="1157"/>
      <c r="J131" s="1145">
        <v>-1312000</v>
      </c>
      <c r="K131" s="1157"/>
      <c r="L131" s="767"/>
    </row>
    <row r="132" spans="1:12" hidden="1" x14ac:dyDescent="0.2">
      <c r="A132" s="1198">
        <v>69</v>
      </c>
      <c r="B132" s="1137" t="s">
        <v>121</v>
      </c>
      <c r="C132" s="1200">
        <v>87101474230</v>
      </c>
      <c r="D132" s="1168">
        <v>2</v>
      </c>
      <c r="E132" s="1153" t="s">
        <v>396</v>
      </c>
      <c r="F132" s="1271"/>
      <c r="G132" s="1157" t="s">
        <v>495</v>
      </c>
      <c r="H132" s="1272"/>
      <c r="I132" s="1157"/>
      <c r="J132" s="1145">
        <v>745000</v>
      </c>
      <c r="K132" s="1157"/>
      <c r="L132" s="767"/>
    </row>
    <row r="133" spans="1:12" hidden="1" x14ac:dyDescent="0.2">
      <c r="A133" s="1198">
        <v>70</v>
      </c>
      <c r="B133" s="1137" t="s">
        <v>413</v>
      </c>
      <c r="C133" s="1138">
        <v>1037639929</v>
      </c>
      <c r="D133" s="1168">
        <v>6</v>
      </c>
      <c r="E133" s="1153" t="s">
        <v>396</v>
      </c>
      <c r="F133" s="1271"/>
      <c r="G133" s="1157" t="s">
        <v>501</v>
      </c>
      <c r="H133" s="1272"/>
      <c r="I133" s="1157"/>
      <c r="J133" s="1145">
        <v>0</v>
      </c>
      <c r="K133" s="1157"/>
      <c r="L133" s="767"/>
    </row>
    <row r="134" spans="1:12" hidden="1" x14ac:dyDescent="0.2">
      <c r="A134" s="1198">
        <v>71</v>
      </c>
      <c r="B134" s="1137" t="s">
        <v>199</v>
      </c>
      <c r="C134" s="1200">
        <v>70049729</v>
      </c>
      <c r="D134" s="1168">
        <v>7</v>
      </c>
      <c r="E134" s="1153" t="s">
        <v>396</v>
      </c>
      <c r="F134" s="1271"/>
      <c r="G134" s="1157" t="s">
        <v>496</v>
      </c>
      <c r="H134" s="1141"/>
      <c r="I134" s="1157"/>
      <c r="J134" s="1145">
        <v>-9122000</v>
      </c>
      <c r="K134" s="1157"/>
      <c r="L134" s="767"/>
    </row>
    <row r="135" spans="1:12" hidden="1" x14ac:dyDescent="0.2">
      <c r="A135" s="1198">
        <v>72</v>
      </c>
      <c r="B135" s="1137" t="s">
        <v>162</v>
      </c>
      <c r="C135" s="1200">
        <v>43976629</v>
      </c>
      <c r="D135" s="1168">
        <v>7</v>
      </c>
      <c r="E135" s="1153" t="s">
        <v>396</v>
      </c>
      <c r="F135" s="1271"/>
      <c r="G135" s="1157" t="s">
        <v>495</v>
      </c>
      <c r="H135" s="1272"/>
      <c r="I135" s="1157"/>
      <c r="J135" s="1145">
        <v>3809000</v>
      </c>
      <c r="K135" s="1157"/>
      <c r="L135" s="767"/>
    </row>
    <row r="136" spans="1:12" hidden="1" x14ac:dyDescent="0.2">
      <c r="A136" s="1198"/>
      <c r="B136" s="1137"/>
      <c r="C136" s="1200"/>
      <c r="D136" s="1168"/>
      <c r="E136" s="1311"/>
      <c r="F136" s="1271"/>
      <c r="G136" s="1157"/>
      <c r="H136" s="1162"/>
      <c r="I136" s="1140"/>
      <c r="J136" s="1273"/>
      <c r="K136" s="1157"/>
      <c r="L136" s="767"/>
    </row>
    <row r="137" spans="1:12" hidden="1" x14ac:dyDescent="0.2">
      <c r="K137" s="1309"/>
      <c r="L137" s="767"/>
    </row>
    <row r="138" spans="1:12" hidden="1" x14ac:dyDescent="0.2">
      <c r="A138" s="348" t="s">
        <v>552</v>
      </c>
      <c r="C138" s="686"/>
      <c r="G138" s="769"/>
      <c r="H138" s="1883">
        <v>45539</v>
      </c>
      <c r="I138" s="1883"/>
      <c r="J138" s="1883"/>
      <c r="K138" s="769"/>
      <c r="L138" s="767"/>
    </row>
    <row r="139" spans="1:12" hidden="1" x14ac:dyDescent="0.2">
      <c r="C139" s="686"/>
      <c r="K139" s="1309"/>
      <c r="L139" s="767"/>
    </row>
    <row r="140" spans="1:12" hidden="1" x14ac:dyDescent="0.2">
      <c r="A140" s="1198">
        <v>73</v>
      </c>
      <c r="B140" s="1137" t="s">
        <v>407</v>
      </c>
      <c r="C140" s="1200">
        <v>43871132</v>
      </c>
      <c r="D140" s="1168">
        <v>7</v>
      </c>
      <c r="E140" s="1153" t="s">
        <v>396</v>
      </c>
      <c r="F140" s="1271"/>
      <c r="G140" s="1279"/>
      <c r="H140" s="1279"/>
      <c r="I140" s="1279"/>
      <c r="J140" s="1280"/>
      <c r="K140" s="1318" t="s">
        <v>775</v>
      </c>
      <c r="L140" s="767"/>
    </row>
    <row r="141" spans="1:12" hidden="1" x14ac:dyDescent="0.2">
      <c r="A141" s="1198">
        <v>74</v>
      </c>
      <c r="B141" s="1137" t="s">
        <v>103</v>
      </c>
      <c r="C141" s="1200">
        <v>21668232</v>
      </c>
      <c r="D141" s="1168">
        <v>6</v>
      </c>
      <c r="E141" s="1153" t="s">
        <v>396</v>
      </c>
      <c r="F141" s="1271"/>
      <c r="G141" s="1157" t="s">
        <v>496</v>
      </c>
      <c r="H141" s="1141"/>
      <c r="I141" s="1157"/>
      <c r="J141" s="1145">
        <v>-773000</v>
      </c>
      <c r="K141" s="1157"/>
      <c r="L141" s="767"/>
    </row>
    <row r="142" spans="1:12" hidden="1" x14ac:dyDescent="0.2">
      <c r="A142" s="1198">
        <v>75</v>
      </c>
      <c r="B142" s="1137" t="s">
        <v>119</v>
      </c>
      <c r="C142" s="1200">
        <v>21345431</v>
      </c>
      <c r="D142" s="1168">
        <v>9</v>
      </c>
      <c r="E142" s="1153" t="s">
        <v>396</v>
      </c>
      <c r="F142" s="1271"/>
      <c r="G142" s="1284"/>
      <c r="H142" s="1284"/>
      <c r="I142" s="1284"/>
      <c r="J142" s="1285" t="s">
        <v>776</v>
      </c>
      <c r="K142" s="1316" t="s">
        <v>777</v>
      </c>
      <c r="L142" s="767"/>
    </row>
    <row r="143" spans="1:12" hidden="1" x14ac:dyDescent="0.2">
      <c r="A143" s="1198">
        <v>76</v>
      </c>
      <c r="B143" s="1137" t="s">
        <v>143</v>
      </c>
      <c r="C143" s="1200">
        <v>32504732</v>
      </c>
      <c r="D143" s="1168">
        <v>3</v>
      </c>
      <c r="E143" s="1153" t="s">
        <v>396</v>
      </c>
      <c r="F143" s="1271"/>
      <c r="G143" s="1157" t="s">
        <v>496</v>
      </c>
      <c r="H143" s="1141"/>
      <c r="I143" s="1157"/>
      <c r="J143" s="1145">
        <v>-1045000</v>
      </c>
      <c r="K143" s="1157"/>
      <c r="L143" s="767"/>
    </row>
    <row r="144" spans="1:12" hidden="1" x14ac:dyDescent="0.2">
      <c r="A144" s="1198">
        <v>77</v>
      </c>
      <c r="B144" s="1137" t="s">
        <v>489</v>
      </c>
      <c r="C144" s="1200">
        <v>1152450831</v>
      </c>
      <c r="D144" s="1168">
        <v>7</v>
      </c>
      <c r="E144" s="1153" t="s">
        <v>396</v>
      </c>
      <c r="F144" s="1271"/>
      <c r="G144" s="1284"/>
      <c r="H144" s="1284"/>
      <c r="I144" s="1279"/>
      <c r="J144" s="1280"/>
      <c r="K144" s="1318" t="s">
        <v>775</v>
      </c>
      <c r="L144" s="767"/>
    </row>
    <row r="145" spans="1:12" hidden="1" x14ac:dyDescent="0.2">
      <c r="A145" s="1198"/>
      <c r="B145" s="1137"/>
      <c r="C145" s="1200"/>
      <c r="D145" s="1168"/>
      <c r="E145" s="1311"/>
      <c r="F145" s="1271"/>
      <c r="G145" s="1157"/>
      <c r="H145" s="1162"/>
      <c r="I145" s="1140"/>
      <c r="J145" s="1273"/>
      <c r="K145" s="1157"/>
      <c r="L145" s="767"/>
    </row>
    <row r="146" spans="1:12" hidden="1" x14ac:dyDescent="0.2">
      <c r="K146" s="1309"/>
      <c r="L146" s="767"/>
    </row>
    <row r="147" spans="1:12" hidden="1" x14ac:dyDescent="0.2">
      <c r="A147" s="348" t="s">
        <v>553</v>
      </c>
      <c r="C147" s="686"/>
      <c r="G147" s="769"/>
      <c r="H147" s="1883">
        <v>45540</v>
      </c>
      <c r="I147" s="1883"/>
      <c r="J147" s="1883"/>
      <c r="K147" s="769"/>
      <c r="L147" s="767"/>
    </row>
    <row r="148" spans="1:12" hidden="1" x14ac:dyDescent="0.2">
      <c r="C148" s="686"/>
      <c r="K148" s="1309"/>
      <c r="L148" s="767"/>
    </row>
    <row r="149" spans="1:12" hidden="1" x14ac:dyDescent="0.2">
      <c r="A149" s="1198">
        <v>78</v>
      </c>
      <c r="B149" s="1137" t="s">
        <v>390</v>
      </c>
      <c r="C149" s="1200">
        <v>43422834</v>
      </c>
      <c r="D149" s="1168">
        <v>3</v>
      </c>
      <c r="E149" s="1153" t="s">
        <v>396</v>
      </c>
      <c r="F149" s="1271"/>
      <c r="G149" s="1157" t="s">
        <v>496</v>
      </c>
      <c r="H149" s="1141"/>
      <c r="I149" s="1157"/>
      <c r="J149" s="1145">
        <v>-4335000</v>
      </c>
      <c r="K149" s="1157"/>
      <c r="L149" s="767"/>
    </row>
    <row r="150" spans="1:12" hidden="1" x14ac:dyDescent="0.2">
      <c r="A150" s="1198">
        <v>79</v>
      </c>
      <c r="B150" s="1137" t="s">
        <v>325</v>
      </c>
      <c r="C150" s="1200">
        <v>43220534</v>
      </c>
      <c r="D150" s="1168">
        <v>1</v>
      </c>
      <c r="E150" s="1153" t="s">
        <v>396</v>
      </c>
      <c r="F150" s="1271"/>
      <c r="G150" s="1157" t="s">
        <v>501</v>
      </c>
      <c r="H150" s="1272"/>
      <c r="I150" s="1157"/>
      <c r="J150" s="1145">
        <v>0</v>
      </c>
      <c r="K150" s="1157"/>
      <c r="L150" s="767"/>
    </row>
    <row r="151" spans="1:12" hidden="1" x14ac:dyDescent="0.2">
      <c r="A151" s="1198">
        <v>80</v>
      </c>
      <c r="B151" s="1137" t="s">
        <v>111</v>
      </c>
      <c r="C151" s="1200">
        <v>43152033</v>
      </c>
      <c r="D151" s="1168">
        <v>1</v>
      </c>
      <c r="E151" s="1153" t="s">
        <v>396</v>
      </c>
      <c r="F151" s="1271"/>
      <c r="G151" s="1157" t="s">
        <v>496</v>
      </c>
      <c r="H151" s="1141"/>
      <c r="I151" s="1157"/>
      <c r="J151" s="1145">
        <v>-475000</v>
      </c>
      <c r="K151" s="1157"/>
      <c r="L151" s="767"/>
    </row>
    <row r="152" spans="1:12" hidden="1" x14ac:dyDescent="0.2">
      <c r="A152" s="1198">
        <v>81</v>
      </c>
      <c r="B152" s="1137" t="s">
        <v>759</v>
      </c>
      <c r="C152" s="1200">
        <v>3361134</v>
      </c>
      <c r="D152" s="1168">
        <v>8</v>
      </c>
      <c r="E152" s="1153"/>
      <c r="F152" s="1271"/>
      <c r="G152" s="1284"/>
      <c r="H152" s="1284"/>
      <c r="I152" s="1279"/>
      <c r="J152" s="1280"/>
      <c r="K152" s="1318" t="s">
        <v>775</v>
      </c>
      <c r="L152" s="767"/>
    </row>
    <row r="153" spans="1:12" hidden="1" x14ac:dyDescent="0.2">
      <c r="A153" s="1198">
        <v>82</v>
      </c>
      <c r="B153" s="1137" t="s">
        <v>136</v>
      </c>
      <c r="C153" s="1200">
        <v>43978133</v>
      </c>
      <c r="D153" s="1168">
        <v>5</v>
      </c>
      <c r="E153" s="1153" t="s">
        <v>396</v>
      </c>
      <c r="F153" s="1271"/>
      <c r="G153" s="1157" t="s">
        <v>495</v>
      </c>
      <c r="H153" s="1272"/>
      <c r="I153" s="1157"/>
      <c r="J153" s="1145">
        <v>10607000</v>
      </c>
      <c r="K153" s="1157"/>
      <c r="L153" s="767"/>
    </row>
    <row r="154" spans="1:12" hidden="1" x14ac:dyDescent="0.2">
      <c r="A154" s="1198">
        <v>83</v>
      </c>
      <c r="B154" s="1137" t="s">
        <v>778</v>
      </c>
      <c r="C154" s="1200">
        <v>43903734</v>
      </c>
      <c r="D154" s="1168">
        <v>1</v>
      </c>
      <c r="E154" s="1153"/>
      <c r="F154" s="1271"/>
      <c r="G154" s="1157" t="s">
        <v>495</v>
      </c>
      <c r="H154" s="1272"/>
      <c r="I154" s="1157"/>
      <c r="J154" s="1145">
        <v>3094000</v>
      </c>
      <c r="K154" s="1140" t="s">
        <v>779</v>
      </c>
      <c r="L154" s="767"/>
    </row>
    <row r="155" spans="1:12" hidden="1" x14ac:dyDescent="0.2">
      <c r="A155" s="1198"/>
      <c r="B155" s="1137"/>
      <c r="C155" s="1200"/>
      <c r="D155" s="1168"/>
      <c r="E155" s="1311"/>
      <c r="F155" s="1271"/>
      <c r="G155" s="1157"/>
      <c r="H155" s="1196"/>
      <c r="I155" s="1140"/>
      <c r="J155" s="1273"/>
      <c r="K155" s="1157"/>
      <c r="L155" s="767"/>
    </row>
    <row r="156" spans="1:12" hidden="1" x14ac:dyDescent="0.2">
      <c r="K156" s="1309"/>
      <c r="L156" s="767"/>
    </row>
    <row r="157" spans="1:12" hidden="1" x14ac:dyDescent="0.2">
      <c r="A157" s="348" t="s">
        <v>554</v>
      </c>
      <c r="C157" s="686"/>
      <c r="G157" s="769"/>
      <c r="H157" s="1883">
        <v>45541</v>
      </c>
      <c r="I157" s="1883"/>
      <c r="J157" s="1883"/>
      <c r="K157" s="769"/>
      <c r="L157" s="767"/>
    </row>
    <row r="158" spans="1:12" hidden="1" x14ac:dyDescent="0.2">
      <c r="C158" s="686"/>
      <c r="K158" s="1309"/>
      <c r="L158" s="767"/>
    </row>
    <row r="159" spans="1:12" hidden="1" x14ac:dyDescent="0.2">
      <c r="A159" s="1198"/>
      <c r="B159" s="1137"/>
      <c r="C159" s="1200"/>
      <c r="D159" s="1168"/>
      <c r="E159" s="1153" t="s">
        <v>396</v>
      </c>
      <c r="F159" s="1271"/>
      <c r="G159" s="1157"/>
      <c r="H159" s="1162"/>
      <c r="I159" s="1140"/>
      <c r="J159" s="1273"/>
      <c r="K159" s="1157"/>
      <c r="L159" s="767"/>
    </row>
    <row r="160" spans="1:12" hidden="1" x14ac:dyDescent="0.2">
      <c r="K160" s="1309"/>
      <c r="L160" s="767"/>
    </row>
    <row r="161" spans="1:25" hidden="1" x14ac:dyDescent="0.2">
      <c r="A161" s="348" t="s">
        <v>555</v>
      </c>
      <c r="C161" s="686"/>
      <c r="G161" s="769"/>
      <c r="H161" s="1883">
        <v>45544</v>
      </c>
      <c r="I161" s="1883"/>
      <c r="J161" s="1883"/>
      <c r="K161" s="769"/>
      <c r="L161" s="767"/>
    </row>
    <row r="162" spans="1:25" hidden="1" x14ac:dyDescent="0.2">
      <c r="C162" s="686"/>
      <c r="K162" s="1309"/>
      <c r="L162" s="767"/>
    </row>
    <row r="163" spans="1:25" hidden="1" x14ac:dyDescent="0.2">
      <c r="A163" s="1198">
        <v>83</v>
      </c>
      <c r="B163" s="1137" t="s">
        <v>652</v>
      </c>
      <c r="C163" s="1200">
        <v>10192638</v>
      </c>
      <c r="D163" s="1168">
        <v>8</v>
      </c>
      <c r="E163" s="1153" t="s">
        <v>396</v>
      </c>
      <c r="F163" s="1271"/>
      <c r="G163" s="1274"/>
      <c r="H163" s="1274"/>
      <c r="I163" s="1274"/>
      <c r="J163" s="1275"/>
      <c r="K163" s="1312" t="s">
        <v>654</v>
      </c>
      <c r="L163" s="767"/>
    </row>
    <row r="164" spans="1:25" hidden="1" x14ac:dyDescent="0.2">
      <c r="A164" s="1198">
        <v>84</v>
      </c>
      <c r="B164" s="1137" t="s">
        <v>84</v>
      </c>
      <c r="C164" s="1200">
        <v>52009137</v>
      </c>
      <c r="D164" s="1168">
        <v>0</v>
      </c>
      <c r="E164" s="1153" t="s">
        <v>396</v>
      </c>
      <c r="F164" s="1271"/>
      <c r="G164" s="1157" t="s">
        <v>496</v>
      </c>
      <c r="H164" s="1141"/>
      <c r="I164" s="1157"/>
      <c r="J164" s="1145">
        <v>-1730000</v>
      </c>
      <c r="K164" s="1157"/>
      <c r="L164" s="767"/>
    </row>
    <row r="165" spans="1:25" hidden="1" x14ac:dyDescent="0.2">
      <c r="A165" s="1198">
        <v>85</v>
      </c>
      <c r="B165" s="1137" t="s">
        <v>607</v>
      </c>
      <c r="C165" s="1200">
        <v>1128457837</v>
      </c>
      <c r="D165" s="1168">
        <v>5</v>
      </c>
      <c r="E165" s="1153" t="s">
        <v>396</v>
      </c>
      <c r="F165" s="1139"/>
      <c r="G165" s="1157" t="s">
        <v>495</v>
      </c>
      <c r="H165" s="1272"/>
      <c r="I165" s="1157"/>
      <c r="J165" s="1145">
        <v>786000</v>
      </c>
      <c r="K165" s="1277" t="s">
        <v>794</v>
      </c>
      <c r="L165" s="767"/>
    </row>
    <row r="166" spans="1:25" hidden="1" x14ac:dyDescent="0.2">
      <c r="A166" s="1198">
        <v>86</v>
      </c>
      <c r="B166" s="1137" t="s">
        <v>780</v>
      </c>
      <c r="C166" s="1200">
        <v>43617037</v>
      </c>
      <c r="D166" s="1168">
        <v>8</v>
      </c>
      <c r="E166" s="1153" t="s">
        <v>396</v>
      </c>
      <c r="F166" s="1139"/>
      <c r="G166" s="1157" t="s">
        <v>501</v>
      </c>
      <c r="H166" s="1272"/>
      <c r="I166" s="1157"/>
      <c r="J166" s="1145">
        <v>0</v>
      </c>
      <c r="K166" s="1319" t="s">
        <v>781</v>
      </c>
      <c r="L166" s="767"/>
    </row>
    <row r="167" spans="1:25" ht="25.5" hidden="1" x14ac:dyDescent="0.2">
      <c r="A167" s="1198">
        <v>87</v>
      </c>
      <c r="B167" s="1137" t="s">
        <v>144</v>
      </c>
      <c r="C167" s="1200">
        <v>42871237</v>
      </c>
      <c r="D167" s="1168">
        <v>8</v>
      </c>
      <c r="E167" s="1153" t="s">
        <v>396</v>
      </c>
      <c r="F167" s="1277" t="s">
        <v>318</v>
      </c>
      <c r="G167" s="1157" t="s">
        <v>495</v>
      </c>
      <c r="H167" s="1272"/>
      <c r="I167" s="1157"/>
      <c r="J167" s="1145">
        <v>1032000</v>
      </c>
      <c r="K167" s="1157"/>
      <c r="L167" s="767"/>
    </row>
    <row r="168" spans="1:25" hidden="1" x14ac:dyDescent="0.2">
      <c r="A168" s="1198"/>
      <c r="B168" s="1137"/>
      <c r="C168" s="1200"/>
      <c r="D168" s="1168"/>
      <c r="E168" s="1153"/>
      <c r="F168" s="1271"/>
      <c r="G168" s="1157"/>
      <c r="H168" s="1162"/>
      <c r="I168" s="1140"/>
      <c r="J168" s="1273"/>
      <c r="K168" s="1157"/>
      <c r="L168" s="767"/>
    </row>
    <row r="169" spans="1:25" hidden="1" x14ac:dyDescent="0.2">
      <c r="K169" s="1309"/>
      <c r="L169" s="767"/>
    </row>
    <row r="170" spans="1:25" hidden="1" x14ac:dyDescent="0.2">
      <c r="A170" s="348" t="s">
        <v>556</v>
      </c>
      <c r="C170" s="686"/>
      <c r="G170" s="769"/>
      <c r="H170" s="1883">
        <v>45545</v>
      </c>
      <c r="I170" s="1883"/>
      <c r="J170" s="1883"/>
      <c r="K170" s="769"/>
      <c r="L170" s="767"/>
    </row>
    <row r="171" spans="1:25" hidden="1" x14ac:dyDescent="0.2">
      <c r="C171" s="686"/>
      <c r="K171" s="1309"/>
      <c r="L171" s="767"/>
    </row>
    <row r="172" spans="1:25" hidden="1" x14ac:dyDescent="0.2">
      <c r="A172" s="1198">
        <v>88</v>
      </c>
      <c r="B172" s="1137" t="s">
        <v>40</v>
      </c>
      <c r="C172" s="1200">
        <v>8105540</v>
      </c>
      <c r="D172" s="1168">
        <v>7</v>
      </c>
      <c r="E172" s="1153" t="s">
        <v>396</v>
      </c>
      <c r="F172" s="1271"/>
      <c r="G172" s="1157" t="s">
        <v>495</v>
      </c>
      <c r="H172" s="1272"/>
      <c r="I172" s="1157"/>
      <c r="J172" s="1145">
        <v>1712000</v>
      </c>
      <c r="K172" s="1157"/>
      <c r="L172" s="767"/>
    </row>
    <row r="173" spans="1:25" ht="25.5" hidden="1" x14ac:dyDescent="0.2">
      <c r="A173" s="1198">
        <v>89</v>
      </c>
      <c r="B173" s="1137" t="s">
        <v>313</v>
      </c>
      <c r="C173" s="1200">
        <v>21344340</v>
      </c>
      <c r="D173" s="1168">
        <v>2</v>
      </c>
      <c r="E173" s="1153" t="s">
        <v>396</v>
      </c>
      <c r="F173" s="1271"/>
      <c r="G173" s="1157" t="s">
        <v>496</v>
      </c>
      <c r="H173" s="1141"/>
      <c r="I173" s="1157"/>
      <c r="J173" s="1145">
        <v>-5830000</v>
      </c>
      <c r="K173" s="1157"/>
      <c r="L173" s="767"/>
    </row>
    <row r="174" spans="1:25" hidden="1" x14ac:dyDescent="0.2">
      <c r="A174" s="1198">
        <v>90</v>
      </c>
      <c r="B174" s="1137" t="s">
        <v>47</v>
      </c>
      <c r="C174" s="1200">
        <v>1000410740</v>
      </c>
      <c r="D174" s="1168">
        <v>2</v>
      </c>
      <c r="E174" s="1153" t="s">
        <v>396</v>
      </c>
      <c r="F174" s="1271"/>
      <c r="G174" s="1157" t="s">
        <v>501</v>
      </c>
      <c r="H174" s="1272"/>
      <c r="I174" s="1157"/>
      <c r="J174" s="1145">
        <v>0</v>
      </c>
      <c r="K174" s="1157"/>
      <c r="L174" s="767"/>
    </row>
    <row r="175" spans="1:25" hidden="1" x14ac:dyDescent="0.2">
      <c r="A175" s="1198">
        <v>91</v>
      </c>
      <c r="B175" s="1137" t="s">
        <v>294</v>
      </c>
      <c r="C175" s="1200">
        <v>3473739</v>
      </c>
      <c r="D175" s="1168">
        <v>4</v>
      </c>
      <c r="E175" s="1153" t="s">
        <v>396</v>
      </c>
      <c r="F175" s="1271"/>
      <c r="G175" s="1157" t="s">
        <v>496</v>
      </c>
      <c r="H175" s="1141"/>
      <c r="I175" s="1157"/>
      <c r="J175" s="1145">
        <v>-130761000</v>
      </c>
      <c r="K175" s="1157"/>
      <c r="L175" s="767"/>
    </row>
    <row r="176" spans="1:25" s="1317" customFormat="1" ht="24.95" hidden="1" customHeight="1" x14ac:dyDescent="0.2">
      <c r="A176" s="1198">
        <v>92</v>
      </c>
      <c r="B176" s="1137" t="s">
        <v>83</v>
      </c>
      <c r="C176" s="1200">
        <v>21331840</v>
      </c>
      <c r="D176" s="1168">
        <v>7</v>
      </c>
      <c r="E176" s="1153" t="s">
        <v>396</v>
      </c>
      <c r="F176" s="1271"/>
      <c r="G176" s="1157" t="s">
        <v>495</v>
      </c>
      <c r="H176" s="1272"/>
      <c r="I176" s="1157"/>
      <c r="J176" s="1145">
        <v>4048000</v>
      </c>
      <c r="K176" s="1157"/>
      <c r="L176" s="767"/>
      <c r="M176" s="1309"/>
      <c r="N176" s="1309"/>
      <c r="O176" s="1309"/>
      <c r="P176" s="1309"/>
      <c r="Q176" s="1309"/>
      <c r="R176" s="1309"/>
      <c r="S176" s="1309"/>
      <c r="T176" s="1309"/>
      <c r="U176" s="1309"/>
      <c r="V176" s="1309"/>
      <c r="W176" s="1309"/>
      <c r="X176" s="1309"/>
      <c r="Y176" s="1309"/>
    </row>
    <row r="177" spans="1:12" hidden="1" x14ac:dyDescent="0.2">
      <c r="A177" s="1198"/>
      <c r="B177" s="1137"/>
      <c r="C177" s="1200"/>
      <c r="D177" s="1168"/>
      <c r="E177" s="1311"/>
      <c r="F177" s="1271"/>
      <c r="G177" s="1157"/>
      <c r="H177" s="1162"/>
      <c r="I177" s="1140"/>
      <c r="J177" s="1273"/>
      <c r="K177" s="1157"/>
      <c r="L177" s="767"/>
    </row>
    <row r="178" spans="1:12" hidden="1" x14ac:dyDescent="0.2">
      <c r="K178" s="1309"/>
      <c r="L178" s="767"/>
    </row>
    <row r="179" spans="1:12" hidden="1" x14ac:dyDescent="0.2">
      <c r="A179" s="348" t="s">
        <v>557</v>
      </c>
      <c r="C179" s="686"/>
      <c r="G179" s="769"/>
      <c r="H179" s="1883">
        <v>45546</v>
      </c>
      <c r="I179" s="1883"/>
      <c r="J179" s="1883"/>
      <c r="K179" s="769"/>
      <c r="L179" s="767"/>
    </row>
    <row r="180" spans="1:12" hidden="1" x14ac:dyDescent="0.2">
      <c r="C180" s="686"/>
      <c r="K180" s="1309"/>
      <c r="L180" s="767"/>
    </row>
    <row r="181" spans="1:12" hidden="1" x14ac:dyDescent="0.2">
      <c r="A181" s="1198">
        <v>93</v>
      </c>
      <c r="B181" s="1137" t="s">
        <v>79</v>
      </c>
      <c r="C181" s="1200">
        <v>43166841</v>
      </c>
      <c r="D181" s="1168">
        <v>7</v>
      </c>
      <c r="E181" s="1153" t="s">
        <v>396</v>
      </c>
      <c r="F181" s="1271"/>
      <c r="G181" s="1157" t="s">
        <v>501</v>
      </c>
      <c r="H181" s="1272"/>
      <c r="I181" s="1157"/>
      <c r="J181" s="1145">
        <v>0</v>
      </c>
      <c r="K181" s="1157"/>
      <c r="L181" s="767"/>
    </row>
    <row r="182" spans="1:12" ht="24.95" hidden="1" customHeight="1" x14ac:dyDescent="0.2">
      <c r="A182" s="1198">
        <v>94</v>
      </c>
      <c r="B182" s="1137" t="s">
        <v>88</v>
      </c>
      <c r="C182" s="1200">
        <v>15502041</v>
      </c>
      <c r="D182" s="1168">
        <v>1</v>
      </c>
      <c r="E182" s="1153" t="s">
        <v>396</v>
      </c>
      <c r="F182" s="1271"/>
      <c r="G182" s="1157" t="s">
        <v>496</v>
      </c>
      <c r="H182" s="1141"/>
      <c r="I182" s="1157"/>
      <c r="J182" s="1145">
        <v>-603000</v>
      </c>
      <c r="K182" s="1157"/>
      <c r="L182" s="767"/>
    </row>
    <row r="183" spans="1:12" hidden="1" x14ac:dyDescent="0.2">
      <c r="A183" s="1198">
        <v>95</v>
      </c>
      <c r="B183" s="1137" t="s">
        <v>101</v>
      </c>
      <c r="C183" s="1200">
        <v>98514541</v>
      </c>
      <c r="D183" s="1168">
        <v>6</v>
      </c>
      <c r="E183" s="1153" t="s">
        <v>396</v>
      </c>
      <c r="F183" s="1271"/>
      <c r="G183" s="1157" t="s">
        <v>496</v>
      </c>
      <c r="H183" s="1141"/>
      <c r="I183" s="1157"/>
      <c r="J183" s="1145">
        <v>-1600000</v>
      </c>
      <c r="K183" s="1157"/>
      <c r="L183" s="767"/>
    </row>
    <row r="184" spans="1:12" hidden="1" x14ac:dyDescent="0.2">
      <c r="A184" s="1198"/>
      <c r="B184" s="1137"/>
      <c r="C184" s="1200"/>
      <c r="D184" s="1168"/>
      <c r="E184" s="1311"/>
      <c r="F184" s="1271"/>
      <c r="G184" s="1157"/>
      <c r="H184" s="1162"/>
      <c r="I184" s="1140"/>
      <c r="J184" s="1273"/>
      <c r="K184" s="1157"/>
      <c r="L184" s="767"/>
    </row>
    <row r="185" spans="1:12" hidden="1" x14ac:dyDescent="0.2">
      <c r="K185" s="1309"/>
      <c r="L185" s="767"/>
    </row>
    <row r="186" spans="1:12" hidden="1" x14ac:dyDescent="0.2">
      <c r="A186" s="348" t="s">
        <v>558</v>
      </c>
      <c r="C186" s="686"/>
      <c r="G186" s="769"/>
      <c r="H186" s="1883">
        <v>45547</v>
      </c>
      <c r="I186" s="1883"/>
      <c r="J186" s="1883"/>
      <c r="K186" s="769"/>
      <c r="L186" s="767"/>
    </row>
    <row r="187" spans="1:12" hidden="1" x14ac:dyDescent="0.2">
      <c r="C187" s="686"/>
      <c r="K187" s="1309"/>
      <c r="L187" s="767"/>
    </row>
    <row r="188" spans="1:12" hidden="1" x14ac:dyDescent="0.2">
      <c r="A188" s="1198">
        <v>96</v>
      </c>
      <c r="B188" s="1137" t="s">
        <v>324</v>
      </c>
      <c r="C188" s="1200">
        <v>42876443</v>
      </c>
      <c r="D188" s="1168">
        <v>1</v>
      </c>
      <c r="E188" s="1153" t="s">
        <v>396</v>
      </c>
      <c r="F188" s="1271"/>
      <c r="G188" s="1157" t="s">
        <v>495</v>
      </c>
      <c r="H188" s="1272"/>
      <c r="I188" s="1157"/>
      <c r="J188" s="1145">
        <v>3420000</v>
      </c>
      <c r="K188" s="1316" t="s">
        <v>653</v>
      </c>
      <c r="L188" s="767"/>
    </row>
    <row r="189" spans="1:12" hidden="1" x14ac:dyDescent="0.2">
      <c r="A189" s="1198">
        <v>97</v>
      </c>
      <c r="B189" s="1137" t="s">
        <v>76</v>
      </c>
      <c r="C189" s="1200">
        <v>1040182444</v>
      </c>
      <c r="D189" s="1168">
        <v>3</v>
      </c>
      <c r="E189" s="1153" t="s">
        <v>396</v>
      </c>
      <c r="F189" s="1271"/>
      <c r="G189" s="1157" t="s">
        <v>495</v>
      </c>
      <c r="H189" s="1272"/>
      <c r="I189" s="1157"/>
      <c r="J189" s="1145">
        <v>5769000</v>
      </c>
      <c r="K189" s="1157"/>
      <c r="L189" s="767"/>
    </row>
    <row r="190" spans="1:12" ht="25.5" hidden="1" x14ac:dyDescent="0.2">
      <c r="A190" s="1198">
        <v>98</v>
      </c>
      <c r="B190" s="1154" t="s">
        <v>242</v>
      </c>
      <c r="C190" s="1200">
        <v>20270143</v>
      </c>
      <c r="D190" s="1168">
        <v>5</v>
      </c>
      <c r="E190" s="1153" t="s">
        <v>396</v>
      </c>
      <c r="F190" s="1271"/>
      <c r="G190" s="1157" t="s">
        <v>496</v>
      </c>
      <c r="H190" s="1141"/>
      <c r="I190" s="1157"/>
      <c r="J190" s="1145">
        <v>-2600000</v>
      </c>
      <c r="K190" s="1157"/>
      <c r="L190" s="767"/>
    </row>
    <row r="191" spans="1:12" hidden="1" x14ac:dyDescent="0.2">
      <c r="A191" s="1198">
        <v>99</v>
      </c>
      <c r="B191" s="1137" t="s">
        <v>117</v>
      </c>
      <c r="C191" s="1200">
        <v>92102300043</v>
      </c>
      <c r="D191" s="1168">
        <v>1</v>
      </c>
      <c r="E191" s="1153" t="s">
        <v>396</v>
      </c>
      <c r="F191" s="1271"/>
      <c r="G191" s="1157" t="s">
        <v>495</v>
      </c>
      <c r="H191" s="1272"/>
      <c r="I191" s="1157"/>
      <c r="J191" s="1145">
        <v>285000</v>
      </c>
      <c r="K191" s="1157" t="s">
        <v>782</v>
      </c>
      <c r="L191" s="767"/>
    </row>
    <row r="192" spans="1:12" hidden="1" x14ac:dyDescent="0.2">
      <c r="A192" s="1198">
        <v>100</v>
      </c>
      <c r="B192" s="1137" t="s">
        <v>138</v>
      </c>
      <c r="C192" s="1200">
        <v>43628444</v>
      </c>
      <c r="D192" s="1168">
        <v>1</v>
      </c>
      <c r="E192" s="1153" t="s">
        <v>396</v>
      </c>
      <c r="F192" s="1271"/>
      <c r="G192" s="1157" t="s">
        <v>495</v>
      </c>
      <c r="H192" s="1272"/>
      <c r="I192" s="1157"/>
      <c r="J192" s="1145">
        <v>661000</v>
      </c>
      <c r="K192" s="1157"/>
      <c r="L192" s="767"/>
    </row>
    <row r="193" spans="1:12" hidden="1" x14ac:dyDescent="0.2">
      <c r="A193" s="1198"/>
      <c r="B193" s="1137"/>
      <c r="C193" s="1200"/>
      <c r="D193" s="1168"/>
      <c r="E193" s="1311"/>
      <c r="F193" s="1271"/>
      <c r="G193" s="1157"/>
      <c r="H193" s="1162"/>
      <c r="I193" s="1140"/>
      <c r="J193" s="1273"/>
      <c r="K193" s="1157"/>
      <c r="L193" s="767"/>
    </row>
    <row r="194" spans="1:12" hidden="1" x14ac:dyDescent="0.2">
      <c r="K194" s="1309"/>
      <c r="L194" s="767"/>
    </row>
    <row r="195" spans="1:12" hidden="1" x14ac:dyDescent="0.2">
      <c r="A195" s="348" t="s">
        <v>559</v>
      </c>
      <c r="C195" s="686"/>
      <c r="G195" s="769"/>
      <c r="H195" s="1883">
        <v>45548</v>
      </c>
      <c r="I195" s="1883"/>
      <c r="J195" s="1883"/>
      <c r="K195" s="769"/>
      <c r="L195" s="767"/>
    </row>
    <row r="196" spans="1:12" hidden="1" x14ac:dyDescent="0.2">
      <c r="C196" s="686"/>
      <c r="K196" s="1309"/>
      <c r="L196" s="767"/>
    </row>
    <row r="197" spans="1:12" hidden="1" x14ac:dyDescent="0.2">
      <c r="A197" s="1198">
        <v>101</v>
      </c>
      <c r="B197" s="1137" t="s">
        <v>408</v>
      </c>
      <c r="C197" s="1200">
        <v>21831445</v>
      </c>
      <c r="D197" s="1168">
        <v>6</v>
      </c>
      <c r="E197" s="1153" t="s">
        <v>396</v>
      </c>
      <c r="F197" s="1271"/>
      <c r="G197" s="1157" t="s">
        <v>501</v>
      </c>
      <c r="H197" s="1272"/>
      <c r="I197" s="1157"/>
      <c r="J197" s="1145">
        <v>0</v>
      </c>
      <c r="K197" s="1282"/>
      <c r="L197" s="767"/>
    </row>
    <row r="198" spans="1:12" hidden="1" x14ac:dyDescent="0.2">
      <c r="A198" s="1198">
        <v>102</v>
      </c>
      <c r="B198" s="1137" t="s">
        <v>403</v>
      </c>
      <c r="C198" s="1200">
        <v>70875845</v>
      </c>
      <c r="D198" s="1168">
        <v>6</v>
      </c>
      <c r="E198" s="1153" t="s">
        <v>396</v>
      </c>
      <c r="F198" s="1271"/>
      <c r="G198" s="1157" t="s">
        <v>501</v>
      </c>
      <c r="H198" s="1272"/>
      <c r="I198" s="1157"/>
      <c r="J198" s="1145">
        <v>0</v>
      </c>
      <c r="K198" s="1282"/>
      <c r="L198" s="767"/>
    </row>
    <row r="199" spans="1:12" hidden="1" x14ac:dyDescent="0.2">
      <c r="A199" s="1198"/>
      <c r="B199" s="1137"/>
      <c r="C199" s="1200"/>
      <c r="D199" s="1168"/>
      <c r="E199" s="1311"/>
      <c r="F199" s="1271"/>
      <c r="G199" s="1157"/>
      <c r="H199" s="1162"/>
      <c r="I199" s="1140"/>
      <c r="J199" s="1273"/>
      <c r="K199" s="1157"/>
      <c r="L199" s="767"/>
    </row>
    <row r="200" spans="1:12" hidden="1" x14ac:dyDescent="0.2">
      <c r="K200" s="1309"/>
      <c r="L200" s="767"/>
    </row>
    <row r="201" spans="1:12" hidden="1" x14ac:dyDescent="0.2">
      <c r="A201" s="348" t="s">
        <v>560</v>
      </c>
      <c r="C201" s="686"/>
      <c r="G201" s="769"/>
      <c r="H201" s="1883">
        <v>45551</v>
      </c>
      <c r="I201" s="1883"/>
      <c r="J201" s="1883"/>
      <c r="K201" s="769"/>
      <c r="L201" s="767"/>
    </row>
    <row r="202" spans="1:12" hidden="1" x14ac:dyDescent="0.2">
      <c r="C202" s="686"/>
      <c r="K202" s="1309"/>
      <c r="L202" s="767"/>
    </row>
    <row r="203" spans="1:12" hidden="1" x14ac:dyDescent="0.2">
      <c r="A203" s="1198">
        <v>103</v>
      </c>
      <c r="B203" s="1137" t="s">
        <v>11</v>
      </c>
      <c r="C203" s="1200">
        <v>98554347</v>
      </c>
      <c r="D203" s="1168">
        <v>4</v>
      </c>
      <c r="E203" s="1153" t="s">
        <v>396</v>
      </c>
      <c r="F203" s="1271"/>
      <c r="G203" s="1157" t="s">
        <v>501</v>
      </c>
      <c r="H203" s="1272"/>
      <c r="I203" s="1157"/>
      <c r="J203" s="1145">
        <v>0</v>
      </c>
      <c r="K203" s="1157"/>
      <c r="L203" s="767"/>
    </row>
    <row r="204" spans="1:12" hidden="1" x14ac:dyDescent="0.2">
      <c r="A204" s="1198">
        <v>104</v>
      </c>
      <c r="B204" s="1137" t="s">
        <v>54</v>
      </c>
      <c r="C204" s="1200">
        <v>6053547</v>
      </c>
      <c r="D204" s="1168">
        <v>6</v>
      </c>
      <c r="E204" s="1153" t="s">
        <v>396</v>
      </c>
      <c r="F204" s="1271"/>
      <c r="G204" s="1157" t="s">
        <v>496</v>
      </c>
      <c r="H204" s="1141"/>
      <c r="I204" s="1157"/>
      <c r="J204" s="1145">
        <v>-3711000</v>
      </c>
      <c r="K204" s="1157"/>
      <c r="L204" s="767"/>
    </row>
    <row r="205" spans="1:12" ht="24.95" hidden="1" customHeight="1" x14ac:dyDescent="0.2">
      <c r="A205" s="1198">
        <v>105</v>
      </c>
      <c r="B205" s="1137" t="s">
        <v>409</v>
      </c>
      <c r="C205" s="1200">
        <v>43079748</v>
      </c>
      <c r="D205" s="1168">
        <v>7</v>
      </c>
      <c r="E205" s="1153" t="s">
        <v>396</v>
      </c>
      <c r="F205" s="1271"/>
      <c r="G205" s="1157" t="s">
        <v>501</v>
      </c>
      <c r="H205" s="1272"/>
      <c r="I205" s="1157"/>
      <c r="J205" s="1145">
        <v>0</v>
      </c>
      <c r="K205" s="1282"/>
      <c r="L205" s="767"/>
    </row>
    <row r="206" spans="1:12" hidden="1" x14ac:dyDescent="0.2">
      <c r="A206" s="1198">
        <v>106</v>
      </c>
      <c r="B206" s="1137" t="s">
        <v>105</v>
      </c>
      <c r="C206" s="1200">
        <v>3305848</v>
      </c>
      <c r="D206" s="1168">
        <v>1</v>
      </c>
      <c r="E206" s="1153" t="s">
        <v>396</v>
      </c>
      <c r="F206" s="1271"/>
      <c r="G206" s="1157" t="s">
        <v>496</v>
      </c>
      <c r="H206" s="1141"/>
      <c r="I206" s="1157"/>
      <c r="J206" s="1145">
        <v>-1484000</v>
      </c>
      <c r="K206" s="1316" t="s">
        <v>798</v>
      </c>
      <c r="L206" s="767"/>
    </row>
    <row r="207" spans="1:12" hidden="1" x14ac:dyDescent="0.2">
      <c r="A207" s="1198"/>
      <c r="B207" s="1137"/>
      <c r="C207" s="1200"/>
      <c r="D207" s="1168"/>
      <c r="E207" s="1311"/>
      <c r="F207" s="1271"/>
      <c r="G207" s="1157"/>
      <c r="H207" s="1162"/>
      <c r="I207" s="1140"/>
      <c r="J207" s="1273"/>
      <c r="K207" s="1157"/>
      <c r="L207" s="767"/>
    </row>
    <row r="208" spans="1:12" hidden="1" x14ac:dyDescent="0.2">
      <c r="K208" s="1309"/>
      <c r="L208" s="767"/>
    </row>
    <row r="209" spans="1:12" hidden="1" x14ac:dyDescent="0.2">
      <c r="A209" s="348" t="s">
        <v>561</v>
      </c>
      <c r="C209" s="686"/>
      <c r="G209" s="769"/>
      <c r="H209" s="1883">
        <v>45552</v>
      </c>
      <c r="I209" s="1883"/>
      <c r="J209" s="1883"/>
      <c r="K209" s="769"/>
      <c r="L209" s="767"/>
    </row>
    <row r="210" spans="1:12" hidden="1" x14ac:dyDescent="0.2">
      <c r="C210" s="686"/>
      <c r="K210" s="1309"/>
      <c r="L210" s="767"/>
    </row>
    <row r="211" spans="1:12" hidden="1" x14ac:dyDescent="0.2">
      <c r="A211" s="1198">
        <v>107</v>
      </c>
      <c r="B211" s="1137" t="s">
        <v>5</v>
      </c>
      <c r="C211" s="1200">
        <v>3349249</v>
      </c>
      <c r="D211" s="1168">
        <v>7</v>
      </c>
      <c r="E211" s="1153" t="s">
        <v>396</v>
      </c>
      <c r="F211" s="1271"/>
      <c r="G211" s="1157" t="s">
        <v>496</v>
      </c>
      <c r="H211" s="1141"/>
      <c r="I211" s="1157"/>
      <c r="J211" s="1145">
        <v>-610000</v>
      </c>
      <c r="K211" s="1157"/>
      <c r="L211" s="767"/>
    </row>
    <row r="212" spans="1:12" hidden="1" x14ac:dyDescent="0.2">
      <c r="A212" s="1198">
        <v>108</v>
      </c>
      <c r="B212" s="1137" t="s">
        <v>8</v>
      </c>
      <c r="C212" s="1200">
        <v>32336950</v>
      </c>
      <c r="D212" s="1168">
        <v>1</v>
      </c>
      <c r="E212" s="1153" t="s">
        <v>396</v>
      </c>
      <c r="F212" s="1271"/>
      <c r="G212" s="1157" t="s">
        <v>496</v>
      </c>
      <c r="H212" s="1141"/>
      <c r="I212" s="1157"/>
      <c r="J212" s="1145">
        <v>-5514000</v>
      </c>
      <c r="K212" s="1157"/>
      <c r="L212" s="767"/>
    </row>
    <row r="213" spans="1:12" hidden="1" x14ac:dyDescent="0.2">
      <c r="A213" s="1198">
        <v>109</v>
      </c>
      <c r="B213" s="1137" t="s">
        <v>241</v>
      </c>
      <c r="C213" s="1200">
        <v>43502550</v>
      </c>
      <c r="D213" s="1168">
        <v>0</v>
      </c>
      <c r="E213" s="1153" t="s">
        <v>396</v>
      </c>
      <c r="F213" s="1271"/>
      <c r="G213" s="1157" t="s">
        <v>501</v>
      </c>
      <c r="H213" s="1272"/>
      <c r="I213" s="1157"/>
      <c r="J213" s="1145">
        <v>0</v>
      </c>
      <c r="K213" s="1157"/>
      <c r="L213" s="767"/>
    </row>
    <row r="214" spans="1:12" hidden="1" x14ac:dyDescent="0.2">
      <c r="A214" s="1198">
        <v>110</v>
      </c>
      <c r="B214" s="1137" t="s">
        <v>53</v>
      </c>
      <c r="C214" s="1200">
        <v>8268050</v>
      </c>
      <c r="D214" s="1168">
        <v>9</v>
      </c>
      <c r="E214" s="1153" t="s">
        <v>396</v>
      </c>
      <c r="F214" s="1277" t="s">
        <v>318</v>
      </c>
      <c r="G214" s="1157" t="s">
        <v>495</v>
      </c>
      <c r="H214" s="1272"/>
      <c r="I214" s="1157"/>
      <c r="J214" s="1145">
        <v>52613000</v>
      </c>
      <c r="K214" s="1157"/>
      <c r="L214" s="767"/>
    </row>
    <row r="215" spans="1:12" hidden="1" x14ac:dyDescent="0.2">
      <c r="A215" s="1198">
        <v>111</v>
      </c>
      <c r="B215" s="1137" t="s">
        <v>783</v>
      </c>
      <c r="C215" s="1200">
        <v>1038869450</v>
      </c>
      <c r="D215" s="1168">
        <v>0</v>
      </c>
      <c r="E215" s="1153" t="s">
        <v>396</v>
      </c>
      <c r="F215" s="1271"/>
      <c r="G215" s="1157" t="s">
        <v>501</v>
      </c>
      <c r="H215" s="1272"/>
      <c r="I215" s="1157"/>
      <c r="J215" s="1145">
        <v>0</v>
      </c>
      <c r="K215" s="1319" t="s">
        <v>784</v>
      </c>
      <c r="L215" s="767"/>
    </row>
    <row r="216" spans="1:12" hidden="1" x14ac:dyDescent="0.2">
      <c r="A216" s="1198">
        <v>112</v>
      </c>
      <c r="B216" s="1137" t="s">
        <v>160</v>
      </c>
      <c r="C216" s="1200">
        <v>71641349</v>
      </c>
      <c r="D216" s="1168">
        <v>3</v>
      </c>
      <c r="E216" s="1153" t="s">
        <v>396</v>
      </c>
      <c r="F216" s="1277" t="s">
        <v>318</v>
      </c>
      <c r="G216" s="1157" t="s">
        <v>495</v>
      </c>
      <c r="H216" s="1272"/>
      <c r="I216" s="1157"/>
      <c r="J216" s="1145">
        <v>18089000</v>
      </c>
      <c r="K216" s="1157"/>
      <c r="L216" s="767"/>
    </row>
    <row r="217" spans="1:12" hidden="1" x14ac:dyDescent="0.2">
      <c r="A217" s="1198"/>
      <c r="B217" s="1137"/>
      <c r="C217" s="1200"/>
      <c r="D217" s="1168"/>
      <c r="E217" s="1311"/>
      <c r="F217" s="1271"/>
      <c r="G217" s="1157"/>
      <c r="H217" s="1162"/>
      <c r="I217" s="1140"/>
      <c r="J217" s="1273"/>
      <c r="K217" s="1157"/>
      <c r="L217" s="767"/>
    </row>
    <row r="218" spans="1:12" hidden="1" x14ac:dyDescent="0.2">
      <c r="K218" s="348"/>
      <c r="L218" s="767"/>
    </row>
    <row r="219" spans="1:12" hidden="1" x14ac:dyDescent="0.2">
      <c r="A219" s="348" t="s">
        <v>562</v>
      </c>
      <c r="C219" s="686"/>
      <c r="G219" s="769"/>
      <c r="H219" s="1883">
        <v>45553</v>
      </c>
      <c r="I219" s="1883"/>
      <c r="J219" s="1883"/>
      <c r="K219" s="769"/>
      <c r="L219" s="767"/>
    </row>
    <row r="220" spans="1:12" hidden="1" x14ac:dyDescent="0.2">
      <c r="C220" s="686"/>
      <c r="K220" s="1309"/>
      <c r="L220" s="767"/>
    </row>
    <row r="221" spans="1:12" hidden="1" x14ac:dyDescent="0.2">
      <c r="A221" s="1198">
        <v>113</v>
      </c>
      <c r="B221" s="1137" t="s">
        <v>56</v>
      </c>
      <c r="C221" s="1200">
        <v>43747351</v>
      </c>
      <c r="D221" s="1168">
        <v>3</v>
      </c>
      <c r="E221" s="1153" t="s">
        <v>396</v>
      </c>
      <c r="F221" s="1271"/>
      <c r="G221" s="1157" t="s">
        <v>496</v>
      </c>
      <c r="H221" s="1141"/>
      <c r="I221" s="1157"/>
      <c r="J221" s="1145">
        <v>-5291000</v>
      </c>
      <c r="K221" s="1157"/>
      <c r="L221" s="767"/>
    </row>
    <row r="222" spans="1:12" hidden="1" x14ac:dyDescent="0.2">
      <c r="A222" s="1198">
        <v>114</v>
      </c>
      <c r="B222" s="1137" t="s">
        <v>130</v>
      </c>
      <c r="C222" s="1200">
        <v>71728652</v>
      </c>
      <c r="D222" s="1168">
        <v>6</v>
      </c>
      <c r="E222" s="1153" t="s">
        <v>396</v>
      </c>
      <c r="F222" s="1271"/>
      <c r="G222" s="1157" t="s">
        <v>495</v>
      </c>
      <c r="H222" s="1272"/>
      <c r="I222" s="1157"/>
      <c r="J222" s="1145">
        <v>430000</v>
      </c>
      <c r="K222" s="1157"/>
      <c r="L222" s="767"/>
    </row>
    <row r="223" spans="1:12" ht="27" hidden="1" customHeight="1" x14ac:dyDescent="0.2">
      <c r="A223" s="1198">
        <v>115</v>
      </c>
      <c r="B223" s="1137" t="s">
        <v>785</v>
      </c>
      <c r="C223" s="1200">
        <v>32403951</v>
      </c>
      <c r="D223" s="1168">
        <v>6</v>
      </c>
      <c r="E223" s="1153" t="s">
        <v>396</v>
      </c>
      <c r="F223" s="1271"/>
      <c r="G223" s="1157" t="s">
        <v>501</v>
      </c>
      <c r="H223" s="1272"/>
      <c r="I223" s="1157"/>
      <c r="J223" s="1145">
        <v>0</v>
      </c>
      <c r="K223" s="1319" t="s">
        <v>784</v>
      </c>
      <c r="L223" s="767"/>
    </row>
    <row r="224" spans="1:12" hidden="1" x14ac:dyDescent="0.2">
      <c r="A224" s="1198"/>
      <c r="B224" s="1137"/>
      <c r="C224" s="1200"/>
      <c r="D224" s="1168"/>
      <c r="E224" s="1311"/>
      <c r="F224" s="1271"/>
      <c r="G224" s="1157"/>
      <c r="H224" s="1162"/>
      <c r="I224" s="1140"/>
      <c r="J224" s="1273"/>
      <c r="K224" s="1157"/>
      <c r="L224" s="767"/>
    </row>
    <row r="225" spans="1:12" hidden="1" x14ac:dyDescent="0.2">
      <c r="C225" s="686"/>
      <c r="G225" s="769"/>
      <c r="K225" s="769"/>
      <c r="L225" s="767"/>
    </row>
    <row r="226" spans="1:12" hidden="1" x14ac:dyDescent="0.2">
      <c r="A226" s="348" t="s">
        <v>563</v>
      </c>
      <c r="C226" s="686"/>
      <c r="G226" s="769"/>
      <c r="H226" s="1883">
        <v>45554</v>
      </c>
      <c r="I226" s="1883"/>
      <c r="J226" s="1883"/>
      <c r="K226" s="769"/>
      <c r="L226" s="767"/>
    </row>
    <row r="227" spans="1:12" hidden="1" x14ac:dyDescent="0.2">
      <c r="C227" s="686"/>
      <c r="K227" s="1309"/>
      <c r="L227" s="767"/>
    </row>
    <row r="228" spans="1:12" hidden="1" x14ac:dyDescent="0.2">
      <c r="A228" s="1198">
        <v>116</v>
      </c>
      <c r="B228" s="1137" t="s">
        <v>21</v>
      </c>
      <c r="C228" s="1200">
        <v>43577753</v>
      </c>
      <c r="D228" s="1168">
        <v>0</v>
      </c>
      <c r="E228" s="1153" t="s">
        <v>396</v>
      </c>
      <c r="F228" s="1277" t="s">
        <v>318</v>
      </c>
      <c r="G228" s="1157" t="s">
        <v>495</v>
      </c>
      <c r="H228" s="1272"/>
      <c r="I228" s="1157"/>
      <c r="J228" s="1145">
        <v>2120000</v>
      </c>
      <c r="K228" s="1157"/>
      <c r="L228" s="767"/>
    </row>
    <row r="229" spans="1:12" hidden="1" x14ac:dyDescent="0.2">
      <c r="A229" s="1198">
        <v>117</v>
      </c>
      <c r="B229" s="1137" t="s">
        <v>750</v>
      </c>
      <c r="C229" s="1200">
        <v>1214734553</v>
      </c>
      <c r="D229" s="1168">
        <v>9</v>
      </c>
      <c r="E229" s="1153" t="s">
        <v>396</v>
      </c>
      <c r="F229" s="1271"/>
      <c r="G229" s="1157"/>
      <c r="H229" s="1157"/>
      <c r="I229" s="1157"/>
      <c r="J229" s="1145"/>
      <c r="K229" s="1319" t="s">
        <v>784</v>
      </c>
      <c r="L229" s="767"/>
    </row>
    <row r="230" spans="1:12" hidden="1" x14ac:dyDescent="0.2">
      <c r="A230" s="1198">
        <v>118</v>
      </c>
      <c r="B230" s="1320" t="s">
        <v>483</v>
      </c>
      <c r="C230" s="1200">
        <v>71680954</v>
      </c>
      <c r="D230" s="1168">
        <v>6</v>
      </c>
      <c r="E230" s="1153" t="s">
        <v>396</v>
      </c>
      <c r="F230" s="1271"/>
      <c r="G230" s="1157" t="s">
        <v>495</v>
      </c>
      <c r="H230" s="1272"/>
      <c r="I230" s="1157"/>
      <c r="J230" s="1145">
        <v>782000</v>
      </c>
      <c r="K230" s="1282"/>
      <c r="L230" s="767"/>
    </row>
    <row r="231" spans="1:12" hidden="1" x14ac:dyDescent="0.2">
      <c r="A231" s="1198">
        <v>119</v>
      </c>
      <c r="B231" s="1137" t="s">
        <v>116</v>
      </c>
      <c r="C231" s="1200">
        <v>9094854</v>
      </c>
      <c r="D231" s="1168">
        <v>9</v>
      </c>
      <c r="E231" s="1153" t="s">
        <v>396</v>
      </c>
      <c r="F231" s="1271"/>
      <c r="G231" s="1157" t="s">
        <v>496</v>
      </c>
      <c r="H231" s="1141"/>
      <c r="I231" s="1157"/>
      <c r="J231" s="1145">
        <v>-448000</v>
      </c>
      <c r="K231" s="1157"/>
      <c r="L231" s="767"/>
    </row>
    <row r="232" spans="1:12" hidden="1" x14ac:dyDescent="0.2">
      <c r="A232" s="1198">
        <v>120</v>
      </c>
      <c r="B232" s="1320" t="s">
        <v>316</v>
      </c>
      <c r="C232" s="1200">
        <v>98496653</v>
      </c>
      <c r="D232" s="1168">
        <v>4</v>
      </c>
      <c r="E232" s="1153" t="s">
        <v>396</v>
      </c>
      <c r="F232" s="1271"/>
      <c r="G232" s="1157" t="s">
        <v>501</v>
      </c>
      <c r="H232" s="1272"/>
      <c r="I232" s="1157"/>
      <c r="J232" s="1145">
        <v>0</v>
      </c>
      <c r="K232" s="1157"/>
      <c r="L232" s="767"/>
    </row>
    <row r="233" spans="1:12" hidden="1" x14ac:dyDescent="0.2">
      <c r="A233" s="1198"/>
      <c r="B233" s="1320"/>
      <c r="C233" s="1200"/>
      <c r="D233" s="1168"/>
      <c r="E233" s="1311"/>
      <c r="F233" s="1271"/>
      <c r="G233" s="1157"/>
      <c r="H233" s="1162"/>
      <c r="I233" s="1140"/>
      <c r="J233" s="1273"/>
      <c r="K233" s="1157"/>
      <c r="L233" s="767"/>
    </row>
    <row r="234" spans="1:12" hidden="1" x14ac:dyDescent="0.2">
      <c r="K234" s="1309"/>
      <c r="L234" s="767"/>
    </row>
    <row r="235" spans="1:12" hidden="1" x14ac:dyDescent="0.2">
      <c r="A235" s="772" t="s">
        <v>564</v>
      </c>
      <c r="C235" s="686"/>
      <c r="G235" s="769"/>
      <c r="H235" s="1883">
        <v>45555</v>
      </c>
      <c r="I235" s="1883"/>
      <c r="J235" s="1883"/>
      <c r="K235" s="769"/>
      <c r="L235" s="767"/>
    </row>
    <row r="236" spans="1:12" hidden="1" x14ac:dyDescent="0.2">
      <c r="C236" s="686"/>
      <c r="K236" s="1309"/>
      <c r="L236" s="767"/>
    </row>
    <row r="237" spans="1:12" hidden="1" x14ac:dyDescent="0.2">
      <c r="A237" s="1198">
        <v>121</v>
      </c>
      <c r="B237" s="1137" t="s">
        <v>360</v>
      </c>
      <c r="C237" s="1200">
        <v>71581755</v>
      </c>
      <c r="D237" s="1168">
        <v>2</v>
      </c>
      <c r="E237" s="1153" t="s">
        <v>396</v>
      </c>
      <c r="F237" s="1271"/>
      <c r="G237" s="1157" t="s">
        <v>501</v>
      </c>
      <c r="H237" s="1272"/>
      <c r="I237" s="1157"/>
      <c r="J237" s="1145">
        <v>0</v>
      </c>
      <c r="K237" s="1157"/>
      <c r="L237" s="767"/>
    </row>
    <row r="238" spans="1:12" ht="25.5" hidden="1" x14ac:dyDescent="0.2">
      <c r="A238" s="1198">
        <v>122</v>
      </c>
      <c r="B238" s="1137" t="s">
        <v>9</v>
      </c>
      <c r="C238" s="1200">
        <v>32470755</v>
      </c>
      <c r="D238" s="1168">
        <v>4</v>
      </c>
      <c r="E238" s="1153" t="s">
        <v>396</v>
      </c>
      <c r="F238" s="1271"/>
      <c r="G238" s="1157" t="s">
        <v>501</v>
      </c>
      <c r="H238" s="1272"/>
      <c r="I238" s="1157"/>
      <c r="J238" s="1145">
        <v>0</v>
      </c>
      <c r="K238" s="1157"/>
      <c r="L238" s="767"/>
    </row>
    <row r="239" spans="1:12" hidden="1" x14ac:dyDescent="0.2">
      <c r="A239" s="1198">
        <v>123</v>
      </c>
      <c r="B239" s="1137" t="s">
        <v>410</v>
      </c>
      <c r="C239" s="1200">
        <v>15317755</v>
      </c>
      <c r="D239" s="1168">
        <v>9</v>
      </c>
      <c r="E239" s="1153" t="s">
        <v>396</v>
      </c>
      <c r="F239" s="1271"/>
      <c r="G239" s="1284"/>
      <c r="H239" s="1284"/>
      <c r="I239" s="1279"/>
      <c r="J239" s="1280"/>
      <c r="K239" s="1318" t="s">
        <v>775</v>
      </c>
      <c r="L239" s="767"/>
    </row>
    <row r="240" spans="1:12" hidden="1" x14ac:dyDescent="0.2">
      <c r="A240" s="1198">
        <v>124</v>
      </c>
      <c r="B240" s="1137" t="s">
        <v>440</v>
      </c>
      <c r="C240" s="1200">
        <v>1152216456</v>
      </c>
      <c r="D240" s="1168">
        <v>6</v>
      </c>
      <c r="E240" s="1153" t="s">
        <v>396</v>
      </c>
      <c r="F240" s="1271"/>
      <c r="G240" s="1274"/>
      <c r="H240" s="1274"/>
      <c r="I240" s="1274"/>
      <c r="J240" s="1312" t="s">
        <v>654</v>
      </c>
      <c r="K240" s="1319" t="s">
        <v>784</v>
      </c>
      <c r="L240" s="767"/>
    </row>
    <row r="241" spans="1:12" ht="27" hidden="1" customHeight="1" x14ac:dyDescent="0.2">
      <c r="A241" s="1198">
        <v>125</v>
      </c>
      <c r="B241" s="1137" t="s">
        <v>69</v>
      </c>
      <c r="C241" s="1200">
        <v>98549455</v>
      </c>
      <c r="D241" s="1168">
        <v>1</v>
      </c>
      <c r="E241" s="1153" t="s">
        <v>396</v>
      </c>
      <c r="F241" s="1271"/>
      <c r="G241" s="1157" t="s">
        <v>495</v>
      </c>
      <c r="H241" s="1272"/>
      <c r="I241" s="1157"/>
      <c r="J241" s="1145">
        <v>6075000</v>
      </c>
      <c r="K241" s="1157"/>
      <c r="L241" s="767"/>
    </row>
    <row r="242" spans="1:12" hidden="1" x14ac:dyDescent="0.2">
      <c r="A242" s="1198">
        <v>126</v>
      </c>
      <c r="B242" s="1137" t="s">
        <v>127</v>
      </c>
      <c r="C242" s="1200">
        <v>8290656</v>
      </c>
      <c r="D242" s="1168">
        <v>3</v>
      </c>
      <c r="E242" s="1153" t="s">
        <v>396</v>
      </c>
      <c r="F242" s="1271"/>
      <c r="G242" s="1157" t="s">
        <v>495</v>
      </c>
      <c r="H242" s="1272"/>
      <c r="I242" s="1157"/>
      <c r="J242" s="1145">
        <v>2125000</v>
      </c>
      <c r="K242" s="1157"/>
      <c r="L242" s="767"/>
    </row>
    <row r="243" spans="1:12" hidden="1" x14ac:dyDescent="0.2">
      <c r="A243" s="1198">
        <v>127</v>
      </c>
      <c r="B243" s="1154" t="s">
        <v>359</v>
      </c>
      <c r="C243" s="1200">
        <v>70567656</v>
      </c>
      <c r="D243" s="1168">
        <v>1</v>
      </c>
      <c r="E243" s="1153" t="s">
        <v>396</v>
      </c>
      <c r="F243" s="1271"/>
      <c r="G243" s="1157" t="s">
        <v>501</v>
      </c>
      <c r="H243" s="1272"/>
      <c r="I243" s="1157"/>
      <c r="J243" s="1145">
        <v>0</v>
      </c>
      <c r="K243" s="1157"/>
      <c r="L243" s="767"/>
    </row>
    <row r="244" spans="1:12" hidden="1" x14ac:dyDescent="0.2">
      <c r="A244" s="1198">
        <v>128</v>
      </c>
      <c r="B244" s="1137" t="s">
        <v>158</v>
      </c>
      <c r="C244" s="1200">
        <v>42795956</v>
      </c>
      <c r="D244" s="1168">
        <v>1</v>
      </c>
      <c r="E244" s="1153" t="s">
        <v>396</v>
      </c>
      <c r="F244" s="1271"/>
      <c r="G244" s="1157" t="s">
        <v>501</v>
      </c>
      <c r="H244" s="1272"/>
      <c r="I244" s="1157"/>
      <c r="J244" s="1145">
        <v>0</v>
      </c>
      <c r="K244" s="1157"/>
      <c r="L244" s="767"/>
    </row>
    <row r="245" spans="1:12" hidden="1" x14ac:dyDescent="0.2">
      <c r="A245" s="1198"/>
      <c r="B245" s="1137"/>
      <c r="C245" s="1200"/>
      <c r="D245" s="1168"/>
      <c r="E245" s="1311"/>
      <c r="F245" s="1271"/>
      <c r="G245" s="1157"/>
      <c r="H245" s="1162"/>
      <c r="I245" s="1140"/>
      <c r="J245" s="1273"/>
      <c r="K245" s="1157"/>
      <c r="L245" s="767"/>
    </row>
    <row r="246" spans="1:12" hidden="1" x14ac:dyDescent="0.2">
      <c r="K246" s="1309"/>
      <c r="L246" s="767"/>
    </row>
    <row r="247" spans="1:12" hidden="1" x14ac:dyDescent="0.2">
      <c r="A247" s="348" t="s">
        <v>565</v>
      </c>
      <c r="C247" s="686"/>
      <c r="G247" s="769"/>
      <c r="H247" s="1883">
        <v>45558</v>
      </c>
      <c r="I247" s="1883"/>
      <c r="J247" s="1883"/>
      <c r="K247" s="769"/>
      <c r="L247" s="767"/>
    </row>
    <row r="248" spans="1:12" hidden="1" x14ac:dyDescent="0.2">
      <c r="C248" s="686"/>
      <c r="K248" s="1309"/>
      <c r="L248" s="767"/>
    </row>
    <row r="249" spans="1:12" hidden="1" x14ac:dyDescent="0.2">
      <c r="A249" s="1198">
        <v>129</v>
      </c>
      <c r="B249" s="1137" t="s">
        <v>656</v>
      </c>
      <c r="C249" s="1200">
        <v>78691058</v>
      </c>
      <c r="D249" s="1168">
        <v>4</v>
      </c>
      <c r="E249" s="1153" t="s">
        <v>396</v>
      </c>
      <c r="F249" s="1271"/>
      <c r="G249" s="1284"/>
      <c r="H249" s="1284"/>
      <c r="I249" s="1279"/>
      <c r="J249" s="1280"/>
      <c r="K249" s="1318" t="s">
        <v>775</v>
      </c>
      <c r="L249" s="767"/>
    </row>
    <row r="250" spans="1:12" hidden="1" x14ac:dyDescent="0.2">
      <c r="A250" s="1198">
        <v>130</v>
      </c>
      <c r="B250" s="1137" t="s">
        <v>22</v>
      </c>
      <c r="C250" s="1200">
        <v>71608158</v>
      </c>
      <c r="D250" s="1168">
        <v>4</v>
      </c>
      <c r="E250" s="1153" t="s">
        <v>396</v>
      </c>
      <c r="F250" s="1271"/>
      <c r="G250" s="1157" t="s">
        <v>496</v>
      </c>
      <c r="H250" s="1141"/>
      <c r="I250" s="1157"/>
      <c r="J250" s="1145">
        <v>-645000</v>
      </c>
      <c r="K250" s="1157"/>
      <c r="L250" s="767"/>
    </row>
    <row r="251" spans="1:12" hidden="1" x14ac:dyDescent="0.2">
      <c r="A251" s="1198">
        <v>131</v>
      </c>
      <c r="B251" s="1137" t="s">
        <v>26</v>
      </c>
      <c r="C251" s="1200">
        <v>43616958</v>
      </c>
      <c r="D251" s="1168">
        <v>1</v>
      </c>
      <c r="E251" s="1153" t="s">
        <v>396</v>
      </c>
      <c r="F251" s="1271"/>
      <c r="G251" s="1157" t="s">
        <v>495</v>
      </c>
      <c r="H251" s="1272"/>
      <c r="I251" s="1157"/>
      <c r="J251" s="1145">
        <v>9590000</v>
      </c>
      <c r="K251" s="1157"/>
      <c r="L251" s="767"/>
    </row>
    <row r="252" spans="1:12" hidden="1" x14ac:dyDescent="0.2">
      <c r="A252" s="1198">
        <v>132</v>
      </c>
      <c r="B252" s="1137" t="s">
        <v>30</v>
      </c>
      <c r="C252" s="1200">
        <v>71688257</v>
      </c>
      <c r="D252" s="1168">
        <v>7</v>
      </c>
      <c r="E252" s="1153" t="s">
        <v>396</v>
      </c>
      <c r="F252" s="1271"/>
      <c r="G252" s="1274"/>
      <c r="H252" s="1884">
        <v>45400</v>
      </c>
      <c r="I252" s="1884"/>
      <c r="J252" s="1884">
        <v>45400</v>
      </c>
      <c r="K252" s="1321" t="s">
        <v>663</v>
      </c>
      <c r="L252" s="767"/>
    </row>
    <row r="253" spans="1:12" hidden="1" x14ac:dyDescent="0.2">
      <c r="A253" s="1198">
        <v>133</v>
      </c>
      <c r="B253" s="1137" t="s">
        <v>32</v>
      </c>
      <c r="C253" s="1200">
        <v>71715157</v>
      </c>
      <c r="D253" s="1168">
        <v>5</v>
      </c>
      <c r="E253" s="1153" t="s">
        <v>396</v>
      </c>
      <c r="F253" s="1271"/>
      <c r="G253" s="1157" t="s">
        <v>495</v>
      </c>
      <c r="H253" s="1272"/>
      <c r="I253" s="1157"/>
      <c r="J253" s="1145">
        <v>11958000</v>
      </c>
      <c r="K253" s="1157"/>
      <c r="L253" s="767"/>
    </row>
    <row r="254" spans="1:12" hidden="1" x14ac:dyDescent="0.2">
      <c r="A254" s="1198">
        <v>134</v>
      </c>
      <c r="B254" s="1137" t="s">
        <v>139</v>
      </c>
      <c r="C254" s="1200">
        <v>1138258</v>
      </c>
      <c r="D254" s="1168">
        <v>0</v>
      </c>
      <c r="E254" s="1153" t="s">
        <v>396</v>
      </c>
      <c r="F254" s="1271"/>
      <c r="G254" s="1157" t="s">
        <v>501</v>
      </c>
      <c r="H254" s="1272"/>
      <c r="I254" s="1157"/>
      <c r="J254" s="1145">
        <v>0</v>
      </c>
      <c r="K254" s="1316" t="s">
        <v>799</v>
      </c>
      <c r="L254" s="767"/>
    </row>
    <row r="255" spans="1:12" hidden="1" x14ac:dyDescent="0.2">
      <c r="A255" s="1198">
        <v>135</v>
      </c>
      <c r="B255" s="1137" t="s">
        <v>159</v>
      </c>
      <c r="C255" s="1200">
        <v>42795057</v>
      </c>
      <c r="D255" s="1168">
        <v>3</v>
      </c>
      <c r="E255" s="1153" t="s">
        <v>396</v>
      </c>
      <c r="F255" s="1271"/>
      <c r="G255" s="1157" t="s">
        <v>496</v>
      </c>
      <c r="H255" s="1141"/>
      <c r="I255" s="1157"/>
      <c r="J255" s="1145">
        <v>-180000</v>
      </c>
      <c r="K255" s="1157"/>
      <c r="L255" s="767"/>
    </row>
    <row r="256" spans="1:12" hidden="1" x14ac:dyDescent="0.2">
      <c r="A256" s="1198"/>
      <c r="B256" s="1137"/>
      <c r="C256" s="1200"/>
      <c r="D256" s="1168"/>
      <c r="E256" s="1311"/>
      <c r="F256" s="1271"/>
      <c r="G256" s="1157"/>
      <c r="H256" s="1162"/>
      <c r="I256" s="1140"/>
      <c r="J256" s="1273"/>
      <c r="K256" s="1157"/>
      <c r="L256" s="767"/>
    </row>
    <row r="257" spans="1:12" hidden="1" x14ac:dyDescent="0.2">
      <c r="K257" s="1309"/>
      <c r="L257" s="767"/>
    </row>
    <row r="258" spans="1:12" hidden="1" x14ac:dyDescent="0.2">
      <c r="A258" s="348" t="s">
        <v>566</v>
      </c>
      <c r="C258" s="686"/>
      <c r="G258" s="769"/>
      <c r="H258" s="1883">
        <v>45559</v>
      </c>
      <c r="I258" s="1883"/>
      <c r="J258" s="1883"/>
      <c r="K258" s="769"/>
      <c r="L258" s="767"/>
    </row>
    <row r="259" spans="1:12" hidden="1" x14ac:dyDescent="0.2">
      <c r="C259" s="686"/>
      <c r="K259" s="1309"/>
      <c r="L259" s="767"/>
    </row>
    <row r="260" spans="1:12" hidden="1" x14ac:dyDescent="0.2">
      <c r="A260" s="1198">
        <v>136</v>
      </c>
      <c r="B260" s="1137" t="s">
        <v>70</v>
      </c>
      <c r="C260" s="1200">
        <v>32517259</v>
      </c>
      <c r="D260" s="1168">
        <v>7</v>
      </c>
      <c r="E260" s="1153" t="s">
        <v>396</v>
      </c>
      <c r="F260" s="1157"/>
      <c r="G260" s="1157" t="s">
        <v>501</v>
      </c>
      <c r="H260" s="1272"/>
      <c r="I260" s="1157"/>
      <c r="J260" s="1145">
        <v>0</v>
      </c>
      <c r="K260" s="1157"/>
      <c r="L260" s="767"/>
    </row>
    <row r="261" spans="1:12" ht="30.75" hidden="1" customHeight="1" x14ac:dyDescent="0.2">
      <c r="A261" s="1198">
        <v>137</v>
      </c>
      <c r="B261" s="1137" t="s">
        <v>112</v>
      </c>
      <c r="C261" s="1200">
        <v>42975259</v>
      </c>
      <c r="D261" s="1168">
        <v>7</v>
      </c>
      <c r="E261" s="1153" t="s">
        <v>396</v>
      </c>
      <c r="F261" s="1157"/>
      <c r="G261" s="1157" t="s">
        <v>501</v>
      </c>
      <c r="H261" s="1272"/>
      <c r="I261" s="1157"/>
      <c r="J261" s="1145">
        <v>0</v>
      </c>
      <c r="K261" s="1157"/>
      <c r="L261" s="767"/>
    </row>
    <row r="262" spans="1:12" ht="25.5" hidden="1" x14ac:dyDescent="0.2">
      <c r="A262" s="1198">
        <v>138</v>
      </c>
      <c r="B262" s="1137" t="s">
        <v>113</v>
      </c>
      <c r="C262" s="1200">
        <v>32439160</v>
      </c>
      <c r="D262" s="1168">
        <v>2</v>
      </c>
      <c r="E262" s="1153" t="s">
        <v>396</v>
      </c>
      <c r="F262" s="1277" t="s">
        <v>318</v>
      </c>
      <c r="G262" s="1157" t="s">
        <v>501</v>
      </c>
      <c r="H262" s="1272"/>
      <c r="I262" s="1157"/>
      <c r="J262" s="1145">
        <v>0</v>
      </c>
      <c r="K262" s="1157"/>
      <c r="L262" s="767"/>
    </row>
    <row r="263" spans="1:12" hidden="1" x14ac:dyDescent="0.2">
      <c r="A263" s="1198"/>
      <c r="B263" s="1137"/>
      <c r="C263" s="1200"/>
      <c r="D263" s="1168"/>
      <c r="E263" s="1311"/>
      <c r="F263" s="1271"/>
      <c r="G263" s="1157"/>
      <c r="H263" s="1162"/>
      <c r="I263" s="1140"/>
      <c r="J263" s="1273"/>
      <c r="K263" s="1157"/>
      <c r="L263" s="767"/>
    </row>
    <row r="264" spans="1:12" hidden="1" x14ac:dyDescent="0.2">
      <c r="K264" s="1309"/>
      <c r="L264" s="767"/>
    </row>
    <row r="265" spans="1:12" hidden="1" x14ac:dyDescent="0.2">
      <c r="A265" s="348" t="s">
        <v>567</v>
      </c>
      <c r="C265" s="686"/>
      <c r="G265" s="769"/>
      <c r="H265" s="1883">
        <v>45560</v>
      </c>
      <c r="I265" s="1883"/>
      <c r="J265" s="1883"/>
      <c r="K265" s="769"/>
      <c r="L265" s="767"/>
    </row>
    <row r="266" spans="1:12" hidden="1" x14ac:dyDescent="0.2">
      <c r="C266" s="686"/>
      <c r="K266" s="1309"/>
      <c r="L266" s="767"/>
    </row>
    <row r="267" spans="1:12" ht="25.5" hidden="1" x14ac:dyDescent="0.2">
      <c r="A267" s="1198">
        <v>139</v>
      </c>
      <c r="B267" s="1154" t="s">
        <v>358</v>
      </c>
      <c r="C267" s="1200">
        <v>71788661</v>
      </c>
      <c r="D267" s="1168">
        <v>9</v>
      </c>
      <c r="E267" s="1153" t="s">
        <v>396</v>
      </c>
      <c r="F267" s="1271"/>
      <c r="G267" s="1157" t="s">
        <v>495</v>
      </c>
      <c r="H267" s="1272"/>
      <c r="I267" s="1157"/>
      <c r="J267" s="1145">
        <v>2240000</v>
      </c>
      <c r="K267" s="1157"/>
      <c r="L267" s="767"/>
    </row>
    <row r="268" spans="1:12" hidden="1" x14ac:dyDescent="0.2">
      <c r="A268" s="1198">
        <v>140</v>
      </c>
      <c r="B268" s="1137" t="s">
        <v>67</v>
      </c>
      <c r="C268" s="1200">
        <v>98619761</v>
      </c>
      <c r="D268" s="1168">
        <v>1</v>
      </c>
      <c r="E268" s="1153" t="s">
        <v>396</v>
      </c>
      <c r="F268" s="1277" t="s">
        <v>318</v>
      </c>
      <c r="G268" s="1157" t="s">
        <v>495</v>
      </c>
      <c r="H268" s="1272"/>
      <c r="I268" s="1157"/>
      <c r="J268" s="1145">
        <v>15705000</v>
      </c>
      <c r="K268" s="1157"/>
      <c r="L268" s="767"/>
    </row>
    <row r="269" spans="1:12" hidden="1" x14ac:dyDescent="0.2">
      <c r="A269" s="1198">
        <v>141</v>
      </c>
      <c r="B269" s="1137" t="s">
        <v>247</v>
      </c>
      <c r="C269" s="1200">
        <v>39183561</v>
      </c>
      <c r="D269" s="1168">
        <v>7</v>
      </c>
      <c r="E269" s="1153" t="s">
        <v>396</v>
      </c>
      <c r="F269" s="1271"/>
      <c r="G269" s="1157" t="s">
        <v>501</v>
      </c>
      <c r="H269" s="1272"/>
      <c r="I269" s="1157"/>
      <c r="J269" s="1145">
        <v>0</v>
      </c>
      <c r="K269" s="1157"/>
      <c r="L269" s="767"/>
    </row>
    <row r="270" spans="1:12" hidden="1" x14ac:dyDescent="0.2">
      <c r="A270" s="1198">
        <v>142</v>
      </c>
      <c r="B270" s="1137" t="s">
        <v>312</v>
      </c>
      <c r="C270" s="1200">
        <v>43865562</v>
      </c>
      <c r="D270" s="1168">
        <v>6</v>
      </c>
      <c r="E270" s="1153" t="s">
        <v>396</v>
      </c>
      <c r="F270" s="1271"/>
      <c r="G270" s="1157" t="s">
        <v>496</v>
      </c>
      <c r="H270" s="1141"/>
      <c r="I270" s="1157"/>
      <c r="J270" s="1145">
        <v>-82000</v>
      </c>
      <c r="K270" s="1157"/>
      <c r="L270" s="767"/>
    </row>
    <row r="271" spans="1:12" hidden="1" x14ac:dyDescent="0.2">
      <c r="A271" s="1198"/>
      <c r="B271" s="1137"/>
      <c r="C271" s="1200"/>
      <c r="D271" s="1168"/>
      <c r="E271" s="1311"/>
      <c r="F271" s="1271"/>
      <c r="G271" s="1157"/>
      <c r="H271" s="1162"/>
      <c r="I271" s="1140"/>
      <c r="J271" s="1273"/>
      <c r="K271" s="1157"/>
      <c r="L271" s="767"/>
    </row>
    <row r="272" spans="1:12" hidden="1" x14ac:dyDescent="0.2">
      <c r="K272" s="1309"/>
      <c r="L272" s="767"/>
    </row>
    <row r="273" spans="1:12" hidden="1" x14ac:dyDescent="0.2">
      <c r="A273" s="348" t="s">
        <v>568</v>
      </c>
      <c r="C273" s="686"/>
      <c r="G273" s="769"/>
      <c r="H273" s="1883">
        <v>45561</v>
      </c>
      <c r="I273" s="1883"/>
      <c r="J273" s="1883"/>
      <c r="K273" s="769"/>
      <c r="L273" s="767"/>
    </row>
    <row r="274" spans="1:12" hidden="1" x14ac:dyDescent="0.2">
      <c r="C274" s="686"/>
      <c r="K274" s="1309"/>
      <c r="L274" s="767"/>
    </row>
    <row r="275" spans="1:12" hidden="1" x14ac:dyDescent="0.2">
      <c r="A275" s="1198">
        <v>143</v>
      </c>
      <c r="B275" s="1137" t="s">
        <v>98</v>
      </c>
      <c r="C275" s="1200">
        <v>43628064</v>
      </c>
      <c r="D275" s="1168">
        <v>4</v>
      </c>
      <c r="E275" s="1153" t="s">
        <v>396</v>
      </c>
      <c r="F275" s="1271"/>
      <c r="G275" s="1157" t="s">
        <v>495</v>
      </c>
      <c r="H275" s="1272"/>
      <c r="I275" s="1157"/>
      <c r="J275" s="1145">
        <v>14921000</v>
      </c>
      <c r="K275" s="1157"/>
      <c r="L275" s="767"/>
    </row>
    <row r="276" spans="1:12" hidden="1" x14ac:dyDescent="0.2">
      <c r="A276" s="1198">
        <v>144</v>
      </c>
      <c r="B276" s="1137" t="s">
        <v>128</v>
      </c>
      <c r="C276" s="1200">
        <v>32524963</v>
      </c>
      <c r="D276" s="1168">
        <v>3</v>
      </c>
      <c r="E276" s="1153" t="s">
        <v>396</v>
      </c>
      <c r="F276" s="1271"/>
      <c r="G276" s="1157" t="s">
        <v>495</v>
      </c>
      <c r="H276" s="1272"/>
      <c r="I276" s="1157"/>
      <c r="J276" s="1145">
        <v>8731000</v>
      </c>
      <c r="K276" s="1157"/>
      <c r="L276" s="767"/>
    </row>
    <row r="277" spans="1:12" hidden="1" x14ac:dyDescent="0.2">
      <c r="A277" s="1198">
        <v>145</v>
      </c>
      <c r="B277" s="1137" t="s">
        <v>120</v>
      </c>
      <c r="C277" s="1200">
        <v>21356663</v>
      </c>
      <c r="D277" s="1168">
        <v>8</v>
      </c>
      <c r="E277" s="1153" t="s">
        <v>396</v>
      </c>
      <c r="F277" s="1271"/>
      <c r="G277" s="1157" t="s">
        <v>495</v>
      </c>
      <c r="H277" s="1272"/>
      <c r="I277" s="1157"/>
      <c r="J277" s="1145">
        <v>3481000</v>
      </c>
      <c r="K277" s="1157"/>
      <c r="L277" s="767"/>
    </row>
    <row r="278" spans="1:12" hidden="1" x14ac:dyDescent="0.2">
      <c r="A278" s="1198">
        <v>146</v>
      </c>
      <c r="B278" s="1137" t="s">
        <v>150</v>
      </c>
      <c r="C278" s="1200">
        <v>21717463</v>
      </c>
      <c r="D278" s="1168">
        <v>1</v>
      </c>
      <c r="E278" s="1153" t="s">
        <v>396</v>
      </c>
      <c r="F278" s="1271"/>
      <c r="G278" s="1157" t="s">
        <v>501</v>
      </c>
      <c r="H278" s="1272"/>
      <c r="I278" s="1157"/>
      <c r="J278" s="1145">
        <v>0</v>
      </c>
      <c r="K278" s="1316" t="s">
        <v>800</v>
      </c>
      <c r="L278" s="767"/>
    </row>
    <row r="279" spans="1:12" ht="30" hidden="1" customHeight="1" x14ac:dyDescent="0.2">
      <c r="A279" s="1198">
        <v>147</v>
      </c>
      <c r="B279" s="1137" t="s">
        <v>163</v>
      </c>
      <c r="C279" s="1200">
        <v>32469463</v>
      </c>
      <c r="D279" s="1168">
        <v>7</v>
      </c>
      <c r="E279" s="1153" t="s">
        <v>396</v>
      </c>
      <c r="F279" s="1277" t="s">
        <v>318</v>
      </c>
      <c r="G279" s="1157" t="s">
        <v>495</v>
      </c>
      <c r="H279" s="1272"/>
      <c r="I279" s="1157"/>
      <c r="J279" s="1145">
        <v>647000</v>
      </c>
      <c r="K279" s="1157"/>
      <c r="L279" s="767"/>
    </row>
    <row r="280" spans="1:12" hidden="1" x14ac:dyDescent="0.2">
      <c r="A280" s="1198"/>
      <c r="B280" s="1137"/>
      <c r="C280" s="1200"/>
      <c r="D280" s="1168"/>
      <c r="E280" s="1311"/>
      <c r="F280" s="1271"/>
      <c r="G280" s="1157"/>
      <c r="H280" s="1162"/>
      <c r="I280" s="1140"/>
      <c r="J280" s="1273"/>
      <c r="K280" s="1157"/>
      <c r="L280" s="767"/>
    </row>
    <row r="281" spans="1:12" hidden="1" x14ac:dyDescent="0.2">
      <c r="K281" s="1309"/>
      <c r="L281" s="767"/>
    </row>
    <row r="282" spans="1:12" hidden="1" x14ac:dyDescent="0.2">
      <c r="A282" s="348" t="s">
        <v>569</v>
      </c>
      <c r="C282" s="686"/>
      <c r="G282" s="769"/>
      <c r="H282" s="1883">
        <v>45562</v>
      </c>
      <c r="I282" s="1883"/>
      <c r="J282" s="1883"/>
      <c r="K282" s="769"/>
      <c r="L282" s="767"/>
    </row>
    <row r="283" spans="1:12" hidden="1" x14ac:dyDescent="0.2">
      <c r="C283" s="686"/>
      <c r="K283" s="1309"/>
      <c r="L283" s="767"/>
    </row>
    <row r="284" spans="1:12" hidden="1" x14ac:dyDescent="0.2">
      <c r="A284" s="1198">
        <v>148</v>
      </c>
      <c r="B284" s="1137" t="s">
        <v>23</v>
      </c>
      <c r="C284" s="1200">
        <v>3313365</v>
      </c>
      <c r="D284" s="1168">
        <v>8</v>
      </c>
      <c r="E284" s="1153" t="s">
        <v>396</v>
      </c>
      <c r="F284" s="1271"/>
      <c r="G284" s="1157" t="s">
        <v>496</v>
      </c>
      <c r="H284" s="1141"/>
      <c r="I284" s="1157"/>
      <c r="J284" s="1145">
        <v>-2538000</v>
      </c>
      <c r="K284" s="1157"/>
      <c r="L284" s="767"/>
    </row>
    <row r="285" spans="1:12" ht="25.5" hidden="1" x14ac:dyDescent="0.2">
      <c r="A285" s="1198">
        <v>149</v>
      </c>
      <c r="B285" s="1137" t="s">
        <v>786</v>
      </c>
      <c r="C285" s="1200">
        <v>43710766</v>
      </c>
      <c r="D285" s="1168">
        <v>6</v>
      </c>
      <c r="E285" s="1153" t="s">
        <v>396</v>
      </c>
      <c r="F285" s="1271"/>
      <c r="G285" s="1157" t="s">
        <v>501</v>
      </c>
      <c r="H285" s="1272"/>
      <c r="I285" s="1157"/>
      <c r="J285" s="1145">
        <v>0</v>
      </c>
      <c r="K285" s="1157"/>
      <c r="L285" s="767"/>
    </row>
    <row r="286" spans="1:12" hidden="1" x14ac:dyDescent="0.2">
      <c r="A286" s="1198"/>
      <c r="B286" s="1137"/>
      <c r="C286" s="1200"/>
      <c r="D286" s="1168"/>
      <c r="E286" s="1311"/>
      <c r="F286" s="1271"/>
      <c r="G286" s="1157"/>
      <c r="H286" s="1162"/>
      <c r="I286" s="1140"/>
      <c r="J286" s="1273"/>
      <c r="K286" s="1157"/>
      <c r="L286" s="767"/>
    </row>
    <row r="287" spans="1:12" hidden="1" x14ac:dyDescent="0.2">
      <c r="K287" s="1309"/>
      <c r="L287" s="767"/>
    </row>
    <row r="288" spans="1:12" hidden="1" x14ac:dyDescent="0.2">
      <c r="A288" s="348" t="s">
        <v>787</v>
      </c>
      <c r="C288" s="686"/>
      <c r="G288" s="769"/>
      <c r="H288" s="1883">
        <v>45566</v>
      </c>
      <c r="I288" s="1883"/>
      <c r="J288" s="1883"/>
      <c r="K288" s="769"/>
      <c r="L288" s="767"/>
    </row>
    <row r="289" spans="1:12" hidden="1" x14ac:dyDescent="0.2">
      <c r="C289" s="686"/>
      <c r="K289" s="1309"/>
      <c r="L289" s="767"/>
    </row>
    <row r="290" spans="1:12" hidden="1" x14ac:dyDescent="0.2">
      <c r="A290" s="1198">
        <v>150</v>
      </c>
      <c r="B290" s="1137" t="s">
        <v>13</v>
      </c>
      <c r="C290" s="1200">
        <v>43431768</v>
      </c>
      <c r="D290" s="1168">
        <v>3</v>
      </c>
      <c r="E290" s="1153" t="s">
        <v>396</v>
      </c>
      <c r="F290" s="1271"/>
      <c r="G290" s="1157" t="s">
        <v>496</v>
      </c>
      <c r="H290" s="1141"/>
      <c r="I290" s="1157"/>
      <c r="J290" s="1145">
        <v>-584000</v>
      </c>
      <c r="K290" s="1157"/>
      <c r="L290" s="767"/>
    </row>
    <row r="291" spans="1:12" ht="25.5" hidden="1" x14ac:dyDescent="0.2">
      <c r="A291" s="1198">
        <v>151</v>
      </c>
      <c r="B291" s="1137" t="s">
        <v>357</v>
      </c>
      <c r="C291" s="1200">
        <v>8237268</v>
      </c>
      <c r="D291" s="1168">
        <v>4</v>
      </c>
      <c r="E291" s="1153" t="s">
        <v>396</v>
      </c>
      <c r="F291" s="1271"/>
      <c r="G291" s="1157" t="s">
        <v>495</v>
      </c>
      <c r="H291" s="1272"/>
      <c r="I291" s="1157"/>
      <c r="J291" s="1145">
        <v>14220000</v>
      </c>
      <c r="K291" s="1157"/>
      <c r="L291" s="767"/>
    </row>
    <row r="292" spans="1:12" hidden="1" x14ac:dyDescent="0.2">
      <c r="A292" s="1198">
        <v>152</v>
      </c>
      <c r="B292" s="1137" t="s">
        <v>455</v>
      </c>
      <c r="C292" s="1200">
        <v>21717467</v>
      </c>
      <c r="D292" s="1168">
        <v>0</v>
      </c>
      <c r="E292" s="1153" t="s">
        <v>396</v>
      </c>
      <c r="F292" s="1271"/>
      <c r="G292" s="1157" t="s">
        <v>496</v>
      </c>
      <c r="H292" s="1141"/>
      <c r="I292" s="1157"/>
      <c r="J292" s="1145">
        <v>-10834000</v>
      </c>
      <c r="K292" s="1157"/>
      <c r="L292" s="767"/>
    </row>
    <row r="293" spans="1:12" hidden="1" x14ac:dyDescent="0.2">
      <c r="A293" s="1198"/>
      <c r="B293" s="1137"/>
      <c r="C293" s="1200"/>
      <c r="D293" s="1168"/>
      <c r="E293" s="1311"/>
      <c r="F293" s="1271"/>
      <c r="G293" s="1157"/>
      <c r="H293" s="1162"/>
      <c r="I293" s="1140"/>
      <c r="J293" s="1273"/>
      <c r="K293" s="1157"/>
      <c r="L293" s="767"/>
    </row>
    <row r="294" spans="1:12" hidden="1" x14ac:dyDescent="0.2">
      <c r="K294" s="1309"/>
      <c r="L294" s="767"/>
    </row>
    <row r="295" spans="1:12" hidden="1" x14ac:dyDescent="0.2">
      <c r="A295" s="348" t="s">
        <v>570</v>
      </c>
      <c r="C295" s="686"/>
      <c r="G295" s="769"/>
      <c r="H295" s="1883">
        <v>45567</v>
      </c>
      <c r="I295" s="1883"/>
      <c r="J295" s="1883"/>
      <c r="K295" s="769"/>
      <c r="L295" s="767"/>
    </row>
    <row r="296" spans="1:12" hidden="1" x14ac:dyDescent="0.2">
      <c r="C296" s="686"/>
      <c r="K296" s="1309"/>
      <c r="L296" s="767"/>
    </row>
    <row r="297" spans="1:12" hidden="1" x14ac:dyDescent="0.2">
      <c r="A297" s="1198">
        <v>153</v>
      </c>
      <c r="B297" s="1137" t="s">
        <v>647</v>
      </c>
      <c r="C297" s="1200">
        <v>1000416970</v>
      </c>
      <c r="D297" s="1168">
        <v>7</v>
      </c>
      <c r="E297" s="1153" t="s">
        <v>396</v>
      </c>
      <c r="F297" s="1271"/>
      <c r="G297" s="1157" t="s">
        <v>496</v>
      </c>
      <c r="H297" s="1141"/>
      <c r="I297" s="1157"/>
      <c r="J297" s="1145">
        <v>-4419000</v>
      </c>
      <c r="K297" s="1277" t="s">
        <v>794</v>
      </c>
      <c r="L297" s="767"/>
    </row>
    <row r="298" spans="1:12" hidden="1" x14ac:dyDescent="0.2">
      <c r="A298" s="1198">
        <v>154</v>
      </c>
      <c r="B298" s="1137" t="s">
        <v>28</v>
      </c>
      <c r="C298" s="1200">
        <v>21374070</v>
      </c>
      <c r="D298" s="1168">
        <v>7</v>
      </c>
      <c r="E298" s="1153" t="s">
        <v>396</v>
      </c>
      <c r="F298" s="1271"/>
      <c r="G298" s="1157" t="s">
        <v>496</v>
      </c>
      <c r="H298" s="1141"/>
      <c r="I298" s="1157"/>
      <c r="J298" s="1145">
        <v>-400000</v>
      </c>
      <c r="K298" s="1157"/>
      <c r="L298" s="767"/>
    </row>
    <row r="299" spans="1:12" hidden="1" x14ac:dyDescent="0.2">
      <c r="A299" s="1198">
        <v>155</v>
      </c>
      <c r="B299" s="1137" t="s">
        <v>152</v>
      </c>
      <c r="C299" s="1200">
        <v>32326870</v>
      </c>
      <c r="D299" s="1168">
        <v>8</v>
      </c>
      <c r="E299" s="1153" t="s">
        <v>396</v>
      </c>
      <c r="F299" s="1271"/>
      <c r="G299" s="1157" t="s">
        <v>496</v>
      </c>
      <c r="H299" s="1141"/>
      <c r="I299" s="1157"/>
      <c r="J299" s="1145">
        <v>-23276000</v>
      </c>
      <c r="K299" s="1157"/>
      <c r="L299" s="767"/>
    </row>
    <row r="300" spans="1:12" hidden="1" x14ac:dyDescent="0.2">
      <c r="A300" s="1198">
        <v>156</v>
      </c>
      <c r="B300" s="1137" t="s">
        <v>157</v>
      </c>
      <c r="C300" s="1200">
        <v>700004170</v>
      </c>
      <c r="D300" s="1168">
        <v>1</v>
      </c>
      <c r="E300" s="1153" t="s">
        <v>396</v>
      </c>
      <c r="F300" s="1271"/>
      <c r="G300" s="1157" t="s">
        <v>495</v>
      </c>
      <c r="H300" s="1272"/>
      <c r="I300" s="1157"/>
      <c r="J300" s="1145">
        <v>3240000</v>
      </c>
      <c r="K300" s="1157"/>
      <c r="L300" s="767"/>
    </row>
    <row r="301" spans="1:12" ht="25.5" hidden="1" x14ac:dyDescent="0.2">
      <c r="A301" s="1198">
        <v>157</v>
      </c>
      <c r="B301" s="1137" t="s">
        <v>165</v>
      </c>
      <c r="C301" s="1200">
        <v>70569069</v>
      </c>
      <c r="D301" s="1168">
        <v>5</v>
      </c>
      <c r="E301" s="1153" t="s">
        <v>396</v>
      </c>
      <c r="F301" s="1271"/>
      <c r="G301" s="1157" t="s">
        <v>501</v>
      </c>
      <c r="H301" s="1272"/>
      <c r="I301" s="1157"/>
      <c r="J301" s="1145">
        <v>0</v>
      </c>
      <c r="K301" s="1157"/>
      <c r="L301" s="767"/>
    </row>
    <row r="302" spans="1:12" ht="26.25" hidden="1" customHeight="1" x14ac:dyDescent="0.2">
      <c r="A302" s="1198">
        <v>158</v>
      </c>
      <c r="B302" s="1137" t="s">
        <v>311</v>
      </c>
      <c r="C302" s="1200">
        <v>32503970</v>
      </c>
      <c r="D302" s="1168">
        <v>5</v>
      </c>
      <c r="E302" s="1153" t="s">
        <v>396</v>
      </c>
      <c r="F302" s="1271"/>
      <c r="G302" s="1157" t="s">
        <v>496</v>
      </c>
      <c r="H302" s="1141"/>
      <c r="I302" s="1157"/>
      <c r="J302" s="1145">
        <v>-23276000</v>
      </c>
      <c r="K302" s="1157"/>
      <c r="L302" s="767"/>
    </row>
    <row r="303" spans="1:12" hidden="1" x14ac:dyDescent="0.2">
      <c r="A303" s="1198"/>
      <c r="B303" s="1137"/>
      <c r="C303" s="1200"/>
      <c r="D303" s="1168"/>
      <c r="E303" s="1311"/>
      <c r="F303" s="1271"/>
      <c r="G303" s="1157"/>
      <c r="H303" s="1162"/>
      <c r="I303" s="1140"/>
      <c r="J303" s="1273"/>
      <c r="K303" s="1157"/>
      <c r="L303" s="767"/>
    </row>
    <row r="304" spans="1:12" hidden="1" x14ac:dyDescent="0.2">
      <c r="K304" s="1309"/>
      <c r="L304" s="767"/>
    </row>
    <row r="305" spans="1:12" hidden="1" x14ac:dyDescent="0.2">
      <c r="A305" s="348" t="s">
        <v>571</v>
      </c>
      <c r="C305" s="686"/>
      <c r="G305" s="769"/>
      <c r="H305" s="1883">
        <v>45568</v>
      </c>
      <c r="I305" s="1883"/>
      <c r="J305" s="1883"/>
      <c r="K305" s="769"/>
      <c r="L305" s="767"/>
    </row>
    <row r="306" spans="1:12" hidden="1" x14ac:dyDescent="0.2">
      <c r="C306" s="686"/>
      <c r="K306" s="1309"/>
      <c r="L306" s="767"/>
    </row>
    <row r="307" spans="1:12" ht="25.5" hidden="1" x14ac:dyDescent="0.2">
      <c r="A307" s="1198">
        <v>159</v>
      </c>
      <c r="B307" s="1137" t="s">
        <v>657</v>
      </c>
      <c r="C307" s="1200">
        <v>71227472</v>
      </c>
      <c r="D307" s="1168">
        <v>7</v>
      </c>
      <c r="E307" s="1153" t="s">
        <v>396</v>
      </c>
      <c r="F307" s="1271"/>
      <c r="G307" s="1157" t="s">
        <v>501</v>
      </c>
      <c r="H307" s="1272"/>
      <c r="I307" s="1157"/>
      <c r="J307" s="1145">
        <v>0</v>
      </c>
      <c r="K307" s="1277" t="s">
        <v>794</v>
      </c>
      <c r="L307" s="767"/>
    </row>
    <row r="308" spans="1:12" hidden="1" x14ac:dyDescent="0.2">
      <c r="A308" s="1198">
        <v>160</v>
      </c>
      <c r="B308" s="1137" t="s">
        <v>94</v>
      </c>
      <c r="C308" s="1200">
        <v>71780372</v>
      </c>
      <c r="D308" s="1168">
        <v>9</v>
      </c>
      <c r="E308" s="1153" t="s">
        <v>396</v>
      </c>
      <c r="F308" s="1271"/>
      <c r="G308" s="1157" t="s">
        <v>496</v>
      </c>
      <c r="H308" s="1141"/>
      <c r="I308" s="1157"/>
      <c r="J308" s="1145">
        <v>-3578000</v>
      </c>
      <c r="K308" s="1157"/>
      <c r="L308" s="767"/>
    </row>
    <row r="309" spans="1:12" hidden="1" x14ac:dyDescent="0.2">
      <c r="A309" s="1198">
        <v>161</v>
      </c>
      <c r="B309" s="1137" t="s">
        <v>122</v>
      </c>
      <c r="C309" s="1200">
        <v>71368472</v>
      </c>
      <c r="D309" s="1168">
        <v>1</v>
      </c>
      <c r="E309" s="1153" t="s">
        <v>396</v>
      </c>
      <c r="F309" s="1277" t="s">
        <v>318</v>
      </c>
      <c r="G309" s="1157" t="s">
        <v>495</v>
      </c>
      <c r="H309" s="1272"/>
      <c r="I309" s="1157"/>
      <c r="J309" s="1145">
        <v>3616000</v>
      </c>
      <c r="K309" s="1157"/>
      <c r="L309" s="767"/>
    </row>
    <row r="310" spans="1:12" hidden="1" x14ac:dyDescent="0.2">
      <c r="A310" s="1198">
        <v>162</v>
      </c>
      <c r="B310" s="1137" t="s">
        <v>494</v>
      </c>
      <c r="C310" s="1200">
        <v>1036631072</v>
      </c>
      <c r="D310" s="1168">
        <v>1</v>
      </c>
      <c r="E310" s="1153" t="s">
        <v>396</v>
      </c>
      <c r="F310" s="1271"/>
      <c r="G310" s="1274"/>
      <c r="H310" s="1274"/>
      <c r="I310" s="1274"/>
      <c r="J310" s="1275"/>
      <c r="K310" s="1312" t="s">
        <v>654</v>
      </c>
      <c r="L310" s="767"/>
    </row>
    <row r="311" spans="1:12" hidden="1" x14ac:dyDescent="0.2">
      <c r="A311" s="1198"/>
      <c r="B311" s="1137"/>
      <c r="C311" s="1200"/>
      <c r="D311" s="1168"/>
      <c r="E311" s="1311"/>
      <c r="F311" s="1271"/>
      <c r="G311" s="1157"/>
      <c r="H311" s="1162"/>
      <c r="I311" s="1140"/>
      <c r="J311" s="1273"/>
      <c r="K311" s="1157"/>
      <c r="L311" s="767"/>
    </row>
    <row r="312" spans="1:12" hidden="1" x14ac:dyDescent="0.2">
      <c r="K312" s="1309"/>
      <c r="L312" s="767"/>
    </row>
    <row r="313" spans="1:12" hidden="1" x14ac:dyDescent="0.2">
      <c r="A313" s="348" t="s">
        <v>572</v>
      </c>
      <c r="C313" s="686"/>
      <c r="G313" s="769"/>
      <c r="H313" s="1883">
        <v>45569</v>
      </c>
      <c r="I313" s="1883"/>
      <c r="J313" s="1883"/>
      <c r="K313" s="769"/>
      <c r="L313" s="767"/>
    </row>
    <row r="314" spans="1:12" hidden="1" x14ac:dyDescent="0.2">
      <c r="C314" s="686"/>
      <c r="K314" s="1309"/>
      <c r="L314" s="767"/>
    </row>
    <row r="315" spans="1:12" hidden="1" x14ac:dyDescent="0.2">
      <c r="A315" s="1198">
        <v>163</v>
      </c>
      <c r="B315" s="1154" t="s">
        <v>356</v>
      </c>
      <c r="C315" s="1200">
        <v>71632774</v>
      </c>
      <c r="D315" s="1168">
        <v>2</v>
      </c>
      <c r="E315" s="1153" t="s">
        <v>396</v>
      </c>
      <c r="F315" s="1271"/>
      <c r="G315" s="1157" t="s">
        <v>496</v>
      </c>
      <c r="H315" s="1141"/>
      <c r="I315" s="1157"/>
      <c r="J315" s="1145">
        <v>-10800000</v>
      </c>
      <c r="K315" s="1157"/>
      <c r="L315" s="767"/>
    </row>
    <row r="316" spans="1:12" hidden="1" x14ac:dyDescent="0.2">
      <c r="A316" s="1198">
        <v>164</v>
      </c>
      <c r="B316" s="1137" t="s">
        <v>35</v>
      </c>
      <c r="C316" s="1200">
        <v>43525573</v>
      </c>
      <c r="D316" s="1168">
        <v>9</v>
      </c>
      <c r="E316" s="1153" t="s">
        <v>396</v>
      </c>
      <c r="F316" s="1271"/>
      <c r="G316" s="1157" t="s">
        <v>495</v>
      </c>
      <c r="H316" s="1272"/>
      <c r="I316" s="1157"/>
      <c r="J316" s="1145">
        <v>1660000</v>
      </c>
      <c r="K316" s="1157"/>
      <c r="L316" s="767"/>
    </row>
    <row r="317" spans="1:12" ht="27.75" hidden="1" customHeight="1" x14ac:dyDescent="0.2">
      <c r="A317" s="1198">
        <v>165</v>
      </c>
      <c r="B317" s="1137" t="s">
        <v>50</v>
      </c>
      <c r="C317" s="1200">
        <v>21380573</v>
      </c>
      <c r="D317" s="1168">
        <v>4</v>
      </c>
      <c r="E317" s="1153" t="s">
        <v>396</v>
      </c>
      <c r="F317" s="1286"/>
      <c r="G317" s="1274"/>
      <c r="H317" s="1274"/>
      <c r="I317" s="1274"/>
      <c r="J317" s="1287" t="s">
        <v>788</v>
      </c>
      <c r="K317" s="1316" t="s">
        <v>800</v>
      </c>
      <c r="L317" s="767"/>
    </row>
    <row r="318" spans="1:12" hidden="1" x14ac:dyDescent="0.2">
      <c r="A318" s="1198">
        <v>166</v>
      </c>
      <c r="B318" s="1137" t="s">
        <v>99</v>
      </c>
      <c r="C318" s="1200">
        <v>32330774</v>
      </c>
      <c r="D318" s="1168">
        <v>4</v>
      </c>
      <c r="E318" s="1153" t="s">
        <v>396</v>
      </c>
      <c r="F318" s="1271"/>
      <c r="G318" s="1157" t="s">
        <v>496</v>
      </c>
      <c r="H318" s="1141"/>
      <c r="I318" s="1157"/>
      <c r="J318" s="1145">
        <v>-3538000</v>
      </c>
      <c r="K318" s="1157"/>
      <c r="L318" s="767"/>
    </row>
    <row r="319" spans="1:12" ht="18.75" hidden="1" customHeight="1" x14ac:dyDescent="0.2">
      <c r="A319" s="1198">
        <v>167</v>
      </c>
      <c r="B319" s="1137" t="s">
        <v>132</v>
      </c>
      <c r="C319" s="1200">
        <v>39456473</v>
      </c>
      <c r="D319" s="1168">
        <v>1</v>
      </c>
      <c r="E319" s="1153" t="s">
        <v>396</v>
      </c>
      <c r="F319" s="1277" t="s">
        <v>318</v>
      </c>
      <c r="G319" s="1157" t="s">
        <v>496</v>
      </c>
      <c r="H319" s="1141"/>
      <c r="I319" s="1157"/>
      <c r="J319" s="1145">
        <v>-1322000</v>
      </c>
      <c r="K319" s="1157"/>
      <c r="L319" s="767"/>
    </row>
    <row r="320" spans="1:12" hidden="1" x14ac:dyDescent="0.2">
      <c r="A320" s="1198"/>
      <c r="B320" s="1137"/>
      <c r="C320" s="1200"/>
      <c r="D320" s="1168"/>
      <c r="E320" s="1311"/>
      <c r="F320" s="1271"/>
      <c r="G320" s="1157"/>
      <c r="H320" s="1162"/>
      <c r="I320" s="1140"/>
      <c r="J320" s="1273"/>
      <c r="K320" s="1157"/>
      <c r="L320" s="767"/>
    </row>
    <row r="321" spans="1:12" hidden="1" x14ac:dyDescent="0.2">
      <c r="K321" s="1309"/>
      <c r="L321" s="767"/>
    </row>
    <row r="322" spans="1:12" hidden="1" x14ac:dyDescent="0.2">
      <c r="A322" s="348" t="s">
        <v>573</v>
      </c>
      <c r="C322" s="686"/>
      <c r="G322" s="769"/>
      <c r="H322" s="1883">
        <v>45572</v>
      </c>
      <c r="I322" s="1883"/>
      <c r="J322" s="1883"/>
      <c r="K322" s="769"/>
      <c r="L322" s="767"/>
    </row>
    <row r="323" spans="1:12" hidden="1" x14ac:dyDescent="0.2">
      <c r="L323" s="767"/>
    </row>
    <row r="324" spans="1:12" hidden="1" x14ac:dyDescent="0.2">
      <c r="A324" s="1198">
        <v>169</v>
      </c>
      <c r="B324" s="1137" t="s">
        <v>39</v>
      </c>
      <c r="C324" s="1200">
        <v>10059375</v>
      </c>
      <c r="D324" s="1168">
        <v>8</v>
      </c>
      <c r="E324" s="1153" t="s">
        <v>396</v>
      </c>
      <c r="F324" s="1277" t="s">
        <v>318</v>
      </c>
      <c r="G324" s="1157" t="s">
        <v>496</v>
      </c>
      <c r="H324" s="1141"/>
      <c r="I324" s="1157"/>
      <c r="J324" s="1145">
        <v>-23564000</v>
      </c>
      <c r="K324" s="1157"/>
      <c r="L324" s="767"/>
    </row>
    <row r="325" spans="1:12" hidden="1" x14ac:dyDescent="0.2">
      <c r="A325" s="1198">
        <v>170</v>
      </c>
      <c r="B325" s="1137" t="s">
        <v>92</v>
      </c>
      <c r="C325" s="1200">
        <v>95022700775</v>
      </c>
      <c r="D325" s="1168">
        <v>3</v>
      </c>
      <c r="E325" s="1153" t="s">
        <v>396</v>
      </c>
      <c r="F325" s="1271"/>
      <c r="G325" s="1157" t="s">
        <v>495</v>
      </c>
      <c r="H325" s="1272"/>
      <c r="I325" s="1157"/>
      <c r="J325" s="1145">
        <v>1900000</v>
      </c>
      <c r="K325" s="1157"/>
      <c r="L325" s="767"/>
    </row>
    <row r="326" spans="1:12" hidden="1" x14ac:dyDescent="0.2">
      <c r="A326" s="1198">
        <v>171</v>
      </c>
      <c r="B326" s="1137" t="s">
        <v>168</v>
      </c>
      <c r="C326" s="1200">
        <v>8252575</v>
      </c>
      <c r="D326" s="1168">
        <v>3</v>
      </c>
      <c r="E326" s="1153" t="s">
        <v>396</v>
      </c>
      <c r="F326" s="1271"/>
      <c r="G326" s="1157" t="s">
        <v>496</v>
      </c>
      <c r="H326" s="1141"/>
      <c r="I326" s="1157"/>
      <c r="J326" s="1145">
        <v>-1013000</v>
      </c>
      <c r="K326" s="1157"/>
      <c r="L326" s="767"/>
    </row>
    <row r="327" spans="1:12" hidden="1" x14ac:dyDescent="0.2">
      <c r="A327" s="1198"/>
      <c r="B327" s="1137"/>
      <c r="C327" s="1200"/>
      <c r="D327" s="1168"/>
      <c r="E327" s="1311"/>
      <c r="F327" s="1271"/>
      <c r="G327" s="1157"/>
      <c r="H327" s="1162"/>
      <c r="I327" s="1140"/>
      <c r="J327" s="1273"/>
      <c r="K327" s="1157"/>
      <c r="L327" s="767"/>
    </row>
    <row r="328" spans="1:12" hidden="1" x14ac:dyDescent="0.2">
      <c r="K328" s="1309"/>
      <c r="L328" s="767"/>
    </row>
    <row r="329" spans="1:12" hidden="1" x14ac:dyDescent="0.2">
      <c r="A329" s="348" t="s">
        <v>574</v>
      </c>
      <c r="C329" s="686"/>
      <c r="G329" s="769"/>
      <c r="H329" s="1883">
        <v>45573</v>
      </c>
      <c r="I329" s="1883"/>
      <c r="J329" s="1883"/>
      <c r="K329" s="769"/>
      <c r="L329" s="767"/>
    </row>
    <row r="330" spans="1:12" hidden="1" x14ac:dyDescent="0.2">
      <c r="C330" s="686"/>
      <c r="K330" s="1309"/>
      <c r="L330" s="767"/>
    </row>
    <row r="331" spans="1:12" hidden="1" x14ac:dyDescent="0.2">
      <c r="A331" s="1198">
        <v>172</v>
      </c>
      <c r="B331" s="1137" t="s">
        <v>432</v>
      </c>
      <c r="C331" s="1200">
        <v>42888678</v>
      </c>
      <c r="D331" s="1168">
        <v>7</v>
      </c>
      <c r="E331" s="1153" t="s">
        <v>396</v>
      </c>
      <c r="F331" s="1271"/>
      <c r="G331" s="1157" t="s">
        <v>495</v>
      </c>
      <c r="H331" s="1272"/>
      <c r="I331" s="1157"/>
      <c r="J331" s="1145">
        <v>3348000</v>
      </c>
      <c r="K331" s="1157"/>
      <c r="L331" s="767"/>
    </row>
    <row r="332" spans="1:12" hidden="1" x14ac:dyDescent="0.2">
      <c r="A332" s="1198">
        <v>173</v>
      </c>
      <c r="B332" s="1137" t="s">
        <v>48</v>
      </c>
      <c r="C332" s="1200">
        <v>1017922378</v>
      </c>
      <c r="D332" s="1168">
        <v>8</v>
      </c>
      <c r="E332" s="1153" t="s">
        <v>396</v>
      </c>
      <c r="F332" s="1277" t="s">
        <v>318</v>
      </c>
      <c r="G332" s="1157" t="s">
        <v>501</v>
      </c>
      <c r="H332" s="1272"/>
      <c r="I332" s="1157"/>
      <c r="J332" s="1145">
        <v>0</v>
      </c>
      <c r="K332" s="1157"/>
      <c r="L332" s="767"/>
    </row>
    <row r="333" spans="1:12" hidden="1" x14ac:dyDescent="0.2">
      <c r="A333" s="1198">
        <v>174</v>
      </c>
      <c r="B333" s="1137" t="s">
        <v>100</v>
      </c>
      <c r="C333" s="1200">
        <v>71769178</v>
      </c>
      <c r="D333" s="1168">
        <v>1</v>
      </c>
      <c r="E333" s="1153" t="s">
        <v>396</v>
      </c>
      <c r="F333" s="1271"/>
      <c r="G333" s="1157" t="s">
        <v>496</v>
      </c>
      <c r="H333" s="1141"/>
      <c r="I333" s="1157"/>
      <c r="J333" s="1145">
        <v>-114000</v>
      </c>
      <c r="K333" s="1157"/>
      <c r="L333" s="767"/>
    </row>
    <row r="334" spans="1:12" hidden="1" x14ac:dyDescent="0.2">
      <c r="A334" s="1198">
        <v>175</v>
      </c>
      <c r="B334" s="1137" t="s">
        <v>133</v>
      </c>
      <c r="C334" s="1200">
        <v>1128268578</v>
      </c>
      <c r="D334" s="1168">
        <v>1</v>
      </c>
      <c r="E334" s="1153" t="s">
        <v>396</v>
      </c>
      <c r="F334" s="1277" t="s">
        <v>318</v>
      </c>
      <c r="G334" s="1157" t="s">
        <v>501</v>
      </c>
      <c r="H334" s="1272"/>
      <c r="I334" s="1157"/>
      <c r="J334" s="1145">
        <v>0</v>
      </c>
      <c r="K334" s="1157"/>
      <c r="L334" s="767"/>
    </row>
    <row r="335" spans="1:12" hidden="1" x14ac:dyDescent="0.2">
      <c r="A335" s="1198">
        <v>176</v>
      </c>
      <c r="B335" s="1137" t="s">
        <v>146</v>
      </c>
      <c r="C335" s="1200">
        <v>21371978</v>
      </c>
      <c r="D335" s="1168">
        <v>5</v>
      </c>
      <c r="E335" s="1153" t="s">
        <v>396</v>
      </c>
      <c r="F335" s="1271"/>
      <c r="G335" s="1157" t="s">
        <v>495</v>
      </c>
      <c r="H335" s="1272"/>
      <c r="I335" s="1157"/>
      <c r="J335" s="1145">
        <v>5515000</v>
      </c>
      <c r="K335" s="1157"/>
      <c r="L335" s="767"/>
    </row>
    <row r="336" spans="1:12" hidden="1" x14ac:dyDescent="0.2">
      <c r="A336" s="1198"/>
      <c r="B336" s="1137"/>
      <c r="C336" s="1200"/>
      <c r="D336" s="1168"/>
      <c r="E336" s="1311"/>
      <c r="F336" s="1271"/>
      <c r="G336" s="1157"/>
      <c r="H336" s="1162"/>
      <c r="I336" s="1140"/>
      <c r="J336" s="1273"/>
      <c r="K336" s="1157"/>
      <c r="L336" s="767"/>
    </row>
    <row r="337" spans="1:12" hidden="1" x14ac:dyDescent="0.2">
      <c r="K337" s="1309"/>
      <c r="L337" s="767"/>
    </row>
    <row r="338" spans="1:12" hidden="1" x14ac:dyDescent="0.2">
      <c r="A338" s="348" t="s">
        <v>575</v>
      </c>
      <c r="C338" s="686"/>
      <c r="G338" s="769"/>
      <c r="H338" s="1883">
        <v>45574</v>
      </c>
      <c r="I338" s="1883"/>
      <c r="J338" s="1883"/>
      <c r="K338" s="769"/>
      <c r="L338" s="767"/>
    </row>
    <row r="339" spans="1:12" hidden="1" x14ac:dyDescent="0.2">
      <c r="C339" s="686"/>
      <c r="K339" s="1309"/>
      <c r="L339" s="767"/>
    </row>
    <row r="340" spans="1:12" ht="25.5" hidden="1" x14ac:dyDescent="0.2">
      <c r="A340" s="1198">
        <v>177</v>
      </c>
      <c r="B340" s="1137" t="s">
        <v>10</v>
      </c>
      <c r="C340" s="1200">
        <v>42889979</v>
      </c>
      <c r="D340" s="1168">
        <v>3</v>
      </c>
      <c r="E340" s="1153" t="s">
        <v>396</v>
      </c>
      <c r="F340" s="1271"/>
      <c r="G340" s="1157" t="s">
        <v>496</v>
      </c>
      <c r="H340" s="1141"/>
      <c r="I340" s="1157"/>
      <c r="J340" s="1145">
        <v>-6467000</v>
      </c>
      <c r="K340" s="1157"/>
      <c r="L340" s="767"/>
    </row>
    <row r="341" spans="1:12" hidden="1" x14ac:dyDescent="0.2">
      <c r="A341" s="1198">
        <v>178</v>
      </c>
      <c r="B341" s="1137" t="s">
        <v>31</v>
      </c>
      <c r="C341" s="1200">
        <v>43584680</v>
      </c>
      <c r="D341" s="1168">
        <v>0</v>
      </c>
      <c r="E341" s="1153" t="s">
        <v>396</v>
      </c>
      <c r="F341" s="1271"/>
      <c r="G341" s="1157" t="s">
        <v>495</v>
      </c>
      <c r="H341" s="1272"/>
      <c r="I341" s="1157"/>
      <c r="J341" s="1145">
        <v>1915000</v>
      </c>
      <c r="K341" s="1157"/>
      <c r="L341" s="767"/>
    </row>
    <row r="342" spans="1:12" ht="28.5" hidden="1" customHeight="1" x14ac:dyDescent="0.2">
      <c r="A342" s="1198">
        <v>179</v>
      </c>
      <c r="B342" s="1137" t="s">
        <v>41</v>
      </c>
      <c r="C342" s="1200">
        <v>21378780</v>
      </c>
      <c r="D342" s="1168">
        <v>6</v>
      </c>
      <c r="E342" s="1153" t="s">
        <v>396</v>
      </c>
      <c r="F342" s="1271"/>
      <c r="G342" s="1157" t="s">
        <v>495</v>
      </c>
      <c r="H342" s="1272"/>
      <c r="I342" s="1157"/>
      <c r="J342" s="1145">
        <v>11541000</v>
      </c>
      <c r="K342" s="1157"/>
      <c r="L342" s="767"/>
    </row>
    <row r="343" spans="1:12" hidden="1" x14ac:dyDescent="0.2">
      <c r="A343" s="1198">
        <v>180</v>
      </c>
      <c r="B343" s="1137" t="s">
        <v>55</v>
      </c>
      <c r="C343" s="1200">
        <v>680956579</v>
      </c>
      <c r="D343" s="1168">
        <v>2</v>
      </c>
      <c r="E343" s="1153" t="s">
        <v>396</v>
      </c>
      <c r="F343" s="1277" t="s">
        <v>318</v>
      </c>
      <c r="G343" s="1157" t="s">
        <v>495</v>
      </c>
      <c r="H343" s="1272"/>
      <c r="I343" s="1157"/>
      <c r="J343" s="1145">
        <v>320000</v>
      </c>
      <c r="K343" s="1157"/>
      <c r="L343" s="767"/>
    </row>
    <row r="344" spans="1:12" hidden="1" x14ac:dyDescent="0.2">
      <c r="A344" s="1198">
        <v>181</v>
      </c>
      <c r="B344" s="1137" t="s">
        <v>63</v>
      </c>
      <c r="C344" s="1200">
        <v>15502980</v>
      </c>
      <c r="D344" s="1168">
        <v>2</v>
      </c>
      <c r="E344" s="1153" t="s">
        <v>396</v>
      </c>
      <c r="F344" s="1271"/>
      <c r="G344" s="1157" t="s">
        <v>501</v>
      </c>
      <c r="H344" s="1272"/>
      <c r="I344" s="1157"/>
      <c r="J344" s="1145">
        <v>0</v>
      </c>
      <c r="K344" s="1157"/>
      <c r="L344" s="767"/>
    </row>
    <row r="345" spans="1:12" hidden="1" x14ac:dyDescent="0.2">
      <c r="A345" s="1198">
        <v>182</v>
      </c>
      <c r="B345" s="1137" t="s">
        <v>68</v>
      </c>
      <c r="C345" s="1200">
        <v>98570880</v>
      </c>
      <c r="D345" s="1168">
        <v>6</v>
      </c>
      <c r="E345" s="1153" t="s">
        <v>396</v>
      </c>
      <c r="F345" s="1277" t="s">
        <v>318</v>
      </c>
      <c r="G345" s="1157" t="s">
        <v>495</v>
      </c>
      <c r="H345" s="1272"/>
      <c r="I345" s="1157"/>
      <c r="J345" s="1145">
        <v>32684000</v>
      </c>
      <c r="K345" s="1157"/>
      <c r="L345" s="767"/>
    </row>
    <row r="346" spans="1:12" hidden="1" x14ac:dyDescent="0.2">
      <c r="A346" s="1198">
        <v>183</v>
      </c>
      <c r="B346" s="1137" t="s">
        <v>77</v>
      </c>
      <c r="C346" s="1200">
        <v>71557380</v>
      </c>
      <c r="D346" s="1168">
        <v>3</v>
      </c>
      <c r="E346" s="1153" t="s">
        <v>396</v>
      </c>
      <c r="F346" s="1271"/>
      <c r="G346" s="1157" t="s">
        <v>501</v>
      </c>
      <c r="H346" s="1272"/>
      <c r="I346" s="1157"/>
      <c r="J346" s="1145">
        <v>0</v>
      </c>
      <c r="K346" s="1157"/>
      <c r="L346" s="767"/>
    </row>
    <row r="347" spans="1:12" hidden="1" x14ac:dyDescent="0.2">
      <c r="A347" s="1198">
        <v>184</v>
      </c>
      <c r="B347" s="1137" t="s">
        <v>323</v>
      </c>
      <c r="C347" s="1200">
        <v>32409980</v>
      </c>
      <c r="D347" s="1168">
        <v>7</v>
      </c>
      <c r="E347" s="1153" t="s">
        <v>396</v>
      </c>
      <c r="F347" s="1271"/>
      <c r="G347" s="1157" t="s">
        <v>496</v>
      </c>
      <c r="H347" s="1141"/>
      <c r="I347" s="1157"/>
      <c r="J347" s="1145">
        <v>-2129000</v>
      </c>
      <c r="K347" s="1157"/>
      <c r="L347" s="767"/>
    </row>
    <row r="348" spans="1:12" hidden="1" x14ac:dyDescent="0.2">
      <c r="A348" s="1198">
        <v>185</v>
      </c>
      <c r="B348" s="1137" t="s">
        <v>244</v>
      </c>
      <c r="C348" s="1200">
        <v>33069779</v>
      </c>
      <c r="D348" s="1168">
        <v>6</v>
      </c>
      <c r="E348" s="1153" t="s">
        <v>396</v>
      </c>
      <c r="F348" s="1271"/>
      <c r="G348" s="1157" t="s">
        <v>495</v>
      </c>
      <c r="H348" s="1272"/>
      <c r="I348" s="1157"/>
      <c r="J348" s="1145">
        <v>436000</v>
      </c>
      <c r="K348" s="1157"/>
      <c r="L348" s="767"/>
    </row>
    <row r="349" spans="1:12" hidden="1" x14ac:dyDescent="0.2">
      <c r="A349" s="1198">
        <v>186</v>
      </c>
      <c r="B349" s="1137" t="s">
        <v>126</v>
      </c>
      <c r="C349" s="1200">
        <v>8248980</v>
      </c>
      <c r="D349" s="1168">
        <v>8</v>
      </c>
      <c r="E349" s="1153" t="s">
        <v>396</v>
      </c>
      <c r="F349" s="1277" t="s">
        <v>318</v>
      </c>
      <c r="G349" s="1157" t="s">
        <v>501</v>
      </c>
      <c r="H349" s="1272"/>
      <c r="I349" s="1157"/>
      <c r="J349" s="1145">
        <v>0</v>
      </c>
      <c r="K349" s="1157"/>
      <c r="L349" s="767"/>
    </row>
    <row r="350" spans="1:12" ht="24.75" hidden="1" customHeight="1" x14ac:dyDescent="0.2">
      <c r="A350" s="1198">
        <v>187</v>
      </c>
      <c r="B350" s="1137" t="s">
        <v>789</v>
      </c>
      <c r="C350" s="1200">
        <v>32517277</v>
      </c>
      <c r="D350" s="1168">
        <v>1</v>
      </c>
      <c r="E350" s="1153" t="s">
        <v>396</v>
      </c>
      <c r="F350" s="1271"/>
      <c r="G350" s="1274"/>
      <c r="H350" s="1274"/>
      <c r="I350" s="1274"/>
      <c r="J350" s="1275"/>
      <c r="K350" s="1312" t="s">
        <v>654</v>
      </c>
      <c r="L350" s="767"/>
    </row>
    <row r="351" spans="1:12" hidden="1" x14ac:dyDescent="0.2">
      <c r="A351" s="1198"/>
      <c r="B351" s="1137"/>
      <c r="C351" s="1200"/>
      <c r="D351" s="1168"/>
      <c r="E351" s="1311"/>
      <c r="F351" s="1271"/>
      <c r="G351" s="1157"/>
      <c r="H351" s="1162"/>
      <c r="I351" s="1140"/>
      <c r="J351" s="1273"/>
      <c r="K351" s="1157"/>
      <c r="L351" s="767"/>
    </row>
    <row r="352" spans="1:12" hidden="1" x14ac:dyDescent="0.2">
      <c r="K352" s="1309"/>
      <c r="L352" s="767"/>
    </row>
    <row r="353" spans="1:12" hidden="1" x14ac:dyDescent="0.2">
      <c r="A353" s="348" t="s">
        <v>576</v>
      </c>
      <c r="C353" s="686"/>
      <c r="G353" s="769"/>
      <c r="H353" s="1883">
        <v>45575</v>
      </c>
      <c r="I353" s="1883"/>
      <c r="J353" s="1883"/>
      <c r="K353" s="769"/>
      <c r="L353" s="767"/>
    </row>
    <row r="354" spans="1:12" hidden="1" x14ac:dyDescent="0.2">
      <c r="C354" s="686"/>
      <c r="K354" s="1309"/>
      <c r="L354" s="767"/>
    </row>
    <row r="355" spans="1:12" hidden="1" x14ac:dyDescent="0.2">
      <c r="A355" s="1198">
        <v>188</v>
      </c>
      <c r="B355" s="1137" t="s">
        <v>429</v>
      </c>
      <c r="C355" s="1200">
        <v>75072481</v>
      </c>
      <c r="D355" s="1168">
        <v>0</v>
      </c>
      <c r="E355" s="1153" t="s">
        <v>396</v>
      </c>
      <c r="F355" s="1271"/>
      <c r="G355" s="1157" t="s">
        <v>496</v>
      </c>
      <c r="H355" s="1141"/>
      <c r="I355" s="1157"/>
      <c r="J355" s="1145">
        <v>-38139000</v>
      </c>
      <c r="K355" s="1157"/>
      <c r="L355" s="767"/>
    </row>
    <row r="356" spans="1:12" hidden="1" x14ac:dyDescent="0.2">
      <c r="A356" s="1198">
        <v>189</v>
      </c>
      <c r="B356" s="1137" t="s">
        <v>43</v>
      </c>
      <c r="C356" s="1200">
        <v>42684082</v>
      </c>
      <c r="D356" s="1168">
        <v>1</v>
      </c>
      <c r="E356" s="1153" t="s">
        <v>396</v>
      </c>
      <c r="F356" s="1271"/>
      <c r="G356" s="1157" t="s">
        <v>495</v>
      </c>
      <c r="H356" s="1272"/>
      <c r="I356" s="1157"/>
      <c r="J356" s="1145">
        <v>27803000</v>
      </c>
      <c r="K356" s="1157"/>
      <c r="L356" s="767"/>
    </row>
    <row r="357" spans="1:12" ht="30.75" hidden="1" customHeight="1" x14ac:dyDescent="0.2">
      <c r="A357" s="1198">
        <v>190</v>
      </c>
      <c r="B357" s="1137" t="s">
        <v>334</v>
      </c>
      <c r="C357" s="1200">
        <v>507881</v>
      </c>
      <c r="D357" s="1168">
        <v>1</v>
      </c>
      <c r="E357" s="1153" t="s">
        <v>396</v>
      </c>
      <c r="F357" s="1271"/>
      <c r="G357" s="1274"/>
      <c r="H357" s="1274"/>
      <c r="I357" s="1274"/>
      <c r="J357" s="1275"/>
      <c r="K357" s="1322" t="s">
        <v>801</v>
      </c>
      <c r="L357" s="767"/>
    </row>
    <row r="358" spans="1:12" hidden="1" x14ac:dyDescent="0.2">
      <c r="A358" s="1198">
        <v>191</v>
      </c>
      <c r="B358" s="1137" t="s">
        <v>332</v>
      </c>
      <c r="C358" s="1200">
        <v>98570881</v>
      </c>
      <c r="D358" s="1168">
        <v>3</v>
      </c>
      <c r="E358" s="1153" t="s">
        <v>396</v>
      </c>
      <c r="F358" s="1271"/>
      <c r="G358" s="1157" t="s">
        <v>501</v>
      </c>
      <c r="H358" s="1272"/>
      <c r="I358" s="1157"/>
      <c r="J358" s="1145">
        <v>0</v>
      </c>
      <c r="K358" s="1157"/>
      <c r="L358" s="767"/>
    </row>
    <row r="359" spans="1:12" hidden="1" x14ac:dyDescent="0.2">
      <c r="A359" s="1198">
        <v>192</v>
      </c>
      <c r="B359" s="1137" t="s">
        <v>659</v>
      </c>
      <c r="C359" s="1200">
        <v>1034995481</v>
      </c>
      <c r="D359" s="1168">
        <v>3</v>
      </c>
      <c r="E359" s="1153" t="s">
        <v>396</v>
      </c>
      <c r="F359" s="1271"/>
      <c r="G359" s="1157" t="s">
        <v>496</v>
      </c>
      <c r="H359" s="1141"/>
      <c r="I359" s="1157"/>
      <c r="J359" s="1145">
        <v>-221000</v>
      </c>
      <c r="K359" s="1277" t="s">
        <v>794</v>
      </c>
      <c r="L359" s="767"/>
    </row>
    <row r="360" spans="1:12" hidden="1" x14ac:dyDescent="0.2">
      <c r="A360" s="1198">
        <v>193</v>
      </c>
      <c r="B360" s="1137" t="s">
        <v>646</v>
      </c>
      <c r="C360" s="1200">
        <v>1034991081</v>
      </c>
      <c r="D360" s="1168">
        <v>2</v>
      </c>
      <c r="E360" s="1153" t="s">
        <v>396</v>
      </c>
      <c r="F360" s="1271"/>
      <c r="G360" s="1157" t="s">
        <v>496</v>
      </c>
      <c r="H360" s="1141"/>
      <c r="I360" s="1157"/>
      <c r="J360" s="1145">
        <v>-209000</v>
      </c>
      <c r="K360" s="1277" t="s">
        <v>794</v>
      </c>
      <c r="L360" s="767"/>
    </row>
    <row r="361" spans="1:12" hidden="1" x14ac:dyDescent="0.2">
      <c r="A361" s="1198">
        <v>194</v>
      </c>
      <c r="B361" s="1137" t="s">
        <v>89</v>
      </c>
      <c r="C361" s="1200">
        <v>32523581</v>
      </c>
      <c r="D361" s="1168">
        <v>9</v>
      </c>
      <c r="E361" s="1153" t="s">
        <v>396</v>
      </c>
      <c r="F361" s="1271"/>
      <c r="G361" s="1157" t="s">
        <v>496</v>
      </c>
      <c r="H361" s="1141"/>
      <c r="I361" s="1157"/>
      <c r="J361" s="1145">
        <v>-2568000</v>
      </c>
      <c r="K361" s="1157"/>
      <c r="L361" s="767"/>
    </row>
    <row r="362" spans="1:12" hidden="1" x14ac:dyDescent="0.2">
      <c r="A362" s="1198">
        <v>195</v>
      </c>
      <c r="B362" s="1137" t="s">
        <v>309</v>
      </c>
      <c r="C362" s="1200">
        <v>73097181</v>
      </c>
      <c r="D362" s="1168">
        <v>7</v>
      </c>
      <c r="E362" s="1153" t="s">
        <v>396</v>
      </c>
      <c r="F362" s="1271"/>
      <c r="G362" s="1157" t="s">
        <v>501</v>
      </c>
      <c r="H362" s="1272"/>
      <c r="I362" s="1157"/>
      <c r="J362" s="1145">
        <v>0</v>
      </c>
      <c r="K362" s="1157"/>
      <c r="L362" s="767"/>
    </row>
    <row r="363" spans="1:12" hidden="1" x14ac:dyDescent="0.2">
      <c r="A363" s="1198">
        <v>196</v>
      </c>
      <c r="B363" s="1137" t="s">
        <v>310</v>
      </c>
      <c r="C363" s="1200">
        <v>15256982</v>
      </c>
      <c r="D363" s="1168">
        <v>1</v>
      </c>
      <c r="E363" s="1153" t="s">
        <v>396</v>
      </c>
      <c r="F363" s="1271"/>
      <c r="G363" s="1157" t="s">
        <v>496</v>
      </c>
      <c r="H363" s="1141"/>
      <c r="I363" s="1157"/>
      <c r="J363" s="1145">
        <v>-419000</v>
      </c>
      <c r="K363" s="1157"/>
      <c r="L363" s="767"/>
    </row>
    <row r="364" spans="1:12" hidden="1" x14ac:dyDescent="0.2">
      <c r="A364" s="1198">
        <v>197</v>
      </c>
      <c r="B364" s="1137" t="s">
        <v>141</v>
      </c>
      <c r="C364" s="1200">
        <v>43103382</v>
      </c>
      <c r="D364" s="1168">
        <v>8</v>
      </c>
      <c r="E364" s="1153" t="s">
        <v>396</v>
      </c>
      <c r="F364" s="1271"/>
      <c r="G364" s="1157" t="s">
        <v>495</v>
      </c>
      <c r="H364" s="1272"/>
      <c r="I364" s="1157"/>
      <c r="J364" s="1145">
        <v>5787000</v>
      </c>
      <c r="K364" s="1157"/>
      <c r="L364" s="767"/>
    </row>
    <row r="365" spans="1:12" hidden="1" x14ac:dyDescent="0.2">
      <c r="K365" s="1309"/>
      <c r="L365" s="767"/>
    </row>
    <row r="366" spans="1:12" hidden="1" x14ac:dyDescent="0.2">
      <c r="A366" s="348" t="s">
        <v>577</v>
      </c>
      <c r="C366" s="686"/>
      <c r="G366" s="769"/>
      <c r="H366" s="1883">
        <v>45576</v>
      </c>
      <c r="I366" s="1883"/>
      <c r="J366" s="1883"/>
      <c r="K366" s="769"/>
      <c r="L366" s="767"/>
    </row>
    <row r="367" spans="1:12" hidden="1" x14ac:dyDescent="0.2">
      <c r="C367" s="686"/>
      <c r="K367" s="1309"/>
      <c r="L367" s="767"/>
    </row>
    <row r="368" spans="1:12" hidden="1" x14ac:dyDescent="0.2">
      <c r="A368" s="1198">
        <v>198</v>
      </c>
      <c r="B368" s="1137" t="s">
        <v>493</v>
      </c>
      <c r="C368" s="1200">
        <v>1017178784</v>
      </c>
      <c r="D368" s="1168">
        <v>3</v>
      </c>
      <c r="E368" s="1153" t="s">
        <v>396</v>
      </c>
      <c r="F368" s="1271"/>
      <c r="G368" s="1157" t="s">
        <v>496</v>
      </c>
      <c r="H368" s="1141"/>
      <c r="I368" s="1157"/>
      <c r="J368" s="1145">
        <v>-249000</v>
      </c>
      <c r="K368" s="1157"/>
      <c r="L368" s="767"/>
    </row>
    <row r="369" spans="1:12" hidden="1" x14ac:dyDescent="0.2">
      <c r="A369" s="1198">
        <v>199</v>
      </c>
      <c r="B369" s="1137" t="s">
        <v>428</v>
      </c>
      <c r="C369" s="1200">
        <v>8215384</v>
      </c>
      <c r="D369" s="1168">
        <v>6</v>
      </c>
      <c r="E369" s="1153" t="s">
        <v>396</v>
      </c>
      <c r="F369" s="1271"/>
      <c r="G369" s="1157" t="s">
        <v>501</v>
      </c>
      <c r="H369" s="1272"/>
      <c r="I369" s="1157"/>
      <c r="J369" s="1145">
        <v>0</v>
      </c>
      <c r="K369" s="1157"/>
      <c r="L369" s="767"/>
    </row>
    <row r="370" spans="1:12" hidden="1" x14ac:dyDescent="0.2">
      <c r="A370" s="1198">
        <v>200</v>
      </c>
      <c r="B370" s="1137" t="s">
        <v>74</v>
      </c>
      <c r="C370" s="1200">
        <v>71776283</v>
      </c>
      <c r="D370" s="1168">
        <v>6</v>
      </c>
      <c r="E370" s="1153" t="s">
        <v>396</v>
      </c>
      <c r="F370" s="1271"/>
      <c r="G370" s="1157" t="s">
        <v>496</v>
      </c>
      <c r="H370" s="1141"/>
      <c r="I370" s="1157"/>
      <c r="J370" s="1145">
        <v>-5949000</v>
      </c>
      <c r="K370" s="1157"/>
      <c r="L370" s="767"/>
    </row>
    <row r="371" spans="1:12" hidden="1" x14ac:dyDescent="0.2">
      <c r="A371" s="1198">
        <v>201</v>
      </c>
      <c r="B371" s="1137" t="s">
        <v>660</v>
      </c>
      <c r="C371" s="1200">
        <v>42760284</v>
      </c>
      <c r="D371" s="1168">
        <v>8</v>
      </c>
      <c r="E371" s="1153" t="s">
        <v>396</v>
      </c>
      <c r="F371" s="1271"/>
      <c r="G371" s="1157" t="s">
        <v>496</v>
      </c>
      <c r="H371" s="1141"/>
      <c r="I371" s="1157"/>
      <c r="J371" s="1145">
        <v>-383000</v>
      </c>
      <c r="K371" s="1277" t="s">
        <v>802</v>
      </c>
      <c r="L371" s="767"/>
    </row>
    <row r="372" spans="1:12" ht="25.5" hidden="1" x14ac:dyDescent="0.2">
      <c r="A372" s="1198">
        <v>202</v>
      </c>
      <c r="B372" s="1137" t="s">
        <v>322</v>
      </c>
      <c r="C372" s="1200">
        <v>39325884</v>
      </c>
      <c r="D372" s="1168">
        <v>1</v>
      </c>
      <c r="E372" s="1153" t="s">
        <v>396</v>
      </c>
      <c r="F372" s="1271"/>
      <c r="G372" s="1157" t="s">
        <v>501</v>
      </c>
      <c r="H372" s="1272"/>
      <c r="I372" s="1157"/>
      <c r="J372" s="1145">
        <v>0</v>
      </c>
      <c r="K372" s="1323" t="s">
        <v>790</v>
      </c>
      <c r="L372" s="767"/>
    </row>
    <row r="373" spans="1:12" hidden="1" x14ac:dyDescent="0.2">
      <c r="A373" s="1198"/>
      <c r="B373" s="1137"/>
      <c r="C373" s="1200"/>
      <c r="D373" s="1168"/>
      <c r="E373" s="1311"/>
      <c r="F373" s="1271"/>
      <c r="G373" s="1157"/>
      <c r="H373" s="1162"/>
      <c r="I373" s="1140"/>
      <c r="J373" s="1273"/>
      <c r="K373" s="1157"/>
      <c r="L373" s="767"/>
    </row>
    <row r="374" spans="1:12" hidden="1" x14ac:dyDescent="0.2">
      <c r="K374" s="1309"/>
      <c r="L374" s="767"/>
    </row>
    <row r="375" spans="1:12" hidden="1" x14ac:dyDescent="0.2">
      <c r="A375" s="348" t="s">
        <v>578</v>
      </c>
      <c r="C375" s="686"/>
      <c r="G375" s="769"/>
      <c r="H375" s="1883">
        <v>45580</v>
      </c>
      <c r="I375" s="1883"/>
      <c r="J375" s="1883"/>
      <c r="K375" s="769"/>
      <c r="L375" s="767"/>
    </row>
    <row r="376" spans="1:12" hidden="1" x14ac:dyDescent="0.2">
      <c r="C376" s="686"/>
      <c r="K376" s="1309"/>
      <c r="L376" s="767"/>
    </row>
    <row r="377" spans="1:12" ht="25.5" hidden="1" x14ac:dyDescent="0.2">
      <c r="A377" s="1198">
        <v>203</v>
      </c>
      <c r="B377" s="1137" t="s">
        <v>25</v>
      </c>
      <c r="C377" s="1200">
        <v>32441185</v>
      </c>
      <c r="D377" s="1168">
        <v>2</v>
      </c>
      <c r="E377" s="1153" t="s">
        <v>396</v>
      </c>
      <c r="F377" s="1277" t="s">
        <v>318</v>
      </c>
      <c r="G377" s="1157" t="s">
        <v>496</v>
      </c>
      <c r="H377" s="1141"/>
      <c r="I377" s="1157"/>
      <c r="J377" s="1145">
        <v>-5830000</v>
      </c>
      <c r="K377" s="1157"/>
      <c r="L377" s="767"/>
    </row>
    <row r="378" spans="1:12" hidden="1" x14ac:dyDescent="0.2">
      <c r="A378" s="1198">
        <v>204</v>
      </c>
      <c r="B378" s="1137" t="s">
        <v>308</v>
      </c>
      <c r="C378" s="1200">
        <v>98661685</v>
      </c>
      <c r="D378" s="1168">
        <v>7</v>
      </c>
      <c r="E378" s="1153" t="s">
        <v>396</v>
      </c>
      <c r="F378" s="1271"/>
      <c r="G378" s="1157" t="s">
        <v>495</v>
      </c>
      <c r="H378" s="1272"/>
      <c r="I378" s="1157"/>
      <c r="J378" s="1145">
        <v>1365000</v>
      </c>
      <c r="K378" s="1157"/>
      <c r="L378" s="767"/>
    </row>
    <row r="379" spans="1:12" hidden="1" x14ac:dyDescent="0.2">
      <c r="A379" s="1198">
        <v>205</v>
      </c>
      <c r="B379" s="1137" t="s">
        <v>58</v>
      </c>
      <c r="C379" s="1200">
        <v>43739786</v>
      </c>
      <c r="D379" s="1168">
        <v>1</v>
      </c>
      <c r="E379" s="1153" t="s">
        <v>396</v>
      </c>
      <c r="F379" s="1271"/>
      <c r="G379" s="1157" t="s">
        <v>496</v>
      </c>
      <c r="H379" s="1141"/>
      <c r="I379" s="1157"/>
      <c r="J379" s="1145">
        <v>-339000</v>
      </c>
      <c r="K379" s="1157"/>
      <c r="L379" s="767"/>
    </row>
    <row r="380" spans="1:12" hidden="1" x14ac:dyDescent="0.2">
      <c r="A380" s="1198">
        <v>206</v>
      </c>
      <c r="B380" s="1137" t="s">
        <v>328</v>
      </c>
      <c r="C380" s="1200">
        <v>8269485</v>
      </c>
      <c r="D380" s="1168">
        <v>3</v>
      </c>
      <c r="E380" s="1153" t="s">
        <v>396</v>
      </c>
      <c r="F380" s="1271"/>
      <c r="G380" s="1157" t="s">
        <v>496</v>
      </c>
      <c r="H380" s="1141"/>
      <c r="I380" s="1157"/>
      <c r="J380" s="1145">
        <v>-5433000</v>
      </c>
      <c r="K380" s="1157"/>
      <c r="L380" s="767"/>
    </row>
    <row r="381" spans="1:12" hidden="1" x14ac:dyDescent="0.2">
      <c r="A381" s="1198">
        <v>207</v>
      </c>
      <c r="B381" s="1137" t="s">
        <v>91</v>
      </c>
      <c r="C381" s="1200">
        <v>8264986</v>
      </c>
      <c r="D381" s="1168">
        <v>9</v>
      </c>
      <c r="E381" s="1153" t="s">
        <v>396</v>
      </c>
      <c r="F381" s="1288" t="s">
        <v>266</v>
      </c>
      <c r="G381" s="1157" t="s">
        <v>501</v>
      </c>
      <c r="H381" s="1272"/>
      <c r="I381" s="1157"/>
      <c r="J381" s="1145">
        <v>0</v>
      </c>
      <c r="K381" s="1279" t="s">
        <v>791</v>
      </c>
      <c r="L381" s="767"/>
    </row>
    <row r="382" spans="1:12" hidden="1" x14ac:dyDescent="0.2">
      <c r="A382" s="1198">
        <v>208</v>
      </c>
      <c r="B382" s="1137" t="s">
        <v>482</v>
      </c>
      <c r="C382" s="1200">
        <v>1037606586</v>
      </c>
      <c r="D382" s="1168">
        <v>1</v>
      </c>
      <c r="E382" s="1153" t="s">
        <v>396</v>
      </c>
      <c r="F382" s="1139"/>
      <c r="G382" s="1157" t="s">
        <v>501</v>
      </c>
      <c r="H382" s="1272"/>
      <c r="I382" s="1157"/>
      <c r="J382" s="1145">
        <v>0</v>
      </c>
      <c r="K382" s="1282"/>
      <c r="L382" s="767"/>
    </row>
    <row r="383" spans="1:12" hidden="1" x14ac:dyDescent="0.2">
      <c r="A383" s="1198">
        <v>209</v>
      </c>
      <c r="B383" s="1137" t="s">
        <v>142</v>
      </c>
      <c r="C383" s="1200">
        <v>3520885</v>
      </c>
      <c r="D383" s="1168">
        <v>3</v>
      </c>
      <c r="E383" s="1153" t="s">
        <v>396</v>
      </c>
      <c r="F383" s="1271"/>
      <c r="G383" s="1157" t="s">
        <v>496</v>
      </c>
      <c r="H383" s="1141"/>
      <c r="I383" s="1157"/>
      <c r="J383" s="1145">
        <v>-2130000</v>
      </c>
      <c r="K383" s="1157"/>
      <c r="L383" s="767"/>
    </row>
    <row r="384" spans="1:12" hidden="1" x14ac:dyDescent="0.2">
      <c r="A384" s="1198"/>
      <c r="B384" s="1137"/>
      <c r="C384" s="1200"/>
      <c r="D384" s="1168"/>
      <c r="E384" s="1311"/>
      <c r="F384" s="1271"/>
      <c r="G384" s="1157"/>
      <c r="H384" s="1162"/>
      <c r="I384" s="1140"/>
      <c r="J384" s="1273"/>
      <c r="K384" s="1157"/>
      <c r="L384" s="767"/>
    </row>
    <row r="385" spans="1:12" hidden="1" x14ac:dyDescent="0.2">
      <c r="K385" s="1309"/>
      <c r="L385" s="767"/>
    </row>
    <row r="386" spans="1:12" hidden="1" x14ac:dyDescent="0.2">
      <c r="A386" s="348" t="s">
        <v>579</v>
      </c>
      <c r="C386" s="686"/>
      <c r="G386" s="769"/>
      <c r="H386" s="1883">
        <v>45581</v>
      </c>
      <c r="I386" s="1883"/>
      <c r="J386" s="1883"/>
      <c r="K386" s="769"/>
      <c r="L386" s="767"/>
    </row>
    <row r="387" spans="1:12" hidden="1" x14ac:dyDescent="0.2">
      <c r="C387" s="686"/>
      <c r="K387" s="1309"/>
      <c r="L387" s="767"/>
    </row>
    <row r="388" spans="1:12" hidden="1" x14ac:dyDescent="0.2">
      <c r="A388" s="1198">
        <v>210</v>
      </c>
      <c r="B388" s="1137" t="s">
        <v>19</v>
      </c>
      <c r="C388" s="1200">
        <v>42793787</v>
      </c>
      <c r="D388" s="1168">
        <v>2</v>
      </c>
      <c r="E388" s="1153" t="s">
        <v>396</v>
      </c>
      <c r="F388" s="1271"/>
      <c r="G388" s="1157" t="s">
        <v>501</v>
      </c>
      <c r="H388" s="1272"/>
      <c r="I388" s="1157"/>
      <c r="J388" s="1145">
        <v>0</v>
      </c>
      <c r="K388" s="1157"/>
      <c r="L388" s="767"/>
    </row>
    <row r="389" spans="1:12" hidden="1" x14ac:dyDescent="0.2">
      <c r="A389" s="1198">
        <v>211</v>
      </c>
      <c r="B389" s="1137" t="s">
        <v>169</v>
      </c>
      <c r="C389" s="1200">
        <v>71629287</v>
      </c>
      <c r="D389" s="1168">
        <v>6</v>
      </c>
      <c r="E389" s="1153" t="s">
        <v>396</v>
      </c>
      <c r="F389" s="1271"/>
      <c r="G389" s="1157" t="s">
        <v>496</v>
      </c>
      <c r="H389" s="1141"/>
      <c r="I389" s="1157"/>
      <c r="J389" s="1145">
        <v>-3048000</v>
      </c>
      <c r="K389" s="1157"/>
      <c r="L389" s="767"/>
    </row>
    <row r="390" spans="1:12" hidden="1" x14ac:dyDescent="0.2">
      <c r="A390" s="1198"/>
      <c r="B390" s="1137"/>
      <c r="C390" s="1200"/>
      <c r="D390" s="1168"/>
      <c r="E390" s="1311"/>
      <c r="F390" s="1271"/>
      <c r="G390" s="1157"/>
      <c r="H390" s="1162"/>
      <c r="I390" s="1140"/>
      <c r="J390" s="1273"/>
      <c r="K390" s="1157"/>
      <c r="L390" s="767"/>
    </row>
    <row r="391" spans="1:12" hidden="1" x14ac:dyDescent="0.2">
      <c r="K391" s="1309"/>
      <c r="L391" s="767"/>
    </row>
    <row r="392" spans="1:12" hidden="1" x14ac:dyDescent="0.2">
      <c r="A392" s="348" t="s">
        <v>580</v>
      </c>
      <c r="C392" s="686"/>
      <c r="G392" s="769"/>
      <c r="H392" s="1883">
        <v>45582</v>
      </c>
      <c r="I392" s="1883"/>
      <c r="J392" s="1883"/>
      <c r="K392" s="769"/>
      <c r="L392" s="767"/>
    </row>
    <row r="393" spans="1:12" hidden="1" x14ac:dyDescent="0.2">
      <c r="C393" s="686"/>
      <c r="K393" s="1309"/>
      <c r="L393" s="767"/>
    </row>
    <row r="394" spans="1:12" ht="25.5" hidden="1" x14ac:dyDescent="0.2">
      <c r="A394" s="1198">
        <v>212</v>
      </c>
      <c r="B394" s="1137" t="s">
        <v>12</v>
      </c>
      <c r="C394" s="1200">
        <v>3333089</v>
      </c>
      <c r="D394" s="1168">
        <v>5</v>
      </c>
      <c r="E394" s="1153" t="s">
        <v>396</v>
      </c>
      <c r="F394" s="1271"/>
      <c r="G394" s="1274"/>
      <c r="H394" s="1274"/>
      <c r="I394" s="1274"/>
      <c r="J394" s="1275"/>
      <c r="K394" s="1322" t="s">
        <v>803</v>
      </c>
      <c r="L394" s="767"/>
    </row>
    <row r="395" spans="1:12" hidden="1" x14ac:dyDescent="0.2">
      <c r="A395" s="1198">
        <v>213</v>
      </c>
      <c r="B395" s="1137" t="s">
        <v>15</v>
      </c>
      <c r="C395" s="1200">
        <v>87082052990</v>
      </c>
      <c r="D395" s="1168">
        <v>2</v>
      </c>
      <c r="E395" s="1153" t="s">
        <v>396</v>
      </c>
      <c r="F395" s="1277" t="s">
        <v>318</v>
      </c>
      <c r="G395" s="1157" t="s">
        <v>495</v>
      </c>
      <c r="H395" s="1272"/>
      <c r="I395" s="1157"/>
      <c r="J395" s="1145">
        <v>14440000</v>
      </c>
      <c r="K395" s="1157"/>
      <c r="L395" s="767"/>
    </row>
    <row r="396" spans="1:12" ht="27" hidden="1" customHeight="1" x14ac:dyDescent="0.2">
      <c r="A396" s="1198">
        <v>214</v>
      </c>
      <c r="B396" s="1137" t="s">
        <v>52</v>
      </c>
      <c r="C396" s="1200">
        <v>71639489</v>
      </c>
      <c r="D396" s="1168">
        <v>1</v>
      </c>
      <c r="E396" s="1153" t="s">
        <v>396</v>
      </c>
      <c r="F396" s="1271"/>
      <c r="G396" s="1157" t="s">
        <v>495</v>
      </c>
      <c r="H396" s="1272"/>
      <c r="I396" s="1157"/>
      <c r="J396" s="1145">
        <v>7255000</v>
      </c>
      <c r="K396" s="1157"/>
      <c r="L396" s="767"/>
    </row>
    <row r="397" spans="1:12" hidden="1" x14ac:dyDescent="0.2">
      <c r="A397" s="1198">
        <v>215</v>
      </c>
      <c r="B397" s="1137" t="s">
        <v>73</v>
      </c>
      <c r="C397" s="1200">
        <v>33166790</v>
      </c>
      <c r="D397" s="1168">
        <v>3</v>
      </c>
      <c r="E397" s="1153" t="s">
        <v>396</v>
      </c>
      <c r="F397" s="1271"/>
      <c r="G397" s="1157" t="s">
        <v>496</v>
      </c>
      <c r="H397" s="1141"/>
      <c r="I397" s="1157"/>
      <c r="J397" s="1145">
        <v>-8868000</v>
      </c>
      <c r="K397" s="1157"/>
      <c r="L397" s="767"/>
    </row>
    <row r="398" spans="1:12" hidden="1" x14ac:dyDescent="0.2">
      <c r="A398" s="1198">
        <v>216</v>
      </c>
      <c r="B398" s="1137" t="s">
        <v>661</v>
      </c>
      <c r="C398" s="1200">
        <v>20197189</v>
      </c>
      <c r="D398" s="1168">
        <v>1</v>
      </c>
      <c r="E398" s="1153" t="s">
        <v>396</v>
      </c>
      <c r="F398" s="1271"/>
      <c r="G398" s="1274"/>
      <c r="H398" s="1274"/>
      <c r="I398" s="1275"/>
      <c r="J398" s="1312"/>
      <c r="K398" s="1312" t="s">
        <v>654</v>
      </c>
      <c r="L398" s="767"/>
    </row>
    <row r="399" spans="1:12" hidden="1" x14ac:dyDescent="0.2">
      <c r="A399" s="1198">
        <v>217</v>
      </c>
      <c r="B399" s="1137" t="s">
        <v>662</v>
      </c>
      <c r="C399" s="1200">
        <v>1214737189</v>
      </c>
      <c r="D399" s="1168">
        <v>4</v>
      </c>
      <c r="E399" s="1153"/>
      <c r="F399" s="1271"/>
      <c r="G399" s="1274"/>
      <c r="H399" s="1274"/>
      <c r="I399" s="1275"/>
      <c r="J399" s="1277" t="s">
        <v>804</v>
      </c>
      <c r="K399" s="1312" t="s">
        <v>654</v>
      </c>
      <c r="L399" s="767"/>
    </row>
    <row r="400" spans="1:12" hidden="1" x14ac:dyDescent="0.2">
      <c r="A400" s="1198"/>
      <c r="B400" s="1137"/>
      <c r="C400" s="1200"/>
      <c r="D400" s="1168"/>
      <c r="E400" s="1153"/>
      <c r="F400" s="1271"/>
      <c r="G400" s="1157"/>
      <c r="H400" s="1162"/>
      <c r="I400" s="1140"/>
      <c r="J400" s="1273"/>
      <c r="K400" s="1157"/>
      <c r="L400" s="767"/>
    </row>
    <row r="401" spans="1:12" hidden="1" x14ac:dyDescent="0.2">
      <c r="K401" s="1309"/>
      <c r="L401" s="767"/>
    </row>
    <row r="402" spans="1:12" hidden="1" x14ac:dyDescent="0.2">
      <c r="A402" s="348" t="s">
        <v>581</v>
      </c>
      <c r="C402" s="686"/>
      <c r="G402" s="769"/>
      <c r="H402" s="1883">
        <v>45583</v>
      </c>
      <c r="I402" s="1883"/>
      <c r="J402" s="1883"/>
      <c r="K402" s="769"/>
      <c r="L402" s="767"/>
    </row>
    <row r="403" spans="1:12" hidden="1" x14ac:dyDescent="0.2">
      <c r="C403" s="686"/>
      <c r="K403" s="1309"/>
      <c r="L403" s="767"/>
    </row>
    <row r="404" spans="1:12" ht="27.75" hidden="1" customHeight="1" x14ac:dyDescent="0.2">
      <c r="A404" s="1198">
        <v>218</v>
      </c>
      <c r="B404" s="1137" t="s">
        <v>319</v>
      </c>
      <c r="C404" s="1200">
        <v>71662891</v>
      </c>
      <c r="D404" s="1168">
        <v>4</v>
      </c>
      <c r="E404" s="1153" t="s">
        <v>396</v>
      </c>
      <c r="F404" s="1271"/>
      <c r="G404" s="1157" t="s">
        <v>501</v>
      </c>
      <c r="H404" s="1272"/>
      <c r="I404" s="1157"/>
      <c r="J404" s="1145">
        <v>0</v>
      </c>
      <c r="K404" s="1157"/>
      <c r="L404" s="767"/>
    </row>
    <row r="405" spans="1:12" ht="24" hidden="1" customHeight="1" x14ac:dyDescent="0.2">
      <c r="A405" s="1198">
        <v>219</v>
      </c>
      <c r="B405" s="1137" t="s">
        <v>320</v>
      </c>
      <c r="C405" s="1200">
        <v>71642392</v>
      </c>
      <c r="D405" s="1168">
        <v>5</v>
      </c>
      <c r="E405" s="1153" t="s">
        <v>396</v>
      </c>
      <c r="F405" s="1271"/>
      <c r="G405" s="1157" t="s">
        <v>501</v>
      </c>
      <c r="H405" s="1272"/>
      <c r="I405" s="1157"/>
      <c r="J405" s="1145">
        <v>0</v>
      </c>
      <c r="K405" s="1157"/>
      <c r="L405" s="767"/>
    </row>
    <row r="406" spans="1:12" hidden="1" x14ac:dyDescent="0.2">
      <c r="A406" s="1198">
        <v>220</v>
      </c>
      <c r="B406" s="1137" t="s">
        <v>648</v>
      </c>
      <c r="C406" s="1200">
        <v>1037624491</v>
      </c>
      <c r="D406" s="1168">
        <v>7</v>
      </c>
      <c r="E406" s="1153" t="s">
        <v>396</v>
      </c>
      <c r="F406" s="1271"/>
      <c r="G406" s="1157" t="s">
        <v>501</v>
      </c>
      <c r="H406" s="1272"/>
      <c r="I406" s="1157"/>
      <c r="J406" s="1145">
        <v>0</v>
      </c>
      <c r="K406" s="1277" t="s">
        <v>804</v>
      </c>
      <c r="L406" s="767"/>
    </row>
    <row r="407" spans="1:12" ht="25.5" hidden="1" x14ac:dyDescent="0.2">
      <c r="A407" s="1198">
        <v>221</v>
      </c>
      <c r="B407" s="1137" t="s">
        <v>153</v>
      </c>
      <c r="C407" s="1200">
        <v>70562691</v>
      </c>
      <c r="D407" s="1168">
        <v>5</v>
      </c>
      <c r="E407" s="1153" t="s">
        <v>396</v>
      </c>
      <c r="F407" s="1271"/>
      <c r="G407" s="1157" t="s">
        <v>496</v>
      </c>
      <c r="H407" s="1141"/>
      <c r="I407" s="1157"/>
      <c r="J407" s="1145">
        <v>-1879000</v>
      </c>
      <c r="K407" s="1157"/>
      <c r="L407" s="767"/>
    </row>
    <row r="408" spans="1:12" hidden="1" x14ac:dyDescent="0.2">
      <c r="A408" s="1198"/>
      <c r="B408" s="1137"/>
      <c r="C408" s="1200"/>
      <c r="D408" s="1168"/>
      <c r="E408" s="1311"/>
      <c r="F408" s="1271"/>
      <c r="G408" s="1157"/>
      <c r="H408" s="1162"/>
      <c r="I408" s="1140"/>
      <c r="J408" s="1273"/>
      <c r="K408" s="1157"/>
      <c r="L408" s="767"/>
    </row>
    <row r="409" spans="1:12" hidden="1" x14ac:dyDescent="0.2">
      <c r="K409" s="1309"/>
      <c r="L409" s="767"/>
    </row>
    <row r="410" spans="1:12" hidden="1" x14ac:dyDescent="0.2">
      <c r="A410" s="348" t="s">
        <v>582</v>
      </c>
      <c r="C410" s="686"/>
      <c r="G410" s="769"/>
      <c r="H410" s="1883">
        <v>45586</v>
      </c>
      <c r="I410" s="1883"/>
      <c r="J410" s="1883"/>
      <c r="K410" s="769"/>
      <c r="L410" s="767"/>
    </row>
    <row r="411" spans="1:12" hidden="1" x14ac:dyDescent="0.2">
      <c r="C411" s="686"/>
      <c r="K411" s="1309"/>
      <c r="L411" s="767"/>
    </row>
    <row r="412" spans="1:12" hidden="1" x14ac:dyDescent="0.2">
      <c r="A412" s="1198">
        <v>222</v>
      </c>
      <c r="B412" s="1137" t="s">
        <v>198</v>
      </c>
      <c r="C412" s="1200">
        <v>70116694</v>
      </c>
      <c r="D412" s="1168">
        <v>5</v>
      </c>
      <c r="E412" s="1153" t="s">
        <v>396</v>
      </c>
      <c r="F412" s="1271"/>
      <c r="G412" s="1157" t="s">
        <v>496</v>
      </c>
      <c r="H412" s="1141"/>
      <c r="I412" s="1157"/>
      <c r="J412" s="1145">
        <v>-4560000</v>
      </c>
      <c r="K412" s="1157"/>
      <c r="L412" s="767"/>
    </row>
    <row r="413" spans="1:12" ht="27.75" hidden="1" customHeight="1" x14ac:dyDescent="0.2">
      <c r="A413" s="1198">
        <v>223</v>
      </c>
      <c r="B413" s="1137" t="s">
        <v>267</v>
      </c>
      <c r="C413" s="1200">
        <v>71660993</v>
      </c>
      <c r="D413" s="1168">
        <v>8</v>
      </c>
      <c r="E413" s="1289" t="s">
        <v>318</v>
      </c>
      <c r="F413" s="1271"/>
      <c r="G413" s="1157" t="s">
        <v>495</v>
      </c>
      <c r="H413" s="1272"/>
      <c r="I413" s="1157"/>
      <c r="J413" s="1145">
        <v>19382000</v>
      </c>
      <c r="K413" s="1289" t="s">
        <v>394</v>
      </c>
      <c r="L413" s="767"/>
    </row>
    <row r="414" spans="1:12" hidden="1" x14ac:dyDescent="0.2">
      <c r="A414" s="1198"/>
      <c r="B414" s="1137"/>
      <c r="C414" s="1200"/>
      <c r="D414" s="1168"/>
      <c r="E414" s="1311"/>
      <c r="F414" s="1271"/>
      <c r="G414" s="1157"/>
      <c r="H414" s="1162"/>
      <c r="I414" s="1140"/>
      <c r="J414" s="1273"/>
      <c r="K414" s="1157"/>
      <c r="L414" s="767"/>
    </row>
    <row r="415" spans="1:12" hidden="1" x14ac:dyDescent="0.2">
      <c r="K415" s="1309"/>
      <c r="L415" s="767"/>
    </row>
    <row r="416" spans="1:12" hidden="1" x14ac:dyDescent="0.2">
      <c r="A416" s="348" t="s">
        <v>583</v>
      </c>
      <c r="C416" s="686"/>
      <c r="G416" s="769"/>
      <c r="H416" s="1883">
        <v>45587</v>
      </c>
      <c r="I416" s="1883"/>
      <c r="J416" s="1883"/>
      <c r="K416" s="769"/>
      <c r="L416" s="767"/>
    </row>
    <row r="417" spans="1:12" hidden="1" x14ac:dyDescent="0.2">
      <c r="C417" s="686"/>
      <c r="K417" s="1309"/>
      <c r="L417" s="767"/>
    </row>
    <row r="418" spans="1:12" hidden="1" x14ac:dyDescent="0.2">
      <c r="A418" s="1198">
        <v>224</v>
      </c>
      <c r="B418" s="1154" t="s">
        <v>354</v>
      </c>
      <c r="C418" s="1200">
        <v>71587495</v>
      </c>
      <c r="D418" s="1168">
        <v>1</v>
      </c>
      <c r="E418" s="1153" t="s">
        <v>396</v>
      </c>
      <c r="F418" s="1277" t="s">
        <v>318</v>
      </c>
      <c r="G418" s="1902">
        <v>45399</v>
      </c>
      <c r="H418" s="1903"/>
      <c r="I418" s="1903"/>
      <c r="J418" s="1904"/>
      <c r="K418" s="1321" t="s">
        <v>663</v>
      </c>
      <c r="L418" s="767"/>
    </row>
    <row r="419" spans="1:12" hidden="1" x14ac:dyDescent="0.2">
      <c r="A419" s="1198">
        <v>225</v>
      </c>
      <c r="B419" s="1137" t="s">
        <v>109</v>
      </c>
      <c r="C419" s="1200">
        <v>549095</v>
      </c>
      <c r="D419" s="1168">
        <v>7</v>
      </c>
      <c r="E419" s="1153" t="s">
        <v>396</v>
      </c>
      <c r="F419" s="1271"/>
      <c r="G419" s="1157" t="s">
        <v>496</v>
      </c>
      <c r="H419" s="1141"/>
      <c r="I419" s="1157"/>
      <c r="J419" s="1145">
        <v>-2581000</v>
      </c>
      <c r="K419" s="1157"/>
      <c r="L419" s="767"/>
    </row>
    <row r="420" spans="1:12" hidden="1" x14ac:dyDescent="0.2">
      <c r="A420" s="1198">
        <v>226</v>
      </c>
      <c r="B420" s="1137" t="s">
        <v>155</v>
      </c>
      <c r="C420" s="1200">
        <v>8291095</v>
      </c>
      <c r="D420" s="1168">
        <v>6</v>
      </c>
      <c r="E420" s="1153" t="s">
        <v>396</v>
      </c>
      <c r="F420" s="1271"/>
      <c r="G420" s="1157" t="s">
        <v>496</v>
      </c>
      <c r="H420" s="1141"/>
      <c r="I420" s="1157"/>
      <c r="J420" s="1145">
        <v>-34286000</v>
      </c>
      <c r="K420" s="1157"/>
      <c r="L420" s="767"/>
    </row>
    <row r="421" spans="1:12" hidden="1" x14ac:dyDescent="0.2">
      <c r="A421" s="1198"/>
      <c r="B421" s="1137"/>
      <c r="C421" s="1200"/>
      <c r="D421" s="1168"/>
      <c r="E421" s="1311"/>
      <c r="F421" s="1290"/>
      <c r="G421" s="1157"/>
      <c r="H421" s="1162"/>
      <c r="I421" s="1140"/>
      <c r="J421" s="1273"/>
      <c r="K421" s="1157"/>
      <c r="L421" s="767"/>
    </row>
    <row r="422" spans="1:12" hidden="1" x14ac:dyDescent="0.2">
      <c r="K422" s="1309"/>
      <c r="L422" s="767"/>
    </row>
    <row r="423" spans="1:12" hidden="1" x14ac:dyDescent="0.2">
      <c r="A423" s="348" t="s">
        <v>584</v>
      </c>
      <c r="C423" s="686"/>
      <c r="G423" s="769"/>
      <c r="H423" s="1883">
        <v>45588</v>
      </c>
      <c r="I423" s="1883"/>
      <c r="J423" s="1883"/>
      <c r="K423" s="769"/>
      <c r="L423" s="767"/>
    </row>
    <row r="424" spans="1:12" hidden="1" x14ac:dyDescent="0.2">
      <c r="C424" s="686"/>
      <c r="K424" s="1309"/>
      <c r="L424" s="767"/>
    </row>
    <row r="425" spans="1:12" hidden="1" x14ac:dyDescent="0.2">
      <c r="A425" s="1198">
        <v>227</v>
      </c>
      <c r="B425" s="1137" t="s">
        <v>24</v>
      </c>
      <c r="C425" s="1200">
        <v>5734197</v>
      </c>
      <c r="D425" s="1168">
        <v>0</v>
      </c>
      <c r="E425" s="1153" t="s">
        <v>396</v>
      </c>
      <c r="F425" s="1271"/>
      <c r="G425" s="1157" t="s">
        <v>501</v>
      </c>
      <c r="H425" s="1272"/>
      <c r="I425" s="1157"/>
      <c r="J425" s="1145">
        <v>0</v>
      </c>
      <c r="K425" s="1157"/>
      <c r="L425" s="767"/>
    </row>
    <row r="426" spans="1:12" hidden="1" x14ac:dyDescent="0.2">
      <c r="A426" s="1198">
        <v>228</v>
      </c>
      <c r="B426" s="1137" t="s">
        <v>243</v>
      </c>
      <c r="C426" s="1200">
        <v>42872098</v>
      </c>
      <c r="D426" s="1168">
        <v>5</v>
      </c>
      <c r="E426" s="1153" t="s">
        <v>396</v>
      </c>
      <c r="F426" s="1271"/>
      <c r="G426" s="1157" t="s">
        <v>496</v>
      </c>
      <c r="H426" s="1141"/>
      <c r="I426" s="1157"/>
      <c r="J426" s="1145">
        <v>-5848000</v>
      </c>
      <c r="K426" s="1157"/>
      <c r="L426" s="767"/>
    </row>
    <row r="427" spans="1:12" hidden="1" x14ac:dyDescent="0.2">
      <c r="A427" s="1198"/>
      <c r="B427" s="1137"/>
      <c r="C427" s="1200"/>
      <c r="D427" s="1168"/>
      <c r="E427" s="1311"/>
      <c r="F427" s="1271"/>
      <c r="G427" s="1157"/>
      <c r="H427" s="1162"/>
      <c r="I427" s="1140"/>
      <c r="J427" s="1145"/>
      <c r="K427" s="1157"/>
      <c r="L427" s="767"/>
    </row>
    <row r="428" spans="1:12" hidden="1" x14ac:dyDescent="0.2">
      <c r="K428" s="1309"/>
      <c r="L428" s="767"/>
    </row>
    <row r="429" spans="1:12" hidden="1" x14ac:dyDescent="0.2">
      <c r="A429" s="348" t="s">
        <v>585</v>
      </c>
      <c r="H429" s="1883">
        <v>45589</v>
      </c>
      <c r="I429" s="1883"/>
      <c r="J429" s="1883"/>
      <c r="K429" s="1309"/>
      <c r="L429" s="767"/>
    </row>
    <row r="430" spans="1:12" hidden="1" x14ac:dyDescent="0.2">
      <c r="K430" s="1309"/>
      <c r="L430" s="767"/>
    </row>
    <row r="431" spans="1:12" hidden="1" x14ac:dyDescent="0.2">
      <c r="A431" s="1198">
        <v>229</v>
      </c>
      <c r="B431" s="1137" t="s">
        <v>4</v>
      </c>
      <c r="C431" s="1200">
        <v>22126399</v>
      </c>
      <c r="D431" s="1168">
        <v>5</v>
      </c>
      <c r="E431" s="1153" t="s">
        <v>396</v>
      </c>
      <c r="F431" s="1271"/>
      <c r="G431" s="1157" t="s">
        <v>501</v>
      </c>
      <c r="H431" s="1272"/>
      <c r="I431" s="1157"/>
      <c r="J431" s="1145">
        <v>0</v>
      </c>
      <c r="K431" s="1157"/>
      <c r="L431" s="767"/>
    </row>
    <row r="432" spans="1:12" hidden="1" x14ac:dyDescent="0.2">
      <c r="A432" s="1198">
        <v>230</v>
      </c>
      <c r="B432" s="1137" t="s">
        <v>468</v>
      </c>
      <c r="C432" s="1200">
        <v>43079999</v>
      </c>
      <c r="D432" s="1168">
        <v>9</v>
      </c>
      <c r="E432" s="1153" t="s">
        <v>396</v>
      </c>
      <c r="F432" s="1271"/>
      <c r="G432" s="1157" t="s">
        <v>495</v>
      </c>
      <c r="H432" s="1272"/>
      <c r="I432" s="1157"/>
      <c r="J432" s="1145">
        <v>28000</v>
      </c>
      <c r="K432" s="1282"/>
      <c r="L432" s="767"/>
    </row>
    <row r="433" spans="1:12" ht="24.75" hidden="1" customHeight="1" x14ac:dyDescent="0.2">
      <c r="A433" s="1198">
        <v>231</v>
      </c>
      <c r="B433" s="1137" t="s">
        <v>434</v>
      </c>
      <c r="C433" s="1200">
        <v>43734799</v>
      </c>
      <c r="D433" s="1168">
        <v>2</v>
      </c>
      <c r="E433" s="1153"/>
      <c r="F433" s="1271"/>
      <c r="G433" s="1274"/>
      <c r="H433" s="1275"/>
      <c r="I433" s="1312"/>
      <c r="J433" s="1312" t="s">
        <v>654</v>
      </c>
      <c r="K433" s="1277" t="s">
        <v>804</v>
      </c>
      <c r="L433" s="767"/>
    </row>
    <row r="434" spans="1:12" hidden="1" x14ac:dyDescent="0.2">
      <c r="A434" s="1198">
        <v>232</v>
      </c>
      <c r="B434" s="1137" t="s">
        <v>664</v>
      </c>
      <c r="C434" s="1200">
        <v>1023302299</v>
      </c>
      <c r="D434" s="1168">
        <v>6</v>
      </c>
      <c r="E434" s="1153"/>
      <c r="F434" s="1271"/>
      <c r="G434" s="1157" t="s">
        <v>496</v>
      </c>
      <c r="H434" s="1141"/>
      <c r="I434" s="1157"/>
      <c r="J434" s="1145">
        <v>-561000</v>
      </c>
      <c r="K434" s="1277" t="s">
        <v>804</v>
      </c>
      <c r="L434" s="767"/>
    </row>
    <row r="435" spans="1:12" hidden="1" x14ac:dyDescent="0.2">
      <c r="A435" s="1198">
        <v>233</v>
      </c>
      <c r="B435" s="1137" t="s">
        <v>149</v>
      </c>
      <c r="C435" s="1200">
        <v>42877800</v>
      </c>
      <c r="D435" s="1168">
        <v>2</v>
      </c>
      <c r="E435" s="1153" t="s">
        <v>396</v>
      </c>
      <c r="F435" s="1271"/>
      <c r="G435" s="1157" t="s">
        <v>496</v>
      </c>
      <c r="H435" s="1141"/>
      <c r="I435" s="1157"/>
      <c r="J435" s="1145">
        <v>-2306000</v>
      </c>
      <c r="K435" s="1157"/>
      <c r="L435" s="767"/>
    </row>
    <row r="436" spans="1:12" hidden="1" x14ac:dyDescent="0.2">
      <c r="A436" s="1198"/>
      <c r="B436" s="1137"/>
      <c r="C436" s="1200"/>
      <c r="D436" s="1168"/>
      <c r="E436" s="1311"/>
      <c r="F436" s="1271"/>
      <c r="G436" s="1157"/>
      <c r="H436" s="1162"/>
      <c r="I436" s="1140"/>
      <c r="J436" s="1145"/>
      <c r="K436" s="1157"/>
      <c r="L436" s="767"/>
    </row>
    <row r="437" spans="1:12" hidden="1" x14ac:dyDescent="0.2">
      <c r="L437" s="767"/>
    </row>
    <row r="438" spans="1:12" hidden="1" x14ac:dyDescent="0.2">
      <c r="G438" s="769"/>
      <c r="L438" s="767"/>
    </row>
    <row r="439" spans="1:12" hidden="1" x14ac:dyDescent="0.2">
      <c r="A439" s="338"/>
      <c r="B439" s="339"/>
      <c r="C439" s="335"/>
      <c r="D439" s="773"/>
      <c r="E439" s="773"/>
      <c r="F439" s="774"/>
      <c r="G439" s="775"/>
      <c r="H439" s="776"/>
      <c r="I439" s="776"/>
      <c r="J439" s="1291"/>
      <c r="K439" s="777"/>
      <c r="L439" s="767"/>
    </row>
    <row r="440" spans="1:12" hidden="1" x14ac:dyDescent="0.2">
      <c r="A440" s="659"/>
      <c r="B440" s="778" t="s">
        <v>792</v>
      </c>
      <c r="C440" s="761">
        <v>250</v>
      </c>
      <c r="G440" s="1256" t="s">
        <v>495</v>
      </c>
      <c r="H440" s="1896">
        <v>470457000</v>
      </c>
      <c r="I440" s="1896"/>
      <c r="J440" s="1896"/>
      <c r="K440" s="779"/>
      <c r="L440" s="767"/>
    </row>
    <row r="441" spans="1:12" hidden="1" x14ac:dyDescent="0.2">
      <c r="A441" s="659"/>
      <c r="B441" s="778" t="s">
        <v>586</v>
      </c>
      <c r="G441" s="1292" t="s">
        <v>496</v>
      </c>
      <c r="H441" s="1896">
        <v>-581984000</v>
      </c>
      <c r="I441" s="1896"/>
      <c r="J441" s="1896"/>
      <c r="K441" s="779"/>
      <c r="L441" s="767"/>
    </row>
    <row r="442" spans="1:12" hidden="1" x14ac:dyDescent="0.2">
      <c r="A442" s="659"/>
      <c r="B442" s="778" t="s">
        <v>587</v>
      </c>
      <c r="G442" s="769"/>
      <c r="L442" s="767"/>
    </row>
    <row r="443" spans="1:12" hidden="1" x14ac:dyDescent="0.2">
      <c r="A443" s="659"/>
      <c r="B443" s="778" t="s">
        <v>588</v>
      </c>
      <c r="L443" s="767"/>
    </row>
    <row r="444" spans="1:12" hidden="1" x14ac:dyDescent="0.2">
      <c r="A444" s="659"/>
      <c r="B444" s="778" t="s">
        <v>589</v>
      </c>
      <c r="L444" s="767"/>
    </row>
    <row r="445" spans="1:12" hidden="1" x14ac:dyDescent="0.2">
      <c r="A445" s="659"/>
      <c r="B445" s="778" t="s">
        <v>590</v>
      </c>
      <c r="L445" s="767"/>
    </row>
    <row r="446" spans="1:12" hidden="1" x14ac:dyDescent="0.2">
      <c r="A446" s="352">
        <v>0</v>
      </c>
      <c r="L446" s="767"/>
    </row>
    <row r="447" spans="1:12" hidden="1" x14ac:dyDescent="0.2">
      <c r="L447" s="767"/>
    </row>
    <row r="448" spans="1:12" hidden="1" x14ac:dyDescent="0.2">
      <c r="A448" s="1293" t="s">
        <v>741</v>
      </c>
      <c r="B448" s="1294"/>
      <c r="C448" s="1295"/>
      <c r="D448" s="1296"/>
      <c r="E448" s="1296"/>
      <c r="F448" s="1293"/>
      <c r="G448" s="1297"/>
      <c r="H448" s="1298"/>
      <c r="I448" s="1298"/>
      <c r="J448" s="1299"/>
      <c r="K448" s="1324"/>
      <c r="L448" s="767"/>
    </row>
    <row r="449" spans="1:12" hidden="1" x14ac:dyDescent="0.2">
      <c r="L449" s="767"/>
    </row>
    <row r="450" spans="1:12" hidden="1" x14ac:dyDescent="0.2">
      <c r="A450" s="1198">
        <v>27</v>
      </c>
      <c r="B450" s="1137" t="s">
        <v>473</v>
      </c>
      <c r="C450" s="1200">
        <v>43802812</v>
      </c>
      <c r="D450" s="1168">
        <v>2</v>
      </c>
      <c r="E450" s="1153" t="s">
        <v>396</v>
      </c>
      <c r="F450" s="1271"/>
      <c r="G450" s="1157"/>
      <c r="H450" s="1157"/>
      <c r="I450" s="1157"/>
      <c r="J450" s="1145"/>
      <c r="K450" s="1157"/>
      <c r="L450" s="767"/>
    </row>
    <row r="451" spans="1:12" hidden="1" x14ac:dyDescent="0.2">
      <c r="A451" s="1198">
        <v>28</v>
      </c>
      <c r="B451" s="1137" t="s">
        <v>488</v>
      </c>
      <c r="C451" s="1200">
        <v>43802811</v>
      </c>
      <c r="D451" s="1168">
        <v>5</v>
      </c>
      <c r="E451" s="1153" t="s">
        <v>396</v>
      </c>
      <c r="F451" s="1271"/>
      <c r="G451" s="1157"/>
      <c r="H451" s="1157"/>
      <c r="I451" s="1157"/>
      <c r="J451" s="1145"/>
      <c r="K451" s="1157"/>
      <c r="L451" s="767"/>
    </row>
    <row r="452" spans="1:12" hidden="1" x14ac:dyDescent="0.2">
      <c r="A452" s="1198">
        <v>118</v>
      </c>
      <c r="B452" s="1137" t="s">
        <v>66</v>
      </c>
      <c r="C452" s="1200">
        <v>542853</v>
      </c>
      <c r="D452" s="1168">
        <v>1</v>
      </c>
      <c r="E452" s="1153" t="s">
        <v>396</v>
      </c>
      <c r="F452" s="1897" t="s">
        <v>654</v>
      </c>
      <c r="G452" s="1898"/>
      <c r="H452" s="1898"/>
      <c r="I452" s="1898"/>
      <c r="J452" s="1899"/>
      <c r="K452" s="1316" t="s">
        <v>655</v>
      </c>
      <c r="L452" s="767"/>
    </row>
    <row r="453" spans="1:12" ht="26.25" hidden="1" customHeight="1" x14ac:dyDescent="0.2">
      <c r="A453" s="1325">
        <v>168</v>
      </c>
      <c r="B453" s="1137" t="s">
        <v>351</v>
      </c>
      <c r="C453" s="1200">
        <v>32455976</v>
      </c>
      <c r="D453" s="1168">
        <v>2</v>
      </c>
      <c r="E453" s="1153" t="s">
        <v>396</v>
      </c>
      <c r="F453" s="1271"/>
      <c r="G453" s="1157"/>
      <c r="H453" s="1157"/>
      <c r="I453" s="1157"/>
      <c r="J453" s="1145"/>
      <c r="K453" s="1326" t="s">
        <v>658</v>
      </c>
      <c r="L453" s="767"/>
    </row>
    <row r="454" spans="1:12" hidden="1" x14ac:dyDescent="0.2">
      <c r="L454" s="767"/>
    </row>
    <row r="455" spans="1:12" hidden="1" x14ac:dyDescent="0.2">
      <c r="L455" s="767"/>
    </row>
    <row r="456" spans="1:12" hidden="1" x14ac:dyDescent="0.2">
      <c r="L456" s="767"/>
    </row>
    <row r="457" spans="1:12" hidden="1" x14ac:dyDescent="0.2">
      <c r="L457" s="767"/>
    </row>
    <row r="458" spans="1:12" hidden="1" x14ac:dyDescent="0.2">
      <c r="L458" s="767"/>
    </row>
    <row r="459" spans="1:12" hidden="1" x14ac:dyDescent="0.2">
      <c r="L459" s="767"/>
    </row>
    <row r="460" spans="1:12" hidden="1" x14ac:dyDescent="0.2">
      <c r="L460" s="767"/>
    </row>
    <row r="461" spans="1:12" hidden="1" x14ac:dyDescent="0.2">
      <c r="L461" s="767"/>
    </row>
    <row r="462" spans="1:12" hidden="1" x14ac:dyDescent="0.2">
      <c r="L462" s="767"/>
    </row>
    <row r="463" spans="1:12" hidden="1" x14ac:dyDescent="0.2">
      <c r="L463" s="767"/>
    </row>
    <row r="464" spans="1:12" hidden="1" x14ac:dyDescent="0.2">
      <c r="L464" s="767"/>
    </row>
    <row r="465" spans="1:12" hidden="1" x14ac:dyDescent="0.2">
      <c r="L465" s="767"/>
    </row>
    <row r="466" spans="1:12" hidden="1" x14ac:dyDescent="0.2">
      <c r="L466" s="767"/>
    </row>
    <row r="467" spans="1:12" hidden="1" x14ac:dyDescent="0.2">
      <c r="L467" s="767"/>
    </row>
    <row r="468" spans="1:12" hidden="1" x14ac:dyDescent="0.2">
      <c r="L468" s="767"/>
    </row>
    <row r="469" spans="1:12" hidden="1" x14ac:dyDescent="0.2">
      <c r="L469" s="767"/>
    </row>
    <row r="470" spans="1:12" hidden="1" x14ac:dyDescent="0.2">
      <c r="L470" s="767"/>
    </row>
    <row r="471" spans="1:12" hidden="1" x14ac:dyDescent="0.2">
      <c r="L471" s="767"/>
    </row>
    <row r="472" spans="1:12" hidden="1" x14ac:dyDescent="0.2">
      <c r="L472" s="767"/>
    </row>
    <row r="473" spans="1:12" hidden="1" x14ac:dyDescent="0.2">
      <c r="L473" s="767"/>
    </row>
    <row r="474" spans="1:12" hidden="1" x14ac:dyDescent="0.2">
      <c r="L474" s="767"/>
    </row>
    <row r="475" spans="1:12" hidden="1" x14ac:dyDescent="0.2">
      <c r="L475" s="767"/>
    </row>
    <row r="476" spans="1:12" hidden="1" x14ac:dyDescent="0.2">
      <c r="A476" s="692" t="s">
        <v>533</v>
      </c>
      <c r="B476" s="801"/>
      <c r="C476" s="802"/>
      <c r="D476" s="913"/>
      <c r="E476" s="1327"/>
      <c r="F476" s="803"/>
      <c r="G476" s="914"/>
      <c r="H476" s="804"/>
      <c r="I476" s="804"/>
      <c r="J476" s="1300"/>
      <c r="K476" s="805"/>
      <c r="L476" s="767"/>
    </row>
    <row r="477" spans="1:12" hidden="1" x14ac:dyDescent="0.2">
      <c r="A477" s="1198">
        <v>20</v>
      </c>
      <c r="B477" s="1137" t="s">
        <v>167</v>
      </c>
      <c r="C477" s="1200">
        <v>32422309</v>
      </c>
      <c r="D477" s="1168" t="e">
        <v>#REF!</v>
      </c>
      <c r="E477" s="1153" t="s">
        <v>396</v>
      </c>
      <c r="F477" s="1271"/>
      <c r="G477" s="1157"/>
      <c r="H477" s="1162"/>
      <c r="I477" s="1162"/>
      <c r="J477" s="1273"/>
      <c r="K477" s="1328" t="s">
        <v>604</v>
      </c>
      <c r="L477" s="767"/>
    </row>
    <row r="478" spans="1:12" hidden="1" x14ac:dyDescent="0.2">
      <c r="A478" s="1198">
        <v>22</v>
      </c>
      <c r="B478" s="1137" t="s">
        <v>29</v>
      </c>
      <c r="C478" s="1200">
        <v>32415311</v>
      </c>
      <c r="D478" s="1168" t="e">
        <v>#REF!</v>
      </c>
      <c r="E478" s="1153" t="s">
        <v>396</v>
      </c>
      <c r="F478" s="1271"/>
      <c r="G478" s="1157"/>
      <c r="H478" s="1162"/>
      <c r="I478" s="1162"/>
      <c r="J478" s="1273"/>
      <c r="K478" s="1157"/>
      <c r="L478" s="767"/>
    </row>
    <row r="479" spans="1:12" hidden="1" x14ac:dyDescent="0.2">
      <c r="A479" s="1198">
        <v>213</v>
      </c>
      <c r="B479" s="1137" t="s">
        <v>124</v>
      </c>
      <c r="C479" s="1200">
        <v>32512016</v>
      </c>
      <c r="D479" s="1168" t="e">
        <v>#REF!</v>
      </c>
      <c r="E479" s="1153" t="s">
        <v>396</v>
      </c>
      <c r="F479" s="1139" t="s">
        <v>318</v>
      </c>
      <c r="G479" s="1157"/>
      <c r="H479" s="1162"/>
      <c r="I479" s="1162"/>
      <c r="J479" s="1273"/>
      <c r="K479" s="1157"/>
      <c r="L479" s="767"/>
    </row>
    <row r="480" spans="1:12" hidden="1" x14ac:dyDescent="0.2">
      <c r="A480" s="1198">
        <v>214</v>
      </c>
      <c r="B480" s="1137" t="s">
        <v>87</v>
      </c>
      <c r="C480" s="1200">
        <v>79502327</v>
      </c>
      <c r="D480" s="1168" t="e">
        <v>#REF!</v>
      </c>
      <c r="E480" s="1153" t="s">
        <v>396</v>
      </c>
      <c r="F480" s="1139" t="s">
        <v>318</v>
      </c>
      <c r="G480" s="1157"/>
      <c r="H480" s="1162"/>
      <c r="I480" s="1162"/>
      <c r="J480" s="1273"/>
      <c r="K480" s="1157"/>
      <c r="L480" s="767"/>
    </row>
    <row r="481" spans="1:25" hidden="1" x14ac:dyDescent="0.2">
      <c r="A481" s="1329">
        <v>215</v>
      </c>
      <c r="B481" s="1204" t="s">
        <v>452</v>
      </c>
      <c r="C481" s="1330">
        <v>43617037</v>
      </c>
      <c r="D481" s="1168">
        <v>0</v>
      </c>
      <c r="E481" s="1153"/>
      <c r="F481" s="1271"/>
      <c r="G481" s="1157"/>
      <c r="H481" s="1162"/>
      <c r="I481" s="1140"/>
      <c r="J481" s="1273"/>
      <c r="K481" s="1331" t="s">
        <v>605</v>
      </c>
      <c r="L481" s="767"/>
    </row>
    <row r="482" spans="1:25" ht="25.5" hidden="1" x14ac:dyDescent="0.2">
      <c r="A482" s="1198">
        <v>216</v>
      </c>
      <c r="B482" s="1137" t="s">
        <v>314</v>
      </c>
      <c r="C482" s="1200">
        <v>8305140</v>
      </c>
      <c r="D482" s="1168" t="e">
        <v>#REF!</v>
      </c>
      <c r="E482" s="1153" t="s">
        <v>396</v>
      </c>
      <c r="F482" s="1271"/>
      <c r="G482" s="1157"/>
      <c r="H482" s="1162"/>
      <c r="I482" s="1162"/>
      <c r="J482" s="1273"/>
      <c r="K482" s="1157"/>
      <c r="L482" s="767"/>
    </row>
    <row r="483" spans="1:25" hidden="1" x14ac:dyDescent="0.2">
      <c r="A483" s="1198">
        <v>217</v>
      </c>
      <c r="B483" s="1137" t="s">
        <v>82</v>
      </c>
      <c r="C483" s="1200">
        <v>8244956</v>
      </c>
      <c r="D483" s="1168" t="e">
        <v>#REF!</v>
      </c>
      <c r="E483" s="1153" t="s">
        <v>396</v>
      </c>
      <c r="F483" s="1271"/>
      <c r="G483" s="1157"/>
      <c r="H483" s="1162"/>
      <c r="I483" s="1162"/>
      <c r="J483" s="1273"/>
      <c r="K483" s="1157"/>
      <c r="L483" s="767"/>
    </row>
    <row r="484" spans="1:25" hidden="1" x14ac:dyDescent="0.2">
      <c r="A484" s="1198">
        <v>218</v>
      </c>
      <c r="B484" s="1204" t="s">
        <v>134</v>
      </c>
      <c r="C484" s="1200">
        <v>525175</v>
      </c>
      <c r="D484" s="1168" t="e">
        <v>#REF!</v>
      </c>
      <c r="E484" s="1153" t="s">
        <v>396</v>
      </c>
      <c r="F484" s="1271"/>
      <c r="G484" s="1157"/>
      <c r="H484" s="1162"/>
      <c r="I484" s="1162"/>
      <c r="J484" s="1273"/>
      <c r="K484" s="1157" t="s">
        <v>606</v>
      </c>
      <c r="L484" s="767"/>
    </row>
    <row r="485" spans="1:25" hidden="1" x14ac:dyDescent="0.2">
      <c r="A485" s="1198">
        <v>219</v>
      </c>
      <c r="B485" s="1137" t="s">
        <v>123</v>
      </c>
      <c r="C485" s="1200">
        <v>71375878</v>
      </c>
      <c r="D485" s="1168" t="e">
        <v>#REF!</v>
      </c>
      <c r="E485" s="1153" t="s">
        <v>396</v>
      </c>
      <c r="F485" s="1139" t="s">
        <v>318</v>
      </c>
      <c r="G485" s="1157"/>
      <c r="H485" s="1162"/>
      <c r="I485" s="1162"/>
      <c r="J485" s="1273"/>
      <c r="K485" s="1157"/>
      <c r="L485" s="767"/>
    </row>
    <row r="486" spans="1:25" hidden="1" x14ac:dyDescent="0.2">
      <c r="A486" s="1198">
        <v>216</v>
      </c>
      <c r="B486" s="1137" t="s">
        <v>355</v>
      </c>
      <c r="C486" s="1200">
        <v>3359381</v>
      </c>
      <c r="D486" s="1168" t="e">
        <v>#REF!</v>
      </c>
      <c r="E486" s="1153" t="s">
        <v>396</v>
      </c>
      <c r="F486" s="1905" t="s">
        <v>600</v>
      </c>
      <c r="G486" s="1906"/>
      <c r="H486" s="1906"/>
      <c r="I486" s="1906"/>
      <c r="J486" s="1906"/>
      <c r="K486" s="1907"/>
      <c r="L486" s="767"/>
    </row>
    <row r="487" spans="1:25" hidden="1" x14ac:dyDescent="0.2">
      <c r="A487" s="1198">
        <v>217</v>
      </c>
      <c r="B487" s="1137" t="s">
        <v>161</v>
      </c>
      <c r="C487" s="1200">
        <v>52584698</v>
      </c>
      <c r="D487" s="1168" t="e">
        <v>#REF!</v>
      </c>
      <c r="E487" s="1153" t="s">
        <v>396</v>
      </c>
      <c r="F487" s="1271"/>
      <c r="G487" s="1157"/>
      <c r="H487" s="1162"/>
      <c r="I487" s="1162"/>
      <c r="J487" s="1273"/>
      <c r="K487" s="1157"/>
      <c r="L487" s="767"/>
    </row>
    <row r="488" spans="1:25" hidden="1" x14ac:dyDescent="0.2">
      <c r="A488" s="1332">
        <v>218</v>
      </c>
      <c r="B488" s="1333" t="s">
        <v>171</v>
      </c>
      <c r="C488" s="1200">
        <v>98552493</v>
      </c>
      <c r="D488" s="1168" t="e">
        <v>#REF!</v>
      </c>
      <c r="E488" s="1153" t="s">
        <v>396</v>
      </c>
      <c r="F488" s="1271"/>
      <c r="G488" s="1157"/>
      <c r="H488" s="1162"/>
      <c r="I488" s="1162"/>
      <c r="J488" s="1273"/>
      <c r="K488" s="1157"/>
      <c r="L488" s="767"/>
    </row>
    <row r="489" spans="1:25" ht="25.5" hidden="1" x14ac:dyDescent="0.2">
      <c r="A489" s="1198">
        <v>219</v>
      </c>
      <c r="B489" s="1137" t="s">
        <v>38</v>
      </c>
      <c r="C489" s="1200">
        <v>21320469</v>
      </c>
      <c r="D489" s="1168" t="e">
        <v>#REF!</v>
      </c>
      <c r="E489" s="1153" t="s">
        <v>396</v>
      </c>
      <c r="F489" s="1271"/>
      <c r="G489" s="1157"/>
      <c r="H489" s="1162"/>
      <c r="I489" s="1162"/>
      <c r="J489" s="1273"/>
      <c r="K489" s="1157"/>
      <c r="L489" s="767"/>
    </row>
    <row r="490" spans="1:25" hidden="1" x14ac:dyDescent="0.2">
      <c r="A490" s="1332">
        <v>220</v>
      </c>
      <c r="B490" s="1333" t="s">
        <v>170</v>
      </c>
      <c r="C490" s="1334">
        <v>43605545</v>
      </c>
      <c r="D490" s="1335" t="e">
        <v>#REF!</v>
      </c>
      <c r="E490" s="1153" t="s">
        <v>396</v>
      </c>
      <c r="F490" s="1271"/>
      <c r="G490" s="1157"/>
      <c r="H490" s="1162"/>
      <c r="I490" s="1162"/>
      <c r="J490" s="1273"/>
      <c r="K490" s="1157"/>
      <c r="L490" s="767"/>
    </row>
    <row r="491" spans="1:25" hidden="1" x14ac:dyDescent="0.2">
      <c r="L491" s="767"/>
    </row>
    <row r="492" spans="1:25" hidden="1" x14ac:dyDescent="0.2">
      <c r="A492" s="1301" t="s">
        <v>793</v>
      </c>
      <c r="B492" s="1336"/>
      <c r="C492" s="1337"/>
      <c r="D492" s="1338"/>
      <c r="E492" s="1339"/>
      <c r="F492" s="1302"/>
      <c r="G492" s="1340"/>
      <c r="H492" s="1303"/>
      <c r="I492" s="1303"/>
      <c r="J492" s="1304"/>
      <c r="K492" s="1341"/>
      <c r="L492" s="767"/>
    </row>
    <row r="493" spans="1:25" hidden="1" x14ac:dyDescent="0.2">
      <c r="L493" s="767"/>
    </row>
    <row r="494" spans="1:25" hidden="1" x14ac:dyDescent="0.2">
      <c r="A494" s="1198">
        <v>1</v>
      </c>
      <c r="B494" s="1137" t="s">
        <v>487</v>
      </c>
      <c r="C494" s="1200">
        <v>21927655</v>
      </c>
      <c r="D494" s="1168" t="e">
        <v>#REF!</v>
      </c>
      <c r="E494" s="1153" t="s">
        <v>396</v>
      </c>
      <c r="F494" s="1271"/>
      <c r="G494" s="1157"/>
      <c r="H494" s="1162"/>
      <c r="I494" s="1162"/>
      <c r="J494" s="1273"/>
      <c r="K494" s="1157"/>
      <c r="L494" s="767"/>
    </row>
    <row r="495" spans="1:25" hidden="1" x14ac:dyDescent="0.2">
      <c r="A495" s="1198">
        <v>219</v>
      </c>
      <c r="B495" s="1137" t="s">
        <v>64</v>
      </c>
      <c r="C495" s="1200">
        <v>1040731964</v>
      </c>
      <c r="D495" s="1168" t="e">
        <v>#REF!</v>
      </c>
      <c r="E495" s="1153" t="s">
        <v>396</v>
      </c>
      <c r="F495" s="1271"/>
      <c r="G495" s="1157"/>
      <c r="H495" s="1162"/>
      <c r="I495" s="1162"/>
      <c r="J495" s="1273"/>
      <c r="K495" s="1157"/>
      <c r="L495" s="767"/>
    </row>
    <row r="496" spans="1:25" s="1317" customFormat="1" hidden="1" x14ac:dyDescent="0.2">
      <c r="A496" s="1198">
        <v>220</v>
      </c>
      <c r="B496" s="1137" t="s">
        <v>608</v>
      </c>
      <c r="C496" s="1200">
        <v>1022035839</v>
      </c>
      <c r="D496" s="1168" t="e">
        <v>#REF!</v>
      </c>
      <c r="E496" s="1153" t="s">
        <v>396</v>
      </c>
      <c r="F496" s="1271"/>
      <c r="G496" s="1157"/>
      <c r="H496" s="1162"/>
      <c r="I496" s="1162"/>
      <c r="J496" s="1273"/>
      <c r="K496" s="1157"/>
      <c r="L496" s="767"/>
      <c r="M496" s="1309"/>
      <c r="N496" s="1309"/>
      <c r="O496" s="1309"/>
      <c r="P496" s="1309"/>
      <c r="Q496" s="1309"/>
      <c r="R496" s="1309"/>
      <c r="S496" s="1309"/>
      <c r="T496" s="1309"/>
      <c r="U496" s="1309"/>
      <c r="V496" s="1309"/>
      <c r="W496" s="1309"/>
      <c r="X496" s="1309"/>
      <c r="Y496" s="1309"/>
    </row>
    <row r="497" spans="1:12" hidden="1" x14ac:dyDescent="0.2">
      <c r="A497" s="1198">
        <v>221</v>
      </c>
      <c r="B497" s="1137" t="s">
        <v>665</v>
      </c>
      <c r="C497" s="1200">
        <v>8389863</v>
      </c>
      <c r="D497" s="1168" t="e">
        <v>#REF!</v>
      </c>
      <c r="E497" s="1153"/>
      <c r="F497" s="1271"/>
      <c r="G497" s="1157"/>
      <c r="H497" s="1162"/>
      <c r="I497" s="1162"/>
      <c r="J497" s="1273"/>
      <c r="K497" s="1277" t="s">
        <v>666</v>
      </c>
      <c r="L497" s="767"/>
    </row>
    <row r="498" spans="1:12" hidden="1" x14ac:dyDescent="0.2">
      <c r="A498" s="1198">
        <v>222</v>
      </c>
      <c r="B498" s="1137" t="s">
        <v>382</v>
      </c>
      <c r="C498" s="1200">
        <v>1128471065</v>
      </c>
      <c r="D498" s="1168" t="e">
        <v>#REF!</v>
      </c>
      <c r="E498" s="1153" t="s">
        <v>396</v>
      </c>
      <c r="F498" s="1271"/>
      <c r="G498" s="1157"/>
      <c r="H498" s="1162"/>
      <c r="I498" s="1162"/>
      <c r="J498" s="1273"/>
      <c r="K498" s="1148"/>
      <c r="L498" s="767"/>
    </row>
    <row r="499" spans="1:12" hidden="1" x14ac:dyDescent="0.2">
      <c r="A499" s="1198">
        <v>223</v>
      </c>
      <c r="B499" s="1137" t="s">
        <v>667</v>
      </c>
      <c r="C499" s="1200">
        <v>1152200371</v>
      </c>
      <c r="D499" s="1168" t="e">
        <v>#REF!</v>
      </c>
      <c r="E499" s="1153" t="s">
        <v>396</v>
      </c>
      <c r="F499" s="1271"/>
      <c r="G499" s="1157"/>
      <c r="H499" s="1162"/>
      <c r="I499" s="1162"/>
      <c r="J499" s="1273"/>
      <c r="K499" s="1157"/>
      <c r="L499" s="767"/>
    </row>
    <row r="500" spans="1:12" hidden="1" x14ac:dyDescent="0.2">
      <c r="A500" s="1198">
        <v>220</v>
      </c>
      <c r="B500" s="1137" t="s">
        <v>34</v>
      </c>
      <c r="C500" s="1200">
        <v>8160391</v>
      </c>
      <c r="D500" s="1168" t="e">
        <v>#REF!</v>
      </c>
      <c r="E500" s="1153" t="s">
        <v>396</v>
      </c>
      <c r="F500" s="1271"/>
      <c r="G500" s="1157"/>
      <c r="H500" s="1162"/>
      <c r="I500" s="1162"/>
      <c r="J500" s="1273"/>
      <c r="K500" s="1157"/>
      <c r="L500" s="767"/>
    </row>
    <row r="501" spans="1:12" hidden="1" x14ac:dyDescent="0.2">
      <c r="L501" s="767"/>
    </row>
    <row r="502" spans="1:12" hidden="1" x14ac:dyDescent="0.2">
      <c r="A502" s="794" t="s">
        <v>515</v>
      </c>
      <c r="B502" s="795"/>
      <c r="C502" s="796"/>
      <c r="D502" s="911"/>
      <c r="E502" s="1342"/>
      <c r="F502" s="797"/>
      <c r="G502" s="912"/>
      <c r="H502" s="798"/>
      <c r="I502" s="798"/>
      <c r="J502" s="1305"/>
      <c r="K502" s="799"/>
      <c r="L502" s="767"/>
    </row>
    <row r="503" spans="1:12" hidden="1" x14ac:dyDescent="0.2">
      <c r="L503" s="767"/>
    </row>
    <row r="504" spans="1:12" hidden="1" x14ac:dyDescent="0.2">
      <c r="A504" s="1198">
        <v>1</v>
      </c>
      <c r="B504" s="1137" t="s">
        <v>402</v>
      </c>
      <c r="C504" s="1200">
        <v>15263234</v>
      </c>
      <c r="D504" s="1168" t="e">
        <v>#REF!</v>
      </c>
      <c r="E504" s="1153" t="s">
        <v>396</v>
      </c>
      <c r="F504" s="1271"/>
      <c r="G504" s="1157"/>
      <c r="H504" s="1168"/>
      <c r="I504" s="1168"/>
      <c r="J504" s="1273"/>
      <c r="K504" s="1148" t="s">
        <v>599</v>
      </c>
      <c r="L504" s="767"/>
    </row>
    <row r="505" spans="1:12" hidden="1" x14ac:dyDescent="0.2">
      <c r="A505" s="1198">
        <v>2</v>
      </c>
      <c r="B505" s="1137" t="s">
        <v>166</v>
      </c>
      <c r="C505" s="1200">
        <v>70545168</v>
      </c>
      <c r="D505" s="1168" t="e">
        <v>#REF!</v>
      </c>
      <c r="E505" s="1153" t="s">
        <v>396</v>
      </c>
      <c r="F505" s="1271"/>
      <c r="G505" s="1157"/>
      <c r="H505" s="1162"/>
      <c r="I505" s="1168"/>
      <c r="J505" s="1273"/>
      <c r="K505" s="1157"/>
      <c r="L505" s="767"/>
    </row>
    <row r="506" spans="1:12" hidden="1" x14ac:dyDescent="0.2">
      <c r="A506" s="1198">
        <v>3</v>
      </c>
      <c r="B506" s="1137" t="s">
        <v>238</v>
      </c>
      <c r="C506" s="1200">
        <v>42887672</v>
      </c>
      <c r="D506" s="1168" t="e">
        <v>#REF!</v>
      </c>
      <c r="E506" s="1153" t="s">
        <v>396</v>
      </c>
      <c r="F506" s="1271"/>
      <c r="G506" s="1157"/>
      <c r="H506" s="1162"/>
      <c r="I506" s="1140"/>
      <c r="J506" s="1273"/>
      <c r="K506" s="1157"/>
      <c r="L506" s="767"/>
    </row>
    <row r="507" spans="1:12" hidden="1" x14ac:dyDescent="0.2">
      <c r="A507" s="1198">
        <v>4</v>
      </c>
      <c r="B507" s="1154" t="s">
        <v>246</v>
      </c>
      <c r="C507" s="1200">
        <v>43878376</v>
      </c>
      <c r="D507" s="1168" t="e">
        <v>#REF!</v>
      </c>
      <c r="E507" s="1153" t="s">
        <v>396</v>
      </c>
      <c r="F507" s="1271"/>
      <c r="G507" s="1157"/>
      <c r="H507" s="1162"/>
      <c r="I507" s="1140"/>
      <c r="J507" s="1273"/>
      <c r="K507" s="1157"/>
      <c r="L507" s="767"/>
    </row>
    <row r="508" spans="1:12" hidden="1" x14ac:dyDescent="0.2">
      <c r="A508" s="1198">
        <v>5</v>
      </c>
      <c r="B508" s="1137" t="s">
        <v>118</v>
      </c>
      <c r="C508" s="1200">
        <v>70102694</v>
      </c>
      <c r="D508" s="1168" t="e">
        <v>#REF!</v>
      </c>
      <c r="E508" s="1153" t="s">
        <v>396</v>
      </c>
      <c r="F508" s="1271"/>
      <c r="G508" s="1157"/>
      <c r="H508" s="1162"/>
      <c r="I508" s="1140"/>
      <c r="J508" s="1273"/>
      <c r="K508" s="1157"/>
      <c r="L508" s="767"/>
    </row>
    <row r="509" spans="1:12" hidden="1" x14ac:dyDescent="0.2">
      <c r="A509" s="1198">
        <v>20</v>
      </c>
      <c r="B509" s="1137" t="s">
        <v>277</v>
      </c>
      <c r="C509" s="1200">
        <v>42895010</v>
      </c>
      <c r="D509" s="1168" t="e">
        <v>#REF!</v>
      </c>
      <c r="E509" s="1153" t="s">
        <v>396</v>
      </c>
      <c r="F509" s="1271"/>
      <c r="G509" s="1157"/>
      <c r="H509" s="1162"/>
      <c r="I509" s="1140"/>
      <c r="J509" s="1273"/>
      <c r="K509" s="1157"/>
      <c r="L509" s="767"/>
    </row>
    <row r="510" spans="1:12" hidden="1" x14ac:dyDescent="0.2">
      <c r="A510" s="1198">
        <v>85</v>
      </c>
      <c r="B510" s="1154" t="s">
        <v>248</v>
      </c>
      <c r="C510" s="1200">
        <v>43626338</v>
      </c>
      <c r="D510" s="1168" t="e">
        <v>#REF!</v>
      </c>
      <c r="E510" s="1153" t="s">
        <v>396</v>
      </c>
      <c r="F510" s="1271"/>
      <c r="G510" s="1157"/>
      <c r="H510" s="1162"/>
      <c r="I510" s="1140"/>
      <c r="J510" s="1273"/>
      <c r="K510" s="1157"/>
      <c r="L510" s="767"/>
    </row>
    <row r="511" spans="1:12" hidden="1" x14ac:dyDescent="0.2">
      <c r="A511" s="1198">
        <v>107</v>
      </c>
      <c r="B511" s="1137" t="s">
        <v>172</v>
      </c>
      <c r="C511" s="1200">
        <v>3332548</v>
      </c>
      <c r="D511" s="1168" t="e">
        <v>#REF!</v>
      </c>
      <c r="E511" s="1153" t="s">
        <v>396</v>
      </c>
      <c r="F511" s="1905" t="s">
        <v>600</v>
      </c>
      <c r="G511" s="1906"/>
      <c r="H511" s="1906"/>
      <c r="I511" s="1906"/>
      <c r="J511" s="1906"/>
      <c r="K511" s="1907"/>
      <c r="L511" s="767"/>
    </row>
    <row r="512" spans="1:12" hidden="1" x14ac:dyDescent="0.2">
      <c r="A512" s="1198">
        <v>135</v>
      </c>
      <c r="B512" s="1137" t="s">
        <v>485</v>
      </c>
      <c r="C512" s="1200">
        <v>43991060</v>
      </c>
      <c r="D512" s="1168">
        <v>1</v>
      </c>
      <c r="E512" s="1153" t="s">
        <v>396</v>
      </c>
      <c r="F512" s="1271"/>
      <c r="G512" s="1157"/>
      <c r="H512" s="1162" t="s">
        <v>601</v>
      </c>
      <c r="I512" s="1168"/>
      <c r="J512" s="1273"/>
      <c r="K512" s="1282" t="s">
        <v>602</v>
      </c>
      <c r="L512" s="767"/>
    </row>
    <row r="513" spans="1:12" hidden="1" x14ac:dyDescent="0.2">
      <c r="A513" s="1198">
        <v>138</v>
      </c>
      <c r="B513" s="1137" t="s">
        <v>411</v>
      </c>
      <c r="C513" s="1200">
        <v>71787860</v>
      </c>
      <c r="D513" s="1168">
        <v>3</v>
      </c>
      <c r="E513" s="1153" t="s">
        <v>396</v>
      </c>
      <c r="F513" s="1271"/>
      <c r="G513" s="1157"/>
      <c r="H513" s="1162" t="s">
        <v>601</v>
      </c>
      <c r="I513" s="1168"/>
      <c r="J513" s="1273"/>
      <c r="K513" s="1282" t="s">
        <v>602</v>
      </c>
      <c r="L513" s="767"/>
    </row>
    <row r="514" spans="1:12" hidden="1" x14ac:dyDescent="0.2">
      <c r="A514" s="1198">
        <v>168</v>
      </c>
      <c r="B514" s="1137" t="s">
        <v>412</v>
      </c>
      <c r="C514" s="1200">
        <v>20237373</v>
      </c>
      <c r="D514" s="1168" t="e">
        <v>#REF!</v>
      </c>
      <c r="E514" s="1153" t="s">
        <v>396</v>
      </c>
      <c r="F514" s="1271"/>
      <c r="G514" s="1157"/>
      <c r="H514" s="1162"/>
      <c r="I514" s="1168"/>
      <c r="J514" s="1273"/>
      <c r="K514" s="1282" t="s">
        <v>602</v>
      </c>
      <c r="L514" s="767"/>
    </row>
    <row r="515" spans="1:12" hidden="1" x14ac:dyDescent="0.2">
      <c r="A515" s="1198">
        <v>171</v>
      </c>
      <c r="B515" s="1137" t="s">
        <v>467</v>
      </c>
      <c r="C515" s="1200">
        <v>1128470975</v>
      </c>
      <c r="D515" s="1168" t="e">
        <v>#REF!</v>
      </c>
      <c r="E515" s="1153" t="s">
        <v>396</v>
      </c>
      <c r="F515" s="1271"/>
      <c r="G515" s="1157"/>
      <c r="H515" s="1162"/>
      <c r="I515" s="1168"/>
      <c r="J515" s="1273"/>
      <c r="K515" s="1148" t="s">
        <v>603</v>
      </c>
      <c r="L515" s="767"/>
    </row>
    <row r="516" spans="1:12" hidden="1" x14ac:dyDescent="0.2">
      <c r="A516" s="1198">
        <v>189</v>
      </c>
      <c r="B516" s="1137" t="s">
        <v>239</v>
      </c>
      <c r="C516" s="1200">
        <v>71735982</v>
      </c>
      <c r="D516" s="1168" t="e">
        <v>#REF!</v>
      </c>
      <c r="E516" s="1153" t="s">
        <v>396</v>
      </c>
      <c r="F516" s="1271"/>
      <c r="G516" s="1157"/>
      <c r="H516" s="1162"/>
      <c r="I516" s="1168"/>
      <c r="J516" s="1273"/>
      <c r="K516" s="1157"/>
      <c r="L516" s="767"/>
    </row>
    <row r="517" spans="1:12" ht="25.5" hidden="1" x14ac:dyDescent="0.2">
      <c r="A517" s="1198">
        <v>212</v>
      </c>
      <c r="B517" s="1137" t="s">
        <v>245</v>
      </c>
      <c r="C517" s="1200">
        <v>1125248087</v>
      </c>
      <c r="D517" s="1168" t="e">
        <v>#REF!</v>
      </c>
      <c r="E517" s="1153" t="s">
        <v>396</v>
      </c>
      <c r="F517" s="1271"/>
      <c r="G517" s="1157"/>
      <c r="H517" s="1162"/>
      <c r="I517" s="1168"/>
      <c r="J517" s="1273"/>
      <c r="K517" s="1157"/>
      <c r="L517" s="767"/>
    </row>
    <row r="518" spans="1:12" hidden="1" x14ac:dyDescent="0.2">
      <c r="A518" s="1198">
        <v>51</v>
      </c>
      <c r="B518" s="1137" t="s">
        <v>61</v>
      </c>
      <c r="C518" s="1200">
        <v>71648824</v>
      </c>
      <c r="D518" s="1168" t="e">
        <v>#REF!</v>
      </c>
      <c r="E518" s="1153" t="s">
        <v>396</v>
      </c>
      <c r="F518" s="1271"/>
      <c r="G518" s="1157"/>
      <c r="H518" s="1162"/>
      <c r="I518" s="1162"/>
      <c r="J518" s="1273"/>
      <c r="K518" s="1157"/>
      <c r="L518" s="767"/>
    </row>
    <row r="519" spans="1:12" hidden="1" x14ac:dyDescent="0.2">
      <c r="L519" s="767"/>
    </row>
    <row r="520" spans="1:12" hidden="1" x14ac:dyDescent="0.2">
      <c r="A520" s="781" t="s">
        <v>532</v>
      </c>
      <c r="B520" s="782"/>
      <c r="C520" s="783"/>
      <c r="D520" s="907"/>
      <c r="E520" s="1343"/>
      <c r="F520" s="784"/>
      <c r="G520" s="908"/>
      <c r="H520" s="785"/>
      <c r="I520" s="785"/>
      <c r="J520" s="1306"/>
      <c r="K520" s="779"/>
      <c r="L520" s="767"/>
    </row>
    <row r="521" spans="1:12" hidden="1" x14ac:dyDescent="0.2">
      <c r="L521" s="767"/>
    </row>
    <row r="522" spans="1:12" hidden="1" x14ac:dyDescent="0.2">
      <c r="A522" s="1325"/>
      <c r="B522" s="1137" t="s">
        <v>78</v>
      </c>
      <c r="C522" s="1200">
        <v>71557213</v>
      </c>
      <c r="D522" s="1168" t="e">
        <v>#REF!</v>
      </c>
      <c r="E522" s="1153" t="s">
        <v>396</v>
      </c>
      <c r="F522" s="1271"/>
      <c r="G522" s="1908" t="s">
        <v>591</v>
      </c>
      <c r="H522" s="1909"/>
      <c r="I522" s="1909"/>
      <c r="J522" s="1910"/>
      <c r="K522" s="786"/>
      <c r="L522" s="767"/>
    </row>
    <row r="523" spans="1:12" hidden="1" x14ac:dyDescent="0.2">
      <c r="A523" s="1325"/>
      <c r="B523" s="1137" t="s">
        <v>14</v>
      </c>
      <c r="C523" s="1200">
        <v>71587840</v>
      </c>
      <c r="D523" s="1168">
        <v>8</v>
      </c>
      <c r="E523" s="1153" t="s">
        <v>396</v>
      </c>
      <c r="F523" s="1271"/>
      <c r="G523" s="1911" t="s">
        <v>592</v>
      </c>
      <c r="H523" s="1912"/>
      <c r="I523" s="1912"/>
      <c r="J523" s="1913"/>
      <c r="K523" s="787"/>
      <c r="L523" s="767"/>
    </row>
    <row r="524" spans="1:12" hidden="1" x14ac:dyDescent="0.2">
      <c r="A524" s="1325"/>
      <c r="B524" s="1320" t="s">
        <v>316</v>
      </c>
      <c r="C524" s="1200">
        <v>98496653</v>
      </c>
      <c r="D524" s="1168">
        <v>4</v>
      </c>
      <c r="E524" s="1153" t="s">
        <v>396</v>
      </c>
      <c r="F524" s="1271"/>
      <c r="G524" s="1911" t="s">
        <v>592</v>
      </c>
      <c r="H524" s="1912"/>
      <c r="I524" s="1912"/>
      <c r="J524" s="1913"/>
      <c r="K524" s="787"/>
      <c r="L524" s="767"/>
    </row>
    <row r="525" spans="1:12" hidden="1" x14ac:dyDescent="0.2">
      <c r="A525" s="1325"/>
      <c r="B525" s="1137" t="s">
        <v>80</v>
      </c>
      <c r="C525" s="1200">
        <v>21361757</v>
      </c>
      <c r="D525" s="1168">
        <v>1</v>
      </c>
      <c r="E525" s="1153" t="s">
        <v>396</v>
      </c>
      <c r="F525" s="1271"/>
      <c r="G525" s="1908" t="s">
        <v>591</v>
      </c>
      <c r="H525" s="1909"/>
      <c r="I525" s="1909"/>
      <c r="J525" s="1910"/>
      <c r="K525" s="786"/>
      <c r="L525" s="767"/>
    </row>
    <row r="526" spans="1:12" hidden="1" x14ac:dyDescent="0.2">
      <c r="A526" s="1325"/>
      <c r="B526" s="1137" t="s">
        <v>115</v>
      </c>
      <c r="C526" s="1200">
        <v>21357562</v>
      </c>
      <c r="D526" s="1168">
        <v>7</v>
      </c>
      <c r="E526" s="1153" t="s">
        <v>396</v>
      </c>
      <c r="F526" s="1271"/>
      <c r="G526" s="1911" t="s">
        <v>593</v>
      </c>
      <c r="H526" s="1912"/>
      <c r="I526" s="1912"/>
      <c r="J526" s="1913"/>
      <c r="K526" s="787"/>
      <c r="L526" s="767"/>
    </row>
    <row r="527" spans="1:12" hidden="1" x14ac:dyDescent="0.2">
      <c r="A527" s="1325"/>
      <c r="B527" s="1137" t="s">
        <v>6</v>
      </c>
      <c r="C527" s="1200">
        <v>13831265</v>
      </c>
      <c r="D527" s="1168">
        <v>8</v>
      </c>
      <c r="E527" s="1153" t="s">
        <v>396</v>
      </c>
      <c r="F527" s="1271"/>
      <c r="G527" s="1914" t="s">
        <v>594</v>
      </c>
      <c r="H527" s="1915"/>
      <c r="I527" s="1915"/>
      <c r="J527" s="1916"/>
      <c r="K527" s="788"/>
      <c r="L527" s="767"/>
    </row>
    <row r="528" spans="1:12" hidden="1" x14ac:dyDescent="0.2">
      <c r="A528" s="1325"/>
      <c r="B528" s="1137" t="s">
        <v>97</v>
      </c>
      <c r="C528" s="1200">
        <v>98543267</v>
      </c>
      <c r="D528" s="1168">
        <v>6</v>
      </c>
      <c r="E528" s="1153" t="s">
        <v>396</v>
      </c>
      <c r="F528" s="1271"/>
      <c r="G528" s="1914" t="s">
        <v>594</v>
      </c>
      <c r="H528" s="1915"/>
      <c r="I528" s="1915"/>
      <c r="J528" s="1916"/>
      <c r="K528" s="788"/>
      <c r="L528" s="767"/>
    </row>
    <row r="529" spans="1:13" hidden="1" x14ac:dyDescent="0.2">
      <c r="A529" s="1325"/>
      <c r="B529" s="1137" t="s">
        <v>36</v>
      </c>
      <c r="C529" s="1200">
        <v>71721071</v>
      </c>
      <c r="D529" s="1168">
        <v>5</v>
      </c>
      <c r="E529" s="1153" t="s">
        <v>396</v>
      </c>
      <c r="F529" s="1271"/>
      <c r="G529" s="1908" t="s">
        <v>591</v>
      </c>
      <c r="H529" s="1909"/>
      <c r="I529" s="1909"/>
      <c r="J529" s="1910"/>
      <c r="K529" s="786"/>
      <c r="L529" s="767"/>
    </row>
    <row r="530" spans="1:13" hidden="1" x14ac:dyDescent="0.2">
      <c r="A530" s="1325"/>
      <c r="B530" s="1137" t="s">
        <v>151</v>
      </c>
      <c r="C530" s="1200">
        <v>21717177</v>
      </c>
      <c r="D530" s="1168">
        <v>1</v>
      </c>
      <c r="E530" s="1153" t="s">
        <v>396</v>
      </c>
      <c r="F530" s="1271"/>
      <c r="G530" s="1911" t="s">
        <v>593</v>
      </c>
      <c r="H530" s="1912"/>
      <c r="I530" s="1912"/>
      <c r="J530" s="1913"/>
      <c r="K530" s="787"/>
      <c r="L530" s="767"/>
    </row>
    <row r="531" spans="1:13" hidden="1" x14ac:dyDescent="0.2">
      <c r="A531" s="1198">
        <v>7</v>
      </c>
      <c r="B531" s="1137" t="s">
        <v>197</v>
      </c>
      <c r="C531" s="1200">
        <v>32455006</v>
      </c>
      <c r="D531" s="1168" t="e">
        <v>#REF!</v>
      </c>
      <c r="E531" s="1153" t="s">
        <v>396</v>
      </c>
      <c r="F531" s="1271"/>
      <c r="G531" s="1911" t="s">
        <v>595</v>
      </c>
      <c r="H531" s="1912"/>
      <c r="I531" s="1912"/>
      <c r="J531" s="1913"/>
      <c r="K531" s="1309"/>
      <c r="L531" s="767"/>
    </row>
    <row r="532" spans="1:13" hidden="1" x14ac:dyDescent="0.2">
      <c r="A532" s="1198">
        <v>30</v>
      </c>
      <c r="B532" s="1137" t="s">
        <v>129</v>
      </c>
      <c r="C532" s="1200">
        <v>21266115</v>
      </c>
      <c r="D532" s="1168" t="e">
        <v>#REF!</v>
      </c>
      <c r="E532" s="1153" t="s">
        <v>396</v>
      </c>
      <c r="F532" s="1271"/>
      <c r="G532" s="1911" t="s">
        <v>596</v>
      </c>
      <c r="H532" s="1912"/>
      <c r="I532" s="1912"/>
      <c r="J532" s="1913"/>
      <c r="K532" s="1309"/>
      <c r="L532" s="767"/>
    </row>
    <row r="533" spans="1:13" hidden="1" x14ac:dyDescent="0.2">
      <c r="A533" s="1198">
        <v>46</v>
      </c>
      <c r="B533" s="1137" t="s">
        <v>391</v>
      </c>
      <c r="C533" s="1200">
        <v>70517720</v>
      </c>
      <c r="D533" s="1168">
        <v>1</v>
      </c>
      <c r="E533" s="1311"/>
      <c r="F533" s="1271"/>
      <c r="G533" s="1911" t="s">
        <v>597</v>
      </c>
      <c r="H533" s="1912"/>
      <c r="I533" s="1912"/>
      <c r="J533" s="1913"/>
      <c r="K533" s="1309"/>
      <c r="L533" s="767"/>
    </row>
    <row r="534" spans="1:13" hidden="1" x14ac:dyDescent="0.2">
      <c r="A534" s="1198">
        <v>58</v>
      </c>
      <c r="B534" s="1137" t="s">
        <v>45</v>
      </c>
      <c r="C534" s="1200">
        <v>3347425</v>
      </c>
      <c r="D534" s="1168">
        <v>8</v>
      </c>
      <c r="E534" s="1153" t="s">
        <v>396</v>
      </c>
      <c r="F534" s="1271"/>
      <c r="G534" s="1911" t="s">
        <v>598</v>
      </c>
      <c r="H534" s="1912"/>
      <c r="I534" s="1912"/>
      <c r="J534" s="1913"/>
      <c r="K534" s="1182"/>
      <c r="L534" s="767"/>
    </row>
    <row r="535" spans="1:13" hidden="1" x14ac:dyDescent="0.2">
      <c r="A535" s="1198">
        <v>71</v>
      </c>
      <c r="B535" s="1137" t="s">
        <v>413</v>
      </c>
      <c r="C535" s="1138">
        <v>1037639929</v>
      </c>
      <c r="D535" s="1168">
        <v>6</v>
      </c>
      <c r="E535" s="1153" t="s">
        <v>396</v>
      </c>
      <c r="F535" s="1271"/>
      <c r="G535" s="1911" t="s">
        <v>596</v>
      </c>
      <c r="H535" s="1912"/>
      <c r="I535" s="1912"/>
      <c r="J535" s="1913"/>
      <c r="K535" s="1309"/>
      <c r="L535" s="767"/>
    </row>
    <row r="536" spans="1:13" hidden="1" x14ac:dyDescent="0.2">
      <c r="A536" s="1198">
        <v>229</v>
      </c>
      <c r="B536" s="1137" t="s">
        <v>331</v>
      </c>
      <c r="C536" s="1200">
        <v>71172598</v>
      </c>
      <c r="D536" s="1168" t="e">
        <v>#REF!</v>
      </c>
      <c r="E536" s="1153" t="s">
        <v>396</v>
      </c>
      <c r="F536" s="1271"/>
      <c r="G536" s="1911" t="s">
        <v>598</v>
      </c>
      <c r="H536" s="1912"/>
      <c r="I536" s="1912"/>
      <c r="J536" s="1913"/>
      <c r="K536" s="1309"/>
      <c r="L536" s="767"/>
    </row>
    <row r="537" spans="1:13" ht="15" x14ac:dyDescent="0.2">
      <c r="A537" s="1445" t="s">
        <v>417</v>
      </c>
      <c r="B537" s="1445"/>
      <c r="C537" s="790"/>
      <c r="D537" s="910"/>
      <c r="E537" s="1344"/>
      <c r="F537" s="791"/>
      <c r="G537" s="909"/>
      <c r="H537" s="792"/>
      <c r="I537" s="792"/>
      <c r="J537" s="1307"/>
      <c r="K537" s="793"/>
      <c r="L537" s="767"/>
    </row>
    <row r="538" spans="1:13" x14ac:dyDescent="0.2">
      <c r="B538" s="789"/>
      <c r="C538" s="790"/>
      <c r="D538" s="910"/>
      <c r="E538" s="1344"/>
      <c r="F538" s="791"/>
      <c r="G538" s="909"/>
      <c r="H538" s="792"/>
      <c r="I538" s="792"/>
      <c r="J538" s="1307"/>
      <c r="K538" s="793"/>
      <c r="L538" s="767"/>
    </row>
    <row r="539" spans="1:13" ht="13.5" thickBot="1" x14ac:dyDescent="0.25">
      <c r="A539" s="1419" t="s">
        <v>818</v>
      </c>
      <c r="B539" s="1418"/>
      <c r="C539" s="1337"/>
      <c r="D539" s="1338"/>
      <c r="E539" s="1339"/>
      <c r="F539" s="1302"/>
      <c r="G539" s="1340"/>
      <c r="H539" s="1303"/>
      <c r="I539" s="1303"/>
      <c r="J539" s="1304"/>
      <c r="K539" s="1341"/>
      <c r="L539" s="767"/>
      <c r="M539" s="1417" t="s">
        <v>817</v>
      </c>
    </row>
    <row r="540" spans="1:13" x14ac:dyDescent="0.2">
      <c r="A540" s="1198">
        <v>1</v>
      </c>
      <c r="B540" s="1137" t="s">
        <v>4</v>
      </c>
      <c r="C540" s="1200">
        <v>22126399</v>
      </c>
      <c r="D540" s="1168">
        <v>5</v>
      </c>
      <c r="E540" s="1309"/>
      <c r="F540" s="1271"/>
      <c r="G540" s="1157" t="s">
        <v>501</v>
      </c>
      <c r="H540" s="1309"/>
      <c r="I540" s="1309"/>
      <c r="J540" s="1143">
        <v>0</v>
      </c>
      <c r="K540" s="1157"/>
      <c r="L540" s="767"/>
      <c r="M540" s="1094" t="s">
        <v>4</v>
      </c>
    </row>
    <row r="541" spans="1:13" x14ac:dyDescent="0.2">
      <c r="A541" s="1198">
        <f>+A540+1</f>
        <v>2</v>
      </c>
      <c r="B541" s="1137" t="s">
        <v>360</v>
      </c>
      <c r="C541" s="1200">
        <v>71581755</v>
      </c>
      <c r="D541" s="1168">
        <v>2</v>
      </c>
      <c r="E541" s="1309"/>
      <c r="F541" s="1271"/>
      <c r="G541" s="1157" t="s">
        <v>501</v>
      </c>
      <c r="H541" s="1309"/>
      <c r="I541" s="1309"/>
      <c r="J541" s="1143">
        <v>0</v>
      </c>
      <c r="K541" s="1157"/>
      <c r="L541" s="767"/>
      <c r="M541" s="356" t="s">
        <v>360</v>
      </c>
    </row>
    <row r="542" spans="1:13" x14ac:dyDescent="0.2">
      <c r="A542" s="1198">
        <f t="shared" ref="A542:A605" si="0">+A541+1</f>
        <v>3</v>
      </c>
      <c r="B542" s="1137" t="s">
        <v>198</v>
      </c>
      <c r="C542" s="1200">
        <v>70116694</v>
      </c>
      <c r="D542" s="1168">
        <v>5</v>
      </c>
      <c r="E542" s="1309"/>
      <c r="F542" s="1271"/>
      <c r="G542" s="1157" t="s">
        <v>496</v>
      </c>
      <c r="H542" s="1309"/>
      <c r="I542" s="1309"/>
      <c r="J542" s="1143">
        <v>-4560000</v>
      </c>
      <c r="K542" s="1157"/>
      <c r="L542" s="767"/>
      <c r="M542" s="695" t="s">
        <v>198</v>
      </c>
    </row>
    <row r="543" spans="1:13" x14ac:dyDescent="0.2">
      <c r="A543" s="1198">
        <f t="shared" si="0"/>
        <v>4</v>
      </c>
      <c r="B543" s="1137" t="s">
        <v>5</v>
      </c>
      <c r="C543" s="1200">
        <v>3349249</v>
      </c>
      <c r="D543" s="1168">
        <v>7</v>
      </c>
      <c r="E543" s="1309"/>
      <c r="F543" s="1271"/>
      <c r="G543" s="1157" t="s">
        <v>496</v>
      </c>
      <c r="H543" s="1309"/>
      <c r="I543" s="1309"/>
      <c r="J543" s="1143">
        <v>-610000</v>
      </c>
      <c r="K543" s="1157"/>
      <c r="L543" s="767"/>
      <c r="M543" s="695" t="s">
        <v>5</v>
      </c>
    </row>
    <row r="544" spans="1:13" x14ac:dyDescent="0.2">
      <c r="A544" s="1198">
        <f t="shared" si="0"/>
        <v>5</v>
      </c>
      <c r="B544" s="1154" t="s">
        <v>356</v>
      </c>
      <c r="C544" s="1200">
        <v>71632774</v>
      </c>
      <c r="D544" s="1168">
        <v>2</v>
      </c>
      <c r="E544" s="1309"/>
      <c r="F544" s="1271"/>
      <c r="G544" s="1157" t="s">
        <v>496</v>
      </c>
      <c r="H544" s="1309"/>
      <c r="I544" s="1309"/>
      <c r="J544" s="1143">
        <v>-10800000</v>
      </c>
      <c r="K544" s="1157"/>
      <c r="L544" s="767"/>
      <c r="M544" s="696" t="s">
        <v>356</v>
      </c>
    </row>
    <row r="545" spans="1:13" x14ac:dyDescent="0.2">
      <c r="A545" s="1198">
        <f t="shared" si="0"/>
        <v>6</v>
      </c>
      <c r="B545" s="1137" t="s">
        <v>7</v>
      </c>
      <c r="C545" s="1200">
        <v>21315528</v>
      </c>
      <c r="D545" s="1168">
        <v>6</v>
      </c>
      <c r="E545" s="1309"/>
      <c r="F545" s="1271"/>
      <c r="G545" s="1157" t="s">
        <v>496</v>
      </c>
      <c r="H545" s="1309"/>
      <c r="I545" s="1309"/>
      <c r="J545" s="1143">
        <v>-2164000</v>
      </c>
      <c r="K545" s="1157"/>
      <c r="L545" s="767"/>
      <c r="M545" s="695" t="s">
        <v>7</v>
      </c>
    </row>
    <row r="546" spans="1:13" x14ac:dyDescent="0.2">
      <c r="A546" s="1198">
        <f t="shared" si="0"/>
        <v>7</v>
      </c>
      <c r="B546" s="1137" t="s">
        <v>8</v>
      </c>
      <c r="C546" s="1200">
        <v>32336950</v>
      </c>
      <c r="D546" s="1168">
        <v>1</v>
      </c>
      <c r="E546" s="1309"/>
      <c r="F546" s="1271"/>
      <c r="G546" s="1157" t="s">
        <v>496</v>
      </c>
      <c r="H546" s="1309"/>
      <c r="I546" s="1309"/>
      <c r="J546" s="1143">
        <v>-5514000</v>
      </c>
      <c r="K546" s="1157"/>
      <c r="L546" s="767"/>
      <c r="M546" s="1097" t="s">
        <v>8</v>
      </c>
    </row>
    <row r="547" spans="1:13" x14ac:dyDescent="0.2">
      <c r="A547" s="1325">
        <f t="shared" si="0"/>
        <v>8</v>
      </c>
      <c r="B547" s="1351" t="s">
        <v>489</v>
      </c>
      <c r="C547" s="1352">
        <v>1152450831</v>
      </c>
      <c r="D547" s="1353">
        <v>7</v>
      </c>
      <c r="E547" s="1354"/>
      <c r="F547" s="1355"/>
      <c r="G547" s="1284"/>
      <c r="H547" s="1354"/>
      <c r="I547" s="1354"/>
      <c r="J547" s="1348"/>
      <c r="K547" s="1318" t="s">
        <v>775</v>
      </c>
      <c r="L547" s="767"/>
      <c r="M547" s="1384" t="s">
        <v>654</v>
      </c>
    </row>
    <row r="548" spans="1:13" x14ac:dyDescent="0.2">
      <c r="A548" s="1198">
        <f t="shared" si="0"/>
        <v>9</v>
      </c>
      <c r="B548" s="1137" t="s">
        <v>468</v>
      </c>
      <c r="C548" s="1200">
        <v>43079999</v>
      </c>
      <c r="D548" s="1168">
        <v>9</v>
      </c>
      <c r="E548" s="1309"/>
      <c r="F548" s="1271"/>
      <c r="G548" s="1157" t="s">
        <v>495</v>
      </c>
      <c r="H548" s="1309"/>
      <c r="I548" s="1309"/>
      <c r="J548" s="1143">
        <v>28000</v>
      </c>
      <c r="K548" s="1282"/>
      <c r="L548" s="767"/>
      <c r="M548" s="697" t="s">
        <v>468</v>
      </c>
    </row>
    <row r="549" spans="1:13" x14ac:dyDescent="0.2">
      <c r="A549" s="1198">
        <f t="shared" si="0"/>
        <v>10</v>
      </c>
      <c r="B549" s="1137" t="s">
        <v>493</v>
      </c>
      <c r="C549" s="1200">
        <v>1017178784</v>
      </c>
      <c r="D549" s="1168">
        <v>3</v>
      </c>
      <c r="E549" s="1309"/>
      <c r="F549" s="1271"/>
      <c r="G549" s="1157" t="s">
        <v>496</v>
      </c>
      <c r="H549" s="1309"/>
      <c r="I549" s="1309"/>
      <c r="J549" s="1143">
        <v>-249000</v>
      </c>
      <c r="K549" s="1157"/>
      <c r="L549" s="767"/>
      <c r="M549" s="697" t="s">
        <v>493</v>
      </c>
    </row>
    <row r="550" spans="1:13" ht="25.5" x14ac:dyDescent="0.2">
      <c r="A550" s="1198">
        <f t="shared" si="0"/>
        <v>11</v>
      </c>
      <c r="B550" s="1137" t="s">
        <v>9</v>
      </c>
      <c r="C550" s="1200">
        <v>32470755</v>
      </c>
      <c r="D550" s="1168">
        <v>4</v>
      </c>
      <c r="E550" s="1309"/>
      <c r="F550" s="1271"/>
      <c r="G550" s="1157" t="s">
        <v>501</v>
      </c>
      <c r="H550" s="1309"/>
      <c r="I550" s="1309"/>
      <c r="J550" s="1143">
        <v>0</v>
      </c>
      <c r="K550" s="1157"/>
      <c r="L550" s="767"/>
      <c r="M550" s="695" t="s">
        <v>9</v>
      </c>
    </row>
    <row r="551" spans="1:13" x14ac:dyDescent="0.2">
      <c r="A551" s="1325">
        <f t="shared" si="0"/>
        <v>12</v>
      </c>
      <c r="B551" s="1351" t="s">
        <v>410</v>
      </c>
      <c r="C551" s="1352">
        <v>15317755</v>
      </c>
      <c r="D551" s="1353">
        <v>9</v>
      </c>
      <c r="E551" s="1354"/>
      <c r="F551" s="1355"/>
      <c r="G551" s="1284"/>
      <c r="H551" s="1354"/>
      <c r="I551" s="1354"/>
      <c r="J551" s="1348"/>
      <c r="K551" s="1318" t="s">
        <v>775</v>
      </c>
      <c r="L551" s="767"/>
      <c r="M551" s="1384" t="s">
        <v>654</v>
      </c>
    </row>
    <row r="552" spans="1:13" x14ac:dyDescent="0.2">
      <c r="A552" s="1325">
        <f t="shared" si="0"/>
        <v>13</v>
      </c>
      <c r="B552" s="1351" t="s">
        <v>407</v>
      </c>
      <c r="C552" s="1352">
        <v>43871132</v>
      </c>
      <c r="D552" s="1353">
        <v>7</v>
      </c>
      <c r="E552" s="1354"/>
      <c r="F552" s="1355"/>
      <c r="G552" s="1279"/>
      <c r="H552" s="1354"/>
      <c r="I552" s="1354"/>
      <c r="J552" s="1348"/>
      <c r="K552" s="1318" t="s">
        <v>775</v>
      </c>
      <c r="L552" s="767"/>
      <c r="M552" s="1384" t="s">
        <v>654</v>
      </c>
    </row>
    <row r="553" spans="1:13" ht="25.5" x14ac:dyDescent="0.2">
      <c r="A553" s="1198">
        <f t="shared" si="0"/>
        <v>14</v>
      </c>
      <c r="B553" s="1137" t="s">
        <v>10</v>
      </c>
      <c r="C553" s="1200">
        <v>42889979</v>
      </c>
      <c r="D553" s="1168">
        <v>3</v>
      </c>
      <c r="E553" s="1309"/>
      <c r="F553" s="1271"/>
      <c r="G553" s="1157" t="s">
        <v>496</v>
      </c>
      <c r="H553" s="1309"/>
      <c r="I553" s="1309"/>
      <c r="J553" s="1143">
        <v>-6467000</v>
      </c>
      <c r="K553" s="1157"/>
      <c r="L553" s="767"/>
      <c r="M553" s="695" t="s">
        <v>10</v>
      </c>
    </row>
    <row r="554" spans="1:13" x14ac:dyDescent="0.2">
      <c r="A554" s="1198">
        <f t="shared" si="0"/>
        <v>15</v>
      </c>
      <c r="B554" s="1137" t="s">
        <v>11</v>
      </c>
      <c r="C554" s="1200">
        <v>98554347</v>
      </c>
      <c r="D554" s="1168">
        <v>4</v>
      </c>
      <c r="E554" s="1309"/>
      <c r="F554" s="1271"/>
      <c r="G554" s="1157" t="s">
        <v>501</v>
      </c>
      <c r="H554" s="1309"/>
      <c r="I554" s="1309"/>
      <c r="J554" s="1143">
        <v>0</v>
      </c>
      <c r="K554" s="1157"/>
      <c r="L554" s="767"/>
      <c r="M554" s="695" t="s">
        <v>11</v>
      </c>
    </row>
    <row r="555" spans="1:13" ht="25.5" x14ac:dyDescent="0.2">
      <c r="A555" s="1325">
        <f t="shared" si="0"/>
        <v>16</v>
      </c>
      <c r="B555" s="1351" t="s">
        <v>12</v>
      </c>
      <c r="C555" s="1352">
        <v>3333089</v>
      </c>
      <c r="D555" s="1353">
        <v>5</v>
      </c>
      <c r="E555" s="1354"/>
      <c r="F555" s="1355"/>
      <c r="G555" s="1279"/>
      <c r="H555" s="1354"/>
      <c r="I555" s="1354"/>
      <c r="J555" s="1348"/>
      <c r="K555" s="1318" t="s">
        <v>775</v>
      </c>
      <c r="L555" s="767"/>
      <c r="M555" s="1384" t="s">
        <v>654</v>
      </c>
    </row>
    <row r="556" spans="1:13" x14ac:dyDescent="0.2">
      <c r="A556" s="1198">
        <f t="shared" si="0"/>
        <v>17</v>
      </c>
      <c r="B556" s="1137" t="s">
        <v>13</v>
      </c>
      <c r="C556" s="1200">
        <v>43431768</v>
      </c>
      <c r="D556" s="1168">
        <v>3</v>
      </c>
      <c r="E556" s="1309"/>
      <c r="F556" s="1271"/>
      <c r="G556" s="1157" t="s">
        <v>496</v>
      </c>
      <c r="H556" s="1309"/>
      <c r="I556" s="1309"/>
      <c r="J556" s="1143">
        <v>-584000</v>
      </c>
      <c r="K556" s="1157"/>
      <c r="L556" s="767"/>
      <c r="M556" s="562" t="s">
        <v>13</v>
      </c>
    </row>
    <row r="557" spans="1:13" ht="25.5" x14ac:dyDescent="0.2">
      <c r="A557" s="1394">
        <f t="shared" si="0"/>
        <v>18</v>
      </c>
      <c r="B557" s="1206" t="s">
        <v>362</v>
      </c>
      <c r="C557" s="1395">
        <v>43012007</v>
      </c>
      <c r="D557" s="1207">
        <v>1</v>
      </c>
      <c r="E557" s="1396"/>
      <c r="F557" s="1397"/>
      <c r="G557" s="1398" t="s">
        <v>501</v>
      </c>
      <c r="H557" s="1396"/>
      <c r="I557" s="1396"/>
      <c r="J557" s="1399">
        <v>0</v>
      </c>
      <c r="K557" s="1400"/>
      <c r="L557" s="767"/>
      <c r="M557" s="1406" t="s">
        <v>816</v>
      </c>
    </row>
    <row r="558" spans="1:13" x14ac:dyDescent="0.2">
      <c r="A558" s="1325">
        <f t="shared" si="0"/>
        <v>19</v>
      </c>
      <c r="B558" s="1351" t="s">
        <v>656</v>
      </c>
      <c r="C558" s="1352">
        <v>78691058</v>
      </c>
      <c r="D558" s="1353">
        <v>4</v>
      </c>
      <c r="E558" s="1354"/>
      <c r="F558" s="1355"/>
      <c r="G558" s="1284"/>
      <c r="H558" s="1354"/>
      <c r="I558" s="1354"/>
      <c r="J558" s="1348"/>
      <c r="K558" s="1318" t="s">
        <v>775</v>
      </c>
      <c r="L558" s="767"/>
      <c r="M558" s="1384" t="s">
        <v>654</v>
      </c>
    </row>
    <row r="559" spans="1:13" x14ac:dyDescent="0.2">
      <c r="A559" s="1198">
        <f t="shared" si="0"/>
        <v>20</v>
      </c>
      <c r="B559" s="1137" t="s">
        <v>15</v>
      </c>
      <c r="C559" s="1200">
        <v>87082052990</v>
      </c>
      <c r="D559" s="1168">
        <v>2</v>
      </c>
      <c r="E559" s="1309"/>
      <c r="F559" s="1277" t="s">
        <v>318</v>
      </c>
      <c r="G559" s="1157" t="s">
        <v>495</v>
      </c>
      <c r="H559" s="1309"/>
      <c r="I559" s="1309"/>
      <c r="J559" s="1143">
        <v>14440000</v>
      </c>
      <c r="K559" s="1157"/>
      <c r="L559" s="767"/>
      <c r="M559" s="562" t="s">
        <v>15</v>
      </c>
    </row>
    <row r="560" spans="1:13" x14ac:dyDescent="0.2">
      <c r="A560" s="1364">
        <f t="shared" si="0"/>
        <v>21</v>
      </c>
      <c r="B560" s="1090" t="s">
        <v>399</v>
      </c>
      <c r="C560" s="1365">
        <v>1017207619</v>
      </c>
      <c r="D560" s="1366">
        <v>1</v>
      </c>
      <c r="E560" s="1367"/>
      <c r="F560" s="1368"/>
      <c r="G560" s="1369" t="s">
        <v>501</v>
      </c>
      <c r="H560" s="1367"/>
      <c r="I560" s="1367"/>
      <c r="J560" s="1370">
        <v>0</v>
      </c>
      <c r="K560" s="1371"/>
      <c r="L560" s="767"/>
      <c r="M560" s="1379" t="s">
        <v>805</v>
      </c>
    </row>
    <row r="561" spans="1:13" x14ac:dyDescent="0.2">
      <c r="A561" s="1198">
        <f t="shared" si="0"/>
        <v>22</v>
      </c>
      <c r="B561" s="1137" t="s">
        <v>647</v>
      </c>
      <c r="C561" s="1200">
        <v>1000416970</v>
      </c>
      <c r="D561" s="1168">
        <v>7</v>
      </c>
      <c r="E561" s="1309"/>
      <c r="F561" s="1271"/>
      <c r="G561" s="1157" t="s">
        <v>496</v>
      </c>
      <c r="H561" s="1309"/>
      <c r="I561" s="1309"/>
      <c r="J561" s="1143">
        <v>-4419000</v>
      </c>
      <c r="K561" s="1277" t="s">
        <v>794</v>
      </c>
      <c r="L561" s="767"/>
      <c r="M561" s="375" t="s">
        <v>647</v>
      </c>
    </row>
    <row r="562" spans="1:13" ht="25.5" x14ac:dyDescent="0.2">
      <c r="A562" s="1198">
        <f t="shared" si="0"/>
        <v>23</v>
      </c>
      <c r="B562" s="1154" t="s">
        <v>358</v>
      </c>
      <c r="C562" s="1200">
        <v>71788661</v>
      </c>
      <c r="D562" s="1168">
        <v>9</v>
      </c>
      <c r="E562" s="1309"/>
      <c r="F562" s="1271"/>
      <c r="G562" s="1157" t="s">
        <v>495</v>
      </c>
      <c r="H562" s="1309"/>
      <c r="I562" s="1309"/>
      <c r="J562" s="1143">
        <v>2240000</v>
      </c>
      <c r="K562" s="1157"/>
      <c r="L562" s="767"/>
      <c r="M562" s="696" t="s">
        <v>358</v>
      </c>
    </row>
    <row r="563" spans="1:13" x14ac:dyDescent="0.2">
      <c r="A563" s="1364">
        <f t="shared" si="0"/>
        <v>24</v>
      </c>
      <c r="B563" s="1090" t="s">
        <v>16</v>
      </c>
      <c r="C563" s="1365">
        <v>8299801</v>
      </c>
      <c r="D563" s="1366">
        <v>6</v>
      </c>
      <c r="E563" s="1367"/>
      <c r="F563" s="1368"/>
      <c r="G563" s="1369" t="s">
        <v>501</v>
      </c>
      <c r="H563" s="1367"/>
      <c r="I563" s="1367"/>
      <c r="J563" s="1370">
        <v>0</v>
      </c>
      <c r="K563" s="1369"/>
      <c r="L563" s="767"/>
      <c r="M563" s="1379" t="s">
        <v>805</v>
      </c>
    </row>
    <row r="564" spans="1:13" x14ac:dyDescent="0.2">
      <c r="A564" s="1198">
        <f t="shared" si="0"/>
        <v>25</v>
      </c>
      <c r="B564" s="1137" t="s">
        <v>17</v>
      </c>
      <c r="C564" s="1200">
        <v>43255512</v>
      </c>
      <c r="D564" s="1168">
        <v>0</v>
      </c>
      <c r="E564" s="1309"/>
      <c r="F564" s="1271"/>
      <c r="G564" s="1157" t="s">
        <v>496</v>
      </c>
      <c r="H564" s="1309"/>
      <c r="I564" s="1309"/>
      <c r="J564" s="1143">
        <v>-585000</v>
      </c>
      <c r="K564" s="1157"/>
      <c r="L564" s="767"/>
      <c r="M564" s="562" t="s">
        <v>17</v>
      </c>
    </row>
    <row r="565" spans="1:13" x14ac:dyDescent="0.2">
      <c r="A565" s="1198">
        <f t="shared" si="0"/>
        <v>26</v>
      </c>
      <c r="B565" s="1137" t="s">
        <v>274</v>
      </c>
      <c r="C565" s="1200">
        <v>43820323</v>
      </c>
      <c r="D565" s="1168">
        <v>9</v>
      </c>
      <c r="E565" s="1309"/>
      <c r="F565" s="1271"/>
      <c r="G565" s="1157" t="s">
        <v>495</v>
      </c>
      <c r="H565" s="1309"/>
      <c r="I565" s="1309"/>
      <c r="J565" s="1143">
        <v>3975000</v>
      </c>
      <c r="K565" s="1157"/>
      <c r="L565" s="767"/>
      <c r="M565" s="695" t="s">
        <v>274</v>
      </c>
    </row>
    <row r="566" spans="1:13" x14ac:dyDescent="0.2">
      <c r="A566" s="1198">
        <f t="shared" si="0"/>
        <v>27</v>
      </c>
      <c r="B566" s="1137" t="s">
        <v>18</v>
      </c>
      <c r="C566" s="1200">
        <v>3322312</v>
      </c>
      <c r="D566" s="1168">
        <v>6</v>
      </c>
      <c r="E566" s="1309"/>
      <c r="F566" s="1271"/>
      <c r="G566" s="1157" t="s">
        <v>501</v>
      </c>
      <c r="H566" s="1309"/>
      <c r="I566" s="1309"/>
      <c r="J566" s="1143">
        <v>0</v>
      </c>
      <c r="K566" s="1157"/>
      <c r="L566" s="767"/>
      <c r="M566" s="695" t="s">
        <v>18</v>
      </c>
    </row>
    <row r="567" spans="1:13" x14ac:dyDescent="0.2">
      <c r="A567" s="1198">
        <f t="shared" si="0"/>
        <v>28</v>
      </c>
      <c r="B567" s="1137" t="s">
        <v>19</v>
      </c>
      <c r="C567" s="1200">
        <v>42793787</v>
      </c>
      <c r="D567" s="1168">
        <v>2</v>
      </c>
      <c r="E567" s="1309"/>
      <c r="F567" s="1271"/>
      <c r="G567" s="1157" t="s">
        <v>501</v>
      </c>
      <c r="H567" s="1309"/>
      <c r="I567" s="1309"/>
      <c r="J567" s="1143">
        <v>0</v>
      </c>
      <c r="K567" s="1157"/>
      <c r="L567" s="767"/>
      <c r="M567" s="695" t="s">
        <v>19</v>
      </c>
    </row>
    <row r="568" spans="1:13" x14ac:dyDescent="0.2">
      <c r="A568" s="1198">
        <f t="shared" si="0"/>
        <v>29</v>
      </c>
      <c r="B568" s="1137" t="s">
        <v>20</v>
      </c>
      <c r="C568" s="1200">
        <v>1035852107</v>
      </c>
      <c r="D568" s="1168">
        <v>3</v>
      </c>
      <c r="E568" s="1309"/>
      <c r="F568" s="1271"/>
      <c r="G568" s="1157" t="s">
        <v>496</v>
      </c>
      <c r="H568" s="1309"/>
      <c r="I568" s="1309"/>
      <c r="J568" s="1143">
        <v>-311000</v>
      </c>
      <c r="K568" s="1157"/>
      <c r="L568" s="767"/>
      <c r="M568" s="1102" t="s">
        <v>20</v>
      </c>
    </row>
    <row r="569" spans="1:13" x14ac:dyDescent="0.2">
      <c r="A569" s="1198">
        <f t="shared" si="0"/>
        <v>30</v>
      </c>
      <c r="B569" s="1137" t="s">
        <v>21</v>
      </c>
      <c r="C569" s="1200">
        <v>43577753</v>
      </c>
      <c r="D569" s="1168">
        <v>0</v>
      </c>
      <c r="E569" s="1309"/>
      <c r="F569" s="1277" t="s">
        <v>318</v>
      </c>
      <c r="G569" s="1157" t="s">
        <v>495</v>
      </c>
      <c r="H569" s="1309"/>
      <c r="I569" s="1309"/>
      <c r="J569" s="1143">
        <v>2120000</v>
      </c>
      <c r="K569" s="1157"/>
      <c r="L569" s="767"/>
      <c r="M569" s="695" t="s">
        <v>21</v>
      </c>
    </row>
    <row r="570" spans="1:13" x14ac:dyDescent="0.2">
      <c r="A570" s="1198">
        <f t="shared" si="0"/>
        <v>31</v>
      </c>
      <c r="B570" s="1137" t="s">
        <v>22</v>
      </c>
      <c r="C570" s="1200">
        <v>71608158</v>
      </c>
      <c r="D570" s="1168">
        <v>4</v>
      </c>
      <c r="E570" s="1309"/>
      <c r="F570" s="1271"/>
      <c r="G570" s="1157" t="s">
        <v>496</v>
      </c>
      <c r="H570" s="1309"/>
      <c r="I570" s="1309"/>
      <c r="J570" s="1143">
        <v>-645000</v>
      </c>
      <c r="K570" s="1157"/>
      <c r="L570" s="767"/>
      <c r="M570" s="695" t="s">
        <v>22</v>
      </c>
    </row>
    <row r="571" spans="1:13" x14ac:dyDescent="0.2">
      <c r="A571" s="1198">
        <f t="shared" si="0"/>
        <v>32</v>
      </c>
      <c r="B571" s="1137" t="s">
        <v>23</v>
      </c>
      <c r="C571" s="1200">
        <v>3313365</v>
      </c>
      <c r="D571" s="1168">
        <v>8</v>
      </c>
      <c r="E571" s="1309"/>
      <c r="F571" s="1271"/>
      <c r="G571" s="1157" t="s">
        <v>496</v>
      </c>
      <c r="H571" s="1309"/>
      <c r="I571" s="1309"/>
      <c r="J571" s="1143">
        <v>-2538000</v>
      </c>
      <c r="K571" s="1157"/>
      <c r="L571" s="767"/>
      <c r="M571" s="695" t="s">
        <v>23</v>
      </c>
    </row>
    <row r="572" spans="1:13" x14ac:dyDescent="0.2">
      <c r="A572" s="1198">
        <f t="shared" si="0"/>
        <v>33</v>
      </c>
      <c r="B572" s="1137" t="s">
        <v>24</v>
      </c>
      <c r="C572" s="1200">
        <v>5734197</v>
      </c>
      <c r="D572" s="1168">
        <v>0</v>
      </c>
      <c r="E572" s="1309"/>
      <c r="F572" s="1271"/>
      <c r="G572" s="1157" t="s">
        <v>501</v>
      </c>
      <c r="H572" s="1309"/>
      <c r="I572" s="1309"/>
      <c r="J572" s="1143">
        <v>0</v>
      </c>
      <c r="K572" s="1157"/>
      <c r="L572" s="767"/>
      <c r="M572" s="695" t="s">
        <v>24</v>
      </c>
    </row>
    <row r="573" spans="1:13" x14ac:dyDescent="0.2">
      <c r="A573" s="1329">
        <f t="shared" si="0"/>
        <v>34</v>
      </c>
      <c r="B573" s="1204" t="s">
        <v>750</v>
      </c>
      <c r="C573" s="1330">
        <v>1214734553</v>
      </c>
      <c r="D573" s="1357">
        <v>9</v>
      </c>
      <c r="E573" s="1367"/>
      <c r="F573" s="1368"/>
      <c r="G573" s="1369"/>
      <c r="H573" s="1367"/>
      <c r="I573" s="1367"/>
      <c r="J573" s="1370"/>
      <c r="K573" s="1319" t="s">
        <v>784</v>
      </c>
      <c r="L573" s="767"/>
      <c r="M573" s="1379" t="s">
        <v>805</v>
      </c>
    </row>
    <row r="574" spans="1:13" x14ac:dyDescent="0.2">
      <c r="A574" s="1198">
        <f t="shared" si="0"/>
        <v>35</v>
      </c>
      <c r="B574" s="1137" t="s">
        <v>26</v>
      </c>
      <c r="C574" s="1200">
        <v>43616958</v>
      </c>
      <c r="D574" s="1168">
        <v>1</v>
      </c>
      <c r="E574" s="1309"/>
      <c r="F574" s="1271"/>
      <c r="G574" s="1157" t="s">
        <v>495</v>
      </c>
      <c r="H574" s="1309"/>
      <c r="I574" s="1309"/>
      <c r="J574" s="1143">
        <v>9590000</v>
      </c>
      <c r="K574" s="1157"/>
      <c r="L574" s="767"/>
      <c r="M574" s="695" t="s">
        <v>26</v>
      </c>
    </row>
    <row r="575" spans="1:13" ht="25.5" x14ac:dyDescent="0.2">
      <c r="A575" s="1198">
        <f t="shared" si="0"/>
        <v>36</v>
      </c>
      <c r="B575" s="1137" t="s">
        <v>25</v>
      </c>
      <c r="C575" s="1200">
        <v>32441185</v>
      </c>
      <c r="D575" s="1168">
        <v>2</v>
      </c>
      <c r="E575" s="1309"/>
      <c r="F575" s="1277" t="s">
        <v>318</v>
      </c>
      <c r="G575" s="1157" t="s">
        <v>496</v>
      </c>
      <c r="H575" s="1309"/>
      <c r="I575" s="1309"/>
      <c r="J575" s="1143">
        <v>-5830000</v>
      </c>
      <c r="K575" s="1157"/>
      <c r="L575" s="767"/>
      <c r="M575" s="695" t="s">
        <v>25</v>
      </c>
    </row>
    <row r="576" spans="1:13" x14ac:dyDescent="0.2">
      <c r="A576" s="1198">
        <f t="shared" si="0"/>
        <v>37</v>
      </c>
      <c r="B576" s="1137" t="s">
        <v>28</v>
      </c>
      <c r="C576" s="1200">
        <v>21374070</v>
      </c>
      <c r="D576" s="1168">
        <v>7</v>
      </c>
      <c r="E576" s="1309"/>
      <c r="F576" s="1271"/>
      <c r="G576" s="1157" t="s">
        <v>496</v>
      </c>
      <c r="H576" s="1309"/>
      <c r="I576" s="1309"/>
      <c r="J576" s="1143">
        <v>-400000</v>
      </c>
      <c r="K576" s="1157"/>
      <c r="L576" s="767"/>
      <c r="M576" s="695" t="s">
        <v>28</v>
      </c>
    </row>
    <row r="577" spans="1:13" x14ac:dyDescent="0.2">
      <c r="A577" s="1198">
        <f t="shared" si="0"/>
        <v>38</v>
      </c>
      <c r="B577" s="1137" t="s">
        <v>30</v>
      </c>
      <c r="C577" s="1200">
        <v>71688257</v>
      </c>
      <c r="D577" s="1168">
        <v>7</v>
      </c>
      <c r="E577" s="1309"/>
      <c r="F577" s="1271"/>
      <c r="G577" s="1157" t="s">
        <v>495</v>
      </c>
      <c r="H577" s="1309"/>
      <c r="I577" s="1309"/>
      <c r="J577" s="1143">
        <v>9851000</v>
      </c>
      <c r="K577" s="1350" t="s">
        <v>663</v>
      </c>
      <c r="L577" s="767"/>
      <c r="M577" s="695" t="s">
        <v>30</v>
      </c>
    </row>
    <row r="578" spans="1:13" x14ac:dyDescent="0.2">
      <c r="A578" s="1198">
        <f t="shared" si="0"/>
        <v>39</v>
      </c>
      <c r="B578" s="1137" t="s">
        <v>31</v>
      </c>
      <c r="C578" s="1200">
        <v>43584680</v>
      </c>
      <c r="D578" s="1168">
        <v>0</v>
      </c>
      <c r="E578" s="1309"/>
      <c r="F578" s="1271"/>
      <c r="G578" s="1157" t="s">
        <v>495</v>
      </c>
      <c r="H578" s="1309"/>
      <c r="I578" s="1309"/>
      <c r="J578" s="1143">
        <v>1915000</v>
      </c>
      <c r="K578" s="1157"/>
      <c r="L578" s="767"/>
      <c r="M578" s="695" t="s">
        <v>31</v>
      </c>
    </row>
    <row r="579" spans="1:13" x14ac:dyDescent="0.2">
      <c r="A579" s="1198">
        <f t="shared" si="0"/>
        <v>40</v>
      </c>
      <c r="B579" s="1137" t="s">
        <v>32</v>
      </c>
      <c r="C579" s="1200">
        <v>71715157</v>
      </c>
      <c r="D579" s="1168">
        <v>5</v>
      </c>
      <c r="E579" s="1309"/>
      <c r="F579" s="1271"/>
      <c r="G579" s="1157" t="s">
        <v>495</v>
      </c>
      <c r="H579" s="1309"/>
      <c r="I579" s="1309"/>
      <c r="J579" s="1143">
        <v>11958000</v>
      </c>
      <c r="K579" s="1157"/>
      <c r="L579" s="767"/>
      <c r="M579" s="695" t="s">
        <v>32</v>
      </c>
    </row>
    <row r="580" spans="1:13" ht="25.5" x14ac:dyDescent="0.2">
      <c r="A580" s="1198">
        <f t="shared" si="0"/>
        <v>41</v>
      </c>
      <c r="B580" s="1137" t="s">
        <v>357</v>
      </c>
      <c r="C580" s="1200">
        <v>8237268</v>
      </c>
      <c r="D580" s="1168">
        <v>4</v>
      </c>
      <c r="E580" s="1309"/>
      <c r="F580" s="1271"/>
      <c r="G580" s="1157" t="s">
        <v>495</v>
      </c>
      <c r="H580" s="1309"/>
      <c r="I580" s="1309"/>
      <c r="J580" s="1143">
        <v>14220000</v>
      </c>
      <c r="K580" s="1157"/>
      <c r="L580" s="767"/>
      <c r="M580" s="695" t="s">
        <v>357</v>
      </c>
    </row>
    <row r="581" spans="1:13" x14ac:dyDescent="0.2">
      <c r="A581" s="1198">
        <f t="shared" si="0"/>
        <v>42</v>
      </c>
      <c r="B581" s="1137" t="s">
        <v>33</v>
      </c>
      <c r="C581" s="1200">
        <v>21829209</v>
      </c>
      <c r="D581" s="1168">
        <v>8</v>
      </c>
      <c r="E581" s="1309"/>
      <c r="F581" s="1271"/>
      <c r="G581" s="1157" t="s">
        <v>495</v>
      </c>
      <c r="H581" s="1309"/>
      <c r="I581" s="1309"/>
      <c r="J581" s="1143">
        <v>4821000</v>
      </c>
      <c r="K581" s="1276" t="s">
        <v>770</v>
      </c>
      <c r="L581" s="767"/>
      <c r="M581" s="932" t="s">
        <v>33</v>
      </c>
    </row>
    <row r="582" spans="1:13" x14ac:dyDescent="0.2">
      <c r="A582" s="1198">
        <f t="shared" si="0"/>
        <v>43</v>
      </c>
      <c r="B582" s="1137" t="s">
        <v>35</v>
      </c>
      <c r="C582" s="1200">
        <v>43525573</v>
      </c>
      <c r="D582" s="1168">
        <v>9</v>
      </c>
      <c r="E582" s="1309"/>
      <c r="F582" s="1271"/>
      <c r="G582" s="1157" t="s">
        <v>495</v>
      </c>
      <c r="H582" s="1309"/>
      <c r="I582" s="1309"/>
      <c r="J582" s="1143">
        <v>1660000</v>
      </c>
      <c r="K582" s="1157"/>
      <c r="L582" s="767"/>
      <c r="M582" s="695" t="s">
        <v>35</v>
      </c>
    </row>
    <row r="583" spans="1:13" x14ac:dyDescent="0.2">
      <c r="A583" s="1198">
        <f t="shared" si="0"/>
        <v>44</v>
      </c>
      <c r="B583" s="1137" t="s">
        <v>37</v>
      </c>
      <c r="C583" s="1200">
        <v>71750917</v>
      </c>
      <c r="D583" s="1168">
        <v>4</v>
      </c>
      <c r="E583" s="1309"/>
      <c r="F583" s="1271"/>
      <c r="G583" s="1157" t="s">
        <v>495</v>
      </c>
      <c r="H583" s="1309"/>
      <c r="I583" s="1309"/>
      <c r="J583" s="1143">
        <v>604000</v>
      </c>
      <c r="K583" s="1157"/>
      <c r="L583" s="767"/>
      <c r="M583" s="695" t="s">
        <v>37</v>
      </c>
    </row>
    <row r="584" spans="1:13" x14ac:dyDescent="0.2">
      <c r="A584" s="1198">
        <f t="shared" si="0"/>
        <v>45</v>
      </c>
      <c r="B584" s="1137" t="s">
        <v>335</v>
      </c>
      <c r="C584" s="1200">
        <v>42874922</v>
      </c>
      <c r="D584" s="1168">
        <v>9</v>
      </c>
      <c r="E584" s="1309"/>
      <c r="F584" s="1271"/>
      <c r="G584" s="1157" t="s">
        <v>501</v>
      </c>
      <c r="H584" s="1309"/>
      <c r="I584" s="1309"/>
      <c r="J584" s="1143">
        <v>0</v>
      </c>
      <c r="K584" s="1157"/>
      <c r="L584" s="767"/>
      <c r="M584" s="695" t="s">
        <v>335</v>
      </c>
    </row>
    <row r="585" spans="1:13" x14ac:dyDescent="0.2">
      <c r="A585" s="1198">
        <f t="shared" si="0"/>
        <v>46</v>
      </c>
      <c r="B585" s="1137" t="s">
        <v>324</v>
      </c>
      <c r="C585" s="1200">
        <v>42876443</v>
      </c>
      <c r="D585" s="1168">
        <v>1</v>
      </c>
      <c r="E585" s="1309"/>
      <c r="F585" s="1271"/>
      <c r="G585" s="1157" t="s">
        <v>495</v>
      </c>
      <c r="H585" s="1309"/>
      <c r="I585" s="1309"/>
      <c r="J585" s="1143">
        <v>3420000</v>
      </c>
      <c r="K585" s="1316" t="s">
        <v>653</v>
      </c>
      <c r="L585" s="767"/>
      <c r="M585" s="695" t="s">
        <v>324</v>
      </c>
    </row>
    <row r="586" spans="1:13" x14ac:dyDescent="0.2">
      <c r="A586" s="1198">
        <f t="shared" si="0"/>
        <v>47</v>
      </c>
      <c r="B586" s="1137" t="s">
        <v>241</v>
      </c>
      <c r="C586" s="1200">
        <v>43502550</v>
      </c>
      <c r="D586" s="1168">
        <v>0</v>
      </c>
      <c r="E586" s="1309"/>
      <c r="F586" s="1271"/>
      <c r="G586" s="1157" t="s">
        <v>501</v>
      </c>
      <c r="H586" s="1309"/>
      <c r="I586" s="1309"/>
      <c r="J586" s="1143">
        <v>0</v>
      </c>
      <c r="K586" s="1157"/>
      <c r="L586" s="767"/>
      <c r="M586" s="695" t="s">
        <v>241</v>
      </c>
    </row>
    <row r="587" spans="1:13" x14ac:dyDescent="0.2">
      <c r="A587" s="1198">
        <f t="shared" si="0"/>
        <v>48</v>
      </c>
      <c r="B587" s="1137" t="s">
        <v>273</v>
      </c>
      <c r="C587" s="1200">
        <v>43221128</v>
      </c>
      <c r="D587" s="1168">
        <v>9</v>
      </c>
      <c r="E587" s="1309"/>
      <c r="F587" s="1271"/>
      <c r="G587" s="1157" t="s">
        <v>495</v>
      </c>
      <c r="H587" s="1309"/>
      <c r="I587" s="1309"/>
      <c r="J587" s="1143">
        <v>1647000</v>
      </c>
      <c r="K587" s="1157"/>
      <c r="L587" s="767"/>
      <c r="M587" s="695" t="s">
        <v>273</v>
      </c>
    </row>
    <row r="588" spans="1:13" x14ac:dyDescent="0.2">
      <c r="A588" s="1198">
        <f t="shared" si="0"/>
        <v>49</v>
      </c>
      <c r="B588" s="1137" t="s">
        <v>428</v>
      </c>
      <c r="C588" s="1200">
        <v>8215384</v>
      </c>
      <c r="D588" s="1168">
        <v>6</v>
      </c>
      <c r="E588" s="1309"/>
      <c r="F588" s="1271"/>
      <c r="G588" s="1157" t="s">
        <v>501</v>
      </c>
      <c r="H588" s="1309"/>
      <c r="I588" s="1309"/>
      <c r="J588" s="1143">
        <v>0</v>
      </c>
      <c r="K588" s="1157"/>
      <c r="L588" s="767"/>
      <c r="M588" s="695" t="s">
        <v>428</v>
      </c>
    </row>
    <row r="589" spans="1:13" x14ac:dyDescent="0.2">
      <c r="A589" s="1198">
        <f t="shared" si="0"/>
        <v>50</v>
      </c>
      <c r="B589" s="1137" t="s">
        <v>429</v>
      </c>
      <c r="C589" s="1200">
        <v>75072481</v>
      </c>
      <c r="D589" s="1168">
        <v>0</v>
      </c>
      <c r="E589" s="1309"/>
      <c r="F589" s="1271"/>
      <c r="G589" s="1157" t="s">
        <v>496</v>
      </c>
      <c r="H589" s="1309"/>
      <c r="I589" s="1309"/>
      <c r="J589" s="1143">
        <v>-38139000</v>
      </c>
      <c r="K589" s="1157"/>
      <c r="L589" s="767"/>
      <c r="M589" s="695" t="s">
        <v>429</v>
      </c>
    </row>
    <row r="590" spans="1:13" x14ac:dyDescent="0.2">
      <c r="A590" s="1198">
        <f t="shared" si="0"/>
        <v>51</v>
      </c>
      <c r="B590" s="1137" t="s">
        <v>40</v>
      </c>
      <c r="C590" s="1200">
        <v>8105540</v>
      </c>
      <c r="D590" s="1168">
        <v>7</v>
      </c>
      <c r="E590" s="1309"/>
      <c r="F590" s="1271"/>
      <c r="G590" s="1157" t="s">
        <v>495</v>
      </c>
      <c r="H590" s="1309"/>
      <c r="I590" s="1309"/>
      <c r="J590" s="1143">
        <v>1712000</v>
      </c>
      <c r="K590" s="1157"/>
      <c r="L590" s="767"/>
      <c r="M590" s="695" t="s">
        <v>40</v>
      </c>
    </row>
    <row r="591" spans="1:13" x14ac:dyDescent="0.2">
      <c r="A591" s="1198">
        <f t="shared" si="0"/>
        <v>52</v>
      </c>
      <c r="B591" s="1137" t="s">
        <v>39</v>
      </c>
      <c r="C591" s="1200">
        <v>10059375</v>
      </c>
      <c r="D591" s="1168">
        <v>8</v>
      </c>
      <c r="E591" s="1309"/>
      <c r="F591" s="1277" t="s">
        <v>318</v>
      </c>
      <c r="G591" s="1157" t="s">
        <v>496</v>
      </c>
      <c r="H591" s="1309"/>
      <c r="I591" s="1309"/>
      <c r="J591" s="1143">
        <v>-23564000</v>
      </c>
      <c r="K591" s="1157"/>
      <c r="L591" s="767"/>
      <c r="M591" s="695" t="s">
        <v>39</v>
      </c>
    </row>
    <row r="592" spans="1:13" x14ac:dyDescent="0.2">
      <c r="A592" s="1198">
        <f t="shared" si="0"/>
        <v>53</v>
      </c>
      <c r="B592" s="1137" t="s">
        <v>41</v>
      </c>
      <c r="C592" s="1200">
        <v>21378780</v>
      </c>
      <c r="D592" s="1168">
        <v>6</v>
      </c>
      <c r="E592" s="1309"/>
      <c r="F592" s="1271"/>
      <c r="G592" s="1157" t="s">
        <v>495</v>
      </c>
      <c r="H592" s="1309"/>
      <c r="I592" s="1309"/>
      <c r="J592" s="1143">
        <v>11541000</v>
      </c>
      <c r="K592" s="1157"/>
      <c r="L592" s="767"/>
      <c r="M592" s="562" t="s">
        <v>41</v>
      </c>
    </row>
    <row r="593" spans="1:13" x14ac:dyDescent="0.2">
      <c r="A593" s="1198">
        <f t="shared" si="0"/>
        <v>54</v>
      </c>
      <c r="B593" s="1137" t="s">
        <v>42</v>
      </c>
      <c r="C593" s="1200">
        <v>43832021</v>
      </c>
      <c r="D593" s="1168">
        <v>1</v>
      </c>
      <c r="E593" s="1309"/>
      <c r="F593" s="1271"/>
      <c r="G593" s="1157" t="s">
        <v>495</v>
      </c>
      <c r="H593" s="1309"/>
      <c r="I593" s="1309"/>
      <c r="J593" s="1143">
        <v>1666000</v>
      </c>
      <c r="K593" s="1157"/>
      <c r="L593" s="767"/>
      <c r="M593" s="695" t="s">
        <v>42</v>
      </c>
    </row>
    <row r="594" spans="1:13" x14ac:dyDescent="0.2">
      <c r="A594" s="1198">
        <f t="shared" si="0"/>
        <v>55</v>
      </c>
      <c r="B594" s="1137" t="s">
        <v>43</v>
      </c>
      <c r="C594" s="1200">
        <v>42684082</v>
      </c>
      <c r="D594" s="1168">
        <v>1</v>
      </c>
      <c r="E594" s="1309"/>
      <c r="F594" s="1271"/>
      <c r="G594" s="1157" t="s">
        <v>495</v>
      </c>
      <c r="H594" s="1309"/>
      <c r="I594" s="1309"/>
      <c r="J594" s="1143">
        <v>27803000</v>
      </c>
      <c r="K594" s="1157"/>
      <c r="L594" s="767"/>
      <c r="M594" s="695" t="s">
        <v>43</v>
      </c>
    </row>
    <row r="595" spans="1:13" ht="31.5" customHeight="1" x14ac:dyDescent="0.2">
      <c r="A595" s="1198">
        <f t="shared" si="0"/>
        <v>56</v>
      </c>
      <c r="B595" s="1137" t="s">
        <v>44</v>
      </c>
      <c r="C595" s="1200">
        <v>3309812</v>
      </c>
      <c r="D595" s="1168">
        <v>3</v>
      </c>
      <c r="E595" s="1309"/>
      <c r="F595" s="1271"/>
      <c r="G595" s="1157" t="s">
        <v>501</v>
      </c>
      <c r="H595" s="1309"/>
      <c r="I595" s="1309"/>
      <c r="J595" s="1143">
        <v>0</v>
      </c>
      <c r="K595" s="1278"/>
      <c r="L595" s="767"/>
      <c r="M595" s="695" t="s">
        <v>44</v>
      </c>
    </row>
    <row r="596" spans="1:13" ht="25.5" x14ac:dyDescent="0.2">
      <c r="A596" s="1198">
        <f t="shared" si="0"/>
        <v>57</v>
      </c>
      <c r="B596" s="1137" t="s">
        <v>313</v>
      </c>
      <c r="C596" s="1200">
        <v>21344340</v>
      </c>
      <c r="D596" s="1168">
        <v>2</v>
      </c>
      <c r="E596" s="1309"/>
      <c r="F596" s="1271"/>
      <c r="G596" s="1157" t="s">
        <v>496</v>
      </c>
      <c r="H596" s="1309"/>
      <c r="I596" s="1309"/>
      <c r="J596" s="1143">
        <v>-5830000</v>
      </c>
      <c r="K596" s="1157"/>
      <c r="L596" s="767"/>
      <c r="M596" s="1097" t="s">
        <v>313</v>
      </c>
    </row>
    <row r="597" spans="1:13" x14ac:dyDescent="0.2">
      <c r="A597" s="1198">
        <f t="shared" si="0"/>
        <v>58</v>
      </c>
      <c r="B597" s="1137" t="s">
        <v>432</v>
      </c>
      <c r="C597" s="1200">
        <v>42888678</v>
      </c>
      <c r="D597" s="1168">
        <v>7</v>
      </c>
      <c r="E597" s="1309"/>
      <c r="F597" s="1271"/>
      <c r="G597" s="1157" t="s">
        <v>495</v>
      </c>
      <c r="H597" s="1309"/>
      <c r="I597" s="1309"/>
      <c r="J597" s="1143">
        <v>3348000</v>
      </c>
      <c r="K597" s="1157"/>
      <c r="L597" s="767"/>
      <c r="M597" s="695" t="s">
        <v>432</v>
      </c>
    </row>
    <row r="598" spans="1:13" x14ac:dyDescent="0.2">
      <c r="A598" s="1198">
        <f t="shared" si="0"/>
        <v>59</v>
      </c>
      <c r="B598" s="1137" t="s">
        <v>46</v>
      </c>
      <c r="C598" s="1200">
        <v>43870119</v>
      </c>
      <c r="D598" s="1168">
        <v>6</v>
      </c>
      <c r="E598" s="1309"/>
      <c r="F598" s="1271"/>
      <c r="G598" s="1157" t="s">
        <v>496</v>
      </c>
      <c r="H598" s="1309"/>
      <c r="I598" s="1309"/>
      <c r="J598" s="1143">
        <v>-8653000</v>
      </c>
      <c r="K598" s="1168"/>
      <c r="L598" s="767"/>
      <c r="M598" s="695" t="s">
        <v>46</v>
      </c>
    </row>
    <row r="599" spans="1:13" x14ac:dyDescent="0.2">
      <c r="A599" s="1198">
        <f t="shared" si="0"/>
        <v>60</v>
      </c>
      <c r="B599" s="1137" t="s">
        <v>47</v>
      </c>
      <c r="C599" s="1200">
        <v>1000410740</v>
      </c>
      <c r="D599" s="1168">
        <v>2</v>
      </c>
      <c r="E599" s="1309"/>
      <c r="F599" s="1271"/>
      <c r="G599" s="1157" t="s">
        <v>501</v>
      </c>
      <c r="H599" s="1309"/>
      <c r="I599" s="1309"/>
      <c r="J599" s="1143">
        <v>0</v>
      </c>
      <c r="K599" s="1157"/>
      <c r="L599" s="767"/>
      <c r="M599" s="695" t="s">
        <v>47</v>
      </c>
    </row>
    <row r="600" spans="1:13" x14ac:dyDescent="0.2">
      <c r="A600" s="1198">
        <f t="shared" si="0"/>
        <v>61</v>
      </c>
      <c r="B600" s="1137" t="s">
        <v>48</v>
      </c>
      <c r="C600" s="1200">
        <v>1017922378</v>
      </c>
      <c r="D600" s="1168">
        <v>8</v>
      </c>
      <c r="E600" s="1309"/>
      <c r="F600" s="1277" t="s">
        <v>318</v>
      </c>
      <c r="G600" s="1157" t="s">
        <v>501</v>
      </c>
      <c r="H600" s="1309"/>
      <c r="I600" s="1309"/>
      <c r="J600" s="1143">
        <v>0</v>
      </c>
      <c r="K600" s="1157"/>
      <c r="L600" s="767"/>
      <c r="M600" s="695" t="s">
        <v>48</v>
      </c>
    </row>
    <row r="601" spans="1:13" x14ac:dyDescent="0.2">
      <c r="A601" s="1329">
        <f t="shared" si="0"/>
        <v>62</v>
      </c>
      <c r="B601" s="1204" t="s">
        <v>774</v>
      </c>
      <c r="C601" s="1330">
        <v>42780425</v>
      </c>
      <c r="D601" s="1357">
        <v>5</v>
      </c>
      <c r="E601" s="1358"/>
      <c r="F601" s="1286"/>
      <c r="G601" s="1274" t="s">
        <v>496</v>
      </c>
      <c r="H601" s="1358"/>
      <c r="I601" s="1358"/>
      <c r="J601" s="1346">
        <v>-194000</v>
      </c>
      <c r="K601" s="1319" t="s">
        <v>784</v>
      </c>
      <c r="L601" s="767"/>
      <c r="M601" s="1361" t="s">
        <v>774</v>
      </c>
    </row>
    <row r="602" spans="1:13" x14ac:dyDescent="0.2">
      <c r="A602" s="1325">
        <f t="shared" si="0"/>
        <v>63</v>
      </c>
      <c r="B602" s="1351" t="s">
        <v>50</v>
      </c>
      <c r="C602" s="1352">
        <v>21380573</v>
      </c>
      <c r="D602" s="1353">
        <v>4</v>
      </c>
      <c r="E602" s="1354"/>
      <c r="F602" s="1355"/>
      <c r="G602" s="1279"/>
      <c r="H602" s="1354"/>
      <c r="I602" s="1354"/>
      <c r="J602" s="1359"/>
      <c r="K602" s="1318" t="s">
        <v>775</v>
      </c>
      <c r="L602" s="767"/>
      <c r="M602" s="1384" t="s">
        <v>654</v>
      </c>
    </row>
    <row r="603" spans="1:13" x14ac:dyDescent="0.2">
      <c r="A603" s="1364">
        <f t="shared" si="0"/>
        <v>64</v>
      </c>
      <c r="B603" s="1090" t="s">
        <v>319</v>
      </c>
      <c r="C603" s="1365">
        <v>71662891</v>
      </c>
      <c r="D603" s="1366">
        <v>4</v>
      </c>
      <c r="E603" s="1367"/>
      <c r="F603" s="1368"/>
      <c r="G603" s="1369" t="s">
        <v>501</v>
      </c>
      <c r="H603" s="1367"/>
      <c r="I603" s="1367"/>
      <c r="J603" s="1370">
        <v>0</v>
      </c>
      <c r="K603" s="1369"/>
      <c r="L603" s="767"/>
      <c r="M603" s="1379" t="s">
        <v>805</v>
      </c>
    </row>
    <row r="604" spans="1:13" x14ac:dyDescent="0.2">
      <c r="A604" s="1364">
        <f t="shared" si="0"/>
        <v>65</v>
      </c>
      <c r="B604" s="1090" t="s">
        <v>51</v>
      </c>
      <c r="C604" s="1365">
        <v>15258730</v>
      </c>
      <c r="D604" s="1366">
        <v>1</v>
      </c>
      <c r="E604" s="1367"/>
      <c r="F604" s="1368"/>
      <c r="G604" s="1369" t="s">
        <v>496</v>
      </c>
      <c r="H604" s="1367"/>
      <c r="I604" s="1367"/>
      <c r="J604" s="1370">
        <v>-46171000</v>
      </c>
      <c r="K604" s="1369"/>
      <c r="L604" s="767"/>
      <c r="M604" s="1379" t="s">
        <v>805</v>
      </c>
    </row>
    <row r="605" spans="1:13" x14ac:dyDescent="0.2">
      <c r="A605" s="1325">
        <f t="shared" si="0"/>
        <v>66</v>
      </c>
      <c r="B605" s="1351" t="s">
        <v>434</v>
      </c>
      <c r="C605" s="1352">
        <v>43734799</v>
      </c>
      <c r="D605" s="1353">
        <v>2</v>
      </c>
      <c r="E605" s="1354"/>
      <c r="F605" s="1355"/>
      <c r="G605" s="1279"/>
      <c r="H605" s="1354"/>
      <c r="I605" s="1354"/>
      <c r="J605" s="1347"/>
      <c r="K605" s="1347" t="s">
        <v>654</v>
      </c>
      <c r="L605" s="767"/>
      <c r="M605" s="1384" t="s">
        <v>654</v>
      </c>
    </row>
    <row r="606" spans="1:13" ht="25.5" x14ac:dyDescent="0.2">
      <c r="A606" s="1198">
        <f t="shared" ref="A606:A670" si="1">+A605+1</f>
        <v>67</v>
      </c>
      <c r="B606" s="1137" t="s">
        <v>657</v>
      </c>
      <c r="C606" s="1200">
        <v>71227472</v>
      </c>
      <c r="D606" s="1168">
        <v>7</v>
      </c>
      <c r="E606" s="1309"/>
      <c r="F606" s="1271"/>
      <c r="G606" s="1157" t="s">
        <v>501</v>
      </c>
      <c r="H606" s="1309"/>
      <c r="I606" s="1309"/>
      <c r="J606" s="1143">
        <v>0</v>
      </c>
      <c r="K606" s="1277" t="s">
        <v>794</v>
      </c>
      <c r="L606" s="767"/>
      <c r="M606" s="356" t="s">
        <v>657</v>
      </c>
    </row>
    <row r="607" spans="1:13" x14ac:dyDescent="0.2">
      <c r="A607" s="1198">
        <f t="shared" si="1"/>
        <v>68</v>
      </c>
      <c r="B607" s="1137" t="s">
        <v>52</v>
      </c>
      <c r="C607" s="1200">
        <v>71639489</v>
      </c>
      <c r="D607" s="1168">
        <v>1</v>
      </c>
      <c r="E607" s="1309"/>
      <c r="F607" s="1271"/>
      <c r="G607" s="1157" t="s">
        <v>495</v>
      </c>
      <c r="H607" s="1309"/>
      <c r="I607" s="1309"/>
      <c r="J607" s="1143">
        <v>7255000</v>
      </c>
      <c r="K607" s="1157"/>
      <c r="L607" s="767"/>
      <c r="M607" s="695" t="s">
        <v>52</v>
      </c>
    </row>
    <row r="608" spans="1:13" x14ac:dyDescent="0.2">
      <c r="A608" s="1198">
        <f t="shared" si="1"/>
        <v>69</v>
      </c>
      <c r="B608" s="1137" t="s">
        <v>53</v>
      </c>
      <c r="C608" s="1200">
        <v>8268050</v>
      </c>
      <c r="D608" s="1168">
        <v>9</v>
      </c>
      <c r="E608" s="1309"/>
      <c r="F608" s="1277" t="s">
        <v>318</v>
      </c>
      <c r="G608" s="1157" t="s">
        <v>495</v>
      </c>
      <c r="H608" s="1309"/>
      <c r="I608" s="1309"/>
      <c r="J608" s="1143">
        <v>52613000</v>
      </c>
      <c r="K608" s="1157"/>
      <c r="L608" s="767"/>
      <c r="M608" s="695" t="s">
        <v>53</v>
      </c>
    </row>
    <row r="609" spans="1:13" x14ac:dyDescent="0.2">
      <c r="A609" s="1198">
        <f t="shared" si="1"/>
        <v>70</v>
      </c>
      <c r="B609" s="1137" t="s">
        <v>54</v>
      </c>
      <c r="C609" s="1200">
        <v>6053547</v>
      </c>
      <c r="D609" s="1168">
        <v>6</v>
      </c>
      <c r="E609" s="1309"/>
      <c r="F609" s="1271"/>
      <c r="G609" s="1157" t="s">
        <v>496</v>
      </c>
      <c r="H609" s="1309"/>
      <c r="I609" s="1309"/>
      <c r="J609" s="1143">
        <v>-3711000</v>
      </c>
      <c r="K609" s="1157"/>
      <c r="L609" s="767"/>
      <c r="M609" s="695" t="s">
        <v>54</v>
      </c>
    </row>
    <row r="610" spans="1:13" x14ac:dyDescent="0.2">
      <c r="A610" s="1325">
        <f t="shared" si="1"/>
        <v>71</v>
      </c>
      <c r="B610" s="1351" t="s">
        <v>440</v>
      </c>
      <c r="C610" s="1352">
        <v>1152216456</v>
      </c>
      <c r="D610" s="1353">
        <v>6</v>
      </c>
      <c r="E610" s="1354"/>
      <c r="F610" s="1355"/>
      <c r="G610" s="1279"/>
      <c r="H610" s="1354"/>
      <c r="I610" s="1354"/>
      <c r="J610" s="1347"/>
      <c r="K610" s="1347" t="s">
        <v>654</v>
      </c>
      <c r="L610" s="767"/>
      <c r="M610" s="1384" t="s">
        <v>654</v>
      </c>
    </row>
    <row r="611" spans="1:13" x14ac:dyDescent="0.2">
      <c r="A611" s="1198">
        <f t="shared" si="1"/>
        <v>72</v>
      </c>
      <c r="B611" s="1137" t="s">
        <v>308</v>
      </c>
      <c r="C611" s="1200">
        <v>98661685</v>
      </c>
      <c r="D611" s="1168">
        <v>7</v>
      </c>
      <c r="E611" s="1309"/>
      <c r="F611" s="1271"/>
      <c r="G611" s="1157" t="s">
        <v>495</v>
      </c>
      <c r="H611" s="1309"/>
      <c r="I611" s="1309"/>
      <c r="J611" s="1143">
        <v>1365000</v>
      </c>
      <c r="K611" s="1157"/>
      <c r="L611" s="767"/>
      <c r="M611" s="695" t="s">
        <v>308</v>
      </c>
    </row>
    <row r="612" spans="1:13" x14ac:dyDescent="0.2">
      <c r="A612" s="1325">
        <f t="shared" si="1"/>
        <v>73</v>
      </c>
      <c r="B612" s="1351" t="s">
        <v>334</v>
      </c>
      <c r="C612" s="1352">
        <v>507881</v>
      </c>
      <c r="D612" s="1353">
        <v>1</v>
      </c>
      <c r="E612" s="1354"/>
      <c r="F612" s="1355"/>
      <c r="G612" s="1279"/>
      <c r="H612" s="1354"/>
      <c r="I612" s="1354"/>
      <c r="J612" s="1348"/>
      <c r="K612" s="1318" t="s">
        <v>775</v>
      </c>
      <c r="L612" s="767"/>
      <c r="M612" s="1384" t="s">
        <v>654</v>
      </c>
    </row>
    <row r="613" spans="1:13" x14ac:dyDescent="0.2">
      <c r="A613" s="1198">
        <f t="shared" si="1"/>
        <v>74</v>
      </c>
      <c r="B613" s="1137" t="s">
        <v>55</v>
      </c>
      <c r="C613" s="1200">
        <v>680956579</v>
      </c>
      <c r="D613" s="1168">
        <v>2</v>
      </c>
      <c r="E613" s="1309"/>
      <c r="F613" s="1277" t="s">
        <v>318</v>
      </c>
      <c r="G613" s="1157" t="s">
        <v>495</v>
      </c>
      <c r="H613" s="1309"/>
      <c r="I613" s="1309"/>
      <c r="J613" s="1143">
        <v>320000</v>
      </c>
      <c r="K613" s="1157"/>
      <c r="L613" s="767"/>
      <c r="M613" s="695" t="s">
        <v>55</v>
      </c>
    </row>
    <row r="614" spans="1:13" x14ac:dyDescent="0.2">
      <c r="A614" s="1198">
        <f t="shared" si="1"/>
        <v>75</v>
      </c>
      <c r="B614" s="1137" t="s">
        <v>56</v>
      </c>
      <c r="C614" s="1200">
        <v>43747351</v>
      </c>
      <c r="D614" s="1168">
        <v>3</v>
      </c>
      <c r="E614" s="1309"/>
      <c r="F614" s="1271"/>
      <c r="G614" s="1157" t="s">
        <v>496</v>
      </c>
      <c r="H614" s="1309"/>
      <c r="I614" s="1309"/>
      <c r="J614" s="1143">
        <v>-5291000</v>
      </c>
      <c r="K614" s="1157"/>
      <c r="L614" s="767"/>
      <c r="M614" s="695" t="s">
        <v>56</v>
      </c>
    </row>
    <row r="615" spans="1:13" x14ac:dyDescent="0.2">
      <c r="A615" s="1198">
        <f t="shared" si="1"/>
        <v>76</v>
      </c>
      <c r="B615" s="1137" t="s">
        <v>57</v>
      </c>
      <c r="C615" s="1200">
        <v>43628330</v>
      </c>
      <c r="D615" s="1168">
        <v>9</v>
      </c>
      <c r="E615" s="1309"/>
      <c r="F615" s="1271"/>
      <c r="G615" s="1157" t="s">
        <v>495</v>
      </c>
      <c r="H615" s="1309"/>
      <c r="I615" s="1309"/>
      <c r="J615" s="1143">
        <v>615000</v>
      </c>
      <c r="K615" s="1157"/>
      <c r="L615" s="767"/>
      <c r="M615" s="695" t="s">
        <v>57</v>
      </c>
    </row>
    <row r="616" spans="1:13" x14ac:dyDescent="0.2">
      <c r="A616" s="1198">
        <f t="shared" si="1"/>
        <v>77</v>
      </c>
      <c r="B616" s="1137" t="s">
        <v>58</v>
      </c>
      <c r="C616" s="1200">
        <v>43739786</v>
      </c>
      <c r="D616" s="1168">
        <v>1</v>
      </c>
      <c r="E616" s="1309"/>
      <c r="F616" s="1271"/>
      <c r="G616" s="1157" t="s">
        <v>496</v>
      </c>
      <c r="H616" s="1309"/>
      <c r="I616" s="1309"/>
      <c r="J616" s="1143">
        <v>-339000</v>
      </c>
      <c r="K616" s="1157"/>
      <c r="L616" s="767"/>
      <c r="M616" s="695" t="s">
        <v>58</v>
      </c>
    </row>
    <row r="617" spans="1:13" x14ac:dyDescent="0.2">
      <c r="A617" s="1198">
        <f t="shared" si="1"/>
        <v>78</v>
      </c>
      <c r="B617" s="1137" t="s">
        <v>409</v>
      </c>
      <c r="C617" s="1200">
        <v>43079748</v>
      </c>
      <c r="D617" s="1168">
        <v>7</v>
      </c>
      <c r="E617" s="1309"/>
      <c r="F617" s="1271"/>
      <c r="G617" s="1157" t="s">
        <v>501</v>
      </c>
      <c r="H617" s="1309"/>
      <c r="I617" s="1309"/>
      <c r="J617" s="1143">
        <v>0</v>
      </c>
      <c r="K617" s="1282"/>
      <c r="L617" s="767"/>
      <c r="M617" s="695" t="s">
        <v>409</v>
      </c>
    </row>
    <row r="618" spans="1:13" x14ac:dyDescent="0.2">
      <c r="A618" s="1198">
        <f t="shared" si="1"/>
        <v>79</v>
      </c>
      <c r="B618" s="1137" t="s">
        <v>390</v>
      </c>
      <c r="C618" s="1200">
        <v>43422834</v>
      </c>
      <c r="D618" s="1168">
        <v>3</v>
      </c>
      <c r="E618" s="1309"/>
      <c r="F618" s="1271"/>
      <c r="G618" s="1157" t="s">
        <v>496</v>
      </c>
      <c r="H618" s="1309"/>
      <c r="I618" s="1309"/>
      <c r="J618" s="1143">
        <v>-4335000</v>
      </c>
      <c r="K618" s="1157"/>
      <c r="L618" s="767"/>
      <c r="M618" s="562" t="s">
        <v>390</v>
      </c>
    </row>
    <row r="619" spans="1:13" x14ac:dyDescent="0.2">
      <c r="A619" s="1198">
        <f t="shared" si="1"/>
        <v>80</v>
      </c>
      <c r="B619" s="1137" t="s">
        <v>59</v>
      </c>
      <c r="C619" s="1200">
        <v>43422711</v>
      </c>
      <c r="D619" s="1168">
        <v>6</v>
      </c>
      <c r="E619" s="1309"/>
      <c r="F619" s="1271"/>
      <c r="G619" s="1157" t="s">
        <v>495</v>
      </c>
      <c r="H619" s="1309"/>
      <c r="I619" s="1309"/>
      <c r="J619" s="1143">
        <v>1584000</v>
      </c>
      <c r="K619" s="1278"/>
      <c r="L619" s="767"/>
      <c r="M619" s="562" t="s">
        <v>59</v>
      </c>
    </row>
    <row r="620" spans="1:13" x14ac:dyDescent="0.2">
      <c r="A620" s="1364">
        <f t="shared" si="1"/>
        <v>81</v>
      </c>
      <c r="B620" s="1090" t="s">
        <v>60</v>
      </c>
      <c r="C620" s="1365">
        <v>43052310</v>
      </c>
      <c r="D620" s="1366">
        <v>8</v>
      </c>
      <c r="E620" s="1367"/>
      <c r="F620" s="1368"/>
      <c r="G620" s="1369" t="s">
        <v>496</v>
      </c>
      <c r="H620" s="1367"/>
      <c r="I620" s="1367"/>
      <c r="J620" s="1370">
        <v>-9741000</v>
      </c>
      <c r="K620" s="1369"/>
      <c r="L620" s="767"/>
      <c r="M620" s="1379" t="s">
        <v>805</v>
      </c>
    </row>
    <row r="621" spans="1:13" x14ac:dyDescent="0.2">
      <c r="A621" s="1198">
        <f t="shared" si="1"/>
        <v>82</v>
      </c>
      <c r="B621" s="1137" t="s">
        <v>650</v>
      </c>
      <c r="C621" s="1200">
        <v>71274022</v>
      </c>
      <c r="D621" s="1168">
        <v>6</v>
      </c>
      <c r="E621" s="1309"/>
      <c r="F621" s="1271"/>
      <c r="G621" s="1157" t="s">
        <v>501</v>
      </c>
      <c r="H621" s="1309"/>
      <c r="I621" s="1309"/>
      <c r="J621" s="1143">
        <v>0</v>
      </c>
      <c r="K621" s="1277" t="s">
        <v>794</v>
      </c>
      <c r="L621" s="767"/>
      <c r="M621" s="356" t="s">
        <v>650</v>
      </c>
    </row>
    <row r="622" spans="1:13" x14ac:dyDescent="0.2">
      <c r="A622" s="1198">
        <f t="shared" si="1"/>
        <v>83</v>
      </c>
      <c r="B622" s="1137" t="s">
        <v>294</v>
      </c>
      <c r="C622" s="1200">
        <v>3473739</v>
      </c>
      <c r="D622" s="1168">
        <v>4</v>
      </c>
      <c r="E622" s="1309"/>
      <c r="F622" s="1271"/>
      <c r="G622" s="1157" t="s">
        <v>496</v>
      </c>
      <c r="H622" s="1309"/>
      <c r="I622" s="1309"/>
      <c r="J622" s="1143">
        <v>-130761000</v>
      </c>
      <c r="K622" s="1157"/>
      <c r="L622" s="767"/>
      <c r="M622" s="695" t="s">
        <v>294</v>
      </c>
    </row>
    <row r="623" spans="1:13" x14ac:dyDescent="0.2">
      <c r="A623" s="1198">
        <f t="shared" si="1"/>
        <v>84</v>
      </c>
      <c r="B623" s="1137" t="s">
        <v>62</v>
      </c>
      <c r="C623" s="1200">
        <v>1037601220</v>
      </c>
      <c r="D623" s="1168">
        <v>9</v>
      </c>
      <c r="E623" s="1309"/>
      <c r="F623" s="1271"/>
      <c r="G623" s="1157" t="s">
        <v>495</v>
      </c>
      <c r="H623" s="1309"/>
      <c r="I623" s="1309"/>
      <c r="J623" s="1143">
        <v>1045000</v>
      </c>
      <c r="K623" s="1168"/>
      <c r="L623" s="767"/>
      <c r="M623" s="695" t="s">
        <v>62</v>
      </c>
    </row>
    <row r="624" spans="1:13" x14ac:dyDescent="0.2">
      <c r="A624" s="1198">
        <f t="shared" si="1"/>
        <v>85</v>
      </c>
      <c r="B624" s="1137" t="s">
        <v>63</v>
      </c>
      <c r="C624" s="1200">
        <v>15502980</v>
      </c>
      <c r="D624" s="1168">
        <v>2</v>
      </c>
      <c r="E624" s="1309"/>
      <c r="F624" s="1271"/>
      <c r="G624" s="1157" t="s">
        <v>501</v>
      </c>
      <c r="H624" s="1309"/>
      <c r="I624" s="1309"/>
      <c r="J624" s="1143">
        <v>0</v>
      </c>
      <c r="K624" s="1157"/>
      <c r="L624" s="767"/>
      <c r="M624" s="695" t="s">
        <v>63</v>
      </c>
    </row>
    <row r="625" spans="1:13" x14ac:dyDescent="0.2">
      <c r="A625" s="1198">
        <f t="shared" si="1"/>
        <v>86</v>
      </c>
      <c r="B625" s="1137" t="s">
        <v>65</v>
      </c>
      <c r="C625" s="1200">
        <v>42681418</v>
      </c>
      <c r="D625" s="1168">
        <v>9</v>
      </c>
      <c r="E625" s="1309"/>
      <c r="F625" s="1271"/>
      <c r="G625" s="1157" t="s">
        <v>496</v>
      </c>
      <c r="H625" s="1309"/>
      <c r="I625" s="1309"/>
      <c r="J625" s="1143">
        <v>-5673000</v>
      </c>
      <c r="K625" s="1315"/>
      <c r="L625" s="767"/>
      <c r="M625" s="695" t="s">
        <v>65</v>
      </c>
    </row>
    <row r="626" spans="1:13" x14ac:dyDescent="0.2">
      <c r="A626" s="1198">
        <f t="shared" si="1"/>
        <v>87</v>
      </c>
      <c r="B626" s="1137" t="s">
        <v>406</v>
      </c>
      <c r="C626" s="1200">
        <v>32415325</v>
      </c>
      <c r="D626" s="1168">
        <v>7</v>
      </c>
      <c r="E626" s="1309"/>
      <c r="F626" s="1271"/>
      <c r="G626" s="1157" t="s">
        <v>496</v>
      </c>
      <c r="H626" s="1309"/>
      <c r="I626" s="1309"/>
      <c r="J626" s="1143">
        <v>-2492000</v>
      </c>
      <c r="K626" s="1157"/>
      <c r="L626" s="767"/>
      <c r="M626" s="695" t="s">
        <v>406</v>
      </c>
    </row>
    <row r="627" spans="1:13" x14ac:dyDescent="0.2">
      <c r="A627" s="1198">
        <f t="shared" si="1"/>
        <v>88</v>
      </c>
      <c r="B627" s="1137" t="s">
        <v>384</v>
      </c>
      <c r="C627" s="1200">
        <v>15925921</v>
      </c>
      <c r="D627" s="1168">
        <v>3</v>
      </c>
      <c r="E627" s="1309"/>
      <c r="F627" s="1271"/>
      <c r="G627" s="1157" t="s">
        <v>495</v>
      </c>
      <c r="H627" s="1309"/>
      <c r="I627" s="1309"/>
      <c r="J627" s="1143">
        <v>163000</v>
      </c>
      <c r="K627" s="1157"/>
      <c r="L627" s="767"/>
      <c r="M627" s="695" t="s">
        <v>384</v>
      </c>
    </row>
    <row r="628" spans="1:13" x14ac:dyDescent="0.2">
      <c r="A628" s="1198">
        <f t="shared" si="1"/>
        <v>89</v>
      </c>
      <c r="B628" s="1137" t="s">
        <v>67</v>
      </c>
      <c r="C628" s="1200">
        <v>98619761</v>
      </c>
      <c r="D628" s="1168">
        <v>1</v>
      </c>
      <c r="E628" s="1309"/>
      <c r="F628" s="1277" t="s">
        <v>318</v>
      </c>
      <c r="G628" s="1157" t="s">
        <v>495</v>
      </c>
      <c r="H628" s="1309"/>
      <c r="I628" s="1309"/>
      <c r="J628" s="1143">
        <v>15705000</v>
      </c>
      <c r="K628" s="1157"/>
      <c r="L628" s="767"/>
      <c r="M628" s="695" t="s">
        <v>67</v>
      </c>
    </row>
    <row r="629" spans="1:13" x14ac:dyDescent="0.2">
      <c r="A629" s="1198">
        <f t="shared" si="1"/>
        <v>90</v>
      </c>
      <c r="B629" s="1137" t="s">
        <v>68</v>
      </c>
      <c r="C629" s="1200">
        <v>98570880</v>
      </c>
      <c r="D629" s="1168">
        <v>6</v>
      </c>
      <c r="E629" s="1309"/>
      <c r="F629" s="1277" t="s">
        <v>318</v>
      </c>
      <c r="G629" s="1157" t="s">
        <v>495</v>
      </c>
      <c r="H629" s="1309"/>
      <c r="I629" s="1309"/>
      <c r="J629" s="1143">
        <v>32684000</v>
      </c>
      <c r="K629" s="1157"/>
      <c r="L629" s="767"/>
      <c r="M629" s="695" t="s">
        <v>68</v>
      </c>
    </row>
    <row r="630" spans="1:13" x14ac:dyDescent="0.2">
      <c r="A630" s="1198">
        <f t="shared" si="1"/>
        <v>91</v>
      </c>
      <c r="B630" s="1137" t="s">
        <v>332</v>
      </c>
      <c r="C630" s="1200">
        <v>98570881</v>
      </c>
      <c r="D630" s="1168">
        <v>3</v>
      </c>
      <c r="E630" s="1309"/>
      <c r="F630" s="1271"/>
      <c r="G630" s="1157" t="s">
        <v>501</v>
      </c>
      <c r="H630" s="1309"/>
      <c r="I630" s="1309"/>
      <c r="J630" s="1143">
        <v>0</v>
      </c>
      <c r="K630" s="1157"/>
      <c r="L630" s="767"/>
      <c r="M630" s="695" t="s">
        <v>332</v>
      </c>
    </row>
    <row r="631" spans="1:13" x14ac:dyDescent="0.2">
      <c r="A631" s="1198">
        <f t="shared" si="1"/>
        <v>92</v>
      </c>
      <c r="B631" s="1137" t="s">
        <v>69</v>
      </c>
      <c r="C631" s="1200">
        <v>98549455</v>
      </c>
      <c r="D631" s="1168">
        <v>1</v>
      </c>
      <c r="E631" s="1309"/>
      <c r="F631" s="1271"/>
      <c r="G631" s="1157" t="s">
        <v>495</v>
      </c>
      <c r="H631" s="1309"/>
      <c r="I631" s="1309"/>
      <c r="J631" s="1143">
        <v>6075000</v>
      </c>
      <c r="K631" s="1157"/>
      <c r="L631" s="767"/>
      <c r="M631" s="695" t="s">
        <v>69</v>
      </c>
    </row>
    <row r="632" spans="1:13" x14ac:dyDescent="0.2">
      <c r="A632" s="1198">
        <f t="shared" si="1"/>
        <v>93</v>
      </c>
      <c r="B632" s="1137" t="s">
        <v>659</v>
      </c>
      <c r="C632" s="1200">
        <v>1034995481</v>
      </c>
      <c r="D632" s="1168">
        <v>3</v>
      </c>
      <c r="E632" s="1309"/>
      <c r="F632" s="1271"/>
      <c r="G632" s="1157" t="s">
        <v>496</v>
      </c>
      <c r="H632" s="1309"/>
      <c r="I632" s="1309"/>
      <c r="J632" s="1143">
        <v>-221000</v>
      </c>
      <c r="K632" s="1277" t="s">
        <v>794</v>
      </c>
      <c r="L632" s="767"/>
      <c r="M632" s="1392" t="s">
        <v>659</v>
      </c>
    </row>
    <row r="633" spans="1:13" x14ac:dyDescent="0.2">
      <c r="A633" s="1198">
        <f t="shared" si="1"/>
        <v>94</v>
      </c>
      <c r="B633" s="1137" t="s">
        <v>646</v>
      </c>
      <c r="C633" s="1200">
        <v>1034991081</v>
      </c>
      <c r="D633" s="1168">
        <v>2</v>
      </c>
      <c r="E633" s="1309"/>
      <c r="F633" s="1271"/>
      <c r="G633" s="1157" t="s">
        <v>496</v>
      </c>
      <c r="H633" s="1309"/>
      <c r="I633" s="1309"/>
      <c r="J633" s="1143">
        <v>-209000</v>
      </c>
      <c r="K633" s="1277" t="s">
        <v>794</v>
      </c>
      <c r="L633" s="767"/>
      <c r="M633" s="356" t="s">
        <v>646</v>
      </c>
    </row>
    <row r="634" spans="1:13" x14ac:dyDescent="0.2">
      <c r="A634" s="1198">
        <f t="shared" si="1"/>
        <v>95</v>
      </c>
      <c r="B634" s="1137" t="s">
        <v>70</v>
      </c>
      <c r="C634" s="1200">
        <v>32517259</v>
      </c>
      <c r="D634" s="1168">
        <v>7</v>
      </c>
      <c r="E634" s="1309"/>
      <c r="F634" s="1157"/>
      <c r="G634" s="1157" t="s">
        <v>501</v>
      </c>
      <c r="H634" s="1309"/>
      <c r="I634" s="1309"/>
      <c r="J634" s="1143">
        <v>0</v>
      </c>
      <c r="K634" s="1157"/>
      <c r="L634" s="767"/>
      <c r="M634" s="695" t="s">
        <v>70</v>
      </c>
    </row>
    <row r="635" spans="1:13" x14ac:dyDescent="0.2">
      <c r="A635" s="1198">
        <f t="shared" si="1"/>
        <v>96</v>
      </c>
      <c r="B635" s="1137" t="s">
        <v>71</v>
      </c>
      <c r="C635" s="1200">
        <v>32476412</v>
      </c>
      <c r="D635" s="1168">
        <v>0</v>
      </c>
      <c r="E635" s="1309"/>
      <c r="F635" s="1271"/>
      <c r="G635" s="1157" t="s">
        <v>501</v>
      </c>
      <c r="H635" s="1309"/>
      <c r="I635" s="1309"/>
      <c r="J635" s="1143">
        <v>0</v>
      </c>
      <c r="K635" s="1157"/>
      <c r="L635" s="767"/>
      <c r="M635" s="695" t="s">
        <v>71</v>
      </c>
    </row>
    <row r="636" spans="1:13" x14ac:dyDescent="0.2">
      <c r="A636" s="1198">
        <f t="shared" si="1"/>
        <v>97</v>
      </c>
      <c r="B636" s="1137" t="s">
        <v>73</v>
      </c>
      <c r="C636" s="1200">
        <v>33166790</v>
      </c>
      <c r="D636" s="1168">
        <v>3</v>
      </c>
      <c r="E636" s="1309"/>
      <c r="F636" s="1271"/>
      <c r="G636" s="1157" t="s">
        <v>496</v>
      </c>
      <c r="H636" s="1309"/>
      <c r="I636" s="1309"/>
      <c r="J636" s="1143">
        <v>-8868000</v>
      </c>
      <c r="K636" s="1157"/>
      <c r="L636" s="767"/>
      <c r="M636" s="695" t="s">
        <v>73</v>
      </c>
    </row>
    <row r="637" spans="1:13" x14ac:dyDescent="0.2">
      <c r="A637" s="1198">
        <f t="shared" si="1"/>
        <v>98</v>
      </c>
      <c r="B637" s="1137" t="s">
        <v>295</v>
      </c>
      <c r="C637" s="1200">
        <v>21350229</v>
      </c>
      <c r="D637" s="1168">
        <v>7</v>
      </c>
      <c r="E637" s="1309"/>
      <c r="F637" s="1271"/>
      <c r="G637" s="1157" t="s">
        <v>496</v>
      </c>
      <c r="H637" s="1309"/>
      <c r="I637" s="1309"/>
      <c r="J637" s="1143">
        <v>-36941000</v>
      </c>
      <c r="K637" s="1157"/>
      <c r="L637" s="767"/>
      <c r="M637" s="695" t="s">
        <v>295</v>
      </c>
    </row>
    <row r="638" spans="1:13" x14ac:dyDescent="0.2">
      <c r="A638" s="1325">
        <f t="shared" si="1"/>
        <v>99</v>
      </c>
      <c r="B638" s="1351" t="s">
        <v>652</v>
      </c>
      <c r="C638" s="1352">
        <v>10192638</v>
      </c>
      <c r="D638" s="1353">
        <v>8</v>
      </c>
      <c r="E638" s="1354"/>
      <c r="F638" s="1355"/>
      <c r="G638" s="1279"/>
      <c r="H638" s="1354"/>
      <c r="I638" s="1354"/>
      <c r="J638" s="1348"/>
      <c r="K638" s="1284" t="s">
        <v>654</v>
      </c>
      <c r="L638" s="767"/>
      <c r="M638" s="1384" t="s">
        <v>654</v>
      </c>
    </row>
    <row r="639" spans="1:13" x14ac:dyDescent="0.2">
      <c r="A639" s="1198">
        <f t="shared" si="1"/>
        <v>100</v>
      </c>
      <c r="B639" s="1137" t="s">
        <v>74</v>
      </c>
      <c r="C639" s="1200">
        <v>71776283</v>
      </c>
      <c r="D639" s="1168">
        <v>6</v>
      </c>
      <c r="E639" s="1309"/>
      <c r="F639" s="1271"/>
      <c r="G639" s="1157" t="s">
        <v>496</v>
      </c>
      <c r="H639" s="1309"/>
      <c r="I639" s="1309"/>
      <c r="J639" s="1143">
        <v>-5949000</v>
      </c>
      <c r="K639" s="1157"/>
      <c r="L639" s="767"/>
      <c r="M639" s="695" t="s">
        <v>74</v>
      </c>
    </row>
    <row r="640" spans="1:13" x14ac:dyDescent="0.2">
      <c r="A640" s="1422">
        <f t="shared" si="1"/>
        <v>101</v>
      </c>
      <c r="B640" s="1423" t="s">
        <v>75</v>
      </c>
      <c r="C640" s="1424">
        <v>32408192</v>
      </c>
      <c r="D640" s="1425">
        <v>5</v>
      </c>
      <c r="E640" s="1426"/>
      <c r="F640" s="1427"/>
      <c r="G640" s="1428"/>
      <c r="H640" s="1426"/>
      <c r="I640" s="1426"/>
      <c r="J640" s="1429"/>
      <c r="K640" s="1428"/>
      <c r="L640" s="767"/>
      <c r="M640" s="1430" t="s">
        <v>812</v>
      </c>
    </row>
    <row r="641" spans="1:13" x14ac:dyDescent="0.2">
      <c r="A641" s="1364">
        <f t="shared" si="1"/>
        <v>102</v>
      </c>
      <c r="B641" s="1090" t="s">
        <v>329</v>
      </c>
      <c r="C641" s="1365">
        <v>42962503</v>
      </c>
      <c r="D641" s="1366">
        <v>3</v>
      </c>
      <c r="E641" s="1367"/>
      <c r="F641" s="1369"/>
      <c r="G641" s="1369" t="s">
        <v>496</v>
      </c>
      <c r="H641" s="1367"/>
      <c r="I641" s="1367"/>
      <c r="J641" s="1370">
        <v>-425000</v>
      </c>
      <c r="K641" s="1369"/>
      <c r="L641" s="767"/>
      <c r="M641" s="1379" t="s">
        <v>805</v>
      </c>
    </row>
    <row r="642" spans="1:13" x14ac:dyDescent="0.2">
      <c r="A642" s="1364">
        <f t="shared" si="1"/>
        <v>103</v>
      </c>
      <c r="B642" s="1090" t="s">
        <v>660</v>
      </c>
      <c r="C642" s="1365">
        <v>42760284</v>
      </c>
      <c r="D642" s="1366">
        <v>8</v>
      </c>
      <c r="E642" s="1367"/>
      <c r="F642" s="1368"/>
      <c r="G642" s="1369" t="s">
        <v>496</v>
      </c>
      <c r="H642" s="1367"/>
      <c r="I642" s="1367"/>
      <c r="J642" s="1370">
        <v>-383000</v>
      </c>
      <c r="K642" s="1277" t="s">
        <v>802</v>
      </c>
      <c r="L642" s="767"/>
      <c r="M642" s="1379" t="s">
        <v>805</v>
      </c>
    </row>
    <row r="643" spans="1:13" x14ac:dyDescent="0.2">
      <c r="A643" s="1198">
        <f t="shared" si="1"/>
        <v>104</v>
      </c>
      <c r="B643" s="1137" t="s">
        <v>76</v>
      </c>
      <c r="C643" s="1200">
        <v>1040182444</v>
      </c>
      <c r="D643" s="1168">
        <v>3</v>
      </c>
      <c r="E643" s="1309"/>
      <c r="F643" s="1271"/>
      <c r="G643" s="1157" t="s">
        <v>495</v>
      </c>
      <c r="H643" s="1309"/>
      <c r="I643" s="1309"/>
      <c r="J643" s="1143">
        <v>5769000</v>
      </c>
      <c r="K643" s="1157"/>
      <c r="L643" s="767"/>
      <c r="M643" s="695" t="s">
        <v>76</v>
      </c>
    </row>
    <row r="644" spans="1:13" x14ac:dyDescent="0.2">
      <c r="A644" s="1198">
        <f t="shared" si="1"/>
        <v>105</v>
      </c>
      <c r="B644" s="1137" t="s">
        <v>77</v>
      </c>
      <c r="C644" s="1200">
        <v>71557380</v>
      </c>
      <c r="D644" s="1168">
        <v>3</v>
      </c>
      <c r="E644" s="1309"/>
      <c r="F644" s="1271"/>
      <c r="G644" s="1157" t="s">
        <v>501</v>
      </c>
      <c r="H644" s="1309"/>
      <c r="I644" s="1309"/>
      <c r="J644" s="1143">
        <v>0</v>
      </c>
      <c r="K644" s="1157"/>
      <c r="L644" s="767"/>
      <c r="M644" s="695" t="s">
        <v>77</v>
      </c>
    </row>
    <row r="645" spans="1:13" x14ac:dyDescent="0.2">
      <c r="A645" s="1198">
        <f t="shared" si="1"/>
        <v>106</v>
      </c>
      <c r="B645" s="1137" t="s">
        <v>79</v>
      </c>
      <c r="C645" s="1200">
        <v>43166841</v>
      </c>
      <c r="D645" s="1168">
        <v>7</v>
      </c>
      <c r="E645" s="1309"/>
      <c r="F645" s="1271"/>
      <c r="G645" s="1157" t="s">
        <v>501</v>
      </c>
      <c r="H645" s="1309"/>
      <c r="I645" s="1309"/>
      <c r="J645" s="1143">
        <v>0</v>
      </c>
      <c r="K645" s="1157"/>
      <c r="L645" s="767"/>
      <c r="M645" s="695" t="s">
        <v>79</v>
      </c>
    </row>
    <row r="646" spans="1:13" ht="25.5" x14ac:dyDescent="0.2">
      <c r="A646" s="1198">
        <f t="shared" si="1"/>
        <v>107</v>
      </c>
      <c r="B646" s="1154" t="s">
        <v>242</v>
      </c>
      <c r="C646" s="1200">
        <v>20270143</v>
      </c>
      <c r="D646" s="1168">
        <v>5</v>
      </c>
      <c r="E646" s="1309"/>
      <c r="F646" s="1271"/>
      <c r="G646" s="1157" t="s">
        <v>496</v>
      </c>
      <c r="H646" s="1309"/>
      <c r="I646" s="1309"/>
      <c r="J646" s="1143">
        <v>-2600000</v>
      </c>
      <c r="K646" s="1157"/>
      <c r="L646" s="767"/>
      <c r="M646" s="696" t="s">
        <v>242</v>
      </c>
    </row>
    <row r="647" spans="1:13" x14ac:dyDescent="0.2">
      <c r="A647" s="1198">
        <f t="shared" si="1"/>
        <v>108</v>
      </c>
      <c r="B647" s="1137" t="s">
        <v>649</v>
      </c>
      <c r="C647" s="1200">
        <v>1036958916</v>
      </c>
      <c r="D647" s="1168">
        <v>5</v>
      </c>
      <c r="E647" s="1309"/>
      <c r="F647" s="1139"/>
      <c r="G647" s="1157" t="s">
        <v>501</v>
      </c>
      <c r="H647" s="1309"/>
      <c r="I647" s="1309"/>
      <c r="J647" s="1143">
        <v>0</v>
      </c>
      <c r="K647" s="1277" t="s">
        <v>794</v>
      </c>
      <c r="L647" s="767"/>
      <c r="M647" s="356" t="s">
        <v>649</v>
      </c>
    </row>
    <row r="648" spans="1:13" x14ac:dyDescent="0.2">
      <c r="A648" s="1198">
        <f t="shared" si="1"/>
        <v>109</v>
      </c>
      <c r="B648" s="1137" t="s">
        <v>243</v>
      </c>
      <c r="C648" s="1200">
        <v>42872098</v>
      </c>
      <c r="D648" s="1168">
        <v>5</v>
      </c>
      <c r="E648" s="1309"/>
      <c r="F648" s="1271"/>
      <c r="G648" s="1157" t="s">
        <v>496</v>
      </c>
      <c r="H648" s="1309"/>
      <c r="I648" s="1309"/>
      <c r="J648" s="1143">
        <v>-5848000</v>
      </c>
      <c r="K648" s="1157"/>
      <c r="L648" s="767"/>
      <c r="M648" s="695" t="s">
        <v>243</v>
      </c>
    </row>
    <row r="649" spans="1:13" x14ac:dyDescent="0.2">
      <c r="A649" s="1198">
        <f t="shared" si="1"/>
        <v>110</v>
      </c>
      <c r="B649" s="1137" t="s">
        <v>83</v>
      </c>
      <c r="C649" s="1200">
        <v>21331840</v>
      </c>
      <c r="D649" s="1168">
        <v>7</v>
      </c>
      <c r="E649" s="1309"/>
      <c r="F649" s="1271"/>
      <c r="G649" s="1157" t="s">
        <v>495</v>
      </c>
      <c r="H649" s="1309"/>
      <c r="I649" s="1309"/>
      <c r="J649" s="1143">
        <v>4048000</v>
      </c>
      <c r="K649" s="1157"/>
      <c r="L649" s="767"/>
      <c r="M649" s="695" t="s">
        <v>83</v>
      </c>
    </row>
    <row r="650" spans="1:13" x14ac:dyDescent="0.2">
      <c r="A650" s="1198">
        <f t="shared" si="1"/>
        <v>111</v>
      </c>
      <c r="B650" s="1137" t="s">
        <v>400</v>
      </c>
      <c r="C650" s="1200">
        <v>1036609920</v>
      </c>
      <c r="D650" s="1168">
        <v>9</v>
      </c>
      <c r="E650" s="1309"/>
      <c r="F650" s="1271"/>
      <c r="G650" s="1157" t="s">
        <v>495</v>
      </c>
      <c r="H650" s="1309"/>
      <c r="I650" s="1309"/>
      <c r="J650" s="1143">
        <v>3838000</v>
      </c>
      <c r="K650" s="1282"/>
      <c r="L650" s="767"/>
      <c r="M650" s="695" t="s">
        <v>400</v>
      </c>
    </row>
    <row r="651" spans="1:13" x14ac:dyDescent="0.2">
      <c r="A651" s="1198">
        <f t="shared" si="1"/>
        <v>112</v>
      </c>
      <c r="B651" s="1137" t="s">
        <v>486</v>
      </c>
      <c r="C651" s="1200">
        <v>1040746114</v>
      </c>
      <c r="D651" s="1168">
        <v>1</v>
      </c>
      <c r="E651" s="1309"/>
      <c r="F651" s="1271"/>
      <c r="G651" s="1157" t="s">
        <v>496</v>
      </c>
      <c r="H651" s="1309"/>
      <c r="I651" s="1309"/>
      <c r="J651" s="1143">
        <v>-426000</v>
      </c>
      <c r="K651" s="1313"/>
      <c r="L651" s="767"/>
      <c r="M651" s="697" t="s">
        <v>486</v>
      </c>
    </row>
    <row r="652" spans="1:13" x14ac:dyDescent="0.2">
      <c r="A652" s="1198">
        <f t="shared" si="1"/>
        <v>113</v>
      </c>
      <c r="B652" s="1154" t="s">
        <v>354</v>
      </c>
      <c r="C652" s="1200">
        <v>71587495</v>
      </c>
      <c r="D652" s="1168">
        <v>1</v>
      </c>
      <c r="E652" s="1309"/>
      <c r="F652" s="1277" t="s">
        <v>318</v>
      </c>
      <c r="G652" s="1157" t="s">
        <v>495</v>
      </c>
      <c r="H652" s="1309"/>
      <c r="I652" s="1309"/>
      <c r="J652" s="1346">
        <v>19966000</v>
      </c>
      <c r="K652" s="1350" t="s">
        <v>663</v>
      </c>
      <c r="L652" s="767"/>
      <c r="M652" s="696" t="s">
        <v>354</v>
      </c>
    </row>
    <row r="653" spans="1:13" x14ac:dyDescent="0.2">
      <c r="A653" s="1198">
        <f t="shared" si="1"/>
        <v>114</v>
      </c>
      <c r="B653" s="1137" t="s">
        <v>323</v>
      </c>
      <c r="C653" s="1200">
        <v>32409980</v>
      </c>
      <c r="D653" s="1168">
        <v>7</v>
      </c>
      <c r="E653" s="1309"/>
      <c r="F653" s="1271"/>
      <c r="G653" s="1157" t="s">
        <v>496</v>
      </c>
      <c r="H653" s="1309"/>
      <c r="I653" s="1309"/>
      <c r="J653" s="1143">
        <v>-2129000</v>
      </c>
      <c r="K653" s="1157"/>
      <c r="L653" s="767"/>
      <c r="M653" s="695" t="s">
        <v>323</v>
      </c>
    </row>
    <row r="654" spans="1:13" x14ac:dyDescent="0.2">
      <c r="A654" s="1198">
        <f t="shared" si="1"/>
        <v>115</v>
      </c>
      <c r="B654" s="1137" t="s">
        <v>327</v>
      </c>
      <c r="C654" s="1200">
        <v>8162809</v>
      </c>
      <c r="D654" s="1168">
        <v>5</v>
      </c>
      <c r="E654" s="1309"/>
      <c r="F654" s="1271"/>
      <c r="G654" s="1157" t="s">
        <v>495</v>
      </c>
      <c r="H654" s="1309"/>
      <c r="I654" s="1309"/>
      <c r="J654" s="1143">
        <v>64720000</v>
      </c>
      <c r="K654" s="1157"/>
      <c r="L654" s="767"/>
      <c r="M654" s="710" t="s">
        <v>327</v>
      </c>
    </row>
    <row r="655" spans="1:13" x14ac:dyDescent="0.2">
      <c r="A655" s="1198">
        <f t="shared" si="1"/>
        <v>116</v>
      </c>
      <c r="B655" s="1137" t="s">
        <v>325</v>
      </c>
      <c r="C655" s="1200">
        <v>43220534</v>
      </c>
      <c r="D655" s="1168">
        <v>1</v>
      </c>
      <c r="E655" s="1309"/>
      <c r="F655" s="1271"/>
      <c r="G655" s="1157" t="s">
        <v>501</v>
      </c>
      <c r="H655" s="1309"/>
      <c r="I655" s="1309"/>
      <c r="J655" s="1143">
        <v>0</v>
      </c>
      <c r="K655" s="1157"/>
      <c r="L655" s="767"/>
      <c r="M655" s="695" t="s">
        <v>325</v>
      </c>
    </row>
    <row r="656" spans="1:13" x14ac:dyDescent="0.2">
      <c r="A656" s="1198">
        <f t="shared" si="1"/>
        <v>117</v>
      </c>
      <c r="B656" s="1137" t="s">
        <v>664</v>
      </c>
      <c r="C656" s="1200">
        <v>1023302299</v>
      </c>
      <c r="D656" s="1168">
        <v>6</v>
      </c>
      <c r="E656" s="1309"/>
      <c r="F656" s="1271"/>
      <c r="G656" s="1157" t="s">
        <v>496</v>
      </c>
      <c r="H656" s="1309"/>
      <c r="I656" s="1309"/>
      <c r="J656" s="1143">
        <v>-561000</v>
      </c>
      <c r="K656" s="1277" t="s">
        <v>804</v>
      </c>
      <c r="L656" s="767"/>
      <c r="M656" s="356" t="s">
        <v>664</v>
      </c>
    </row>
    <row r="657" spans="1:13" x14ac:dyDescent="0.2">
      <c r="A657" s="1198">
        <f t="shared" si="1"/>
        <v>118</v>
      </c>
      <c r="B657" s="1137" t="s">
        <v>326</v>
      </c>
      <c r="C657" s="1200">
        <v>1000717826</v>
      </c>
      <c r="D657" s="1168">
        <v>6</v>
      </c>
      <c r="E657" s="1309"/>
      <c r="F657" s="1271"/>
      <c r="G657" s="1157" t="s">
        <v>496</v>
      </c>
      <c r="H657" s="1309"/>
      <c r="I657" s="1309"/>
      <c r="J657" s="1143">
        <v>-567000</v>
      </c>
      <c r="K657" s="1282"/>
      <c r="L657" s="767"/>
      <c r="M657" s="695" t="s">
        <v>326</v>
      </c>
    </row>
    <row r="658" spans="1:13" x14ac:dyDescent="0.2">
      <c r="A658" s="1198">
        <f t="shared" si="1"/>
        <v>119</v>
      </c>
      <c r="B658" s="1137" t="s">
        <v>405</v>
      </c>
      <c r="C658" s="1200">
        <v>98549908</v>
      </c>
      <c r="D658" s="1168">
        <v>6</v>
      </c>
      <c r="E658" s="1309"/>
      <c r="F658" s="1271"/>
      <c r="G658" s="1157" t="s">
        <v>496</v>
      </c>
      <c r="H658" s="1309"/>
      <c r="I658" s="1309"/>
      <c r="J658" s="1143">
        <v>-555000</v>
      </c>
      <c r="K658" s="1313"/>
      <c r="L658" s="767"/>
      <c r="M658" s="695" t="s">
        <v>405</v>
      </c>
    </row>
    <row r="659" spans="1:13" x14ac:dyDescent="0.2">
      <c r="A659" s="1198">
        <f t="shared" si="1"/>
        <v>120</v>
      </c>
      <c r="B659" s="1137" t="s">
        <v>247</v>
      </c>
      <c r="C659" s="1200">
        <v>39183561</v>
      </c>
      <c r="D659" s="1168">
        <v>7</v>
      </c>
      <c r="E659" s="1309"/>
      <c r="F659" s="1271"/>
      <c r="G659" s="1157" t="s">
        <v>501</v>
      </c>
      <c r="H659" s="1309"/>
      <c r="I659" s="1309"/>
      <c r="J659" s="1143">
        <v>0</v>
      </c>
      <c r="K659" s="1157"/>
      <c r="L659" s="767"/>
      <c r="M659" s="695" t="s">
        <v>247</v>
      </c>
    </row>
    <row r="660" spans="1:13" x14ac:dyDescent="0.2">
      <c r="A660" s="1198">
        <f t="shared" si="1"/>
        <v>121</v>
      </c>
      <c r="B660" s="1137" t="s">
        <v>328</v>
      </c>
      <c r="C660" s="1200">
        <v>8269485</v>
      </c>
      <c r="D660" s="1168">
        <v>3</v>
      </c>
      <c r="E660" s="1309"/>
      <c r="F660" s="1271"/>
      <c r="G660" s="1157" t="s">
        <v>496</v>
      </c>
      <c r="H660" s="1309"/>
      <c r="I660" s="1309"/>
      <c r="J660" s="1143">
        <v>-5433000</v>
      </c>
      <c r="K660" s="1157"/>
      <c r="L660" s="767"/>
      <c r="M660" s="695" t="s">
        <v>328</v>
      </c>
    </row>
    <row r="661" spans="1:13" x14ac:dyDescent="0.2">
      <c r="A661" s="1198">
        <f t="shared" si="1"/>
        <v>122</v>
      </c>
      <c r="B661" s="1320" t="s">
        <v>483</v>
      </c>
      <c r="C661" s="1200">
        <v>71680954</v>
      </c>
      <c r="D661" s="1168">
        <v>6</v>
      </c>
      <c r="E661" s="1309"/>
      <c r="F661" s="1271"/>
      <c r="G661" s="1157" t="s">
        <v>495</v>
      </c>
      <c r="H661" s="1309"/>
      <c r="I661" s="1309"/>
      <c r="J661" s="1143">
        <v>782000</v>
      </c>
      <c r="K661" s="1282"/>
      <c r="L661" s="767"/>
      <c r="M661" s="375" t="s">
        <v>483</v>
      </c>
    </row>
    <row r="662" spans="1:13" x14ac:dyDescent="0.2">
      <c r="A662" s="1198">
        <f t="shared" si="1"/>
        <v>123</v>
      </c>
      <c r="B662" s="1137" t="s">
        <v>84</v>
      </c>
      <c r="C662" s="1200">
        <v>52009137</v>
      </c>
      <c r="D662" s="1168">
        <v>0</v>
      </c>
      <c r="E662" s="1309"/>
      <c r="F662" s="1271"/>
      <c r="G662" s="1157" t="s">
        <v>496</v>
      </c>
      <c r="H662" s="1309"/>
      <c r="I662" s="1309"/>
      <c r="J662" s="1143">
        <v>-1730000</v>
      </c>
      <c r="K662" s="1157"/>
      <c r="L662" s="767"/>
      <c r="M662" s="695" t="s">
        <v>84</v>
      </c>
    </row>
    <row r="663" spans="1:13" x14ac:dyDescent="0.2">
      <c r="A663" s="1364">
        <f t="shared" si="1"/>
        <v>124</v>
      </c>
      <c r="B663" s="1090" t="s">
        <v>85</v>
      </c>
      <c r="C663" s="1365">
        <v>71576106</v>
      </c>
      <c r="D663" s="1366">
        <v>2</v>
      </c>
      <c r="E663" s="1367"/>
      <c r="F663" s="1368"/>
      <c r="G663" s="1369" t="s">
        <v>496</v>
      </c>
      <c r="H663" s="1367"/>
      <c r="I663" s="1367"/>
      <c r="J663" s="1370">
        <v>-2750000</v>
      </c>
      <c r="K663" s="1369"/>
      <c r="L663" s="767"/>
      <c r="M663" s="1379" t="s">
        <v>805</v>
      </c>
    </row>
    <row r="664" spans="1:13" x14ac:dyDescent="0.2">
      <c r="A664" s="1198">
        <f t="shared" si="1"/>
        <v>125</v>
      </c>
      <c r="B664" s="1137" t="s">
        <v>86</v>
      </c>
      <c r="C664" s="1200">
        <v>32416024</v>
      </c>
      <c r="D664" s="1168">
        <v>1</v>
      </c>
      <c r="E664" s="1309"/>
      <c r="F664" s="1271"/>
      <c r="G664" s="1157" t="s">
        <v>496</v>
      </c>
      <c r="H664" s="1309"/>
      <c r="I664" s="1309"/>
      <c r="J664" s="1143">
        <v>-7619000</v>
      </c>
      <c r="K664" s="1157"/>
      <c r="L664" s="767"/>
      <c r="M664" s="695" t="s">
        <v>86</v>
      </c>
    </row>
    <row r="665" spans="1:13" x14ac:dyDescent="0.2">
      <c r="A665" s="1198">
        <f t="shared" si="1"/>
        <v>126</v>
      </c>
      <c r="B665" s="1137" t="s">
        <v>88</v>
      </c>
      <c r="C665" s="1200">
        <v>15502041</v>
      </c>
      <c r="D665" s="1168">
        <v>1</v>
      </c>
      <c r="E665" s="1309"/>
      <c r="F665" s="1271"/>
      <c r="G665" s="1157" t="s">
        <v>496</v>
      </c>
      <c r="H665" s="1309"/>
      <c r="I665" s="1309"/>
      <c r="J665" s="1143">
        <v>-603000</v>
      </c>
      <c r="K665" s="1157"/>
      <c r="L665" s="767"/>
      <c r="M665" s="695" t="s">
        <v>88</v>
      </c>
    </row>
    <row r="666" spans="1:13" x14ac:dyDescent="0.2">
      <c r="A666" s="1198">
        <f t="shared" si="1"/>
        <v>127</v>
      </c>
      <c r="B666" s="1137" t="s">
        <v>397</v>
      </c>
      <c r="C666" s="1200">
        <v>1037630601</v>
      </c>
      <c r="D666" s="1168">
        <v>5</v>
      </c>
      <c r="E666" s="1309"/>
      <c r="F666" s="1271"/>
      <c r="G666" s="1157" t="s">
        <v>501</v>
      </c>
      <c r="H666" s="1309"/>
      <c r="I666" s="1309"/>
      <c r="J666" s="1143">
        <v>0</v>
      </c>
      <c r="K666" s="1282"/>
      <c r="L666" s="767"/>
      <c r="M666" s="562" t="s">
        <v>397</v>
      </c>
    </row>
    <row r="667" spans="1:13" x14ac:dyDescent="0.2">
      <c r="A667" s="1198">
        <f t="shared" si="1"/>
        <v>128</v>
      </c>
      <c r="B667" s="1137" t="s">
        <v>89</v>
      </c>
      <c r="C667" s="1200">
        <v>32523581</v>
      </c>
      <c r="D667" s="1168">
        <v>9</v>
      </c>
      <c r="E667" s="1309"/>
      <c r="F667" s="1271"/>
      <c r="G667" s="1157" t="s">
        <v>496</v>
      </c>
      <c r="H667" s="1309"/>
      <c r="I667" s="1309"/>
      <c r="J667" s="1143">
        <v>-2568000</v>
      </c>
      <c r="K667" s="1157"/>
      <c r="L667" s="767"/>
      <c r="M667" s="562" t="s">
        <v>89</v>
      </c>
    </row>
    <row r="668" spans="1:13" x14ac:dyDescent="0.2">
      <c r="A668" s="1198">
        <f t="shared" si="1"/>
        <v>129</v>
      </c>
      <c r="B668" s="1137" t="s">
        <v>90</v>
      </c>
      <c r="C668" s="1200">
        <v>43064007</v>
      </c>
      <c r="D668" s="1168">
        <v>2</v>
      </c>
      <c r="E668" s="1309"/>
      <c r="F668" s="1271"/>
      <c r="G668" s="1157" t="s">
        <v>496</v>
      </c>
      <c r="H668" s="1309"/>
      <c r="I668" s="1309"/>
      <c r="J668" s="1143">
        <v>-9265000</v>
      </c>
      <c r="K668" s="1157"/>
      <c r="L668" s="767"/>
      <c r="M668" s="695" t="s">
        <v>90</v>
      </c>
    </row>
    <row r="669" spans="1:13" x14ac:dyDescent="0.2">
      <c r="A669" s="1198">
        <f t="shared" si="1"/>
        <v>130</v>
      </c>
      <c r="B669" s="1137" t="s">
        <v>91</v>
      </c>
      <c r="C669" s="1200">
        <v>8264986</v>
      </c>
      <c r="D669" s="1168">
        <v>9</v>
      </c>
      <c r="E669" s="1309"/>
      <c r="F669" s="1288" t="s">
        <v>266</v>
      </c>
      <c r="G669" s="1157" t="s">
        <v>501</v>
      </c>
      <c r="H669" s="1309"/>
      <c r="I669" s="1309"/>
      <c r="J669" s="1143">
        <v>0</v>
      </c>
      <c r="K669" s="1274" t="s">
        <v>791</v>
      </c>
      <c r="L669" s="767"/>
      <c r="M669" s="695" t="s">
        <v>91</v>
      </c>
    </row>
    <row r="670" spans="1:13" x14ac:dyDescent="0.2">
      <c r="A670" s="1198">
        <f t="shared" si="1"/>
        <v>131</v>
      </c>
      <c r="B670" s="1137" t="s">
        <v>92</v>
      </c>
      <c r="C670" s="1200">
        <v>95022700775</v>
      </c>
      <c r="D670" s="1168">
        <v>3</v>
      </c>
      <c r="E670" s="1309"/>
      <c r="F670" s="1271"/>
      <c r="G670" s="1157" t="s">
        <v>495</v>
      </c>
      <c r="H670" s="1309"/>
      <c r="I670" s="1309"/>
      <c r="J670" s="1143">
        <v>1900000</v>
      </c>
      <c r="K670" s="1157"/>
      <c r="L670" s="767"/>
      <c r="M670" s="695" t="s">
        <v>92</v>
      </c>
    </row>
    <row r="671" spans="1:13" x14ac:dyDescent="0.2">
      <c r="A671" s="1198">
        <f t="shared" ref="A671:A734" si="2">+A670+1</f>
        <v>132</v>
      </c>
      <c r="B671" s="1137" t="s">
        <v>93</v>
      </c>
      <c r="C671" s="1200">
        <v>1152198312</v>
      </c>
      <c r="D671" s="1168">
        <v>6</v>
      </c>
      <c r="E671" s="1309"/>
      <c r="F671" s="1271"/>
      <c r="G671" s="1157" t="s">
        <v>495</v>
      </c>
      <c r="H671" s="1309"/>
      <c r="I671" s="1309"/>
      <c r="J671" s="1143">
        <v>1067000</v>
      </c>
      <c r="K671" s="1157"/>
      <c r="L671" s="767"/>
      <c r="M671" s="695" t="s">
        <v>93</v>
      </c>
    </row>
    <row r="672" spans="1:13" x14ac:dyDescent="0.2">
      <c r="A672" s="1198">
        <f t="shared" si="2"/>
        <v>133</v>
      </c>
      <c r="B672" s="1137" t="s">
        <v>94</v>
      </c>
      <c r="C672" s="1200">
        <v>71780372</v>
      </c>
      <c r="D672" s="1168">
        <v>9</v>
      </c>
      <c r="E672" s="1309"/>
      <c r="F672" s="1271"/>
      <c r="G672" s="1157" t="s">
        <v>496</v>
      </c>
      <c r="H672" s="1309"/>
      <c r="I672" s="1309"/>
      <c r="J672" s="1143">
        <v>-3578000</v>
      </c>
      <c r="K672" s="1157"/>
      <c r="L672" s="767"/>
      <c r="M672" s="695" t="s">
        <v>94</v>
      </c>
    </row>
    <row r="673" spans="1:13" x14ac:dyDescent="0.2">
      <c r="A673" s="1198">
        <f t="shared" si="2"/>
        <v>134</v>
      </c>
      <c r="B673" s="1137" t="s">
        <v>309</v>
      </c>
      <c r="C673" s="1200">
        <v>73097181</v>
      </c>
      <c r="D673" s="1168">
        <v>7</v>
      </c>
      <c r="E673" s="1309"/>
      <c r="F673" s="1271"/>
      <c r="G673" s="1157" t="s">
        <v>501</v>
      </c>
      <c r="H673" s="1309"/>
      <c r="I673" s="1309"/>
      <c r="J673" s="1143">
        <v>0</v>
      </c>
      <c r="K673" s="1157"/>
      <c r="L673" s="767"/>
      <c r="M673" s="695" t="s">
        <v>309</v>
      </c>
    </row>
    <row r="674" spans="1:13" x14ac:dyDescent="0.2">
      <c r="A674" s="1364">
        <f t="shared" si="2"/>
        <v>135</v>
      </c>
      <c r="B674" s="1090" t="s">
        <v>95</v>
      </c>
      <c r="C674" s="1365">
        <v>549117</v>
      </c>
      <c r="D674" s="1366">
        <v>0</v>
      </c>
      <c r="E674" s="1367"/>
      <c r="F674" s="1368"/>
      <c r="G674" s="1369" t="s">
        <v>496</v>
      </c>
      <c r="H674" s="1367"/>
      <c r="I674" s="1367"/>
      <c r="J674" s="1370">
        <v>-1078000</v>
      </c>
      <c r="K674" s="1369"/>
      <c r="L674" s="767"/>
      <c r="M674" s="1379" t="s">
        <v>805</v>
      </c>
    </row>
    <row r="675" spans="1:13" x14ac:dyDescent="0.2">
      <c r="A675" s="1364">
        <f t="shared" si="2"/>
        <v>136</v>
      </c>
      <c r="B675" s="1090" t="s">
        <v>96</v>
      </c>
      <c r="C675" s="1365">
        <v>42886207</v>
      </c>
      <c r="D675" s="1366">
        <v>2</v>
      </c>
      <c r="E675" s="1367"/>
      <c r="F675" s="1368"/>
      <c r="G675" s="1369" t="s">
        <v>501</v>
      </c>
      <c r="H675" s="1367"/>
      <c r="I675" s="1367"/>
      <c r="J675" s="1370">
        <v>0</v>
      </c>
      <c r="K675" s="1369"/>
      <c r="L675" s="767"/>
      <c r="M675" s="1379" t="s">
        <v>805</v>
      </c>
    </row>
    <row r="676" spans="1:13" x14ac:dyDescent="0.2">
      <c r="A676" s="1198">
        <f t="shared" si="2"/>
        <v>137</v>
      </c>
      <c r="B676" s="1137" t="s">
        <v>98</v>
      </c>
      <c r="C676" s="1200">
        <v>43628064</v>
      </c>
      <c r="D676" s="1168">
        <v>4</v>
      </c>
      <c r="E676" s="1309"/>
      <c r="F676" s="1271"/>
      <c r="G676" s="1157" t="s">
        <v>495</v>
      </c>
      <c r="H676" s="1309"/>
      <c r="I676" s="1309"/>
      <c r="J676" s="1143">
        <v>14921000</v>
      </c>
      <c r="K676" s="1157"/>
      <c r="L676" s="767"/>
      <c r="M676" s="1097" t="s">
        <v>98</v>
      </c>
    </row>
    <row r="677" spans="1:13" x14ac:dyDescent="0.2">
      <c r="A677" s="1198">
        <f t="shared" si="2"/>
        <v>138</v>
      </c>
      <c r="B677" s="1137" t="s">
        <v>99</v>
      </c>
      <c r="C677" s="1200">
        <v>32330774</v>
      </c>
      <c r="D677" s="1168">
        <v>4</v>
      </c>
      <c r="E677" s="1309"/>
      <c r="F677" s="1271"/>
      <c r="G677" s="1157" t="s">
        <v>496</v>
      </c>
      <c r="H677" s="1309"/>
      <c r="I677" s="1309"/>
      <c r="J677" s="1143">
        <v>-3538000</v>
      </c>
      <c r="K677" s="1157"/>
      <c r="L677" s="767"/>
      <c r="M677" s="695" t="s">
        <v>99</v>
      </c>
    </row>
    <row r="678" spans="1:13" x14ac:dyDescent="0.2">
      <c r="A678" s="1198">
        <f t="shared" si="2"/>
        <v>139</v>
      </c>
      <c r="B678" s="1137" t="s">
        <v>100</v>
      </c>
      <c r="C678" s="1200">
        <v>71769178</v>
      </c>
      <c r="D678" s="1168">
        <v>1</v>
      </c>
      <c r="E678" s="1309"/>
      <c r="F678" s="1271"/>
      <c r="G678" s="1157" t="s">
        <v>496</v>
      </c>
      <c r="H678" s="1309"/>
      <c r="I678" s="1309"/>
      <c r="J678" s="1143">
        <v>-114000</v>
      </c>
      <c r="K678" s="1157"/>
      <c r="L678" s="767"/>
      <c r="M678" s="695" t="s">
        <v>100</v>
      </c>
    </row>
    <row r="679" spans="1:13" x14ac:dyDescent="0.2">
      <c r="A679" s="1198">
        <f t="shared" si="2"/>
        <v>140</v>
      </c>
      <c r="B679" s="1137" t="s">
        <v>101</v>
      </c>
      <c r="C679" s="1200">
        <v>98514541</v>
      </c>
      <c r="D679" s="1168">
        <v>6</v>
      </c>
      <c r="E679" s="1309"/>
      <c r="F679" s="1271"/>
      <c r="G679" s="1157" t="s">
        <v>496</v>
      </c>
      <c r="H679" s="1309"/>
      <c r="I679" s="1309"/>
      <c r="J679" s="1143">
        <v>-1600000</v>
      </c>
      <c r="K679" s="1157"/>
      <c r="L679" s="767"/>
      <c r="M679" s="695" t="s">
        <v>101</v>
      </c>
    </row>
    <row r="680" spans="1:13" x14ac:dyDescent="0.2">
      <c r="A680" s="1198">
        <f t="shared" si="2"/>
        <v>141</v>
      </c>
      <c r="B680" s="1137" t="s">
        <v>408</v>
      </c>
      <c r="C680" s="1200">
        <v>21831445</v>
      </c>
      <c r="D680" s="1168">
        <v>6</v>
      </c>
      <c r="E680" s="1309"/>
      <c r="F680" s="1271"/>
      <c r="G680" s="1157" t="s">
        <v>501</v>
      </c>
      <c r="H680" s="1309"/>
      <c r="I680" s="1309"/>
      <c r="J680" s="1143">
        <v>0</v>
      </c>
      <c r="K680" s="1282"/>
      <c r="L680" s="767"/>
      <c r="M680" s="695" t="s">
        <v>408</v>
      </c>
    </row>
    <row r="681" spans="1:13" x14ac:dyDescent="0.2">
      <c r="A681" s="1329">
        <f t="shared" si="2"/>
        <v>142</v>
      </c>
      <c r="B681" s="1204" t="s">
        <v>783</v>
      </c>
      <c r="C681" s="1330">
        <v>1038869450</v>
      </c>
      <c r="D681" s="1357">
        <v>0</v>
      </c>
      <c r="E681" s="1358"/>
      <c r="F681" s="1286"/>
      <c r="G681" s="1274" t="s">
        <v>501</v>
      </c>
      <c r="H681" s="1358"/>
      <c r="I681" s="1358"/>
      <c r="J681" s="1346">
        <v>0</v>
      </c>
      <c r="K681" s="1319" t="s">
        <v>784</v>
      </c>
      <c r="L681" s="767"/>
      <c r="M681" s="1361" t="s">
        <v>783</v>
      </c>
    </row>
    <row r="682" spans="1:13" x14ac:dyDescent="0.2">
      <c r="A682" s="1198">
        <f t="shared" si="2"/>
        <v>143</v>
      </c>
      <c r="B682" s="1137" t="s">
        <v>102</v>
      </c>
      <c r="C682" s="1200">
        <v>3306009</v>
      </c>
      <c r="D682" s="1168">
        <v>1</v>
      </c>
      <c r="E682" s="1309"/>
      <c r="F682" s="1271"/>
      <c r="G682" s="1157" t="s">
        <v>496</v>
      </c>
      <c r="H682" s="1309"/>
      <c r="I682" s="1309"/>
      <c r="J682" s="1143">
        <v>-5762000</v>
      </c>
      <c r="K682" s="1157"/>
      <c r="L682" s="767"/>
      <c r="M682" s="695" t="s">
        <v>102</v>
      </c>
    </row>
    <row r="683" spans="1:13" x14ac:dyDescent="0.2">
      <c r="A683" s="1198">
        <f t="shared" si="2"/>
        <v>144</v>
      </c>
      <c r="B683" s="1137" t="s">
        <v>103</v>
      </c>
      <c r="C683" s="1200">
        <v>21668232</v>
      </c>
      <c r="D683" s="1168">
        <v>6</v>
      </c>
      <c r="E683" s="1309"/>
      <c r="F683" s="1271"/>
      <c r="G683" s="1157" t="s">
        <v>496</v>
      </c>
      <c r="H683" s="1309"/>
      <c r="I683" s="1309"/>
      <c r="J683" s="1143">
        <v>-773000</v>
      </c>
      <c r="K683" s="1157"/>
      <c r="L683" s="767"/>
      <c r="M683" s="695" t="s">
        <v>103</v>
      </c>
    </row>
    <row r="684" spans="1:13" x14ac:dyDescent="0.2">
      <c r="A684" s="1198">
        <f t="shared" si="2"/>
        <v>145</v>
      </c>
      <c r="B684" s="1137" t="s">
        <v>104</v>
      </c>
      <c r="C684" s="1200">
        <v>98473805</v>
      </c>
      <c r="D684" s="1168">
        <v>8</v>
      </c>
      <c r="E684" s="1309"/>
      <c r="F684" s="1271"/>
      <c r="G684" s="1157" t="s">
        <v>495</v>
      </c>
      <c r="H684" s="1309"/>
      <c r="I684" s="1309"/>
      <c r="J684" s="1143">
        <v>7515000</v>
      </c>
      <c r="K684" s="1157"/>
      <c r="L684" s="767"/>
      <c r="M684" s="695" t="s">
        <v>104</v>
      </c>
    </row>
    <row r="685" spans="1:13" x14ac:dyDescent="0.2">
      <c r="A685" s="1198">
        <f t="shared" si="2"/>
        <v>146</v>
      </c>
      <c r="B685" s="1137" t="s">
        <v>482</v>
      </c>
      <c r="C685" s="1200">
        <v>1037606586</v>
      </c>
      <c r="D685" s="1168">
        <v>1</v>
      </c>
      <c r="E685" s="1309"/>
      <c r="F685" s="1139"/>
      <c r="G685" s="1157" t="s">
        <v>501</v>
      </c>
      <c r="H685" s="1309"/>
      <c r="I685" s="1309"/>
      <c r="J685" s="1143">
        <v>0</v>
      </c>
      <c r="K685" s="1282"/>
      <c r="L685" s="767"/>
      <c r="M685" s="375" t="s">
        <v>482</v>
      </c>
    </row>
    <row r="686" spans="1:13" x14ac:dyDescent="0.2">
      <c r="A686" s="1198">
        <f t="shared" si="2"/>
        <v>147</v>
      </c>
      <c r="B686" s="1137" t="s">
        <v>474</v>
      </c>
      <c r="C686" s="1200">
        <v>32459508</v>
      </c>
      <c r="D686" s="1168">
        <v>7</v>
      </c>
      <c r="E686" s="1309"/>
      <c r="F686" s="1271"/>
      <c r="G686" s="1157" t="s">
        <v>501</v>
      </c>
      <c r="H686" s="1309"/>
      <c r="I686" s="1309"/>
      <c r="J686" s="1143">
        <v>0</v>
      </c>
      <c r="K686" s="1157"/>
      <c r="L686" s="767"/>
      <c r="M686" s="375" t="s">
        <v>474</v>
      </c>
    </row>
    <row r="687" spans="1:13" x14ac:dyDescent="0.2">
      <c r="A687" s="1198">
        <f t="shared" si="2"/>
        <v>148</v>
      </c>
      <c r="B687" s="1137" t="s">
        <v>105</v>
      </c>
      <c r="C687" s="1200">
        <v>3305848</v>
      </c>
      <c r="D687" s="1168">
        <v>1</v>
      </c>
      <c r="E687" s="1309"/>
      <c r="F687" s="1271"/>
      <c r="G687" s="1157" t="s">
        <v>496</v>
      </c>
      <c r="H687" s="1309"/>
      <c r="I687" s="1309"/>
      <c r="J687" s="1143">
        <v>-1484000</v>
      </c>
      <c r="K687" s="1316" t="s">
        <v>798</v>
      </c>
      <c r="L687" s="767"/>
      <c r="M687" s="695" t="s">
        <v>105</v>
      </c>
    </row>
    <row r="688" spans="1:13" x14ac:dyDescent="0.2">
      <c r="A688" s="1198">
        <f t="shared" si="2"/>
        <v>149</v>
      </c>
      <c r="B688" s="1137" t="s">
        <v>106</v>
      </c>
      <c r="C688" s="1200">
        <v>98581002</v>
      </c>
      <c r="D688" s="1168">
        <v>3</v>
      </c>
      <c r="E688" s="1309"/>
      <c r="F688" s="1271"/>
      <c r="G688" s="1157" t="s">
        <v>495</v>
      </c>
      <c r="H688" s="1309"/>
      <c r="I688" s="1309"/>
      <c r="J688" s="1143">
        <v>8370000</v>
      </c>
      <c r="K688" s="1157"/>
      <c r="L688" s="767"/>
      <c r="M688" s="695" t="s">
        <v>106</v>
      </c>
    </row>
    <row r="689" spans="1:13" ht="25.5" x14ac:dyDescent="0.2">
      <c r="A689" s="1198">
        <f t="shared" si="2"/>
        <v>150</v>
      </c>
      <c r="B689" s="1137" t="s">
        <v>107</v>
      </c>
      <c r="C689" s="1200">
        <v>43075419</v>
      </c>
      <c r="D689" s="1168">
        <v>0</v>
      </c>
      <c r="E689" s="1309"/>
      <c r="F689" s="1271"/>
      <c r="G689" s="1157" t="s">
        <v>495</v>
      </c>
      <c r="H689" s="1309"/>
      <c r="I689" s="1309"/>
      <c r="J689" s="1143">
        <v>3250000</v>
      </c>
      <c r="K689" s="1157"/>
      <c r="L689" s="767"/>
      <c r="M689" s="695" t="s">
        <v>107</v>
      </c>
    </row>
    <row r="690" spans="1:13" ht="25.5" x14ac:dyDescent="0.2">
      <c r="A690" s="1325">
        <f t="shared" si="2"/>
        <v>151</v>
      </c>
      <c r="B690" s="1351" t="s">
        <v>108</v>
      </c>
      <c r="C690" s="1352">
        <v>71653411</v>
      </c>
      <c r="D690" s="1353">
        <v>4</v>
      </c>
      <c r="E690" s="1354"/>
      <c r="F690" s="1355"/>
      <c r="G690" s="1279"/>
      <c r="H690" s="1354"/>
      <c r="I690" s="1354"/>
      <c r="J690" s="1348"/>
      <c r="K690" s="1281" t="s">
        <v>773</v>
      </c>
      <c r="L690" s="767"/>
      <c r="M690" s="1384" t="s">
        <v>654</v>
      </c>
    </row>
    <row r="691" spans="1:13" x14ac:dyDescent="0.2">
      <c r="A691" s="1198">
        <f t="shared" si="2"/>
        <v>152</v>
      </c>
      <c r="B691" s="1137" t="s">
        <v>109</v>
      </c>
      <c r="C691" s="1200">
        <v>549095</v>
      </c>
      <c r="D691" s="1168">
        <v>7</v>
      </c>
      <c r="E691" s="1309"/>
      <c r="F691" s="1271"/>
      <c r="G691" s="1157" t="s">
        <v>496</v>
      </c>
      <c r="H691" s="1309"/>
      <c r="I691" s="1309"/>
      <c r="J691" s="1143">
        <v>-2581000</v>
      </c>
      <c r="K691" s="1157"/>
      <c r="L691" s="767"/>
      <c r="M691" s="695" t="s">
        <v>109</v>
      </c>
    </row>
    <row r="692" spans="1:13" x14ac:dyDescent="0.2">
      <c r="A692" s="1198">
        <f t="shared" si="2"/>
        <v>153</v>
      </c>
      <c r="B692" s="1137" t="s">
        <v>110</v>
      </c>
      <c r="C692" s="1200">
        <v>42995829</v>
      </c>
      <c r="D692" s="1168">
        <v>0</v>
      </c>
      <c r="E692" s="1309"/>
      <c r="F692" s="1271"/>
      <c r="G692" s="1157" t="s">
        <v>496</v>
      </c>
      <c r="H692" s="1309"/>
      <c r="I692" s="1309"/>
      <c r="J692" s="1143">
        <v>-1312000</v>
      </c>
      <c r="K692" s="1157"/>
      <c r="L692" s="767"/>
      <c r="M692" s="695" t="s">
        <v>110</v>
      </c>
    </row>
    <row r="693" spans="1:13" x14ac:dyDescent="0.2">
      <c r="A693" s="1198">
        <f t="shared" si="2"/>
        <v>154</v>
      </c>
      <c r="B693" s="1137" t="s">
        <v>244</v>
      </c>
      <c r="C693" s="1200">
        <v>33069779</v>
      </c>
      <c r="D693" s="1168">
        <v>6</v>
      </c>
      <c r="E693" s="1309"/>
      <c r="F693" s="1271"/>
      <c r="G693" s="1157" t="s">
        <v>495</v>
      </c>
      <c r="H693" s="1309"/>
      <c r="I693" s="1309"/>
      <c r="J693" s="1143">
        <v>436000</v>
      </c>
      <c r="K693" s="1157"/>
      <c r="L693" s="767"/>
      <c r="M693" s="1097" t="s">
        <v>244</v>
      </c>
    </row>
    <row r="694" spans="1:13" x14ac:dyDescent="0.2">
      <c r="A694" s="1198">
        <f t="shared" si="2"/>
        <v>155</v>
      </c>
      <c r="B694" s="1137" t="s">
        <v>312</v>
      </c>
      <c r="C694" s="1200">
        <v>43865562</v>
      </c>
      <c r="D694" s="1168">
        <v>6</v>
      </c>
      <c r="E694" s="1309"/>
      <c r="F694" s="1271"/>
      <c r="G694" s="1157" t="s">
        <v>496</v>
      </c>
      <c r="H694" s="1309"/>
      <c r="I694" s="1309"/>
      <c r="J694" s="1143">
        <v>-82000</v>
      </c>
      <c r="K694" s="1157"/>
      <c r="L694" s="767"/>
      <c r="M694" s="695" t="s">
        <v>312</v>
      </c>
    </row>
    <row r="695" spans="1:13" x14ac:dyDescent="0.2">
      <c r="A695" s="1198">
        <f t="shared" si="2"/>
        <v>156</v>
      </c>
      <c r="B695" s="1137" t="s">
        <v>111</v>
      </c>
      <c r="C695" s="1200">
        <v>43152033</v>
      </c>
      <c r="D695" s="1168">
        <v>1</v>
      </c>
      <c r="E695" s="1309"/>
      <c r="F695" s="1271"/>
      <c r="G695" s="1157" t="s">
        <v>496</v>
      </c>
      <c r="H695" s="1309"/>
      <c r="I695" s="1309"/>
      <c r="J695" s="1143">
        <v>-475000</v>
      </c>
      <c r="K695" s="1157"/>
      <c r="L695" s="767"/>
      <c r="M695" s="695" t="s">
        <v>111</v>
      </c>
    </row>
    <row r="696" spans="1:13" x14ac:dyDescent="0.2">
      <c r="A696" s="1325">
        <f t="shared" si="2"/>
        <v>157</v>
      </c>
      <c r="B696" s="1351" t="s">
        <v>494</v>
      </c>
      <c r="C696" s="1352">
        <v>1036631072</v>
      </c>
      <c r="D696" s="1353">
        <v>1</v>
      </c>
      <c r="E696" s="1354"/>
      <c r="F696" s="1355"/>
      <c r="G696" s="1279"/>
      <c r="H696" s="1354"/>
      <c r="I696" s="1354"/>
      <c r="J696" s="1348"/>
      <c r="K696" s="1284" t="s">
        <v>654</v>
      </c>
      <c r="L696" s="767"/>
      <c r="M696" s="1384" t="s">
        <v>654</v>
      </c>
    </row>
    <row r="697" spans="1:13" x14ac:dyDescent="0.2">
      <c r="A697" s="1198">
        <f t="shared" si="2"/>
        <v>158</v>
      </c>
      <c r="B697" s="1137" t="s">
        <v>112</v>
      </c>
      <c r="C697" s="1200">
        <v>42975259</v>
      </c>
      <c r="D697" s="1168">
        <v>7</v>
      </c>
      <c r="E697" s="1309"/>
      <c r="F697" s="1157"/>
      <c r="G697" s="1157" t="s">
        <v>501</v>
      </c>
      <c r="H697" s="1309"/>
      <c r="I697" s="1309"/>
      <c r="J697" s="1143">
        <v>0</v>
      </c>
      <c r="K697" s="1157"/>
      <c r="L697" s="767"/>
      <c r="M697" s="695" t="s">
        <v>112</v>
      </c>
    </row>
    <row r="698" spans="1:13" ht="25.5" x14ac:dyDescent="0.2">
      <c r="A698" s="1198">
        <f t="shared" si="2"/>
        <v>159</v>
      </c>
      <c r="B698" s="1137" t="s">
        <v>113</v>
      </c>
      <c r="C698" s="1200">
        <v>32439160</v>
      </c>
      <c r="D698" s="1168">
        <v>2</v>
      </c>
      <c r="E698" s="1309"/>
      <c r="F698" s="1277" t="s">
        <v>318</v>
      </c>
      <c r="G698" s="1157" t="s">
        <v>501</v>
      </c>
      <c r="H698" s="1309"/>
      <c r="I698" s="1309"/>
      <c r="J698" s="1143">
        <v>0</v>
      </c>
      <c r="K698" s="1157"/>
      <c r="L698" s="767"/>
      <c r="M698" s="695" t="s">
        <v>113</v>
      </c>
    </row>
    <row r="699" spans="1:13" x14ac:dyDescent="0.2">
      <c r="A699" s="1198">
        <f t="shared" si="2"/>
        <v>160</v>
      </c>
      <c r="B699" s="1137" t="s">
        <v>114</v>
      </c>
      <c r="C699" s="1200">
        <v>70547628</v>
      </c>
      <c r="D699" s="1168">
        <v>8</v>
      </c>
      <c r="E699" s="1309"/>
      <c r="F699" s="1271"/>
      <c r="G699" s="1157" t="s">
        <v>495</v>
      </c>
      <c r="H699" s="1309"/>
      <c r="I699" s="1309"/>
      <c r="J699" s="1143">
        <v>6957000</v>
      </c>
      <c r="K699" s="1157"/>
      <c r="L699" s="767"/>
      <c r="M699" s="695" t="s">
        <v>114</v>
      </c>
    </row>
    <row r="700" spans="1:13" x14ac:dyDescent="0.2">
      <c r="A700" s="1394">
        <f t="shared" si="2"/>
        <v>161</v>
      </c>
      <c r="B700" s="1206" t="s">
        <v>413</v>
      </c>
      <c r="C700" s="1208">
        <v>1037639929</v>
      </c>
      <c r="D700" s="1207">
        <v>6</v>
      </c>
      <c r="E700" s="1396"/>
      <c r="F700" s="1397"/>
      <c r="G700" s="1274" t="s">
        <v>501</v>
      </c>
      <c r="H700" s="1396"/>
      <c r="I700" s="1396"/>
      <c r="J700" s="1346">
        <v>0</v>
      </c>
      <c r="K700" s="1319" t="s">
        <v>784</v>
      </c>
      <c r="L700" s="767"/>
      <c r="M700" s="1405" t="s">
        <v>813</v>
      </c>
    </row>
    <row r="701" spans="1:13" x14ac:dyDescent="0.2">
      <c r="A701" s="1198">
        <f t="shared" si="2"/>
        <v>162</v>
      </c>
      <c r="B701" s="1137" t="s">
        <v>116</v>
      </c>
      <c r="C701" s="1200">
        <v>9094854</v>
      </c>
      <c r="D701" s="1168">
        <v>9</v>
      </c>
      <c r="E701" s="1309"/>
      <c r="F701" s="1271"/>
      <c r="G701" s="1157" t="s">
        <v>496</v>
      </c>
      <c r="H701" s="1309"/>
      <c r="I701" s="1309"/>
      <c r="J701" s="1143">
        <v>-448000</v>
      </c>
      <c r="K701" s="1157"/>
      <c r="L701" s="767"/>
      <c r="M701" s="695" t="s">
        <v>116</v>
      </c>
    </row>
    <row r="702" spans="1:13" x14ac:dyDescent="0.2">
      <c r="A702" s="1198">
        <f t="shared" si="2"/>
        <v>163</v>
      </c>
      <c r="B702" s="1137" t="s">
        <v>117</v>
      </c>
      <c r="C702" s="1200">
        <v>92102300043</v>
      </c>
      <c r="D702" s="1168">
        <v>1</v>
      </c>
      <c r="E702" s="1309"/>
      <c r="F702" s="1271"/>
      <c r="G702" s="1157" t="s">
        <v>495</v>
      </c>
      <c r="H702" s="1309"/>
      <c r="I702" s="1309"/>
      <c r="J702" s="1143">
        <v>285000</v>
      </c>
      <c r="K702" s="1157"/>
      <c r="L702" s="767"/>
      <c r="M702" s="562" t="s">
        <v>117</v>
      </c>
    </row>
    <row r="703" spans="1:13" x14ac:dyDescent="0.2">
      <c r="A703" s="1325">
        <f t="shared" si="2"/>
        <v>164</v>
      </c>
      <c r="B703" s="1351" t="s">
        <v>119</v>
      </c>
      <c r="C703" s="1352">
        <v>21345431</v>
      </c>
      <c r="D703" s="1353">
        <v>9</v>
      </c>
      <c r="E703" s="1354"/>
      <c r="F703" s="1355"/>
      <c r="G703" s="1284"/>
      <c r="H703" s="1354"/>
      <c r="I703" s="1354"/>
      <c r="J703" s="1356"/>
      <c r="K703" s="1284" t="s">
        <v>654</v>
      </c>
      <c r="L703" s="767"/>
      <c r="M703" s="1384" t="s">
        <v>654</v>
      </c>
    </row>
    <row r="704" spans="1:13" x14ac:dyDescent="0.2">
      <c r="A704" s="1198">
        <f t="shared" si="2"/>
        <v>165</v>
      </c>
      <c r="B704" s="1137" t="s">
        <v>120</v>
      </c>
      <c r="C704" s="1200">
        <v>21356663</v>
      </c>
      <c r="D704" s="1168">
        <v>8</v>
      </c>
      <c r="E704" s="1309"/>
      <c r="F704" s="1271"/>
      <c r="G704" s="1157" t="s">
        <v>495</v>
      </c>
      <c r="H704" s="1309"/>
      <c r="I704" s="1309"/>
      <c r="J704" s="1143">
        <v>3481000</v>
      </c>
      <c r="K704" s="1157"/>
      <c r="L704" s="767"/>
      <c r="M704" s="562" t="s">
        <v>120</v>
      </c>
    </row>
    <row r="705" spans="1:13" x14ac:dyDescent="0.2">
      <c r="A705" s="1198">
        <f t="shared" si="2"/>
        <v>166</v>
      </c>
      <c r="B705" s="1137" t="s">
        <v>310</v>
      </c>
      <c r="C705" s="1200">
        <v>15256982</v>
      </c>
      <c r="D705" s="1168">
        <v>1</v>
      </c>
      <c r="E705" s="1309"/>
      <c r="F705" s="1271"/>
      <c r="G705" s="1157" t="s">
        <v>496</v>
      </c>
      <c r="H705" s="1309"/>
      <c r="I705" s="1309"/>
      <c r="J705" s="1143">
        <v>-419000</v>
      </c>
      <c r="K705" s="1157"/>
      <c r="L705" s="767"/>
      <c r="M705" s="695" t="s">
        <v>310</v>
      </c>
    </row>
    <row r="706" spans="1:13" x14ac:dyDescent="0.2">
      <c r="A706" s="1198">
        <f t="shared" si="2"/>
        <v>167</v>
      </c>
      <c r="B706" s="1137" t="s">
        <v>320</v>
      </c>
      <c r="C706" s="1200">
        <v>71642392</v>
      </c>
      <c r="D706" s="1168">
        <v>5</v>
      </c>
      <c r="E706" s="1309"/>
      <c r="F706" s="1271"/>
      <c r="G706" s="1157" t="s">
        <v>501</v>
      </c>
      <c r="H706" s="1309"/>
      <c r="I706" s="1309"/>
      <c r="J706" s="1143">
        <v>0</v>
      </c>
      <c r="K706" s="1157"/>
      <c r="L706" s="767"/>
      <c r="M706" s="695" t="s">
        <v>320</v>
      </c>
    </row>
    <row r="707" spans="1:13" x14ac:dyDescent="0.2">
      <c r="A707" s="1198">
        <f t="shared" si="2"/>
        <v>168</v>
      </c>
      <c r="B707" s="1137" t="s">
        <v>121</v>
      </c>
      <c r="C707" s="1200">
        <v>87101474230</v>
      </c>
      <c r="D707" s="1168">
        <v>2</v>
      </c>
      <c r="E707" s="1309"/>
      <c r="F707" s="1271"/>
      <c r="G707" s="1157" t="s">
        <v>495</v>
      </c>
      <c r="H707" s="1309"/>
      <c r="I707" s="1309"/>
      <c r="J707" s="1143">
        <v>745000</v>
      </c>
      <c r="K707" s="1157"/>
      <c r="L707" s="767"/>
      <c r="M707" s="562" t="s">
        <v>121</v>
      </c>
    </row>
    <row r="708" spans="1:13" x14ac:dyDescent="0.2">
      <c r="A708" s="1198">
        <f t="shared" si="2"/>
        <v>169</v>
      </c>
      <c r="B708" s="1137" t="s">
        <v>122</v>
      </c>
      <c r="C708" s="1200">
        <v>71368472</v>
      </c>
      <c r="D708" s="1168">
        <v>1</v>
      </c>
      <c r="E708" s="1309"/>
      <c r="F708" s="1277" t="s">
        <v>318</v>
      </c>
      <c r="G708" s="1157" t="s">
        <v>495</v>
      </c>
      <c r="H708" s="1309"/>
      <c r="I708" s="1309"/>
      <c r="J708" s="1143">
        <v>3616000</v>
      </c>
      <c r="K708" s="1157"/>
      <c r="L708" s="767"/>
      <c r="M708" s="1393" t="s">
        <v>122</v>
      </c>
    </row>
    <row r="709" spans="1:13" x14ac:dyDescent="0.2">
      <c r="A709" s="1198">
        <f t="shared" si="2"/>
        <v>170</v>
      </c>
      <c r="B709" s="1137" t="s">
        <v>125</v>
      </c>
      <c r="C709" s="1200">
        <v>32404117</v>
      </c>
      <c r="D709" s="1168">
        <v>4</v>
      </c>
      <c r="E709" s="1309"/>
      <c r="F709" s="1282"/>
      <c r="G709" s="1157" t="s">
        <v>496</v>
      </c>
      <c r="H709" s="1309"/>
      <c r="I709" s="1309"/>
      <c r="J709" s="1143">
        <v>-4833000</v>
      </c>
      <c r="K709" s="1157"/>
      <c r="L709" s="767"/>
      <c r="M709" s="562" t="s">
        <v>125</v>
      </c>
    </row>
    <row r="710" spans="1:13" x14ac:dyDescent="0.2">
      <c r="A710" s="1198">
        <f t="shared" si="2"/>
        <v>171</v>
      </c>
      <c r="B710" s="1137" t="s">
        <v>126</v>
      </c>
      <c r="C710" s="1200">
        <v>8248980</v>
      </c>
      <c r="D710" s="1168">
        <v>8</v>
      </c>
      <c r="E710" s="1309"/>
      <c r="F710" s="1277" t="s">
        <v>318</v>
      </c>
      <c r="G710" s="1157" t="s">
        <v>501</v>
      </c>
      <c r="H710" s="1309"/>
      <c r="I710" s="1309"/>
      <c r="J710" s="1143">
        <v>0</v>
      </c>
      <c r="K710" s="1157"/>
      <c r="L710" s="767"/>
      <c r="M710" s="562" t="s">
        <v>126</v>
      </c>
    </row>
    <row r="711" spans="1:13" x14ac:dyDescent="0.2">
      <c r="A711" s="1198">
        <f t="shared" si="2"/>
        <v>172</v>
      </c>
      <c r="B711" s="1137" t="s">
        <v>127</v>
      </c>
      <c r="C711" s="1200">
        <v>8290656</v>
      </c>
      <c r="D711" s="1168">
        <v>3</v>
      </c>
      <c r="E711" s="1309"/>
      <c r="F711" s="1271"/>
      <c r="G711" s="1157" t="s">
        <v>495</v>
      </c>
      <c r="H711" s="1309"/>
      <c r="I711" s="1309"/>
      <c r="J711" s="1143">
        <v>2125000</v>
      </c>
      <c r="K711" s="1157"/>
      <c r="L711" s="767"/>
      <c r="M711" s="562" t="s">
        <v>127</v>
      </c>
    </row>
    <row r="712" spans="1:13" x14ac:dyDescent="0.2">
      <c r="A712" s="1198">
        <f t="shared" si="2"/>
        <v>173</v>
      </c>
      <c r="B712" s="1137" t="s">
        <v>128</v>
      </c>
      <c r="C712" s="1200">
        <v>32524963</v>
      </c>
      <c r="D712" s="1168">
        <v>3</v>
      </c>
      <c r="E712" s="1309"/>
      <c r="F712" s="1271"/>
      <c r="G712" s="1157" t="s">
        <v>495</v>
      </c>
      <c r="H712" s="1309"/>
      <c r="I712" s="1309"/>
      <c r="J712" s="1143">
        <v>8731000</v>
      </c>
      <c r="K712" s="1157"/>
      <c r="L712" s="767"/>
      <c r="M712" s="562" t="s">
        <v>128</v>
      </c>
    </row>
    <row r="713" spans="1:13" x14ac:dyDescent="0.2">
      <c r="A713" s="1325">
        <f t="shared" si="2"/>
        <v>174</v>
      </c>
      <c r="B713" s="1351" t="s">
        <v>398</v>
      </c>
      <c r="C713" s="1352">
        <v>1039683603</v>
      </c>
      <c r="D713" s="1353">
        <v>4</v>
      </c>
      <c r="E713" s="1354"/>
      <c r="F713" s="1355"/>
      <c r="G713" s="1279"/>
      <c r="H713" s="1354"/>
      <c r="I713" s="1354"/>
      <c r="J713" s="1348"/>
      <c r="K713" s="1284" t="s">
        <v>654</v>
      </c>
      <c r="L713" s="767"/>
      <c r="M713" s="1384" t="s">
        <v>654</v>
      </c>
    </row>
    <row r="714" spans="1:13" x14ac:dyDescent="0.2">
      <c r="A714" s="1329">
        <f t="shared" si="2"/>
        <v>175</v>
      </c>
      <c r="B714" s="1204" t="s">
        <v>767</v>
      </c>
      <c r="C714" s="1330">
        <v>39295015</v>
      </c>
      <c r="D714" s="1357">
        <v>8</v>
      </c>
      <c r="E714" s="1358"/>
      <c r="F714" s="1286"/>
      <c r="G714" s="1274" t="s">
        <v>501</v>
      </c>
      <c r="H714" s="1358"/>
      <c r="I714" s="1358"/>
      <c r="J714" s="1346">
        <v>0</v>
      </c>
      <c r="K714" s="1319" t="s">
        <v>784</v>
      </c>
      <c r="L714" s="767"/>
      <c r="M714" s="1361" t="s">
        <v>767</v>
      </c>
    </row>
    <row r="715" spans="1:13" x14ac:dyDescent="0.2">
      <c r="A715" s="1325">
        <f t="shared" si="2"/>
        <v>176</v>
      </c>
      <c r="B715" s="1351" t="s">
        <v>759</v>
      </c>
      <c r="C715" s="1352">
        <v>3361134</v>
      </c>
      <c r="D715" s="1353">
        <v>8</v>
      </c>
      <c r="E715" s="1354"/>
      <c r="F715" s="1355"/>
      <c r="G715" s="1284"/>
      <c r="H715" s="1354"/>
      <c r="I715" s="1354"/>
      <c r="J715" s="1348"/>
      <c r="K715" s="1318" t="s">
        <v>775</v>
      </c>
      <c r="L715" s="767"/>
      <c r="M715" s="1384" t="s">
        <v>654</v>
      </c>
    </row>
    <row r="716" spans="1:13" x14ac:dyDescent="0.2">
      <c r="A716" s="1198">
        <f t="shared" si="2"/>
        <v>177</v>
      </c>
      <c r="B716" s="1137" t="s">
        <v>607</v>
      </c>
      <c r="C716" s="1200">
        <v>1128457837</v>
      </c>
      <c r="D716" s="1168">
        <v>5</v>
      </c>
      <c r="E716" s="1309"/>
      <c r="F716" s="1139"/>
      <c r="G716" s="1157" t="s">
        <v>495</v>
      </c>
      <c r="H716" s="1309"/>
      <c r="I716" s="1309"/>
      <c r="J716" s="1143">
        <v>786000</v>
      </c>
      <c r="K716" s="1277" t="s">
        <v>794</v>
      </c>
      <c r="L716" s="767"/>
      <c r="M716" s="695" t="s">
        <v>607</v>
      </c>
    </row>
    <row r="717" spans="1:13" x14ac:dyDescent="0.2">
      <c r="A717" s="1198">
        <f t="shared" si="2"/>
        <v>178</v>
      </c>
      <c r="B717" s="1137" t="s">
        <v>130</v>
      </c>
      <c r="C717" s="1200">
        <v>71728652</v>
      </c>
      <c r="D717" s="1168">
        <v>6</v>
      </c>
      <c r="E717" s="1309"/>
      <c r="F717" s="1271"/>
      <c r="G717" s="1157" t="s">
        <v>495</v>
      </c>
      <c r="H717" s="1309"/>
      <c r="I717" s="1309"/>
      <c r="J717" s="1143">
        <v>430000</v>
      </c>
      <c r="K717" s="1157"/>
      <c r="L717" s="767"/>
      <c r="M717" s="356" t="s">
        <v>130</v>
      </c>
    </row>
    <row r="718" spans="1:13" x14ac:dyDescent="0.2">
      <c r="A718" s="1198">
        <f t="shared" si="2"/>
        <v>179</v>
      </c>
      <c r="B718" s="1137" t="s">
        <v>131</v>
      </c>
      <c r="C718" s="1200">
        <v>675024</v>
      </c>
      <c r="D718" s="1168">
        <v>3</v>
      </c>
      <c r="E718" s="1309"/>
      <c r="F718" s="1271"/>
      <c r="G718" s="1157" t="s">
        <v>501</v>
      </c>
      <c r="H718" s="1309"/>
      <c r="I718" s="1309"/>
      <c r="J718" s="1143">
        <v>0</v>
      </c>
      <c r="K718" s="1157"/>
      <c r="L718" s="767"/>
      <c r="M718" s="932" t="s">
        <v>131</v>
      </c>
    </row>
    <row r="719" spans="1:13" x14ac:dyDescent="0.2">
      <c r="A719" s="1329">
        <f t="shared" si="2"/>
        <v>180</v>
      </c>
      <c r="B719" s="1204" t="s">
        <v>780</v>
      </c>
      <c r="C719" s="1330">
        <v>43617037</v>
      </c>
      <c r="D719" s="1357">
        <v>8</v>
      </c>
      <c r="E719" s="1367"/>
      <c r="F719" s="1376"/>
      <c r="G719" s="1274" t="s">
        <v>501</v>
      </c>
      <c r="H719" s="1367"/>
      <c r="I719" s="1367"/>
      <c r="J719" s="1346">
        <v>0</v>
      </c>
      <c r="K719" s="1319" t="s">
        <v>784</v>
      </c>
      <c r="L719" s="767"/>
      <c r="M719" s="1379" t="s">
        <v>805</v>
      </c>
    </row>
    <row r="720" spans="1:13" x14ac:dyDescent="0.2">
      <c r="A720" s="1325">
        <f t="shared" si="2"/>
        <v>181</v>
      </c>
      <c r="B720" s="1351" t="s">
        <v>661</v>
      </c>
      <c r="C720" s="1352">
        <v>20197189</v>
      </c>
      <c r="D720" s="1353">
        <v>1</v>
      </c>
      <c r="E720" s="1354"/>
      <c r="F720" s="1355"/>
      <c r="G720" s="1279"/>
      <c r="H720" s="1354"/>
      <c r="I720" s="1354"/>
      <c r="J720" s="1347"/>
      <c r="K720" s="1284" t="s">
        <v>654</v>
      </c>
      <c r="L720" s="767"/>
      <c r="M720" s="1384" t="s">
        <v>654</v>
      </c>
    </row>
    <row r="721" spans="1:13" x14ac:dyDescent="0.2">
      <c r="A721" s="1198">
        <f t="shared" si="2"/>
        <v>182</v>
      </c>
      <c r="B721" s="1137" t="s">
        <v>401</v>
      </c>
      <c r="C721" s="1200">
        <v>1152437125</v>
      </c>
      <c r="D721" s="1168">
        <v>1</v>
      </c>
      <c r="E721" s="1309"/>
      <c r="F721" s="1271"/>
      <c r="G721" s="1157" t="s">
        <v>501</v>
      </c>
      <c r="H721" s="1309"/>
      <c r="I721" s="1309"/>
      <c r="J721" s="1143">
        <v>0</v>
      </c>
      <c r="K721" s="1157"/>
      <c r="L721" s="767"/>
      <c r="M721" s="562" t="s">
        <v>401</v>
      </c>
    </row>
    <row r="722" spans="1:13" x14ac:dyDescent="0.2">
      <c r="A722" s="1198">
        <f t="shared" si="2"/>
        <v>183</v>
      </c>
      <c r="B722" s="1137" t="s">
        <v>648</v>
      </c>
      <c r="C722" s="1200">
        <v>1037624491</v>
      </c>
      <c r="D722" s="1168">
        <v>7</v>
      </c>
      <c r="E722" s="1309"/>
      <c r="F722" s="1271"/>
      <c r="G722" s="1157" t="s">
        <v>501</v>
      </c>
      <c r="H722" s="1309"/>
      <c r="I722" s="1309"/>
      <c r="J722" s="1143">
        <v>0</v>
      </c>
      <c r="K722" s="1277" t="s">
        <v>804</v>
      </c>
      <c r="L722" s="767"/>
      <c r="M722" s="1390" t="s">
        <v>648</v>
      </c>
    </row>
    <row r="723" spans="1:13" x14ac:dyDescent="0.2">
      <c r="A723" s="1198">
        <f t="shared" si="2"/>
        <v>184</v>
      </c>
      <c r="B723" s="1137" t="s">
        <v>267</v>
      </c>
      <c r="C723" s="1200">
        <v>71660993</v>
      </c>
      <c r="D723" s="1168">
        <v>8</v>
      </c>
      <c r="E723" s="1309"/>
      <c r="F723" s="1271"/>
      <c r="G723" s="1157" t="s">
        <v>495</v>
      </c>
      <c r="H723" s="1309"/>
      <c r="I723" s="1309"/>
      <c r="J723" s="1143">
        <v>19382000</v>
      </c>
      <c r="K723" s="1289" t="s">
        <v>394</v>
      </c>
      <c r="L723" s="767"/>
      <c r="M723" s="695" t="s">
        <v>267</v>
      </c>
    </row>
    <row r="724" spans="1:13" x14ac:dyDescent="0.2">
      <c r="A724" s="1198">
        <f t="shared" si="2"/>
        <v>185</v>
      </c>
      <c r="B724" s="1137" t="s">
        <v>132</v>
      </c>
      <c r="C724" s="1200">
        <v>39456473</v>
      </c>
      <c r="D724" s="1168">
        <v>1</v>
      </c>
      <c r="E724" s="1309"/>
      <c r="F724" s="1277" t="s">
        <v>318</v>
      </c>
      <c r="G724" s="1157" t="s">
        <v>496</v>
      </c>
      <c r="H724" s="1309"/>
      <c r="I724" s="1309"/>
      <c r="J724" s="1143">
        <v>-1322000</v>
      </c>
      <c r="K724" s="1157"/>
      <c r="L724" s="767"/>
      <c r="M724" s="695" t="s">
        <v>132</v>
      </c>
    </row>
    <row r="725" spans="1:13" x14ac:dyDescent="0.2">
      <c r="A725" s="1198">
        <f t="shared" si="2"/>
        <v>186</v>
      </c>
      <c r="B725" s="1137" t="s">
        <v>133</v>
      </c>
      <c r="C725" s="1200">
        <v>1128268578</v>
      </c>
      <c r="D725" s="1168">
        <v>1</v>
      </c>
      <c r="E725" s="1309"/>
      <c r="F725" s="1277" t="s">
        <v>318</v>
      </c>
      <c r="G725" s="1157" t="s">
        <v>501</v>
      </c>
      <c r="H725" s="1309"/>
      <c r="I725" s="1309"/>
      <c r="J725" s="1143">
        <v>0</v>
      </c>
      <c r="K725" s="1157"/>
      <c r="L725" s="767"/>
      <c r="M725" s="695" t="s">
        <v>133</v>
      </c>
    </row>
    <row r="726" spans="1:13" x14ac:dyDescent="0.2">
      <c r="A726" s="1198">
        <f t="shared" si="2"/>
        <v>187</v>
      </c>
      <c r="B726" s="1137" t="s">
        <v>135</v>
      </c>
      <c r="C726" s="1200">
        <v>32413027</v>
      </c>
      <c r="D726" s="1168">
        <v>8</v>
      </c>
      <c r="E726" s="1309"/>
      <c r="F726" s="1277" t="s">
        <v>318</v>
      </c>
      <c r="G726" s="1157" t="s">
        <v>495</v>
      </c>
      <c r="H726" s="1309"/>
      <c r="I726" s="1309"/>
      <c r="J726" s="1143">
        <v>10190000</v>
      </c>
      <c r="K726" s="1157"/>
      <c r="L726" s="767"/>
      <c r="M726" s="695" t="s">
        <v>135</v>
      </c>
    </row>
    <row r="727" spans="1:13" x14ac:dyDescent="0.2">
      <c r="A727" s="1198">
        <f t="shared" si="2"/>
        <v>188</v>
      </c>
      <c r="B727" s="1137" t="s">
        <v>136</v>
      </c>
      <c r="C727" s="1200">
        <v>43978133</v>
      </c>
      <c r="D727" s="1168">
        <v>5</v>
      </c>
      <c r="E727" s="1309"/>
      <c r="F727" s="1271"/>
      <c r="G727" s="1157" t="s">
        <v>495</v>
      </c>
      <c r="H727" s="1309"/>
      <c r="I727" s="1309"/>
      <c r="J727" s="1143">
        <v>10607000</v>
      </c>
      <c r="K727" s="1157"/>
      <c r="L727" s="767"/>
      <c r="M727" s="695" t="s">
        <v>136</v>
      </c>
    </row>
    <row r="728" spans="1:13" x14ac:dyDescent="0.2">
      <c r="A728" s="1198">
        <f t="shared" si="2"/>
        <v>189</v>
      </c>
      <c r="B728" s="1137" t="s">
        <v>137</v>
      </c>
      <c r="C728" s="1200">
        <v>71315509</v>
      </c>
      <c r="D728" s="1168">
        <v>8</v>
      </c>
      <c r="E728" s="1309"/>
      <c r="F728" s="1277" t="s">
        <v>318</v>
      </c>
      <c r="G728" s="1157" t="s">
        <v>495</v>
      </c>
      <c r="H728" s="1309"/>
      <c r="I728" s="1309"/>
      <c r="J728" s="1143">
        <v>2355000</v>
      </c>
      <c r="K728" s="1157"/>
      <c r="L728" s="767"/>
      <c r="M728" s="562" t="s">
        <v>137</v>
      </c>
    </row>
    <row r="729" spans="1:13" x14ac:dyDescent="0.2">
      <c r="A729" s="1198">
        <f t="shared" si="2"/>
        <v>190</v>
      </c>
      <c r="B729" s="1137" t="s">
        <v>138</v>
      </c>
      <c r="C729" s="1200">
        <v>43628444</v>
      </c>
      <c r="D729" s="1168">
        <v>1</v>
      </c>
      <c r="E729" s="1309"/>
      <c r="F729" s="1271"/>
      <c r="G729" s="1157" t="s">
        <v>495</v>
      </c>
      <c r="H729" s="1309"/>
      <c r="I729" s="1309"/>
      <c r="J729" s="1143">
        <v>661000</v>
      </c>
      <c r="K729" s="1157"/>
      <c r="L729" s="767"/>
      <c r="M729" s="562" t="s">
        <v>138</v>
      </c>
    </row>
    <row r="730" spans="1:13" x14ac:dyDescent="0.2">
      <c r="A730" s="1198">
        <f t="shared" si="2"/>
        <v>191</v>
      </c>
      <c r="B730" s="1137" t="s">
        <v>139</v>
      </c>
      <c r="C730" s="1200">
        <v>1138258</v>
      </c>
      <c r="D730" s="1168">
        <v>0</v>
      </c>
      <c r="E730" s="1309"/>
      <c r="F730" s="1271"/>
      <c r="G730" s="1157" t="s">
        <v>501</v>
      </c>
      <c r="H730" s="1309"/>
      <c r="I730" s="1309"/>
      <c r="J730" s="1143">
        <v>0</v>
      </c>
      <c r="K730" s="1316" t="s">
        <v>799</v>
      </c>
      <c r="L730" s="767"/>
      <c r="M730" s="562" t="s">
        <v>139</v>
      </c>
    </row>
    <row r="731" spans="1:13" x14ac:dyDescent="0.2">
      <c r="A731" s="1198">
        <f t="shared" si="2"/>
        <v>192</v>
      </c>
      <c r="B731" s="1137" t="s">
        <v>140</v>
      </c>
      <c r="C731" s="1200">
        <v>70058618</v>
      </c>
      <c r="D731" s="1168">
        <v>6</v>
      </c>
      <c r="E731" s="1309"/>
      <c r="F731" s="1283" t="s">
        <v>266</v>
      </c>
      <c r="G731" s="1157" t="s">
        <v>495</v>
      </c>
      <c r="H731" s="1309"/>
      <c r="I731" s="1309"/>
      <c r="J731" s="1143">
        <v>4077000</v>
      </c>
      <c r="K731" s="1157"/>
      <c r="L731" s="767"/>
      <c r="M731" s="695" t="s">
        <v>140</v>
      </c>
    </row>
    <row r="732" spans="1:13" x14ac:dyDescent="0.2">
      <c r="A732" s="1198">
        <f t="shared" si="2"/>
        <v>193</v>
      </c>
      <c r="B732" s="1137" t="s">
        <v>141</v>
      </c>
      <c r="C732" s="1200">
        <v>43103382</v>
      </c>
      <c r="D732" s="1168">
        <v>8</v>
      </c>
      <c r="E732" s="1309"/>
      <c r="F732" s="1271"/>
      <c r="G732" s="1157" t="s">
        <v>495</v>
      </c>
      <c r="H732" s="1309"/>
      <c r="I732" s="1309"/>
      <c r="J732" s="1143">
        <v>5787000</v>
      </c>
      <c r="K732" s="1157"/>
      <c r="L732" s="767"/>
      <c r="M732" s="695" t="s">
        <v>141</v>
      </c>
    </row>
    <row r="733" spans="1:13" x14ac:dyDescent="0.2">
      <c r="A733" s="1198">
        <f t="shared" si="2"/>
        <v>194</v>
      </c>
      <c r="B733" s="1137" t="s">
        <v>142</v>
      </c>
      <c r="C733" s="1200">
        <v>3520885</v>
      </c>
      <c r="D733" s="1168">
        <v>3</v>
      </c>
      <c r="E733" s="1309"/>
      <c r="F733" s="1271"/>
      <c r="G733" s="1157" t="s">
        <v>496</v>
      </c>
      <c r="H733" s="1309"/>
      <c r="I733" s="1309"/>
      <c r="J733" s="1143">
        <v>-2130000</v>
      </c>
      <c r="K733" s="1157"/>
      <c r="L733" s="767"/>
      <c r="M733" s="695" t="s">
        <v>142</v>
      </c>
    </row>
    <row r="734" spans="1:13" x14ac:dyDescent="0.2">
      <c r="A734" s="1198">
        <f t="shared" si="2"/>
        <v>195</v>
      </c>
      <c r="B734" s="1137" t="s">
        <v>199</v>
      </c>
      <c r="C734" s="1200">
        <v>70049729</v>
      </c>
      <c r="D734" s="1168">
        <v>7</v>
      </c>
      <c r="E734" s="1309"/>
      <c r="F734" s="1271"/>
      <c r="G734" s="1157" t="s">
        <v>496</v>
      </c>
      <c r="H734" s="1309"/>
      <c r="I734" s="1309"/>
      <c r="J734" s="1143">
        <v>-9122000</v>
      </c>
      <c r="K734" s="1157"/>
      <c r="L734" s="767"/>
      <c r="M734" s="695" t="s">
        <v>199</v>
      </c>
    </row>
    <row r="735" spans="1:13" ht="25.5" x14ac:dyDescent="0.2">
      <c r="A735" s="1364">
        <f t="shared" ref="A735:A773" si="3">+A734+1</f>
        <v>196</v>
      </c>
      <c r="B735" s="1090" t="s">
        <v>322</v>
      </c>
      <c r="C735" s="1365">
        <v>39325884</v>
      </c>
      <c r="D735" s="1366">
        <v>1</v>
      </c>
      <c r="E735" s="1367"/>
      <c r="F735" s="1368"/>
      <c r="G735" s="1369" t="s">
        <v>501</v>
      </c>
      <c r="H735" s="1367"/>
      <c r="I735" s="1367"/>
      <c r="J735" s="1370">
        <v>0</v>
      </c>
      <c r="K735" s="1369"/>
      <c r="L735" s="767"/>
      <c r="M735" s="1379" t="s">
        <v>805</v>
      </c>
    </row>
    <row r="736" spans="1:13" ht="25.5" x14ac:dyDescent="0.2">
      <c r="A736" s="1329">
        <f t="shared" si="3"/>
        <v>197</v>
      </c>
      <c r="B736" s="1204" t="s">
        <v>786</v>
      </c>
      <c r="C736" s="1330">
        <v>43710766</v>
      </c>
      <c r="D736" s="1357">
        <v>6</v>
      </c>
      <c r="E736" s="1367"/>
      <c r="F736" s="1368"/>
      <c r="G736" s="1369" t="s">
        <v>501</v>
      </c>
      <c r="H736" s="1367"/>
      <c r="I736" s="1367"/>
      <c r="J736" s="1370">
        <v>0</v>
      </c>
      <c r="K736" s="1319" t="s">
        <v>784</v>
      </c>
      <c r="L736" s="767"/>
      <c r="M736" s="1379" t="s">
        <v>805</v>
      </c>
    </row>
    <row r="737" spans="1:13" x14ac:dyDescent="0.2">
      <c r="A737" s="1198">
        <f t="shared" si="3"/>
        <v>198</v>
      </c>
      <c r="B737" s="1137" t="s">
        <v>143</v>
      </c>
      <c r="C737" s="1200">
        <v>32504732</v>
      </c>
      <c r="D737" s="1168">
        <v>3</v>
      </c>
      <c r="E737" s="1309"/>
      <c r="F737" s="1271"/>
      <c r="G737" s="1157" t="s">
        <v>496</v>
      </c>
      <c r="H737" s="1309"/>
      <c r="I737" s="1309"/>
      <c r="J737" s="1143">
        <v>-1045000</v>
      </c>
      <c r="K737" s="1157"/>
      <c r="L737" s="767"/>
      <c r="M737" s="695" t="s">
        <v>143</v>
      </c>
    </row>
    <row r="738" spans="1:13" ht="25.5" x14ac:dyDescent="0.2">
      <c r="A738" s="1329">
        <f t="shared" si="3"/>
        <v>199</v>
      </c>
      <c r="B738" s="1204" t="s">
        <v>785</v>
      </c>
      <c r="C738" s="1330">
        <v>32403951</v>
      </c>
      <c r="D738" s="1357">
        <v>6</v>
      </c>
      <c r="E738" s="1358"/>
      <c r="F738" s="1286"/>
      <c r="G738" s="1274" t="s">
        <v>501</v>
      </c>
      <c r="H738" s="1358"/>
      <c r="I738" s="1358"/>
      <c r="J738" s="1346">
        <v>0</v>
      </c>
      <c r="K738" s="1319" t="s">
        <v>784</v>
      </c>
      <c r="L738" s="767"/>
      <c r="M738" s="1361" t="s">
        <v>785</v>
      </c>
    </row>
    <row r="739" spans="1:13" ht="25.5" x14ac:dyDescent="0.2">
      <c r="A739" s="1198">
        <f t="shared" si="3"/>
        <v>200</v>
      </c>
      <c r="B739" s="1137" t="s">
        <v>144</v>
      </c>
      <c r="C739" s="1200">
        <v>42871237</v>
      </c>
      <c r="D739" s="1168">
        <v>8</v>
      </c>
      <c r="E739" s="1309"/>
      <c r="F739" s="1277" t="s">
        <v>318</v>
      </c>
      <c r="G739" s="1157" t="s">
        <v>495</v>
      </c>
      <c r="H739" s="1309"/>
      <c r="I739" s="1309"/>
      <c r="J739" s="1143">
        <v>1032000</v>
      </c>
      <c r="K739" s="1157"/>
      <c r="L739" s="767"/>
      <c r="M739" s="695" t="s">
        <v>144</v>
      </c>
    </row>
    <row r="740" spans="1:13" x14ac:dyDescent="0.2">
      <c r="A740" s="1198">
        <f t="shared" si="3"/>
        <v>201</v>
      </c>
      <c r="B740" s="1137" t="s">
        <v>249</v>
      </c>
      <c r="C740" s="1200">
        <v>21378911</v>
      </c>
      <c r="D740" s="1168">
        <v>4</v>
      </c>
      <c r="E740" s="1309"/>
      <c r="F740" s="1271"/>
      <c r="G740" s="1157" t="s">
        <v>496</v>
      </c>
      <c r="H740" s="1309"/>
      <c r="I740" s="1309"/>
      <c r="J740" s="1143">
        <v>-170000</v>
      </c>
      <c r="K740" s="1157"/>
      <c r="L740" s="767"/>
      <c r="M740" s="1097" t="s">
        <v>249</v>
      </c>
    </row>
    <row r="741" spans="1:13" x14ac:dyDescent="0.2">
      <c r="A741" s="1198">
        <f t="shared" si="3"/>
        <v>202</v>
      </c>
      <c r="B741" s="1137" t="s">
        <v>145</v>
      </c>
      <c r="C741" s="1200">
        <v>43073222</v>
      </c>
      <c r="D741" s="1168">
        <v>8</v>
      </c>
      <c r="E741" s="1309"/>
      <c r="F741" s="1271"/>
      <c r="G741" s="1157" t="s">
        <v>496</v>
      </c>
      <c r="H741" s="1309"/>
      <c r="I741" s="1309"/>
      <c r="J741" s="1143">
        <v>-1611000</v>
      </c>
      <c r="K741" s="1157"/>
      <c r="L741" s="767"/>
      <c r="M741" s="695" t="s">
        <v>145</v>
      </c>
    </row>
    <row r="742" spans="1:13" x14ac:dyDescent="0.2">
      <c r="A742" s="1198">
        <f t="shared" si="3"/>
        <v>203</v>
      </c>
      <c r="B742" s="1137" t="s">
        <v>146</v>
      </c>
      <c r="C742" s="1200">
        <v>21371978</v>
      </c>
      <c r="D742" s="1168">
        <v>5</v>
      </c>
      <c r="E742" s="1309"/>
      <c r="F742" s="1271"/>
      <c r="G742" s="1157" t="s">
        <v>495</v>
      </c>
      <c r="H742" s="1309"/>
      <c r="I742" s="1309"/>
      <c r="J742" s="1143">
        <v>5515000</v>
      </c>
      <c r="K742" s="1157"/>
      <c r="L742" s="767"/>
      <c r="M742" s="695" t="s">
        <v>146</v>
      </c>
    </row>
    <row r="743" spans="1:13" x14ac:dyDescent="0.2">
      <c r="A743" s="1198">
        <f t="shared" si="3"/>
        <v>204</v>
      </c>
      <c r="B743" s="1137" t="s">
        <v>361</v>
      </c>
      <c r="C743" s="1200">
        <v>8226721</v>
      </c>
      <c r="D743" s="1168">
        <v>2</v>
      </c>
      <c r="E743" s="1309"/>
      <c r="F743" s="1271"/>
      <c r="G743" s="1157" t="s">
        <v>496</v>
      </c>
      <c r="H743" s="1309"/>
      <c r="I743" s="1309"/>
      <c r="J743" s="1143">
        <v>-654000</v>
      </c>
      <c r="K743" s="1157"/>
      <c r="L743" s="767"/>
      <c r="M743" s="695" t="s">
        <v>361</v>
      </c>
    </row>
    <row r="744" spans="1:13" ht="24" customHeight="1" x14ac:dyDescent="0.2">
      <c r="A744" s="1325">
        <f t="shared" si="3"/>
        <v>205</v>
      </c>
      <c r="B744" s="1351" t="s">
        <v>789</v>
      </c>
      <c r="C744" s="1352">
        <v>32517277</v>
      </c>
      <c r="D744" s="1353">
        <v>1</v>
      </c>
      <c r="E744" s="1354"/>
      <c r="F744" s="1355"/>
      <c r="G744" s="1279"/>
      <c r="H744" s="1354"/>
      <c r="I744" s="1354"/>
      <c r="J744" s="1348"/>
      <c r="K744" s="1284" t="s">
        <v>654</v>
      </c>
      <c r="L744" s="767"/>
      <c r="M744" s="1384" t="s">
        <v>654</v>
      </c>
    </row>
    <row r="745" spans="1:13" x14ac:dyDescent="0.2">
      <c r="A745" s="1198">
        <f t="shared" si="3"/>
        <v>206</v>
      </c>
      <c r="B745" s="1137" t="s">
        <v>651</v>
      </c>
      <c r="C745" s="1200">
        <v>32476227</v>
      </c>
      <c r="D745" s="1168">
        <v>4</v>
      </c>
      <c r="E745" s="1309"/>
      <c r="F745" s="1271"/>
      <c r="G745" s="1157" t="s">
        <v>501</v>
      </c>
      <c r="H745" s="1309"/>
      <c r="I745" s="1309"/>
      <c r="J745" s="1143">
        <v>0</v>
      </c>
      <c r="K745" s="1277" t="s">
        <v>794</v>
      </c>
      <c r="L745" s="767"/>
      <c r="M745" s="1104" t="s">
        <v>651</v>
      </c>
    </row>
    <row r="746" spans="1:13" x14ac:dyDescent="0.2">
      <c r="A746" s="1198">
        <f t="shared" si="3"/>
        <v>207</v>
      </c>
      <c r="B746" s="1137" t="s">
        <v>645</v>
      </c>
      <c r="C746" s="1200">
        <v>42969424</v>
      </c>
      <c r="D746" s="1168">
        <v>1</v>
      </c>
      <c r="E746" s="1309"/>
      <c r="F746" s="1271"/>
      <c r="G746" s="1157" t="s">
        <v>501</v>
      </c>
      <c r="H746" s="1309"/>
      <c r="I746" s="1309"/>
      <c r="J746" s="1143">
        <v>0</v>
      </c>
      <c r="K746" s="1277" t="s">
        <v>794</v>
      </c>
      <c r="L746" s="767"/>
      <c r="M746" s="1104" t="s">
        <v>645</v>
      </c>
    </row>
    <row r="747" spans="1:13" x14ac:dyDescent="0.2">
      <c r="A747" s="1198">
        <f t="shared" si="3"/>
        <v>208</v>
      </c>
      <c r="B747" s="1137" t="s">
        <v>147</v>
      </c>
      <c r="C747" s="1200">
        <v>43041519</v>
      </c>
      <c r="D747" s="1168">
        <v>2</v>
      </c>
      <c r="E747" s="1309"/>
      <c r="F747" s="1271"/>
      <c r="G747" s="1157" t="s">
        <v>501</v>
      </c>
      <c r="H747" s="1309"/>
      <c r="I747" s="1309"/>
      <c r="J747" s="1143">
        <v>0</v>
      </c>
      <c r="K747" s="1157"/>
      <c r="L747" s="767"/>
      <c r="M747" s="695" t="s">
        <v>147</v>
      </c>
    </row>
    <row r="748" spans="1:13" x14ac:dyDescent="0.2">
      <c r="A748" s="1198">
        <f t="shared" si="3"/>
        <v>209</v>
      </c>
      <c r="B748" s="1137" t="s">
        <v>148</v>
      </c>
      <c r="C748" s="1200">
        <v>71595523</v>
      </c>
      <c r="D748" s="1168">
        <v>1</v>
      </c>
      <c r="E748" s="1309"/>
      <c r="F748" s="1271"/>
      <c r="G748" s="1157" t="s">
        <v>495</v>
      </c>
      <c r="H748" s="1309"/>
      <c r="I748" s="1309"/>
      <c r="J748" s="1143">
        <v>68000</v>
      </c>
      <c r="K748" s="1157"/>
      <c r="L748" s="767"/>
      <c r="M748" s="932" t="s">
        <v>148</v>
      </c>
    </row>
    <row r="749" spans="1:13" x14ac:dyDescent="0.2">
      <c r="A749" s="1325">
        <f t="shared" si="3"/>
        <v>210</v>
      </c>
      <c r="B749" s="1351" t="s">
        <v>662</v>
      </c>
      <c r="C749" s="1352">
        <v>1214737189</v>
      </c>
      <c r="D749" s="1353">
        <v>4</v>
      </c>
      <c r="E749" s="1354"/>
      <c r="F749" s="1355"/>
      <c r="G749" s="1279"/>
      <c r="H749" s="1354"/>
      <c r="I749" s="1354"/>
      <c r="J749" s="1360" t="s">
        <v>804</v>
      </c>
      <c r="K749" s="1284" t="s">
        <v>654</v>
      </c>
      <c r="L749" s="767"/>
      <c r="M749" s="1384" t="s">
        <v>654</v>
      </c>
    </row>
    <row r="750" spans="1:13" x14ac:dyDescent="0.2">
      <c r="A750" s="1198">
        <f t="shared" si="3"/>
        <v>211</v>
      </c>
      <c r="B750" s="1154" t="s">
        <v>359</v>
      </c>
      <c r="C750" s="1200">
        <v>70567656</v>
      </c>
      <c r="D750" s="1168">
        <v>1</v>
      </c>
      <c r="E750" s="1309"/>
      <c r="F750" s="1271"/>
      <c r="G750" s="1157" t="s">
        <v>501</v>
      </c>
      <c r="H750" s="1309"/>
      <c r="I750" s="1309"/>
      <c r="J750" s="1143">
        <v>0</v>
      </c>
      <c r="K750" s="1157"/>
      <c r="L750" s="767"/>
      <c r="M750" s="696" t="s">
        <v>359</v>
      </c>
    </row>
    <row r="751" spans="1:13" x14ac:dyDescent="0.2">
      <c r="A751" s="1198">
        <f t="shared" si="3"/>
        <v>212</v>
      </c>
      <c r="B751" s="1137" t="s">
        <v>149</v>
      </c>
      <c r="C751" s="1200">
        <v>42877800</v>
      </c>
      <c r="D751" s="1168">
        <v>2</v>
      </c>
      <c r="E751" s="1309"/>
      <c r="F751" s="1271"/>
      <c r="G751" s="1157" t="s">
        <v>496</v>
      </c>
      <c r="H751" s="1309"/>
      <c r="I751" s="1309"/>
      <c r="J751" s="1143">
        <v>-2306000</v>
      </c>
      <c r="K751" s="1157"/>
      <c r="L751" s="767"/>
      <c r="M751" s="695" t="s">
        <v>149</v>
      </c>
    </row>
    <row r="752" spans="1:13" x14ac:dyDescent="0.2">
      <c r="A752" s="1198">
        <f t="shared" si="3"/>
        <v>213</v>
      </c>
      <c r="B752" s="1137" t="s">
        <v>150</v>
      </c>
      <c r="C752" s="1200">
        <v>21717463</v>
      </c>
      <c r="D752" s="1168">
        <v>1</v>
      </c>
      <c r="E752" s="1309"/>
      <c r="F752" s="1271"/>
      <c r="G752" s="1157" t="s">
        <v>501</v>
      </c>
      <c r="H752" s="1309"/>
      <c r="I752" s="1309"/>
      <c r="J752" s="1143">
        <v>0</v>
      </c>
      <c r="K752" s="1316" t="s">
        <v>800</v>
      </c>
      <c r="L752" s="767"/>
      <c r="M752" s="695" t="s">
        <v>150</v>
      </c>
    </row>
    <row r="753" spans="1:13" x14ac:dyDescent="0.2">
      <c r="A753" s="1198">
        <f t="shared" si="3"/>
        <v>214</v>
      </c>
      <c r="B753" s="1137" t="s">
        <v>455</v>
      </c>
      <c r="C753" s="1200">
        <v>21717467</v>
      </c>
      <c r="D753" s="1168">
        <v>0</v>
      </c>
      <c r="E753" s="1309"/>
      <c r="F753" s="1271"/>
      <c r="G753" s="1157" t="s">
        <v>496</v>
      </c>
      <c r="H753" s="1309"/>
      <c r="I753" s="1309"/>
      <c r="J753" s="1143">
        <v>-10834000</v>
      </c>
      <c r="K753" s="1157"/>
      <c r="L753" s="767"/>
      <c r="M753" s="695" t="s">
        <v>455</v>
      </c>
    </row>
    <row r="754" spans="1:13" x14ac:dyDescent="0.2">
      <c r="A754" s="1198">
        <f t="shared" si="3"/>
        <v>215</v>
      </c>
      <c r="B754" s="1137" t="s">
        <v>152</v>
      </c>
      <c r="C754" s="1200">
        <v>32326870</v>
      </c>
      <c r="D754" s="1168">
        <v>8</v>
      </c>
      <c r="E754" s="1309"/>
      <c r="F754" s="1271"/>
      <c r="G754" s="1157" t="s">
        <v>496</v>
      </c>
      <c r="H754" s="1309"/>
      <c r="I754" s="1309"/>
      <c r="J754" s="1143">
        <v>-23276000</v>
      </c>
      <c r="K754" s="1157"/>
      <c r="L754" s="767"/>
      <c r="M754" s="695" t="s">
        <v>152</v>
      </c>
    </row>
    <row r="755" spans="1:13" ht="25.5" x14ac:dyDescent="0.2">
      <c r="A755" s="1198">
        <f t="shared" si="3"/>
        <v>216</v>
      </c>
      <c r="B755" s="1137" t="s">
        <v>153</v>
      </c>
      <c r="C755" s="1200">
        <v>70562691</v>
      </c>
      <c r="D755" s="1168">
        <v>5</v>
      </c>
      <c r="E755" s="1309"/>
      <c r="F755" s="1271"/>
      <c r="G755" s="1157" t="s">
        <v>496</v>
      </c>
      <c r="H755" s="1309"/>
      <c r="I755" s="1309"/>
      <c r="J755" s="1143">
        <v>-1879000</v>
      </c>
      <c r="K755" s="1157"/>
      <c r="L755" s="767"/>
      <c r="M755" s="695" t="s">
        <v>153</v>
      </c>
    </row>
    <row r="756" spans="1:13" x14ac:dyDescent="0.2">
      <c r="A756" s="1198">
        <f t="shared" si="3"/>
        <v>217</v>
      </c>
      <c r="B756" s="1137" t="s">
        <v>154</v>
      </c>
      <c r="C756" s="1200">
        <v>21354620</v>
      </c>
      <c r="D756" s="1168">
        <v>2</v>
      </c>
      <c r="E756" s="1309"/>
      <c r="F756" s="1277" t="s">
        <v>318</v>
      </c>
      <c r="G756" s="1157" t="s">
        <v>501</v>
      </c>
      <c r="H756" s="1309"/>
      <c r="I756" s="1309"/>
      <c r="J756" s="1143">
        <v>0</v>
      </c>
      <c r="K756" s="1157"/>
      <c r="L756" s="767"/>
      <c r="M756" s="695" t="s">
        <v>154</v>
      </c>
    </row>
    <row r="757" spans="1:13" x14ac:dyDescent="0.2">
      <c r="A757" s="1198">
        <f t="shared" si="3"/>
        <v>218</v>
      </c>
      <c r="B757" s="1137" t="s">
        <v>155</v>
      </c>
      <c r="C757" s="1200">
        <v>8291095</v>
      </c>
      <c r="D757" s="1168">
        <v>6</v>
      </c>
      <c r="E757" s="1309"/>
      <c r="F757" s="1271"/>
      <c r="G757" s="1345" t="s">
        <v>496</v>
      </c>
      <c r="H757" s="1309"/>
      <c r="I757" s="1309"/>
      <c r="J757" s="1143">
        <v>-34286000</v>
      </c>
      <c r="K757" s="1157"/>
      <c r="L757" s="767"/>
      <c r="M757" s="695" t="s">
        <v>155</v>
      </c>
    </row>
    <row r="758" spans="1:13" x14ac:dyDescent="0.2">
      <c r="A758" s="1198">
        <f t="shared" si="3"/>
        <v>219</v>
      </c>
      <c r="B758" s="1137" t="s">
        <v>156</v>
      </c>
      <c r="C758" s="1200">
        <v>32403117</v>
      </c>
      <c r="D758" s="1168">
        <v>1</v>
      </c>
      <c r="E758" s="1309"/>
      <c r="F758" s="1271"/>
      <c r="G758" s="1157" t="s">
        <v>501</v>
      </c>
      <c r="H758" s="1309"/>
      <c r="I758" s="1309"/>
      <c r="J758" s="1143">
        <v>0</v>
      </c>
      <c r="K758" s="1316" t="s">
        <v>796</v>
      </c>
      <c r="L758" s="767"/>
      <c r="M758" s="695" t="s">
        <v>156</v>
      </c>
    </row>
    <row r="759" spans="1:13" x14ac:dyDescent="0.2">
      <c r="A759" s="1198">
        <f t="shared" si="3"/>
        <v>220</v>
      </c>
      <c r="B759" s="1137" t="s">
        <v>157</v>
      </c>
      <c r="C759" s="1200">
        <v>700004170</v>
      </c>
      <c r="D759" s="1168">
        <v>1</v>
      </c>
      <c r="E759" s="1309"/>
      <c r="F759" s="1271"/>
      <c r="G759" s="1157" t="s">
        <v>495</v>
      </c>
      <c r="H759" s="1309"/>
      <c r="I759" s="1309"/>
      <c r="J759" s="1143">
        <v>3240000</v>
      </c>
      <c r="K759" s="1157"/>
      <c r="L759" s="767"/>
      <c r="M759" s="695" t="s">
        <v>157</v>
      </c>
    </row>
    <row r="760" spans="1:13" x14ac:dyDescent="0.2">
      <c r="A760" s="1198">
        <f t="shared" si="3"/>
        <v>221</v>
      </c>
      <c r="B760" s="1137" t="s">
        <v>403</v>
      </c>
      <c r="C760" s="1200">
        <v>70875845</v>
      </c>
      <c r="D760" s="1168">
        <v>6</v>
      </c>
      <c r="E760" s="1309"/>
      <c r="F760" s="1271"/>
      <c r="G760" s="1157" t="s">
        <v>501</v>
      </c>
      <c r="H760" s="1309"/>
      <c r="I760" s="1309"/>
      <c r="J760" s="1143">
        <v>0</v>
      </c>
      <c r="K760" s="1282"/>
      <c r="L760" s="767"/>
      <c r="M760" s="695" t="s">
        <v>403</v>
      </c>
    </row>
    <row r="761" spans="1:13" x14ac:dyDescent="0.2">
      <c r="A761" s="1198">
        <f t="shared" si="3"/>
        <v>222</v>
      </c>
      <c r="B761" s="1137" t="s">
        <v>158</v>
      </c>
      <c r="C761" s="1200">
        <v>42795956</v>
      </c>
      <c r="D761" s="1168">
        <v>1</v>
      </c>
      <c r="E761" s="1309"/>
      <c r="F761" s="1271"/>
      <c r="G761" s="1157" t="s">
        <v>501</v>
      </c>
      <c r="H761" s="1309"/>
      <c r="I761" s="1309"/>
      <c r="J761" s="1143">
        <v>0</v>
      </c>
      <c r="K761" s="1157"/>
      <c r="L761" s="767"/>
      <c r="M761" s="695" t="s">
        <v>158</v>
      </c>
    </row>
    <row r="762" spans="1:13" x14ac:dyDescent="0.2">
      <c r="A762" s="1198">
        <f t="shared" si="3"/>
        <v>223</v>
      </c>
      <c r="B762" s="1137" t="s">
        <v>159</v>
      </c>
      <c r="C762" s="1200">
        <v>42795057</v>
      </c>
      <c r="D762" s="1168">
        <v>3</v>
      </c>
      <c r="E762" s="1309"/>
      <c r="F762" s="1271"/>
      <c r="G762" s="1157" t="s">
        <v>496</v>
      </c>
      <c r="H762" s="1309"/>
      <c r="I762" s="1309"/>
      <c r="J762" s="1143">
        <v>-180000</v>
      </c>
      <c r="K762" s="1157"/>
      <c r="L762" s="767"/>
      <c r="M762" s="695" t="s">
        <v>159</v>
      </c>
    </row>
    <row r="763" spans="1:13" x14ac:dyDescent="0.2">
      <c r="A763" s="1198">
        <f t="shared" si="3"/>
        <v>224</v>
      </c>
      <c r="B763" s="1137" t="s">
        <v>160</v>
      </c>
      <c r="C763" s="1200">
        <v>71641349</v>
      </c>
      <c r="D763" s="1168">
        <v>3</v>
      </c>
      <c r="E763" s="1309"/>
      <c r="F763" s="1277" t="s">
        <v>318</v>
      </c>
      <c r="G763" s="1157" t="s">
        <v>495</v>
      </c>
      <c r="H763" s="1309"/>
      <c r="I763" s="1309"/>
      <c r="J763" s="1143">
        <v>18089000</v>
      </c>
      <c r="K763" s="1157"/>
      <c r="L763" s="767"/>
      <c r="M763" s="1391" t="s">
        <v>160</v>
      </c>
    </row>
    <row r="764" spans="1:13" x14ac:dyDescent="0.2">
      <c r="A764" s="1198">
        <f t="shared" si="3"/>
        <v>225</v>
      </c>
      <c r="B764" s="1137" t="s">
        <v>162</v>
      </c>
      <c r="C764" s="1200">
        <v>43976629</v>
      </c>
      <c r="D764" s="1168">
        <v>7</v>
      </c>
      <c r="F764" s="1271"/>
      <c r="G764" s="1157" t="s">
        <v>495</v>
      </c>
      <c r="J764" s="1143">
        <v>3809000</v>
      </c>
      <c r="K764" s="1157"/>
      <c r="L764" s="767"/>
      <c r="M764" s="695" t="s">
        <v>162</v>
      </c>
    </row>
    <row r="765" spans="1:13" ht="25.5" x14ac:dyDescent="0.2">
      <c r="A765" s="1198">
        <f t="shared" si="3"/>
        <v>226</v>
      </c>
      <c r="B765" s="1137" t="s">
        <v>163</v>
      </c>
      <c r="C765" s="1200">
        <v>32469463</v>
      </c>
      <c r="D765" s="1168">
        <v>7</v>
      </c>
      <c r="F765" s="1277" t="s">
        <v>318</v>
      </c>
      <c r="G765" s="1157" t="s">
        <v>495</v>
      </c>
      <c r="J765" s="1143">
        <v>647000</v>
      </c>
      <c r="K765" s="1157"/>
      <c r="L765" s="767"/>
      <c r="M765" s="1406" t="s">
        <v>814</v>
      </c>
    </row>
    <row r="766" spans="1:13" x14ac:dyDescent="0.2">
      <c r="A766" s="1198">
        <f t="shared" si="3"/>
        <v>227</v>
      </c>
      <c r="B766" s="1137" t="s">
        <v>164</v>
      </c>
      <c r="C766" s="1200">
        <v>71720224</v>
      </c>
      <c r="D766" s="1168">
        <v>0</v>
      </c>
      <c r="F766" s="1282"/>
      <c r="G766" s="1157" t="s">
        <v>496</v>
      </c>
      <c r="J766" s="1143">
        <v>-11535000</v>
      </c>
      <c r="K766" s="1157"/>
      <c r="L766" s="767"/>
      <c r="M766" s="356" t="s">
        <v>164</v>
      </c>
    </row>
    <row r="767" spans="1:13" ht="25.5" x14ac:dyDescent="0.2">
      <c r="A767" s="1198">
        <f t="shared" si="3"/>
        <v>228</v>
      </c>
      <c r="B767" s="1137" t="s">
        <v>165</v>
      </c>
      <c r="C767" s="1200">
        <v>70569069</v>
      </c>
      <c r="D767" s="1168">
        <v>5</v>
      </c>
      <c r="F767" s="1271"/>
      <c r="G767" s="1157" t="s">
        <v>501</v>
      </c>
      <c r="J767" s="1143">
        <v>0</v>
      </c>
      <c r="K767" s="1157"/>
      <c r="L767" s="767"/>
      <c r="M767" s="562" t="s">
        <v>165</v>
      </c>
    </row>
    <row r="768" spans="1:13" x14ac:dyDescent="0.2">
      <c r="A768" s="1198">
        <f t="shared" si="3"/>
        <v>229</v>
      </c>
      <c r="B768" s="1137" t="s">
        <v>168</v>
      </c>
      <c r="C768" s="1200">
        <v>8252575</v>
      </c>
      <c r="D768" s="1168">
        <v>3</v>
      </c>
      <c r="F768" s="1271"/>
      <c r="G768" s="1157" t="s">
        <v>496</v>
      </c>
      <c r="J768" s="1143">
        <v>-1013000</v>
      </c>
      <c r="K768" s="1157"/>
      <c r="L768" s="767"/>
      <c r="M768" s="562" t="s">
        <v>168</v>
      </c>
    </row>
    <row r="769" spans="1:13" x14ac:dyDescent="0.2">
      <c r="A769" s="1198">
        <f t="shared" si="3"/>
        <v>230</v>
      </c>
      <c r="B769" s="1320" t="s">
        <v>316</v>
      </c>
      <c r="C769" s="1200">
        <v>98496653</v>
      </c>
      <c r="D769" s="1168">
        <v>4</v>
      </c>
      <c r="F769" s="1271"/>
      <c r="G769" s="1157" t="s">
        <v>501</v>
      </c>
      <c r="J769" s="1143">
        <v>0</v>
      </c>
      <c r="K769" s="1157"/>
      <c r="L769" s="767"/>
      <c r="M769" s="1105" t="s">
        <v>316</v>
      </c>
    </row>
    <row r="770" spans="1:13" x14ac:dyDescent="0.2">
      <c r="A770" s="1198">
        <f t="shared" si="3"/>
        <v>231</v>
      </c>
      <c r="B770" s="1137" t="s">
        <v>169</v>
      </c>
      <c r="C770" s="1200">
        <v>71629287</v>
      </c>
      <c r="D770" s="1168">
        <v>6</v>
      </c>
      <c r="F770" s="1271"/>
      <c r="G770" s="1157" t="s">
        <v>496</v>
      </c>
      <c r="J770" s="1143">
        <v>-3048000</v>
      </c>
      <c r="K770" s="1157"/>
      <c r="L770" s="767"/>
      <c r="M770" s="695" t="s">
        <v>169</v>
      </c>
    </row>
    <row r="771" spans="1:13" x14ac:dyDescent="0.2">
      <c r="A771" s="1329">
        <f t="shared" si="3"/>
        <v>232</v>
      </c>
      <c r="B771" s="1204" t="s">
        <v>778</v>
      </c>
      <c r="C771" s="1330">
        <v>43903734</v>
      </c>
      <c r="D771" s="1357">
        <v>1</v>
      </c>
      <c r="E771" s="1343"/>
      <c r="F771" s="1286"/>
      <c r="G771" s="1274" t="s">
        <v>495</v>
      </c>
      <c r="H771" s="785"/>
      <c r="I771" s="785"/>
      <c r="J771" s="1346">
        <v>3094000</v>
      </c>
      <c r="K771" s="1319" t="s">
        <v>784</v>
      </c>
      <c r="L771" s="767"/>
      <c r="M771" s="1361" t="s">
        <v>778</v>
      </c>
    </row>
    <row r="772" spans="1:13" x14ac:dyDescent="0.2">
      <c r="A772" s="1364">
        <f t="shared" si="3"/>
        <v>233</v>
      </c>
      <c r="B772" s="1090" t="s">
        <v>383</v>
      </c>
      <c r="C772" s="1365">
        <v>43562001</v>
      </c>
      <c r="D772" s="1366">
        <v>5</v>
      </c>
      <c r="E772" s="1372"/>
      <c r="F772" s="1368"/>
      <c r="G772" s="1369" t="s">
        <v>501</v>
      </c>
      <c r="H772" s="1373"/>
      <c r="I772" s="1373"/>
      <c r="J772" s="1370">
        <v>0</v>
      </c>
      <c r="K772" s="1369"/>
      <c r="L772" s="767"/>
      <c r="M772" s="1379" t="s">
        <v>805</v>
      </c>
    </row>
    <row r="773" spans="1:13" x14ac:dyDescent="0.2">
      <c r="A773" s="1387">
        <f t="shared" si="3"/>
        <v>234</v>
      </c>
      <c r="B773" s="1090" t="s">
        <v>311</v>
      </c>
      <c r="C773" s="1365">
        <v>32503970</v>
      </c>
      <c r="D773" s="1366">
        <v>5</v>
      </c>
      <c r="E773" s="1372"/>
      <c r="F773" s="1368"/>
      <c r="G773" s="1369" t="s">
        <v>496</v>
      </c>
      <c r="H773" s="1373"/>
      <c r="I773" s="1373"/>
      <c r="J773" s="1370">
        <v>-1026000</v>
      </c>
      <c r="K773" s="1369"/>
      <c r="L773" s="767"/>
      <c r="M773" s="1379" t="s">
        <v>805</v>
      </c>
    </row>
    <row r="774" spans="1:13" x14ac:dyDescent="0.2">
      <c r="A774" s="1363"/>
      <c r="E774" s="1309"/>
      <c r="F774" s="1308"/>
      <c r="G774" s="762"/>
      <c r="H774" s="1267"/>
      <c r="I774" s="148"/>
      <c r="J774" s="148"/>
    </row>
    <row r="775" spans="1:13" x14ac:dyDescent="0.2">
      <c r="A775" s="65">
        <f>+A773+A774</f>
        <v>234</v>
      </c>
      <c r="G775" s="1267"/>
      <c r="H775" s="148"/>
      <c r="I775" s="148"/>
      <c r="J775" s="148"/>
      <c r="M775" s="375" t="s">
        <v>75</v>
      </c>
    </row>
    <row r="776" spans="1:13" x14ac:dyDescent="0.2">
      <c r="A776" s="65">
        <f>+Facturas!A37+'Cuentas de Cobro'!A180</f>
        <v>199</v>
      </c>
      <c r="B776" s="157">
        <f>+A775-A776</f>
        <v>35</v>
      </c>
      <c r="G776" s="1267"/>
      <c r="H776" s="148"/>
      <c r="I776" s="148"/>
      <c r="J776" s="148"/>
    </row>
    <row r="777" spans="1:13" x14ac:dyDescent="0.2">
      <c r="A777" s="65"/>
      <c r="G777" s="1267"/>
      <c r="H777" s="148"/>
      <c r="I777" s="148"/>
      <c r="J777" s="148"/>
    </row>
    <row r="778" spans="1:13" x14ac:dyDescent="0.2">
      <c r="A778" s="65"/>
      <c r="B778" s="157"/>
      <c r="G778" s="1267"/>
      <c r="H778" s="148"/>
      <c r="I778" s="148"/>
      <c r="J778" s="148"/>
    </row>
    <row r="779" spans="1:13" x14ac:dyDescent="0.2">
      <c r="A779" s="65"/>
      <c r="G779" s="1267"/>
      <c r="H779" s="148"/>
      <c r="I779" s="148"/>
      <c r="J779" s="148"/>
    </row>
    <row r="780" spans="1:13" x14ac:dyDescent="0.2">
      <c r="A780" s="1379" t="s">
        <v>805</v>
      </c>
      <c r="B780" s="1374"/>
      <c r="G780" s="1267"/>
      <c r="H780" s="148"/>
      <c r="I780" s="148"/>
      <c r="J780" s="148"/>
    </row>
    <row r="781" spans="1:13" x14ac:dyDescent="0.2">
      <c r="A781" s="1198">
        <v>1</v>
      </c>
      <c r="B781" s="1137" t="s">
        <v>399</v>
      </c>
      <c r="C781" s="1200">
        <v>1017207619</v>
      </c>
      <c r="D781" s="1168">
        <v>1</v>
      </c>
      <c r="E781" s="1309"/>
      <c r="F781" s="1271"/>
      <c r="G781" s="1157" t="s">
        <v>501</v>
      </c>
      <c r="H781" s="1309"/>
      <c r="I781" s="1309"/>
      <c r="J781" s="1143">
        <v>0</v>
      </c>
      <c r="K781" s="1282"/>
    </row>
    <row r="782" spans="1:13" x14ac:dyDescent="0.2">
      <c r="A782" s="1198">
        <f>+A781+1</f>
        <v>2</v>
      </c>
      <c r="B782" s="1137" t="s">
        <v>16</v>
      </c>
      <c r="C782" s="1200">
        <v>8299801</v>
      </c>
      <c r="D782" s="1168">
        <v>6</v>
      </c>
      <c r="E782" s="1309"/>
      <c r="F782" s="1271"/>
      <c r="G782" s="1157"/>
      <c r="H782" s="1309"/>
      <c r="I782" s="1309"/>
      <c r="J782" s="1143"/>
      <c r="K782" s="1282"/>
    </row>
    <row r="783" spans="1:13" x14ac:dyDescent="0.2">
      <c r="A783" s="1198">
        <f t="shared" ref="A783:A796" si="4">+A782+1</f>
        <v>3</v>
      </c>
      <c r="B783" s="1137" t="s">
        <v>750</v>
      </c>
      <c r="C783" s="1200">
        <v>1214734553</v>
      </c>
      <c r="D783" s="1168">
        <v>9</v>
      </c>
      <c r="E783" s="1309"/>
      <c r="F783" s="1271"/>
      <c r="G783" s="1157"/>
      <c r="H783" s="1309"/>
      <c r="I783" s="1309"/>
      <c r="J783" s="1143"/>
      <c r="K783" s="1375" t="s">
        <v>784</v>
      </c>
    </row>
    <row r="784" spans="1:13" x14ac:dyDescent="0.2">
      <c r="A784" s="1198">
        <f t="shared" si="4"/>
        <v>4</v>
      </c>
      <c r="B784" s="1137" t="s">
        <v>319</v>
      </c>
      <c r="C784" s="1200">
        <v>71662891</v>
      </c>
      <c r="D784" s="1168">
        <v>4</v>
      </c>
      <c r="E784" s="1309"/>
      <c r="F784" s="1271"/>
      <c r="G784" s="1157" t="s">
        <v>501</v>
      </c>
      <c r="H784" s="1309"/>
      <c r="I784" s="1309"/>
      <c r="J784" s="1143">
        <v>0</v>
      </c>
      <c r="K784" s="1157"/>
    </row>
    <row r="785" spans="1:11" x14ac:dyDescent="0.2">
      <c r="A785" s="1198">
        <f t="shared" si="4"/>
        <v>5</v>
      </c>
      <c r="B785" s="1137" t="s">
        <v>51</v>
      </c>
      <c r="C785" s="1200">
        <v>15258730</v>
      </c>
      <c r="D785" s="1168">
        <v>1</v>
      </c>
      <c r="E785" s="1309"/>
      <c r="F785" s="1271"/>
      <c r="G785" s="1157" t="s">
        <v>496</v>
      </c>
      <c r="H785" s="1309"/>
      <c r="I785" s="1309"/>
      <c r="J785" s="1143">
        <v>-46171000</v>
      </c>
      <c r="K785" s="1157"/>
    </row>
    <row r="786" spans="1:11" x14ac:dyDescent="0.2">
      <c r="A786" s="1198">
        <f t="shared" si="4"/>
        <v>6</v>
      </c>
      <c r="B786" s="1137" t="s">
        <v>60</v>
      </c>
      <c r="C786" s="1200">
        <v>43052310</v>
      </c>
      <c r="D786" s="1168">
        <v>8</v>
      </c>
      <c r="E786" s="1309"/>
      <c r="F786" s="1271"/>
      <c r="G786" s="1157" t="s">
        <v>496</v>
      </c>
      <c r="H786" s="1309"/>
      <c r="I786" s="1309"/>
      <c r="J786" s="1143">
        <v>-9741000</v>
      </c>
      <c r="K786" s="1157"/>
    </row>
    <row r="787" spans="1:11" x14ac:dyDescent="0.2">
      <c r="A787" s="1198">
        <f t="shared" si="4"/>
        <v>7</v>
      </c>
      <c r="B787" s="1137" t="s">
        <v>329</v>
      </c>
      <c r="C787" s="1200">
        <v>42962503</v>
      </c>
      <c r="D787" s="1168">
        <v>3</v>
      </c>
      <c r="E787" s="1309"/>
      <c r="F787" s="1157"/>
      <c r="G787" s="1157" t="s">
        <v>496</v>
      </c>
      <c r="H787" s="1309"/>
      <c r="I787" s="1309"/>
      <c r="J787" s="1143">
        <v>-425000</v>
      </c>
      <c r="K787" s="1157"/>
    </row>
    <row r="788" spans="1:11" x14ac:dyDescent="0.2">
      <c r="A788" s="1198">
        <f t="shared" si="4"/>
        <v>8</v>
      </c>
      <c r="B788" s="1137" t="s">
        <v>660</v>
      </c>
      <c r="C788" s="1200">
        <v>42760284</v>
      </c>
      <c r="D788" s="1168">
        <v>8</v>
      </c>
      <c r="E788" s="1309"/>
      <c r="F788" s="1271"/>
      <c r="G788" s="1157" t="s">
        <v>496</v>
      </c>
      <c r="H788" s="1309"/>
      <c r="I788" s="1309"/>
      <c r="J788" s="1143">
        <v>-383000</v>
      </c>
      <c r="K788" s="1139" t="s">
        <v>802</v>
      </c>
    </row>
    <row r="789" spans="1:11" x14ac:dyDescent="0.2">
      <c r="A789" s="1198">
        <f t="shared" si="4"/>
        <v>9</v>
      </c>
      <c r="B789" s="1137" t="s">
        <v>85</v>
      </c>
      <c r="C789" s="1200">
        <v>71576106</v>
      </c>
      <c r="D789" s="1168">
        <v>2</v>
      </c>
      <c r="E789" s="1309"/>
      <c r="F789" s="1271"/>
      <c r="G789" s="1157" t="s">
        <v>496</v>
      </c>
      <c r="H789" s="1309"/>
      <c r="I789" s="1309"/>
      <c r="J789" s="1143">
        <v>-2750000</v>
      </c>
      <c r="K789" s="1157"/>
    </row>
    <row r="790" spans="1:11" x14ac:dyDescent="0.2">
      <c r="A790" s="1198">
        <f t="shared" si="4"/>
        <v>10</v>
      </c>
      <c r="B790" s="1137" t="s">
        <v>95</v>
      </c>
      <c r="C790" s="1200">
        <v>549117</v>
      </c>
      <c r="D790" s="1168">
        <v>0</v>
      </c>
      <c r="E790" s="1309"/>
      <c r="F790" s="1271"/>
      <c r="G790" s="1157" t="s">
        <v>496</v>
      </c>
      <c r="H790" s="1309"/>
      <c r="I790" s="1309"/>
      <c r="J790" s="1143">
        <v>-1078000</v>
      </c>
      <c r="K790" s="1157"/>
    </row>
    <row r="791" spans="1:11" x14ac:dyDescent="0.2">
      <c r="A791" s="1198">
        <f t="shared" si="4"/>
        <v>11</v>
      </c>
      <c r="B791" s="1137" t="s">
        <v>96</v>
      </c>
      <c r="C791" s="1200">
        <v>42886207</v>
      </c>
      <c r="D791" s="1168">
        <v>2</v>
      </c>
      <c r="E791" s="1309"/>
      <c r="F791" s="1271"/>
      <c r="G791" s="1157" t="s">
        <v>501</v>
      </c>
      <c r="H791" s="1309"/>
      <c r="I791" s="1309"/>
      <c r="J791" s="1143">
        <v>0</v>
      </c>
      <c r="K791" s="1157"/>
    </row>
    <row r="792" spans="1:11" x14ac:dyDescent="0.2">
      <c r="A792" s="1198">
        <f t="shared" si="4"/>
        <v>12</v>
      </c>
      <c r="B792" s="1137" t="s">
        <v>780</v>
      </c>
      <c r="C792" s="1200">
        <v>43617037</v>
      </c>
      <c r="D792" s="1168">
        <v>8</v>
      </c>
      <c r="E792" s="1309"/>
      <c r="F792" s="1139"/>
      <c r="G792" s="1157" t="s">
        <v>501</v>
      </c>
      <c r="H792" s="1309"/>
      <c r="I792" s="1309"/>
      <c r="J792" s="1143">
        <v>0</v>
      </c>
      <c r="K792" s="1375" t="s">
        <v>784</v>
      </c>
    </row>
    <row r="793" spans="1:11" ht="25.5" x14ac:dyDescent="0.2">
      <c r="A793" s="1198">
        <f t="shared" si="4"/>
        <v>13</v>
      </c>
      <c r="B793" s="1137" t="s">
        <v>322</v>
      </c>
      <c r="C793" s="1200">
        <v>39325884</v>
      </c>
      <c r="D793" s="1168">
        <v>1</v>
      </c>
      <c r="E793" s="1309"/>
      <c r="F793" s="1271"/>
      <c r="G793" s="1157" t="s">
        <v>501</v>
      </c>
      <c r="H793" s="1309"/>
      <c r="I793" s="1309"/>
      <c r="J793" s="1143">
        <v>0</v>
      </c>
      <c r="K793" s="1157"/>
    </row>
    <row r="794" spans="1:11" ht="25.5" x14ac:dyDescent="0.2">
      <c r="A794" s="1198">
        <f t="shared" si="4"/>
        <v>14</v>
      </c>
      <c r="B794" s="1137" t="s">
        <v>786</v>
      </c>
      <c r="C794" s="1200">
        <v>43710766</v>
      </c>
      <c r="D794" s="1168">
        <v>6</v>
      </c>
      <c r="E794" s="1309"/>
      <c r="F794" s="1271"/>
      <c r="G794" s="1157" t="s">
        <v>501</v>
      </c>
      <c r="H794" s="1309"/>
      <c r="I794" s="1309"/>
      <c r="J794" s="1377" t="s">
        <v>806</v>
      </c>
      <c r="K794" s="1375" t="s">
        <v>784</v>
      </c>
    </row>
    <row r="795" spans="1:11" x14ac:dyDescent="0.2">
      <c r="A795" s="1198">
        <f t="shared" si="4"/>
        <v>15</v>
      </c>
      <c r="B795" s="1137" t="s">
        <v>383</v>
      </c>
      <c r="C795" s="1200">
        <v>43562001</v>
      </c>
      <c r="D795" s="1168">
        <v>5</v>
      </c>
      <c r="F795" s="1271"/>
      <c r="G795" s="1157" t="s">
        <v>501</v>
      </c>
      <c r="J795" s="1143">
        <v>0</v>
      </c>
      <c r="K795" s="1157"/>
    </row>
    <row r="796" spans="1:11" x14ac:dyDescent="0.2">
      <c r="A796" s="1349">
        <f t="shared" si="4"/>
        <v>16</v>
      </c>
      <c r="B796" s="1137" t="s">
        <v>311</v>
      </c>
      <c r="C796" s="1200">
        <v>32503970</v>
      </c>
      <c r="D796" s="1168">
        <v>5</v>
      </c>
      <c r="F796" s="1271"/>
      <c r="G796" s="1157" t="s">
        <v>496</v>
      </c>
      <c r="J796" s="1143">
        <v>-1026000</v>
      </c>
      <c r="K796" s="1157"/>
    </row>
    <row r="797" spans="1:11" x14ac:dyDescent="0.2">
      <c r="A797" s="337"/>
      <c r="G797" s="1267"/>
      <c r="H797" s="148"/>
      <c r="I797" s="148"/>
      <c r="J797" s="148"/>
    </row>
    <row r="798" spans="1:11" x14ac:dyDescent="0.2">
      <c r="A798" s="951" t="s">
        <v>812</v>
      </c>
      <c r="G798" s="1267"/>
      <c r="H798" s="148"/>
      <c r="I798" s="148"/>
      <c r="J798" s="148"/>
    </row>
    <row r="799" spans="1:11" x14ac:dyDescent="0.2">
      <c r="A799" s="1415">
        <v>1</v>
      </c>
      <c r="B799" s="1103" t="s">
        <v>75</v>
      </c>
      <c r="C799" s="1402">
        <v>32408192</v>
      </c>
      <c r="D799" s="1168">
        <v>5</v>
      </c>
      <c r="G799" s="1267"/>
      <c r="H799" s="148"/>
      <c r="I799" s="148"/>
      <c r="J799" s="148"/>
    </row>
    <row r="800" spans="1:11" x14ac:dyDescent="0.2">
      <c r="A800" s="337"/>
      <c r="G800" s="1267"/>
      <c r="H800" s="148"/>
      <c r="I800" s="148"/>
      <c r="J800" s="148"/>
    </row>
    <row r="801" spans="1:11" x14ac:dyDescent="0.2">
      <c r="A801" s="951" t="s">
        <v>809</v>
      </c>
      <c r="G801" s="1267"/>
      <c r="H801" s="148"/>
      <c r="I801" s="148"/>
      <c r="J801" s="148"/>
    </row>
    <row r="802" spans="1:11" x14ac:dyDescent="0.2">
      <c r="A802" s="337">
        <f>+A773</f>
        <v>234</v>
      </c>
      <c r="B802" s="337" t="s">
        <v>807</v>
      </c>
      <c r="C802" s="761">
        <f>+A773+'Vencimientos Pnas Jcas AG'!A70</f>
        <v>234</v>
      </c>
      <c r="G802" s="1267"/>
      <c r="H802" s="148"/>
      <c r="I802" s="148"/>
      <c r="J802" s="148"/>
    </row>
    <row r="803" spans="1:11" x14ac:dyDescent="0.2">
      <c r="A803" s="1404"/>
      <c r="B803" s="1403"/>
      <c r="G803" s="1267"/>
      <c r="H803" s="148"/>
      <c r="I803" s="148"/>
      <c r="J803" s="148"/>
    </row>
    <row r="804" spans="1:11" x14ac:dyDescent="0.2">
      <c r="A804" s="65">
        <f>-A796</f>
        <v>-16</v>
      </c>
      <c r="B804" s="337" t="s">
        <v>805</v>
      </c>
      <c r="C804" s="761">
        <f>+A804-'Vencimientos Pnas Jcas AG'!A158</f>
        <v>-16</v>
      </c>
      <c r="G804" s="1267"/>
      <c r="H804" s="148"/>
      <c r="I804" s="148"/>
      <c r="J804" s="148"/>
    </row>
    <row r="805" spans="1:11" x14ac:dyDescent="0.2">
      <c r="A805" s="1381">
        <f>-A831</f>
        <v>-18</v>
      </c>
      <c r="B805" s="1382" t="s">
        <v>654</v>
      </c>
      <c r="C805" s="761">
        <f>+A805</f>
        <v>-18</v>
      </c>
      <c r="G805" s="1267"/>
      <c r="H805" s="148"/>
      <c r="I805" s="148"/>
      <c r="J805" s="148"/>
    </row>
    <row r="806" spans="1:11" x14ac:dyDescent="0.2">
      <c r="A806" s="1404"/>
      <c r="B806" s="1403"/>
      <c r="G806" s="1267"/>
      <c r="H806" s="148"/>
      <c r="I806" s="148"/>
      <c r="J806" s="148"/>
    </row>
    <row r="807" spans="1:11" x14ac:dyDescent="0.2">
      <c r="A807" s="1404"/>
      <c r="B807" s="1403"/>
      <c r="G807" s="1267"/>
      <c r="H807" s="148"/>
      <c r="I807" s="148"/>
      <c r="J807" s="148"/>
    </row>
    <row r="808" spans="1:11" x14ac:dyDescent="0.2">
      <c r="A808" s="779">
        <f>SUM(A802:A806)</f>
        <v>200</v>
      </c>
      <c r="B808" s="849" t="s">
        <v>810</v>
      </c>
      <c r="C808" s="779">
        <f>SUM(C802:C806)</f>
        <v>200</v>
      </c>
      <c r="G808" s="1267"/>
      <c r="H808" s="148"/>
      <c r="I808" s="148"/>
      <c r="J808" s="148"/>
    </row>
    <row r="809" spans="1:11" x14ac:dyDescent="0.2">
      <c r="A809" s="1378">
        <f>+Facturas!A37+'Cuentas de Cobro'!A179</f>
        <v>198</v>
      </c>
      <c r="B809" s="1380" t="s">
        <v>808</v>
      </c>
      <c r="C809" s="1378">
        <f>+Facturas!D82+'Cuentas de Cobro'!D217</f>
        <v>223</v>
      </c>
      <c r="G809" s="1267"/>
      <c r="H809" s="148"/>
      <c r="I809" s="148"/>
      <c r="J809" s="148"/>
    </row>
    <row r="810" spans="1:11" x14ac:dyDescent="0.2">
      <c r="A810" s="1388">
        <f>+A808-A809</f>
        <v>2</v>
      </c>
      <c r="B810" s="1389" t="s">
        <v>811</v>
      </c>
      <c r="C810" s="1388">
        <f>+C808-C809</f>
        <v>-23</v>
      </c>
      <c r="G810" s="1267"/>
      <c r="H810" s="148"/>
      <c r="I810" s="148"/>
      <c r="J810" s="148"/>
    </row>
    <row r="811" spans="1:11" x14ac:dyDescent="0.2">
      <c r="G811" s="1267"/>
      <c r="H811" s="148"/>
      <c r="I811" s="148"/>
      <c r="J811" s="148"/>
    </row>
    <row r="813" spans="1:11" x14ac:dyDescent="0.2">
      <c r="A813" s="1384" t="s">
        <v>654</v>
      </c>
      <c r="B813" s="1383"/>
    </row>
    <row r="814" spans="1:11" x14ac:dyDescent="0.2">
      <c r="A814" s="1325">
        <v>1</v>
      </c>
      <c r="B814" s="1351" t="s">
        <v>489</v>
      </c>
      <c r="C814" s="1352">
        <v>1152450831</v>
      </c>
      <c r="D814" s="1308"/>
      <c r="F814" s="1308"/>
      <c r="G814" s="1308"/>
      <c r="H814" s="1308"/>
      <c r="I814" s="1308"/>
      <c r="J814" s="1308"/>
      <c r="K814" s="1308"/>
    </row>
    <row r="815" spans="1:11" x14ac:dyDescent="0.2">
      <c r="A815" s="1325">
        <f>+A814+1</f>
        <v>2</v>
      </c>
      <c r="B815" s="1351" t="s">
        <v>410</v>
      </c>
      <c r="C815" s="1352">
        <v>15317755</v>
      </c>
    </row>
    <row r="816" spans="1:11" x14ac:dyDescent="0.2">
      <c r="A816" s="1325">
        <f t="shared" ref="A816:A831" si="5">+A815+1</f>
        <v>3</v>
      </c>
      <c r="B816" s="1351" t="s">
        <v>407</v>
      </c>
      <c r="C816" s="1352">
        <v>43871132</v>
      </c>
    </row>
    <row r="817" spans="1:3" ht="25.5" x14ac:dyDescent="0.2">
      <c r="A817" s="1325">
        <f t="shared" si="5"/>
        <v>4</v>
      </c>
      <c r="B817" s="1351" t="s">
        <v>12</v>
      </c>
      <c r="C817" s="1352">
        <v>3333089</v>
      </c>
    </row>
    <row r="818" spans="1:3" x14ac:dyDescent="0.2">
      <c r="A818" s="1325">
        <f t="shared" si="5"/>
        <v>5</v>
      </c>
      <c r="B818" s="1351" t="s">
        <v>656</v>
      </c>
      <c r="C818" s="1352">
        <v>78691058</v>
      </c>
    </row>
    <row r="819" spans="1:3" x14ac:dyDescent="0.2">
      <c r="A819" s="1325">
        <f t="shared" si="5"/>
        <v>6</v>
      </c>
      <c r="B819" s="1351" t="s">
        <v>50</v>
      </c>
      <c r="C819" s="1352">
        <v>21380573</v>
      </c>
    </row>
    <row r="820" spans="1:3" x14ac:dyDescent="0.2">
      <c r="A820" s="1325">
        <f t="shared" si="5"/>
        <v>7</v>
      </c>
      <c r="B820" s="1090" t="s">
        <v>434</v>
      </c>
      <c r="C820" s="1352">
        <v>43734799</v>
      </c>
    </row>
    <row r="821" spans="1:3" x14ac:dyDescent="0.2">
      <c r="A821" s="1325">
        <f t="shared" si="5"/>
        <v>8</v>
      </c>
      <c r="B821" s="1090" t="s">
        <v>440</v>
      </c>
      <c r="C821" s="1352">
        <v>1152216456</v>
      </c>
    </row>
    <row r="822" spans="1:3" x14ac:dyDescent="0.2">
      <c r="A822" s="1325">
        <f t="shared" si="5"/>
        <v>9</v>
      </c>
      <c r="B822" s="1351" t="s">
        <v>334</v>
      </c>
      <c r="C822" s="1352">
        <v>507881</v>
      </c>
    </row>
    <row r="823" spans="1:3" x14ac:dyDescent="0.2">
      <c r="A823" s="1325">
        <f t="shared" si="5"/>
        <v>10</v>
      </c>
      <c r="B823" s="1351" t="s">
        <v>652</v>
      </c>
      <c r="C823" s="1352">
        <v>10192638</v>
      </c>
    </row>
    <row r="824" spans="1:3" x14ac:dyDescent="0.2">
      <c r="A824" s="1325">
        <f t="shared" si="5"/>
        <v>11</v>
      </c>
      <c r="B824" s="1351" t="s">
        <v>108</v>
      </c>
      <c r="C824" s="1352">
        <v>71653411</v>
      </c>
    </row>
    <row r="825" spans="1:3" x14ac:dyDescent="0.2">
      <c r="A825" s="1325">
        <f t="shared" si="5"/>
        <v>12</v>
      </c>
      <c r="B825" s="1351" t="s">
        <v>494</v>
      </c>
      <c r="C825" s="1352">
        <v>1036631072</v>
      </c>
    </row>
    <row r="826" spans="1:3" x14ac:dyDescent="0.2">
      <c r="A826" s="1325">
        <f t="shared" si="5"/>
        <v>13</v>
      </c>
      <c r="B826" s="1351" t="s">
        <v>119</v>
      </c>
      <c r="C826" s="1352">
        <v>21345431</v>
      </c>
    </row>
    <row r="827" spans="1:3" x14ac:dyDescent="0.2">
      <c r="A827" s="1325">
        <f t="shared" si="5"/>
        <v>14</v>
      </c>
      <c r="B827" s="1351" t="s">
        <v>398</v>
      </c>
      <c r="C827" s="1352">
        <v>1039683603</v>
      </c>
    </row>
    <row r="828" spans="1:3" x14ac:dyDescent="0.2">
      <c r="A828" s="1325">
        <f t="shared" si="5"/>
        <v>15</v>
      </c>
      <c r="B828" s="1351" t="s">
        <v>759</v>
      </c>
      <c r="C828" s="1352">
        <v>3361134</v>
      </c>
    </row>
    <row r="829" spans="1:3" x14ac:dyDescent="0.2">
      <c r="A829" s="1325">
        <f t="shared" si="5"/>
        <v>16</v>
      </c>
      <c r="B829" s="1351" t="s">
        <v>661</v>
      </c>
      <c r="C829" s="1352">
        <v>20197189</v>
      </c>
    </row>
    <row r="830" spans="1:3" x14ac:dyDescent="0.2">
      <c r="A830" s="1325">
        <f t="shared" si="5"/>
        <v>17</v>
      </c>
      <c r="B830" s="1351" t="s">
        <v>789</v>
      </c>
      <c r="C830" s="1352">
        <v>32517277</v>
      </c>
    </row>
    <row r="831" spans="1:3" x14ac:dyDescent="0.2">
      <c r="A831" s="1387">
        <f t="shared" si="5"/>
        <v>18</v>
      </c>
      <c r="B831" s="1351" t="s">
        <v>662</v>
      </c>
      <c r="C831" s="1352">
        <v>1214737189</v>
      </c>
    </row>
    <row r="833" spans="1:11" x14ac:dyDescent="0.2">
      <c r="A833" s="1385" t="s">
        <v>784</v>
      </c>
      <c r="B833" s="1385"/>
    </row>
    <row r="834" spans="1:11" x14ac:dyDescent="0.2">
      <c r="A834" s="1364">
        <v>1</v>
      </c>
      <c r="B834" s="1204" t="s">
        <v>750</v>
      </c>
      <c r="C834" s="1330">
        <v>1214734553</v>
      </c>
      <c r="D834" s="1357">
        <v>9</v>
      </c>
      <c r="E834" s="1367"/>
      <c r="F834" s="1368"/>
      <c r="G834" s="1369"/>
      <c r="H834" s="1367"/>
      <c r="I834" s="1367"/>
      <c r="J834" s="1370"/>
      <c r="K834" s="1319" t="s">
        <v>784</v>
      </c>
    </row>
    <row r="835" spans="1:11" x14ac:dyDescent="0.2">
      <c r="A835" s="1329">
        <f>+A834+1</f>
        <v>2</v>
      </c>
      <c r="B835" s="1204" t="s">
        <v>774</v>
      </c>
      <c r="C835" s="1330">
        <v>42780425</v>
      </c>
      <c r="D835" s="1357">
        <v>5</v>
      </c>
      <c r="E835" s="1358"/>
      <c r="F835" s="1286"/>
      <c r="G835" s="1274" t="s">
        <v>496</v>
      </c>
      <c r="H835" s="1358"/>
      <c r="I835" s="1358"/>
      <c r="J835" s="1346">
        <v>-194000</v>
      </c>
      <c r="K835" s="1319" t="s">
        <v>784</v>
      </c>
    </row>
    <row r="836" spans="1:11" x14ac:dyDescent="0.2">
      <c r="A836" s="1329">
        <f t="shared" ref="A836:A842" si="6">+A835+1</f>
        <v>3</v>
      </c>
      <c r="B836" s="1204" t="s">
        <v>783</v>
      </c>
      <c r="C836" s="1330">
        <v>1038869450</v>
      </c>
      <c r="D836" s="1357">
        <v>0</v>
      </c>
      <c r="E836" s="1358"/>
      <c r="F836" s="1286"/>
      <c r="G836" s="1274" t="s">
        <v>501</v>
      </c>
      <c r="H836" s="1358"/>
      <c r="I836" s="1358"/>
      <c r="J836" s="1346">
        <v>0</v>
      </c>
      <c r="K836" s="1319" t="s">
        <v>784</v>
      </c>
    </row>
    <row r="837" spans="1:11" x14ac:dyDescent="0.2">
      <c r="A837" s="1329">
        <f t="shared" si="6"/>
        <v>4</v>
      </c>
      <c r="B837" s="1204" t="s">
        <v>413</v>
      </c>
      <c r="C837" s="1197">
        <v>1037639929</v>
      </c>
      <c r="D837" s="1357">
        <v>6</v>
      </c>
      <c r="E837" s="1358"/>
      <c r="F837" s="1286"/>
      <c r="G837" s="1274" t="s">
        <v>501</v>
      </c>
      <c r="H837" s="1358"/>
      <c r="I837" s="1358"/>
      <c r="J837" s="1346">
        <v>0</v>
      </c>
      <c r="K837" s="1319" t="s">
        <v>784</v>
      </c>
    </row>
    <row r="838" spans="1:11" x14ac:dyDescent="0.2">
      <c r="A838" s="1329">
        <f t="shared" si="6"/>
        <v>5</v>
      </c>
      <c r="B838" s="1204" t="s">
        <v>767</v>
      </c>
      <c r="C838" s="1330">
        <v>39295015</v>
      </c>
      <c r="D838" s="1357">
        <v>8</v>
      </c>
      <c r="E838" s="1358"/>
      <c r="F838" s="1286"/>
      <c r="G838" s="1274" t="s">
        <v>501</v>
      </c>
      <c r="H838" s="1358"/>
      <c r="I838" s="1358"/>
      <c r="J838" s="1346">
        <v>0</v>
      </c>
      <c r="K838" s="1319" t="s">
        <v>784</v>
      </c>
    </row>
    <row r="839" spans="1:11" x14ac:dyDescent="0.2">
      <c r="A839" s="1364">
        <f t="shared" si="6"/>
        <v>6</v>
      </c>
      <c r="B839" s="1204" t="s">
        <v>780</v>
      </c>
      <c r="C839" s="1330">
        <v>43617037</v>
      </c>
      <c r="D839" s="1357">
        <v>8</v>
      </c>
      <c r="E839" s="1367"/>
      <c r="F839" s="1376"/>
      <c r="G839" s="1274" t="s">
        <v>501</v>
      </c>
      <c r="H839" s="1367"/>
      <c r="I839" s="1367"/>
      <c r="J839" s="1346">
        <v>0</v>
      </c>
      <c r="K839" s="1319" t="s">
        <v>784</v>
      </c>
    </row>
    <row r="840" spans="1:11" ht="25.5" x14ac:dyDescent="0.2">
      <c r="A840" s="1364">
        <f t="shared" si="6"/>
        <v>7</v>
      </c>
      <c r="B840" s="1204" t="s">
        <v>786</v>
      </c>
      <c r="C840" s="1330">
        <v>43710766</v>
      </c>
      <c r="D840" s="1357">
        <v>6</v>
      </c>
      <c r="E840" s="1367"/>
      <c r="F840" s="1368"/>
      <c r="G840" s="1369" t="s">
        <v>501</v>
      </c>
      <c r="H840" s="1367"/>
      <c r="I840" s="1367"/>
      <c r="J840" s="1370">
        <v>0</v>
      </c>
      <c r="K840" s="1319" t="s">
        <v>784</v>
      </c>
    </row>
    <row r="841" spans="1:11" ht="25.5" x14ac:dyDescent="0.2">
      <c r="A841" s="1329">
        <f t="shared" si="6"/>
        <v>8</v>
      </c>
      <c r="B841" s="1204" t="s">
        <v>785</v>
      </c>
      <c r="C841" s="1330">
        <v>32403951</v>
      </c>
      <c r="D841" s="1357">
        <v>6</v>
      </c>
      <c r="E841" s="1358"/>
      <c r="F841" s="1286"/>
      <c r="G841" s="1274" t="s">
        <v>501</v>
      </c>
      <c r="H841" s="1358"/>
      <c r="I841" s="1358"/>
      <c r="J841" s="1346">
        <v>0</v>
      </c>
      <c r="K841" s="1319" t="s">
        <v>784</v>
      </c>
    </row>
    <row r="842" spans="1:11" x14ac:dyDescent="0.2">
      <c r="A842" s="1386">
        <f t="shared" si="6"/>
        <v>9</v>
      </c>
      <c r="B842" s="1204" t="s">
        <v>778</v>
      </c>
      <c r="C842" s="1330">
        <v>43903734</v>
      </c>
      <c r="D842" s="1357">
        <v>1</v>
      </c>
      <c r="E842" s="1343"/>
      <c r="F842" s="1286"/>
      <c r="G842" s="1274" t="s">
        <v>495</v>
      </c>
      <c r="H842" s="785"/>
      <c r="I842" s="785"/>
      <c r="J842" s="1346">
        <v>3094000</v>
      </c>
      <c r="K842" s="1319" t="s">
        <v>784</v>
      </c>
    </row>
  </sheetData>
  <sortState xmlns:xlrd2="http://schemas.microsoft.com/office/spreadsheetml/2017/richdata2" ref="M540:M738">
    <sortCondition ref="M540:M738"/>
  </sortState>
  <mergeCells count="83">
    <mergeCell ref="G535:J535"/>
    <mergeCell ref="G536:J536"/>
    <mergeCell ref="G530:J530"/>
    <mergeCell ref="G531:J531"/>
    <mergeCell ref="G532:J532"/>
    <mergeCell ref="G533:J533"/>
    <mergeCell ref="G534:J534"/>
    <mergeCell ref="G525:J525"/>
    <mergeCell ref="G526:J526"/>
    <mergeCell ref="G527:J527"/>
    <mergeCell ref="G528:J528"/>
    <mergeCell ref="G529:J529"/>
    <mergeCell ref="F486:K486"/>
    <mergeCell ref="F511:K511"/>
    <mergeCell ref="G522:J522"/>
    <mergeCell ref="G523:J523"/>
    <mergeCell ref="G524:J524"/>
    <mergeCell ref="H402:J402"/>
    <mergeCell ref="H410:J410"/>
    <mergeCell ref="H416:J416"/>
    <mergeCell ref="G418:J418"/>
    <mergeCell ref="H423:J423"/>
    <mergeCell ref="H353:J353"/>
    <mergeCell ref="H366:J366"/>
    <mergeCell ref="H375:J375"/>
    <mergeCell ref="H386:J386"/>
    <mergeCell ref="H392:J392"/>
    <mergeCell ref="H305:J305"/>
    <mergeCell ref="H313:J313"/>
    <mergeCell ref="H322:J322"/>
    <mergeCell ref="H329:J329"/>
    <mergeCell ref="H338:J338"/>
    <mergeCell ref="H265:J265"/>
    <mergeCell ref="H273:J273"/>
    <mergeCell ref="H282:J282"/>
    <mergeCell ref="H288:J288"/>
    <mergeCell ref="H295:J295"/>
    <mergeCell ref="H440:J440"/>
    <mergeCell ref="H441:J441"/>
    <mergeCell ref="F452:J452"/>
    <mergeCell ref="A2:D2"/>
    <mergeCell ref="I5:J5"/>
    <mergeCell ref="H9:J9"/>
    <mergeCell ref="H17:J17"/>
    <mergeCell ref="H28:J28"/>
    <mergeCell ref="H38:J38"/>
    <mergeCell ref="H47:J47"/>
    <mergeCell ref="H22:J22"/>
    <mergeCell ref="H161:J161"/>
    <mergeCell ref="H170:J170"/>
    <mergeCell ref="H179:J179"/>
    <mergeCell ref="H186:J186"/>
    <mergeCell ref="H59:J59"/>
    <mergeCell ref="F6:F7"/>
    <mergeCell ref="G6:G7"/>
    <mergeCell ref="H6:J6"/>
    <mergeCell ref="K6:K7"/>
    <mergeCell ref="H429:J429"/>
    <mergeCell ref="H64:J64"/>
    <mergeCell ref="H69:J69"/>
    <mergeCell ref="H79:J79"/>
    <mergeCell ref="H90:J90"/>
    <mergeCell ref="H100:J100"/>
    <mergeCell ref="H110:J110"/>
    <mergeCell ref="H117:J117"/>
    <mergeCell ref="H126:J126"/>
    <mergeCell ref="H138:J138"/>
    <mergeCell ref="H201:J201"/>
    <mergeCell ref="H209:J209"/>
    <mergeCell ref="A6:A7"/>
    <mergeCell ref="B6:B7"/>
    <mergeCell ref="C6:C7"/>
    <mergeCell ref="D6:D7"/>
    <mergeCell ref="E6:E7"/>
    <mergeCell ref="H147:J147"/>
    <mergeCell ref="H195:J195"/>
    <mergeCell ref="H247:J247"/>
    <mergeCell ref="H252:J252"/>
    <mergeCell ref="H258:J258"/>
    <mergeCell ref="H157:J157"/>
    <mergeCell ref="H219:J219"/>
    <mergeCell ref="H226:J226"/>
    <mergeCell ref="H235:J235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1EBE-115B-42D8-B9AC-49C056056CF3}">
  <sheetPr codeName="Hoja10"/>
  <dimension ref="A1:Y305"/>
  <sheetViews>
    <sheetView showGridLines="0" zoomScale="80" zoomScaleNormal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 sqref="A1:XFD1048576"/>
    </sheetView>
  </sheetViews>
  <sheetFormatPr baseColWidth="10" defaultColWidth="9.77734375" defaultRowHeight="10.5" x14ac:dyDescent="0.2"/>
  <cols>
    <col min="1" max="1" width="3.21875" style="293" customWidth="1"/>
    <col min="2" max="2" width="36.109375" style="950" customWidth="1"/>
    <col min="3" max="3" width="11.5546875" style="9" bestFit="1" customWidth="1"/>
    <col min="4" max="4" width="3.21875" style="636" customWidth="1"/>
    <col min="5" max="5" width="11.44140625" style="637" customWidth="1"/>
    <col min="6" max="6" width="9.6640625" style="638" hidden="1" customWidth="1"/>
    <col min="7" max="7" width="6.5546875" style="639" customWidth="1"/>
    <col min="8" max="8" width="16.5546875" style="1743" customWidth="1"/>
    <col min="9" max="9" width="10.33203125" style="628" customWidth="1"/>
    <col min="10" max="10" width="10.33203125" style="1115" customWidth="1"/>
    <col min="11" max="11" width="12.6640625" style="1116" bestFit="1" customWidth="1"/>
    <col min="12" max="12" width="12.109375" style="638" bestFit="1" customWidth="1"/>
    <col min="13" max="13" width="10.33203125" style="1117" bestFit="1" customWidth="1"/>
    <col min="14" max="14" width="12.88671875" style="1744" bestFit="1" customWidth="1"/>
    <col min="15" max="15" width="27.21875" style="1744" customWidth="1"/>
    <col min="16" max="16" width="1.44140625" style="293" customWidth="1"/>
    <col min="17" max="17" width="13" style="1136" bestFit="1" customWidth="1"/>
    <col min="18" max="18" width="19.6640625" style="1130" bestFit="1" customWidth="1"/>
    <col min="19" max="19" width="1.44140625" style="293" customWidth="1"/>
    <col min="20" max="20" width="13.88671875" style="1132" customWidth="1"/>
    <col min="21" max="21" width="16.5546875" style="1132" customWidth="1"/>
    <col min="22" max="22" width="15.77734375" style="293" customWidth="1"/>
    <col min="23" max="16384" width="9.77734375" style="293"/>
  </cols>
  <sheetData>
    <row r="1" spans="1:25" ht="15" x14ac:dyDescent="0.2">
      <c r="A1" s="296" t="s">
        <v>352</v>
      </c>
      <c r="P1" s="1118"/>
      <c r="Q1" s="1119" t="s">
        <v>512</v>
      </c>
      <c r="R1" s="1120">
        <v>45000</v>
      </c>
      <c r="S1" s="1118"/>
      <c r="T1" s="1121" t="s">
        <v>495</v>
      </c>
      <c r="U1" s="1745">
        <v>312111000</v>
      </c>
      <c r="V1" s="1122" t="s">
        <v>668</v>
      </c>
      <c r="W1" s="1122"/>
      <c r="X1" s="947" t="s">
        <v>898</v>
      </c>
      <c r="Y1" s="948">
        <v>49799</v>
      </c>
    </row>
    <row r="2" spans="1:25" s="1748" customFormat="1" ht="15" x14ac:dyDescent="0.2">
      <c r="A2" s="1746" t="s">
        <v>642</v>
      </c>
      <c r="B2" s="337"/>
      <c r="C2" s="65"/>
      <c r="D2" s="771"/>
      <c r="E2" s="637"/>
      <c r="F2" s="800"/>
      <c r="G2" s="769"/>
      <c r="H2" s="1155"/>
      <c r="I2" s="780"/>
      <c r="J2" s="1123"/>
      <c r="K2" s="1124"/>
      <c r="L2" s="800"/>
      <c r="M2" s="1125"/>
      <c r="N2" s="358"/>
      <c r="O2" s="358"/>
      <c r="P2" s="1747"/>
      <c r="Q2" s="765" t="s">
        <v>513</v>
      </c>
      <c r="R2" s="768">
        <v>47065</v>
      </c>
      <c r="S2" s="1747"/>
      <c r="T2" s="1126" t="s">
        <v>496</v>
      </c>
      <c r="U2" s="1745">
        <v>-431770000</v>
      </c>
      <c r="V2" s="916">
        <v>89577000</v>
      </c>
      <c r="X2" s="1127" t="s">
        <v>722</v>
      </c>
      <c r="Y2" s="1128">
        <v>47065</v>
      </c>
    </row>
    <row r="3" spans="1:25" s="1748" customFormat="1" ht="15" x14ac:dyDescent="0.2">
      <c r="A3" s="629" t="s">
        <v>502</v>
      </c>
      <c r="B3" s="337"/>
      <c r="C3" s="65"/>
      <c r="D3" s="771"/>
      <c r="E3" s="637"/>
      <c r="F3" s="800"/>
      <c r="G3" s="769"/>
      <c r="H3" s="1155"/>
      <c r="I3" s="780"/>
      <c r="J3" s="1123"/>
      <c r="K3" s="1124"/>
      <c r="L3" s="800"/>
      <c r="M3" s="1125"/>
      <c r="N3" s="358"/>
      <c r="O3" s="358"/>
      <c r="P3" s="1747"/>
      <c r="Q3" s="765" t="s">
        <v>514</v>
      </c>
      <c r="R3" s="766">
        <v>2117925000</v>
      </c>
      <c r="S3" s="1747"/>
      <c r="T3" s="1749"/>
      <c r="U3" s="1750"/>
    </row>
    <row r="4" spans="1:25" s="347" customFormat="1" ht="13.5" thickBot="1" x14ac:dyDescent="0.25">
      <c r="A4" s="629" t="s">
        <v>899</v>
      </c>
      <c r="B4" s="915"/>
      <c r="C4" s="9"/>
      <c r="D4" s="636"/>
      <c r="E4" s="637"/>
      <c r="F4" s="640"/>
      <c r="G4" s="639"/>
      <c r="H4" s="1743"/>
      <c r="I4" s="628"/>
      <c r="J4" s="1115"/>
      <c r="K4" s="1116"/>
      <c r="L4" s="638"/>
      <c r="M4" s="1117"/>
      <c r="N4" s="1744"/>
      <c r="O4" s="1744"/>
      <c r="P4" s="641"/>
      <c r="Q4" s="1129"/>
      <c r="R4" s="1130"/>
      <c r="S4" s="641"/>
      <c r="T4" s="1131"/>
      <c r="U4" s="1751"/>
    </row>
    <row r="5" spans="1:25" s="347" customFormat="1" ht="11.25" thickBot="1" x14ac:dyDescent="0.25">
      <c r="B5" s="915"/>
      <c r="C5" s="9"/>
      <c r="D5" s="636"/>
      <c r="E5" s="637"/>
      <c r="F5" s="638"/>
      <c r="G5" s="639"/>
      <c r="H5" s="1743"/>
      <c r="I5" s="628"/>
      <c r="J5" s="1929"/>
      <c r="K5" s="1929"/>
      <c r="L5" s="638"/>
      <c r="M5" s="1929"/>
      <c r="N5" s="1929"/>
      <c r="O5" s="293"/>
      <c r="P5" s="641"/>
      <c r="Q5" s="1918" t="s">
        <v>669</v>
      </c>
      <c r="R5" s="1919"/>
      <c r="S5" s="641"/>
      <c r="T5" s="1920" t="s">
        <v>900</v>
      </c>
      <c r="U5" s="1921"/>
    </row>
    <row r="6" spans="1:25" s="645" customFormat="1" ht="35.1" customHeight="1" thickBot="1" x14ac:dyDescent="0.25">
      <c r="A6" s="1934" t="s">
        <v>2</v>
      </c>
      <c r="B6" s="1936" t="s">
        <v>353</v>
      </c>
      <c r="C6" s="1938" t="s">
        <v>280</v>
      </c>
      <c r="D6" s="1940" t="s">
        <v>333</v>
      </c>
      <c r="E6" s="1930" t="s">
        <v>503</v>
      </c>
      <c r="F6" s="1930" t="s">
        <v>395</v>
      </c>
      <c r="G6" s="1932" t="s">
        <v>497</v>
      </c>
      <c r="H6" s="1922" t="s">
        <v>901</v>
      </c>
      <c r="I6" s="1924" t="s">
        <v>504</v>
      </c>
      <c r="J6" s="1925"/>
      <c r="K6" s="1926"/>
      <c r="L6" s="1924" t="s">
        <v>505</v>
      </c>
      <c r="M6" s="1925"/>
      <c r="N6" s="1926"/>
      <c r="O6" s="1927" t="s">
        <v>201</v>
      </c>
      <c r="P6" s="642"/>
      <c r="Q6" s="643" t="s">
        <v>726</v>
      </c>
      <c r="R6" s="644" t="s">
        <v>670</v>
      </c>
      <c r="S6" s="642"/>
      <c r="T6" s="1752" t="s">
        <v>902</v>
      </c>
      <c r="U6" s="1753" t="s">
        <v>903</v>
      </c>
    </row>
    <row r="7" spans="1:25" s="645" customFormat="1" ht="11.25" thickBot="1" x14ac:dyDescent="0.25">
      <c r="A7" s="1935"/>
      <c r="B7" s="1937"/>
      <c r="C7" s="1939"/>
      <c r="D7" s="1941"/>
      <c r="E7" s="1931"/>
      <c r="F7" s="1931"/>
      <c r="G7" s="1933"/>
      <c r="H7" s="1923"/>
      <c r="I7" s="1754" t="s">
        <v>498</v>
      </c>
      <c r="J7" s="1755" t="s">
        <v>499</v>
      </c>
      <c r="K7" s="1756" t="s">
        <v>500</v>
      </c>
      <c r="L7" s="1757" t="s">
        <v>498</v>
      </c>
      <c r="M7" s="1758" t="s">
        <v>499</v>
      </c>
      <c r="N7" s="1759" t="s">
        <v>500</v>
      </c>
      <c r="O7" s="1928"/>
      <c r="P7" s="642"/>
      <c r="Q7" s="917"/>
      <c r="R7" s="918"/>
      <c r="S7" s="642"/>
      <c r="T7" s="1132"/>
      <c r="U7" s="1751"/>
    </row>
    <row r="8" spans="1:25" ht="5.0999999999999996" customHeight="1" x14ac:dyDescent="0.2">
      <c r="P8" s="641"/>
      <c r="Q8" s="1129"/>
      <c r="S8" s="641"/>
      <c r="T8" s="1131"/>
    </row>
    <row r="9" spans="1:25" ht="5.0999999999999996" customHeight="1" x14ac:dyDescent="0.2">
      <c r="P9" s="1747"/>
      <c r="S9" s="1747"/>
    </row>
    <row r="10" spans="1:25" s="1748" customFormat="1" ht="15" x14ac:dyDescent="0.2">
      <c r="A10" s="348" t="s">
        <v>727</v>
      </c>
      <c r="B10" s="337"/>
      <c r="C10" s="65"/>
      <c r="D10" s="771"/>
      <c r="E10" s="637"/>
      <c r="F10" s="800"/>
      <c r="G10" s="769"/>
      <c r="H10" s="1155"/>
      <c r="I10" s="1917">
        <v>45789</v>
      </c>
      <c r="J10" s="1917"/>
      <c r="K10" s="1917"/>
      <c r="L10" s="1917">
        <v>45847</v>
      </c>
      <c r="M10" s="1917"/>
      <c r="N10" s="1917"/>
      <c r="O10" s="1760"/>
      <c r="P10" s="1747"/>
      <c r="Q10" s="145"/>
      <c r="R10" s="674"/>
      <c r="S10" s="1747"/>
      <c r="T10" s="1749"/>
      <c r="U10" s="1749"/>
    </row>
    <row r="11" spans="1:25" ht="5.0999999999999996" customHeight="1" x14ac:dyDescent="0.2">
      <c r="P11" s="1747"/>
      <c r="S11" s="1747"/>
    </row>
    <row r="12" spans="1:25" s="1748" customFormat="1" ht="25.5" x14ac:dyDescent="0.2">
      <c r="A12" s="1761">
        <v>1</v>
      </c>
      <c r="B12" s="1762" t="s">
        <v>269</v>
      </c>
      <c r="C12" s="1763">
        <v>890911921</v>
      </c>
      <c r="D12" s="1764">
        <v>7</v>
      </c>
      <c r="E12" s="1134" t="s">
        <v>415</v>
      </c>
      <c r="F12" s="1139"/>
      <c r="G12" s="1140" t="s">
        <v>496</v>
      </c>
      <c r="H12" s="1273">
        <v>-57942000</v>
      </c>
      <c r="I12" s="1274"/>
      <c r="J12" s="1765" t="s">
        <v>904</v>
      </c>
      <c r="K12" s="1143">
        <v>0</v>
      </c>
      <c r="L12" s="1144"/>
      <c r="M12" s="1145"/>
      <c r="N12" s="1465">
        <v>0</v>
      </c>
      <c r="O12" s="1766" t="s">
        <v>905</v>
      </c>
      <c r="P12" s="1747"/>
      <c r="Q12" s="1147">
        <v>136266.84</v>
      </c>
      <c r="R12" s="1148" t="s">
        <v>415</v>
      </c>
      <c r="S12" s="1747"/>
      <c r="T12" s="1767">
        <v>136266.84</v>
      </c>
      <c r="U12" s="1767"/>
    </row>
    <row r="13" spans="1:25" s="1748" customFormat="1" ht="31.5" x14ac:dyDescent="0.2">
      <c r="A13" s="1761">
        <v>2</v>
      </c>
      <c r="B13" s="1762" t="s">
        <v>368</v>
      </c>
      <c r="C13" s="1763">
        <v>800178231</v>
      </c>
      <c r="D13" s="1764">
        <v>1</v>
      </c>
      <c r="E13" s="1134" t="s">
        <v>415</v>
      </c>
      <c r="F13" s="1139"/>
      <c r="G13" s="1140" t="s">
        <v>495</v>
      </c>
      <c r="H13" s="1273">
        <v>1990000</v>
      </c>
      <c r="I13" s="1274"/>
      <c r="J13" s="1768" t="s">
        <v>906</v>
      </c>
      <c r="K13" s="1143">
        <v>0</v>
      </c>
      <c r="L13" s="1144"/>
      <c r="M13" s="1145"/>
      <c r="N13" s="1465">
        <v>1990000</v>
      </c>
      <c r="O13" s="1766" t="s">
        <v>905</v>
      </c>
      <c r="P13" s="1747"/>
      <c r="Q13" s="1147">
        <v>0.01</v>
      </c>
      <c r="R13" s="1148" t="s">
        <v>415</v>
      </c>
      <c r="S13" s="1747"/>
      <c r="T13" s="1767"/>
      <c r="U13" s="1767"/>
    </row>
    <row r="14" spans="1:25" s="1748" customFormat="1" ht="21" x14ac:dyDescent="0.2">
      <c r="A14" s="1761">
        <v>3</v>
      </c>
      <c r="B14" s="1762" t="s">
        <v>195</v>
      </c>
      <c r="C14" s="1763">
        <v>900258791</v>
      </c>
      <c r="D14" s="1764">
        <v>0</v>
      </c>
      <c r="E14" s="1134" t="s">
        <v>415</v>
      </c>
      <c r="F14" s="1139"/>
      <c r="G14" s="1140" t="s">
        <v>501</v>
      </c>
      <c r="H14" s="1273">
        <v>0</v>
      </c>
      <c r="I14" s="1274"/>
      <c r="J14" s="1765" t="s">
        <v>904</v>
      </c>
      <c r="K14" s="1143">
        <v>0</v>
      </c>
      <c r="L14" s="1144"/>
      <c r="M14" s="1145"/>
      <c r="N14" s="1465">
        <v>0</v>
      </c>
      <c r="O14" s="1766" t="s">
        <v>905</v>
      </c>
      <c r="P14" s="1747"/>
      <c r="Q14" s="1147">
        <v>100</v>
      </c>
      <c r="R14" s="1148" t="s">
        <v>415</v>
      </c>
      <c r="S14" s="1747"/>
      <c r="T14" s="1767">
        <v>100</v>
      </c>
      <c r="U14" s="1767"/>
    </row>
    <row r="15" spans="1:25" ht="5.0999999999999996" customHeight="1" x14ac:dyDescent="0.2">
      <c r="P15" s="1747"/>
      <c r="S15" s="1747"/>
    </row>
    <row r="16" spans="1:25" s="1748" customFormat="1" ht="15" x14ac:dyDescent="0.2">
      <c r="A16" s="348" t="s">
        <v>728</v>
      </c>
      <c r="B16" s="337"/>
      <c r="C16" s="65"/>
      <c r="D16" s="771"/>
      <c r="E16" s="637"/>
      <c r="F16" s="800"/>
      <c r="G16" s="769"/>
      <c r="H16" s="1155"/>
      <c r="I16" s="1917">
        <v>45790</v>
      </c>
      <c r="J16" s="1917"/>
      <c r="K16" s="1917"/>
      <c r="L16" s="1917">
        <v>45848</v>
      </c>
      <c r="M16" s="1917"/>
      <c r="N16" s="1917"/>
      <c r="O16" s="1760"/>
      <c r="P16" s="1747"/>
      <c r="Q16" s="145"/>
      <c r="R16" s="674"/>
      <c r="S16" s="1747"/>
      <c r="T16" s="1749"/>
      <c r="U16" s="1749"/>
    </row>
    <row r="17" spans="1:21" ht="5.0999999999999996" customHeight="1" x14ac:dyDescent="0.2">
      <c r="P17" s="1747"/>
      <c r="S17" s="1747"/>
    </row>
    <row r="18" spans="1:21" s="1748" customFormat="1" ht="21" x14ac:dyDescent="0.2">
      <c r="A18" s="1761">
        <v>4</v>
      </c>
      <c r="B18" s="1762" t="s">
        <v>251</v>
      </c>
      <c r="C18" s="1763">
        <v>811032632</v>
      </c>
      <c r="D18" s="1764">
        <v>4</v>
      </c>
      <c r="E18" s="1134" t="s">
        <v>415</v>
      </c>
      <c r="F18" s="1139"/>
      <c r="G18" s="1140" t="s">
        <v>495</v>
      </c>
      <c r="H18" s="1273">
        <v>14015000</v>
      </c>
      <c r="I18" s="1274"/>
      <c r="J18" s="1768" t="s">
        <v>907</v>
      </c>
      <c r="K18" s="1143">
        <v>7008000</v>
      </c>
      <c r="L18" s="1139"/>
      <c r="M18" s="1145"/>
      <c r="N18" s="1465">
        <v>7007000</v>
      </c>
      <c r="O18" s="1766" t="s">
        <v>905</v>
      </c>
      <c r="P18" s="1747"/>
      <c r="Q18" s="1147">
        <v>439596098.17000002</v>
      </c>
      <c r="R18" s="1148" t="s">
        <v>415</v>
      </c>
      <c r="S18" s="1747"/>
      <c r="T18" s="1767">
        <v>439596098.17000002</v>
      </c>
      <c r="U18" s="1767"/>
    </row>
    <row r="19" spans="1:21" s="1748" customFormat="1" ht="21" x14ac:dyDescent="0.2">
      <c r="A19" s="1761">
        <v>5</v>
      </c>
      <c r="B19" s="1762" t="s">
        <v>673</v>
      </c>
      <c r="C19" s="1763">
        <v>811028472</v>
      </c>
      <c r="D19" s="1764">
        <v>7</v>
      </c>
      <c r="E19" s="1134" t="s">
        <v>415</v>
      </c>
      <c r="F19" s="1139"/>
      <c r="G19" s="1140" t="s">
        <v>495</v>
      </c>
      <c r="H19" s="1273">
        <v>2230000</v>
      </c>
      <c r="I19" s="1274"/>
      <c r="J19" s="1768" t="s">
        <v>907</v>
      </c>
      <c r="K19" s="1143">
        <v>1115000</v>
      </c>
      <c r="L19" s="1150"/>
      <c r="M19" s="1145"/>
      <c r="N19" s="1465">
        <v>1115000</v>
      </c>
      <c r="O19" s="1766" t="s">
        <v>905</v>
      </c>
      <c r="P19" s="1747"/>
      <c r="Q19" s="1147">
        <v>119631092</v>
      </c>
      <c r="R19" s="1148" t="s">
        <v>415</v>
      </c>
      <c r="S19" s="1747"/>
      <c r="T19" s="1767">
        <v>119631092</v>
      </c>
      <c r="U19" s="1767"/>
    </row>
    <row r="20" spans="1:21" s="1748" customFormat="1" ht="25.5" x14ac:dyDescent="0.2">
      <c r="A20" s="1761">
        <v>6</v>
      </c>
      <c r="B20" s="1762" t="s">
        <v>177</v>
      </c>
      <c r="C20" s="1763">
        <v>890921312</v>
      </c>
      <c r="D20" s="1764">
        <v>4</v>
      </c>
      <c r="E20" s="1134" t="s">
        <v>415</v>
      </c>
      <c r="F20" s="1139"/>
      <c r="G20" s="1140" t="s">
        <v>501</v>
      </c>
      <c r="H20" s="1273">
        <v>0</v>
      </c>
      <c r="I20" s="1274"/>
      <c r="J20" s="1765" t="s">
        <v>904</v>
      </c>
      <c r="K20" s="1143">
        <v>0</v>
      </c>
      <c r="L20" s="1144"/>
      <c r="M20" s="1145"/>
      <c r="N20" s="1465">
        <v>0</v>
      </c>
      <c r="O20" s="1766" t="s">
        <v>905</v>
      </c>
      <c r="P20" s="1747"/>
      <c r="Q20" s="1147">
        <v>0.01</v>
      </c>
      <c r="R20" s="1148" t="s">
        <v>415</v>
      </c>
      <c r="S20" s="1747"/>
      <c r="T20" s="1767"/>
      <c r="U20" s="1767"/>
    </row>
    <row r="21" spans="1:21" s="1748" customFormat="1" ht="31.5" x14ac:dyDescent="0.2">
      <c r="A21" s="1761">
        <v>7</v>
      </c>
      <c r="B21" s="1762" t="s">
        <v>363</v>
      </c>
      <c r="C21" s="1763">
        <v>900666782</v>
      </c>
      <c r="D21" s="1764">
        <v>4</v>
      </c>
      <c r="E21" s="1134" t="s">
        <v>415</v>
      </c>
      <c r="F21" s="1139"/>
      <c r="G21" s="1140" t="s">
        <v>495</v>
      </c>
      <c r="H21" s="1273">
        <v>6580000</v>
      </c>
      <c r="I21" s="1274"/>
      <c r="J21" s="1768" t="s">
        <v>906</v>
      </c>
      <c r="K21" s="1143">
        <v>0</v>
      </c>
      <c r="L21" s="1144"/>
      <c r="M21" s="1145"/>
      <c r="N21" s="1465">
        <v>6580000</v>
      </c>
      <c r="O21" s="1766" t="s">
        <v>905</v>
      </c>
      <c r="P21" s="1747"/>
      <c r="Q21" s="1147">
        <v>570078343.98000002</v>
      </c>
      <c r="R21" s="1148" t="s">
        <v>415</v>
      </c>
      <c r="S21" s="1747"/>
      <c r="T21" s="1767">
        <v>570078343.98000002</v>
      </c>
      <c r="U21" s="1767"/>
    </row>
    <row r="22" spans="1:21" ht="5.0999999999999996" customHeight="1" x14ac:dyDescent="0.2">
      <c r="P22" s="1747"/>
      <c r="S22" s="1747"/>
    </row>
    <row r="23" spans="1:21" s="1748" customFormat="1" ht="15" x14ac:dyDescent="0.2">
      <c r="A23" s="348" t="s">
        <v>729</v>
      </c>
      <c r="B23" s="337"/>
      <c r="C23" s="65"/>
      <c r="D23" s="771"/>
      <c r="E23" s="637"/>
      <c r="F23" s="800"/>
      <c r="G23" s="769"/>
      <c r="H23" s="1155"/>
      <c r="I23" s="1917">
        <v>45791</v>
      </c>
      <c r="J23" s="1917"/>
      <c r="K23" s="1917"/>
      <c r="L23" s="1917">
        <v>45849</v>
      </c>
      <c r="M23" s="1917"/>
      <c r="N23" s="1917"/>
      <c r="O23" s="1760"/>
      <c r="P23" s="1747"/>
      <c r="Q23" s="145"/>
      <c r="R23" s="674"/>
      <c r="S23" s="1747"/>
      <c r="T23" s="1749"/>
      <c r="U23" s="1749"/>
    </row>
    <row r="24" spans="1:21" ht="5.0999999999999996" customHeight="1" x14ac:dyDescent="0.2">
      <c r="P24" s="1747"/>
      <c r="S24" s="1747"/>
    </row>
    <row r="25" spans="1:21" s="1748" customFormat="1" ht="21" x14ac:dyDescent="0.2">
      <c r="A25" s="1769">
        <v>8</v>
      </c>
      <c r="B25" s="1137" t="s">
        <v>349</v>
      </c>
      <c r="C25" s="1138">
        <v>901241763</v>
      </c>
      <c r="D25" s="1764">
        <v>3</v>
      </c>
      <c r="E25" s="1134" t="s">
        <v>415</v>
      </c>
      <c r="F25" s="1139"/>
      <c r="G25" s="1140" t="s">
        <v>495</v>
      </c>
      <c r="H25" s="1273">
        <v>5870000</v>
      </c>
      <c r="I25" s="1274"/>
      <c r="J25" s="1770" t="s">
        <v>908</v>
      </c>
      <c r="K25" s="1143">
        <v>2935000</v>
      </c>
      <c r="L25" s="1150"/>
      <c r="M25" s="1145"/>
      <c r="N25" s="1465">
        <v>2935000</v>
      </c>
      <c r="O25" s="1766" t="s">
        <v>905</v>
      </c>
      <c r="P25" s="1747"/>
      <c r="Q25" s="1147">
        <v>50411241.260000005</v>
      </c>
      <c r="R25" s="1148" t="s">
        <v>415</v>
      </c>
      <c r="S25" s="1747"/>
      <c r="T25" s="1767">
        <v>50411241.260000005</v>
      </c>
      <c r="U25" s="1767"/>
    </row>
    <row r="26" spans="1:21" s="1748" customFormat="1" ht="52.5" x14ac:dyDescent="0.2">
      <c r="A26" s="1769">
        <v>9</v>
      </c>
      <c r="B26" s="1137" t="s">
        <v>189</v>
      </c>
      <c r="C26" s="1138">
        <v>890927723</v>
      </c>
      <c r="D26" s="1764">
        <v>5</v>
      </c>
      <c r="E26" s="1134" t="s">
        <v>415</v>
      </c>
      <c r="F26" s="1139"/>
      <c r="G26" s="1140" t="s">
        <v>496</v>
      </c>
      <c r="H26" s="1273">
        <v>-50994000</v>
      </c>
      <c r="I26" s="1274"/>
      <c r="J26" s="1770" t="s">
        <v>909</v>
      </c>
      <c r="K26" s="1143">
        <v>0</v>
      </c>
      <c r="L26" s="1144"/>
      <c r="M26" s="1145"/>
      <c r="N26" s="1465">
        <v>0</v>
      </c>
      <c r="O26" s="1766" t="s">
        <v>905</v>
      </c>
      <c r="P26" s="1747"/>
      <c r="Q26" s="1147">
        <v>0.01</v>
      </c>
      <c r="R26" s="1148" t="s">
        <v>415</v>
      </c>
      <c r="S26" s="1747"/>
      <c r="T26" s="1767"/>
      <c r="U26" s="1767"/>
    </row>
    <row r="27" spans="1:21" ht="5.0999999999999996" customHeight="1" x14ac:dyDescent="0.2">
      <c r="P27" s="1747"/>
      <c r="S27" s="1747"/>
    </row>
    <row r="28" spans="1:21" s="1748" customFormat="1" ht="15" x14ac:dyDescent="0.2">
      <c r="A28" s="348" t="s">
        <v>730</v>
      </c>
      <c r="B28" s="337"/>
      <c r="C28" s="65"/>
      <c r="D28" s="771"/>
      <c r="E28" s="637"/>
      <c r="F28" s="800"/>
      <c r="G28" s="769"/>
      <c r="H28" s="1155"/>
      <c r="I28" s="1917">
        <v>45792</v>
      </c>
      <c r="J28" s="1917"/>
      <c r="K28" s="1917"/>
      <c r="L28" s="1917">
        <v>45852</v>
      </c>
      <c r="M28" s="1917"/>
      <c r="N28" s="1917"/>
      <c r="O28" s="1760"/>
      <c r="P28" s="1747"/>
      <c r="Q28" s="145"/>
      <c r="R28" s="674"/>
      <c r="S28" s="1747"/>
      <c r="T28" s="1749"/>
      <c r="U28" s="1749"/>
    </row>
    <row r="29" spans="1:21" ht="5.0999999999999996" customHeight="1" x14ac:dyDescent="0.2">
      <c r="P29" s="1747"/>
      <c r="S29" s="1747"/>
    </row>
    <row r="30" spans="1:21" s="1748" customFormat="1" ht="21" x14ac:dyDescent="0.2">
      <c r="A30" s="1769">
        <v>10</v>
      </c>
      <c r="B30" s="1137" t="s">
        <v>250</v>
      </c>
      <c r="C30" s="1138">
        <v>890913504</v>
      </c>
      <c r="D30" s="1764">
        <v>8</v>
      </c>
      <c r="E30" s="1134" t="s">
        <v>415</v>
      </c>
      <c r="F30" s="1139"/>
      <c r="G30" s="1140"/>
      <c r="H30" s="1273"/>
      <c r="I30" s="1274" t="s">
        <v>910</v>
      </c>
      <c r="J30" s="1765" t="s">
        <v>904</v>
      </c>
      <c r="K30" s="1143"/>
      <c r="L30" s="1150"/>
      <c r="M30" s="1145"/>
      <c r="N30" s="1465">
        <v>0</v>
      </c>
      <c r="O30" s="1766" t="s">
        <v>905</v>
      </c>
      <c r="P30" s="1747"/>
      <c r="Q30" s="1147">
        <v>0.01</v>
      </c>
      <c r="R30" s="1148" t="s">
        <v>415</v>
      </c>
      <c r="S30" s="1747"/>
      <c r="T30" s="1767"/>
      <c r="U30" s="1767"/>
    </row>
    <row r="31" spans="1:21" s="1748" customFormat="1" ht="25.5" x14ac:dyDescent="0.2">
      <c r="A31" s="1761">
        <v>11</v>
      </c>
      <c r="B31" s="1762" t="s">
        <v>181</v>
      </c>
      <c r="C31" s="1763">
        <v>890910754</v>
      </c>
      <c r="D31" s="1764">
        <v>9</v>
      </c>
      <c r="E31" s="1134" t="s">
        <v>415</v>
      </c>
      <c r="F31" s="1139"/>
      <c r="G31" s="1140" t="s">
        <v>496</v>
      </c>
      <c r="H31" s="1273">
        <v>-9545000</v>
      </c>
      <c r="I31" s="1274"/>
      <c r="J31" s="1765" t="s">
        <v>904</v>
      </c>
      <c r="K31" s="1151"/>
      <c r="L31" s="1150"/>
      <c r="M31" s="1145"/>
      <c r="N31" s="1465">
        <v>0</v>
      </c>
      <c r="O31" s="1766" t="s">
        <v>905</v>
      </c>
      <c r="P31" s="1747"/>
      <c r="Q31" s="1147">
        <v>0.01</v>
      </c>
      <c r="R31" s="1148" t="s">
        <v>415</v>
      </c>
      <c r="S31" s="1747"/>
      <c r="T31" s="1767"/>
      <c r="U31" s="1767"/>
    </row>
    <row r="32" spans="1:21" s="1748" customFormat="1" ht="21" x14ac:dyDescent="0.2">
      <c r="A32" s="1761">
        <v>12</v>
      </c>
      <c r="B32" s="1762" t="s">
        <v>731</v>
      </c>
      <c r="C32" s="1763">
        <v>900797164</v>
      </c>
      <c r="D32" s="1764">
        <v>4</v>
      </c>
      <c r="E32" s="1134" t="s">
        <v>415</v>
      </c>
      <c r="F32" s="1139"/>
      <c r="G32" s="1140" t="s">
        <v>496</v>
      </c>
      <c r="H32" s="1273">
        <v>-1081000</v>
      </c>
      <c r="I32" s="1274"/>
      <c r="J32" s="1765" t="s">
        <v>904</v>
      </c>
      <c r="K32" s="1143"/>
      <c r="L32" s="1150"/>
      <c r="M32" s="1145"/>
      <c r="N32" s="1465">
        <v>0</v>
      </c>
      <c r="O32" s="1766" t="s">
        <v>905</v>
      </c>
      <c r="P32" s="1747"/>
      <c r="Q32" s="1147">
        <v>0.01</v>
      </c>
      <c r="R32" s="1148" t="s">
        <v>415</v>
      </c>
      <c r="S32" s="1747"/>
      <c r="T32" s="1767">
        <v>0</v>
      </c>
      <c r="U32" s="1767"/>
    </row>
    <row r="33" spans="1:22" s="1748" customFormat="1" ht="25.5" x14ac:dyDescent="0.2">
      <c r="A33" s="1769">
        <v>13</v>
      </c>
      <c r="B33" s="1137" t="s">
        <v>187</v>
      </c>
      <c r="C33" s="1138">
        <v>900103304</v>
      </c>
      <c r="D33" s="1764">
        <v>1</v>
      </c>
      <c r="E33" s="1134" t="s">
        <v>415</v>
      </c>
      <c r="F33" s="1139"/>
      <c r="G33" s="1140" t="s">
        <v>495</v>
      </c>
      <c r="H33" s="1273">
        <v>21765000</v>
      </c>
      <c r="I33" s="1274"/>
      <c r="J33" s="1770" t="s">
        <v>908</v>
      </c>
      <c r="K33" s="1143"/>
      <c r="L33" s="1150"/>
      <c r="M33" s="1145"/>
      <c r="N33" s="1465">
        <v>21765000</v>
      </c>
      <c r="O33" s="1766" t="s">
        <v>905</v>
      </c>
      <c r="P33" s="1747"/>
      <c r="Q33" s="1147">
        <v>230523432</v>
      </c>
      <c r="R33" s="1148" t="s">
        <v>415</v>
      </c>
      <c r="S33" s="1747"/>
      <c r="T33" s="1767"/>
      <c r="U33" s="1767">
        <v>230523432</v>
      </c>
    </row>
    <row r="34" spans="1:22" ht="5.0999999999999996" customHeight="1" x14ac:dyDescent="0.2">
      <c r="P34" s="1747"/>
      <c r="S34" s="1747"/>
    </row>
    <row r="35" spans="1:22" s="1748" customFormat="1" ht="15" x14ac:dyDescent="0.2">
      <c r="A35" s="348" t="s">
        <v>732</v>
      </c>
      <c r="B35" s="337"/>
      <c r="C35" s="65"/>
      <c r="D35" s="771"/>
      <c r="E35" s="637"/>
      <c r="F35" s="800"/>
      <c r="G35" s="769"/>
      <c r="H35" s="1155"/>
      <c r="I35" s="1917">
        <v>45793</v>
      </c>
      <c r="J35" s="1917"/>
      <c r="K35" s="1917"/>
      <c r="L35" s="1917">
        <v>45853</v>
      </c>
      <c r="M35" s="1917"/>
      <c r="N35" s="1917"/>
      <c r="O35" s="1760"/>
      <c r="P35" s="1747"/>
      <c r="Q35" s="145"/>
      <c r="R35" s="674"/>
      <c r="S35" s="1747"/>
      <c r="T35" s="1749"/>
      <c r="U35" s="1749"/>
    </row>
    <row r="36" spans="1:22" ht="5.0999999999999996" customHeight="1" x14ac:dyDescent="0.2">
      <c r="P36" s="1747"/>
      <c r="S36" s="1747"/>
    </row>
    <row r="37" spans="1:22" s="1748" customFormat="1" ht="25.5" x14ac:dyDescent="0.2">
      <c r="A37" s="1761">
        <v>14</v>
      </c>
      <c r="B37" s="1762" t="s">
        <v>182</v>
      </c>
      <c r="C37" s="1763">
        <v>890906415</v>
      </c>
      <c r="D37" s="1764">
        <v>1</v>
      </c>
      <c r="E37" s="1134" t="s">
        <v>415</v>
      </c>
      <c r="F37" s="1139"/>
      <c r="G37" s="1140" t="s">
        <v>496</v>
      </c>
      <c r="H37" s="1273">
        <v>-415000</v>
      </c>
      <c r="I37" s="1274"/>
      <c r="J37" s="1765" t="s">
        <v>904</v>
      </c>
      <c r="K37" s="1143"/>
      <c r="L37" s="1150"/>
      <c r="M37" s="1152"/>
      <c r="N37" s="1465">
        <v>0</v>
      </c>
      <c r="O37" s="1766" t="s">
        <v>905</v>
      </c>
      <c r="P37" s="1747"/>
      <c r="Q37" s="1147">
        <v>0.01</v>
      </c>
      <c r="R37" s="1148" t="s">
        <v>415</v>
      </c>
      <c r="S37" s="1747"/>
      <c r="T37" s="1767"/>
      <c r="U37" s="1767"/>
    </row>
    <row r="38" spans="1:22" s="1748" customFormat="1" ht="21" x14ac:dyDescent="0.2">
      <c r="A38" s="1769">
        <v>15</v>
      </c>
      <c r="B38" s="1137" t="s">
        <v>184</v>
      </c>
      <c r="C38" s="1138">
        <v>900474585</v>
      </c>
      <c r="D38" s="1764">
        <v>5</v>
      </c>
      <c r="E38" s="1139" t="s">
        <v>416</v>
      </c>
      <c r="F38" s="1139"/>
      <c r="G38" s="1140" t="s">
        <v>496</v>
      </c>
      <c r="H38" s="1273">
        <v>-286053000</v>
      </c>
      <c r="I38" s="1274"/>
      <c r="J38" s="1765" t="s">
        <v>904</v>
      </c>
      <c r="K38" s="1143"/>
      <c r="L38" s="1150"/>
      <c r="M38" s="1145"/>
      <c r="N38" s="1465">
        <v>0</v>
      </c>
      <c r="O38" s="1766" t="s">
        <v>905</v>
      </c>
      <c r="P38" s="1747"/>
      <c r="Q38" s="1147">
        <v>2403515296.9499998</v>
      </c>
      <c r="R38" s="1148" t="s">
        <v>675</v>
      </c>
      <c r="S38" s="1747"/>
      <c r="T38" s="1767">
        <v>2403515296.9499998</v>
      </c>
      <c r="U38" s="1767"/>
    </row>
    <row r="39" spans="1:22" ht="5.0999999999999996" customHeight="1" x14ac:dyDescent="0.2">
      <c r="P39" s="1747"/>
      <c r="S39" s="1747"/>
    </row>
    <row r="40" spans="1:22" s="1748" customFormat="1" ht="15" x14ac:dyDescent="0.2">
      <c r="A40" s="348" t="s">
        <v>733</v>
      </c>
      <c r="B40" s="337"/>
      <c r="C40" s="65"/>
      <c r="D40" s="771"/>
      <c r="E40" s="637"/>
      <c r="F40" s="800"/>
      <c r="G40" s="769"/>
      <c r="H40" s="1155"/>
      <c r="I40" s="1917">
        <v>45796</v>
      </c>
      <c r="J40" s="1917"/>
      <c r="K40" s="1917"/>
      <c r="L40" s="1917">
        <v>45854</v>
      </c>
      <c r="M40" s="1917"/>
      <c r="N40" s="1917"/>
      <c r="O40" s="1760"/>
      <c r="P40" s="1747"/>
      <c r="Q40" s="145"/>
      <c r="R40" s="674"/>
      <c r="S40" s="1747"/>
      <c r="T40" s="1749"/>
      <c r="U40" s="1749"/>
      <c r="V40"/>
    </row>
    <row r="41" spans="1:22" ht="5.0999999999999996" customHeight="1" x14ac:dyDescent="0.2">
      <c r="P41" s="1747"/>
      <c r="S41" s="1747"/>
    </row>
    <row r="42" spans="1:22" s="1748" customFormat="1" ht="21" x14ac:dyDescent="0.2">
      <c r="A42" s="1769">
        <v>16</v>
      </c>
      <c r="B42" s="1137" t="s">
        <v>175</v>
      </c>
      <c r="C42" s="1138">
        <v>800076166</v>
      </c>
      <c r="D42" s="1764">
        <v>2</v>
      </c>
      <c r="E42" s="1134" t="s">
        <v>415</v>
      </c>
      <c r="F42" s="1139"/>
      <c r="G42" s="1140" t="s">
        <v>496</v>
      </c>
      <c r="H42" s="1273">
        <v>-758000</v>
      </c>
      <c r="I42" s="1274"/>
      <c r="J42" s="1765" t="s">
        <v>904</v>
      </c>
      <c r="K42" s="1143"/>
      <c r="L42" s="1150"/>
      <c r="M42" s="1145"/>
      <c r="N42" s="1465">
        <v>0</v>
      </c>
      <c r="O42" s="1766" t="s">
        <v>905</v>
      </c>
      <c r="P42" s="1747"/>
      <c r="Q42" s="1147">
        <v>0.01</v>
      </c>
      <c r="R42" s="1148" t="s">
        <v>415</v>
      </c>
      <c r="S42" s="1747"/>
      <c r="T42" s="1767"/>
      <c r="U42" s="1767"/>
    </row>
    <row r="43" spans="1:22" s="1748" customFormat="1" ht="21" x14ac:dyDescent="0.2">
      <c r="A43" s="1769">
        <v>17</v>
      </c>
      <c r="B43" s="1137" t="s">
        <v>366</v>
      </c>
      <c r="C43" s="1138">
        <v>900792746</v>
      </c>
      <c r="D43" s="1764">
        <v>8</v>
      </c>
      <c r="E43" s="1134" t="s">
        <v>415</v>
      </c>
      <c r="F43" s="1153"/>
      <c r="G43" s="1140" t="s">
        <v>495</v>
      </c>
      <c r="H43" s="1273">
        <v>23250000</v>
      </c>
      <c r="I43" s="1274"/>
      <c r="J43" s="1770" t="s">
        <v>911</v>
      </c>
      <c r="K43" s="1143"/>
      <c r="L43" s="1150"/>
      <c r="M43" s="1143"/>
      <c r="N43" s="1465">
        <v>23250000</v>
      </c>
      <c r="O43" s="1766" t="s">
        <v>905</v>
      </c>
      <c r="P43" s="1747"/>
      <c r="Q43" s="1147">
        <v>231594371</v>
      </c>
      <c r="R43" s="1148" t="s">
        <v>415</v>
      </c>
      <c r="S43" s="1747"/>
      <c r="T43" s="1767"/>
      <c r="U43" s="1767">
        <v>231594371</v>
      </c>
    </row>
    <row r="44" spans="1:22" s="1748" customFormat="1" ht="21" x14ac:dyDescent="0.2">
      <c r="A44" s="1769">
        <v>18</v>
      </c>
      <c r="B44" s="1137" t="s">
        <v>188</v>
      </c>
      <c r="C44" s="1138">
        <v>890910546</v>
      </c>
      <c r="D44" s="1764">
        <v>3</v>
      </c>
      <c r="E44" s="1134" t="s">
        <v>415</v>
      </c>
      <c r="F44" s="1139"/>
      <c r="G44" s="1140" t="s">
        <v>495</v>
      </c>
      <c r="H44" s="1273">
        <v>11917000</v>
      </c>
      <c r="I44" s="1274"/>
      <c r="J44" s="1768" t="s">
        <v>907</v>
      </c>
      <c r="K44" s="1143">
        <v>11917000</v>
      </c>
      <c r="L44" s="1150"/>
      <c r="M44" s="1145"/>
      <c r="N44" s="1465">
        <v>0</v>
      </c>
      <c r="O44" s="1766" t="s">
        <v>905</v>
      </c>
      <c r="P44" s="1747"/>
      <c r="Q44" s="1147">
        <v>4568999.5199999996</v>
      </c>
      <c r="R44" s="1148" t="s">
        <v>415</v>
      </c>
      <c r="S44" s="1747"/>
      <c r="T44" s="1767">
        <v>4568999.5199999996</v>
      </c>
      <c r="U44" s="1767"/>
    </row>
    <row r="45" spans="1:22" s="1748" customFormat="1" ht="27.75" customHeight="1" x14ac:dyDescent="0.2">
      <c r="A45" s="1769">
        <v>19</v>
      </c>
      <c r="B45" s="1137" t="s">
        <v>193</v>
      </c>
      <c r="C45" s="1138">
        <v>900835266</v>
      </c>
      <c r="D45" s="1764">
        <v>0</v>
      </c>
      <c r="E45" s="1134" t="s">
        <v>415</v>
      </c>
      <c r="F45" s="1139"/>
      <c r="G45" s="1140" t="s">
        <v>501</v>
      </c>
      <c r="H45" s="1273">
        <v>0</v>
      </c>
      <c r="I45" s="1274"/>
      <c r="J45" s="1770" t="s">
        <v>911</v>
      </c>
      <c r="K45" s="1143"/>
      <c r="L45" s="1150"/>
      <c r="M45" s="1145"/>
      <c r="N45" s="1465">
        <v>0</v>
      </c>
      <c r="O45" s="1766" t="s">
        <v>905</v>
      </c>
      <c r="P45" s="1747"/>
      <c r="Q45" s="1147">
        <v>0.01</v>
      </c>
      <c r="R45" s="1148" t="s">
        <v>415</v>
      </c>
      <c r="S45" s="1747"/>
      <c r="T45" s="1767"/>
      <c r="U45" s="1767"/>
    </row>
    <row r="46" spans="1:22" ht="5.0999999999999996" customHeight="1" x14ac:dyDescent="0.2">
      <c r="P46" s="1747"/>
      <c r="S46" s="1747"/>
    </row>
    <row r="47" spans="1:22" s="1748" customFormat="1" ht="15" x14ac:dyDescent="0.2">
      <c r="A47" s="348" t="s">
        <v>734</v>
      </c>
      <c r="B47" s="337"/>
      <c r="C47" s="65"/>
      <c r="D47" s="771"/>
      <c r="E47" s="637"/>
      <c r="F47" s="800"/>
      <c r="G47" s="769"/>
      <c r="H47" s="1155"/>
      <c r="I47" s="1917">
        <v>45797</v>
      </c>
      <c r="J47" s="1917"/>
      <c r="K47" s="1917"/>
      <c r="L47" s="1917">
        <v>45855</v>
      </c>
      <c r="M47" s="1917"/>
      <c r="N47" s="1917"/>
      <c r="O47" s="1760"/>
      <c r="P47" s="1747"/>
      <c r="Q47" s="145"/>
      <c r="R47" s="674"/>
      <c r="S47" s="1747"/>
      <c r="T47" s="1749"/>
      <c r="U47" s="1749"/>
    </row>
    <row r="48" spans="1:22" ht="5.0999999999999996" customHeight="1" x14ac:dyDescent="0.2">
      <c r="P48" s="1747"/>
      <c r="S48" s="1747"/>
    </row>
    <row r="49" spans="1:21" s="1748" customFormat="1" ht="21" x14ac:dyDescent="0.2">
      <c r="A49" s="1769">
        <v>20</v>
      </c>
      <c r="B49" s="1154" t="s">
        <v>672</v>
      </c>
      <c r="C49" s="1138">
        <v>901445237</v>
      </c>
      <c r="D49" s="1764">
        <v>7</v>
      </c>
      <c r="E49" s="1134" t="s">
        <v>415</v>
      </c>
      <c r="F49" s="1139"/>
      <c r="G49" s="1140" t="s">
        <v>495</v>
      </c>
      <c r="H49" s="1273">
        <v>23321000</v>
      </c>
      <c r="I49" s="1274"/>
      <c r="J49" s="1770" t="s">
        <v>908</v>
      </c>
      <c r="K49" s="1143"/>
      <c r="L49" s="1150"/>
      <c r="M49" s="1145"/>
      <c r="N49" s="1465">
        <v>23321000</v>
      </c>
      <c r="O49" s="1766" t="s">
        <v>905</v>
      </c>
      <c r="P49" s="1747"/>
      <c r="Q49" s="1147">
        <v>81502000.969999999</v>
      </c>
      <c r="R49" s="1148" t="s">
        <v>415</v>
      </c>
      <c r="S49" s="1747"/>
      <c r="T49" s="1767">
        <v>81502000.969999999</v>
      </c>
      <c r="U49" s="1767"/>
    </row>
    <row r="50" spans="1:21" s="1748" customFormat="1" ht="21" x14ac:dyDescent="0.2">
      <c r="A50" s="1769">
        <v>21</v>
      </c>
      <c r="B50" s="1137" t="s">
        <v>185</v>
      </c>
      <c r="C50" s="1138">
        <v>900620247</v>
      </c>
      <c r="D50" s="1764">
        <v>7</v>
      </c>
      <c r="E50" s="1134" t="s">
        <v>415</v>
      </c>
      <c r="F50" s="1139"/>
      <c r="G50" s="1140" t="s">
        <v>495</v>
      </c>
      <c r="H50" s="1273">
        <v>21624000</v>
      </c>
      <c r="I50" s="1274"/>
      <c r="J50" s="1771"/>
      <c r="K50" s="1143"/>
      <c r="L50" s="1150"/>
      <c r="M50" s="1145"/>
      <c r="N50" s="1465">
        <v>21624000</v>
      </c>
      <c r="O50" s="1766" t="s">
        <v>905</v>
      </c>
      <c r="P50" s="1747"/>
      <c r="Q50" s="1147">
        <v>1134179222.3</v>
      </c>
      <c r="R50" s="1148" t="s">
        <v>415</v>
      </c>
      <c r="S50" s="1747"/>
      <c r="T50" s="1767">
        <v>1134179222.3</v>
      </c>
      <c r="U50" s="1767"/>
    </row>
    <row r="51" spans="1:21" ht="5.0999999999999996" customHeight="1" x14ac:dyDescent="0.2">
      <c r="P51" s="1747"/>
      <c r="S51" s="1747"/>
    </row>
    <row r="52" spans="1:21" s="1748" customFormat="1" ht="15" x14ac:dyDescent="0.2">
      <c r="A52" s="348" t="s">
        <v>736</v>
      </c>
      <c r="B52" s="337"/>
      <c r="C52" s="65"/>
      <c r="D52" s="771"/>
      <c r="E52" s="637"/>
      <c r="F52" s="800"/>
      <c r="G52" s="769"/>
      <c r="H52" s="1155"/>
      <c r="I52" s="1917">
        <v>45798</v>
      </c>
      <c r="J52" s="1917"/>
      <c r="K52" s="1917"/>
      <c r="L52" s="1917">
        <v>45856</v>
      </c>
      <c r="M52" s="1917"/>
      <c r="N52" s="1917"/>
      <c r="O52" s="1760"/>
      <c r="P52" s="1747"/>
      <c r="Q52" s="145"/>
      <c r="R52" s="674"/>
      <c r="S52" s="1747"/>
      <c r="T52" s="1749"/>
      <c r="U52" s="1749"/>
    </row>
    <row r="53" spans="1:21" ht="5.0999999999999996" customHeight="1" x14ac:dyDescent="0.2">
      <c r="P53" s="1747"/>
      <c r="S53" s="1747"/>
    </row>
    <row r="54" spans="1:21" s="1748" customFormat="1" ht="21" x14ac:dyDescent="0.2">
      <c r="A54" s="1769">
        <v>22</v>
      </c>
      <c r="B54" s="1204" t="s">
        <v>173</v>
      </c>
      <c r="C54" s="1138">
        <v>900650238</v>
      </c>
      <c r="D54" s="1764">
        <v>9</v>
      </c>
      <c r="E54" s="1134" t="s">
        <v>415</v>
      </c>
      <c r="F54" s="1139"/>
      <c r="G54" s="1140" t="s">
        <v>496</v>
      </c>
      <c r="H54" s="1273">
        <v>-24982000</v>
      </c>
      <c r="I54" s="1274"/>
      <c r="J54" s="1771"/>
      <c r="K54" s="1143"/>
      <c r="L54" s="1144"/>
      <c r="M54" s="1145"/>
      <c r="N54" s="1465">
        <v>0</v>
      </c>
      <c r="O54" s="1766" t="s">
        <v>905</v>
      </c>
      <c r="P54" s="1747"/>
      <c r="Q54" s="1147">
        <v>1212610775.96</v>
      </c>
      <c r="R54" s="1148" t="s">
        <v>415</v>
      </c>
      <c r="S54" s="1747"/>
      <c r="T54" s="1767">
        <v>1212610775.96</v>
      </c>
      <c r="U54" s="1767"/>
    </row>
    <row r="55" spans="1:21" ht="5.0999999999999996" customHeight="1" x14ac:dyDescent="0.2">
      <c r="P55" s="1747"/>
      <c r="S55" s="1747"/>
    </row>
    <row r="56" spans="1:21" s="1748" customFormat="1" ht="15" x14ac:dyDescent="0.2">
      <c r="A56" s="348" t="s">
        <v>737</v>
      </c>
      <c r="B56" s="337"/>
      <c r="C56" s="65"/>
      <c r="D56" s="771"/>
      <c r="E56" s="637"/>
      <c r="F56" s="800"/>
      <c r="G56" s="769"/>
      <c r="H56" s="1155"/>
      <c r="I56" s="1917">
        <v>45799</v>
      </c>
      <c r="J56" s="1917"/>
      <c r="K56" s="1917"/>
      <c r="L56" s="1917">
        <v>45859</v>
      </c>
      <c r="M56" s="1917"/>
      <c r="N56" s="1917"/>
      <c r="O56" s="1760"/>
      <c r="P56" s="1747"/>
      <c r="Q56" s="145"/>
      <c r="R56" s="674"/>
      <c r="S56" s="1747"/>
      <c r="T56" s="1749"/>
      <c r="U56" s="1749"/>
    </row>
    <row r="57" spans="1:21" ht="5.0999999999999996" customHeight="1" x14ac:dyDescent="0.2">
      <c r="P57" s="1747"/>
      <c r="S57" s="1747"/>
    </row>
    <row r="58" spans="1:21" s="1748" customFormat="1" ht="21" x14ac:dyDescent="0.2">
      <c r="A58" s="1769">
        <v>23</v>
      </c>
      <c r="B58" s="1137" t="s">
        <v>317</v>
      </c>
      <c r="C58" s="1138">
        <v>811017889</v>
      </c>
      <c r="D58" s="1764">
        <v>7</v>
      </c>
      <c r="E58" s="1134" t="s">
        <v>415</v>
      </c>
      <c r="F58" s="1139"/>
      <c r="G58" s="1140" t="s">
        <v>495</v>
      </c>
      <c r="H58" s="1273">
        <v>30357000</v>
      </c>
      <c r="I58" s="1274"/>
      <c r="J58" s="1772"/>
      <c r="K58" s="1143"/>
      <c r="L58" s="1150"/>
      <c r="M58" s="1145"/>
      <c r="N58" s="1465">
        <v>30357000</v>
      </c>
      <c r="O58" s="1766" t="s">
        <v>905</v>
      </c>
      <c r="P58" s="1747"/>
      <c r="Q58" s="1147">
        <v>352568495.46077716</v>
      </c>
      <c r="R58" s="1148" t="s">
        <v>415</v>
      </c>
      <c r="S58" s="1747"/>
      <c r="T58" s="1767"/>
      <c r="U58" s="1767">
        <v>352568495.46077716</v>
      </c>
    </row>
    <row r="59" spans="1:21" s="1748" customFormat="1" ht="33.75" x14ac:dyDescent="0.2">
      <c r="A59" s="1769">
        <v>24</v>
      </c>
      <c r="B59" s="1204" t="s">
        <v>178</v>
      </c>
      <c r="C59" s="1138">
        <v>811021789</v>
      </c>
      <c r="D59" s="1764">
        <v>4</v>
      </c>
      <c r="E59" s="1134" t="s">
        <v>415</v>
      </c>
      <c r="F59" s="1139"/>
      <c r="G59" s="1140" t="s">
        <v>501</v>
      </c>
      <c r="H59" s="1273">
        <v>0</v>
      </c>
      <c r="I59" s="1274"/>
      <c r="J59" s="1773" t="s">
        <v>912</v>
      </c>
      <c r="K59" s="1143"/>
      <c r="L59" s="1150"/>
      <c r="M59" s="1145"/>
      <c r="N59" s="1465">
        <v>0</v>
      </c>
      <c r="O59" s="1766" t="s">
        <v>905</v>
      </c>
      <c r="P59" s="1747"/>
      <c r="Q59" s="1147">
        <v>0.01</v>
      </c>
      <c r="R59" s="1148" t="s">
        <v>415</v>
      </c>
      <c r="S59" s="1747"/>
      <c r="T59" s="1767"/>
      <c r="U59" s="1767"/>
    </row>
    <row r="60" spans="1:21" s="1748" customFormat="1" ht="21" x14ac:dyDescent="0.2">
      <c r="A60" s="1769">
        <v>25</v>
      </c>
      <c r="B60" s="1137" t="s">
        <v>738</v>
      </c>
      <c r="C60" s="1138">
        <v>900478289</v>
      </c>
      <c r="D60" s="1764">
        <v>8</v>
      </c>
      <c r="E60" s="1134" t="s">
        <v>415</v>
      </c>
      <c r="F60" s="1139"/>
      <c r="G60" s="1140" t="s">
        <v>495</v>
      </c>
      <c r="H60" s="1273">
        <v>66602000</v>
      </c>
      <c r="I60" s="1274"/>
      <c r="J60" s="1768" t="s">
        <v>907</v>
      </c>
      <c r="K60" s="1273">
        <v>66602000</v>
      </c>
      <c r="L60" s="1150"/>
      <c r="M60" s="1145"/>
      <c r="N60" s="1465">
        <v>0</v>
      </c>
      <c r="O60" s="1766" t="s">
        <v>905</v>
      </c>
      <c r="P60" s="1747"/>
      <c r="Q60" s="1147">
        <v>362568108.02999997</v>
      </c>
      <c r="R60" s="1148" t="s">
        <v>415</v>
      </c>
      <c r="S60" s="1747"/>
      <c r="T60" s="1767">
        <v>362568108.02999997</v>
      </c>
      <c r="U60" s="1767"/>
    </row>
    <row r="61" spans="1:21" s="1748" customFormat="1" ht="21" x14ac:dyDescent="0.2">
      <c r="A61" s="1769">
        <v>26</v>
      </c>
      <c r="B61" s="1204" t="s">
        <v>367</v>
      </c>
      <c r="C61" s="1138">
        <v>890941339</v>
      </c>
      <c r="D61" s="1764">
        <v>8</v>
      </c>
      <c r="E61" s="1134" t="s">
        <v>415</v>
      </c>
      <c r="F61" s="1139"/>
      <c r="G61" s="1140" t="s">
        <v>501</v>
      </c>
      <c r="H61" s="1273">
        <v>0</v>
      </c>
      <c r="I61" s="1274"/>
      <c r="J61" s="1774"/>
      <c r="K61" s="1143"/>
      <c r="L61" s="1150"/>
      <c r="M61" s="1145"/>
      <c r="N61" s="1465">
        <v>0</v>
      </c>
      <c r="O61" s="1766" t="s">
        <v>905</v>
      </c>
      <c r="P61" s="1747"/>
      <c r="Q61" s="1147">
        <v>0.01</v>
      </c>
      <c r="R61" s="1148" t="s">
        <v>415</v>
      </c>
      <c r="S61" s="1747"/>
      <c r="T61" s="1767"/>
      <c r="U61" s="1767"/>
    </row>
    <row r="62" spans="1:21" s="1748" customFormat="1" ht="21" x14ac:dyDescent="0.2">
      <c r="A62" s="1769">
        <v>27</v>
      </c>
      <c r="B62" s="1137" t="s">
        <v>724</v>
      </c>
      <c r="C62" s="1138">
        <v>900742209</v>
      </c>
      <c r="D62" s="1764">
        <v>0</v>
      </c>
      <c r="E62" s="1134" t="s">
        <v>415</v>
      </c>
      <c r="F62" s="1139"/>
      <c r="G62" s="1140" t="s">
        <v>495</v>
      </c>
      <c r="H62" s="1273">
        <v>48039000</v>
      </c>
      <c r="I62" s="1274"/>
      <c r="J62" s="1772"/>
      <c r="K62" s="1143"/>
      <c r="L62" s="1150"/>
      <c r="M62" s="1145"/>
      <c r="N62" s="1465">
        <v>48039000</v>
      </c>
      <c r="O62" s="1766" t="s">
        <v>905</v>
      </c>
      <c r="P62" s="1747"/>
      <c r="Q62" s="1147">
        <v>383925046.81999999</v>
      </c>
      <c r="R62" s="1148" t="s">
        <v>415</v>
      </c>
      <c r="S62" s="1747"/>
      <c r="T62" s="1767"/>
      <c r="U62" s="1767">
        <v>383925046.81999999</v>
      </c>
    </row>
    <row r="63" spans="1:21" ht="5.0999999999999996" customHeight="1" x14ac:dyDescent="0.2">
      <c r="P63" s="1747"/>
      <c r="S63" s="1747"/>
    </row>
    <row r="64" spans="1:21" s="1748" customFormat="1" ht="15" x14ac:dyDescent="0.2">
      <c r="A64" s="348" t="s">
        <v>739</v>
      </c>
      <c r="B64" s="337"/>
      <c r="C64" s="65"/>
      <c r="D64" s="771"/>
      <c r="E64" s="637"/>
      <c r="F64" s="800"/>
      <c r="G64" s="769"/>
      <c r="H64" s="1155"/>
      <c r="I64" s="1917">
        <v>45800</v>
      </c>
      <c r="J64" s="1917"/>
      <c r="K64" s="1917"/>
      <c r="L64" s="1917">
        <v>45860</v>
      </c>
      <c r="M64" s="1917"/>
      <c r="N64" s="1917"/>
      <c r="O64" s="1760"/>
      <c r="P64" s="1747"/>
      <c r="Q64" s="145"/>
      <c r="R64" s="674"/>
      <c r="S64" s="1747"/>
      <c r="T64" s="1749"/>
      <c r="U64" s="1749"/>
    </row>
    <row r="65" spans="1:21" ht="5.0999999999999996" customHeight="1" x14ac:dyDescent="0.2">
      <c r="P65" s="1747"/>
      <c r="S65" s="1747"/>
    </row>
    <row r="66" spans="1:21" s="1748" customFormat="1" ht="21" x14ac:dyDescent="0.2">
      <c r="A66" s="1769">
        <v>28</v>
      </c>
      <c r="B66" s="1137" t="s">
        <v>414</v>
      </c>
      <c r="C66" s="1156">
        <v>901042480</v>
      </c>
      <c r="D66" s="1764">
        <v>0</v>
      </c>
      <c r="E66" s="1134" t="s">
        <v>415</v>
      </c>
      <c r="F66" s="1139"/>
      <c r="G66" s="1140"/>
      <c r="H66" s="1273"/>
      <c r="I66" s="1274"/>
      <c r="J66" s="1142" t="s">
        <v>913</v>
      </c>
      <c r="K66" s="1143"/>
      <c r="L66" s="1150"/>
      <c r="M66" s="1145"/>
      <c r="N66" s="1465">
        <v>0</v>
      </c>
      <c r="O66" s="1766" t="s">
        <v>905</v>
      </c>
      <c r="P66" s="1747"/>
      <c r="Q66" s="1147">
        <v>0.01</v>
      </c>
      <c r="R66" s="1148" t="s">
        <v>415</v>
      </c>
      <c r="S66" s="1747"/>
      <c r="T66" s="1767"/>
      <c r="U66" s="1767"/>
    </row>
    <row r="67" spans="1:21" s="1748" customFormat="1" ht="21" x14ac:dyDescent="0.2">
      <c r="A67" s="1769">
        <v>29</v>
      </c>
      <c r="B67" s="1204" t="s">
        <v>671</v>
      </c>
      <c r="C67" s="1138">
        <v>900146430</v>
      </c>
      <c r="D67" s="1764">
        <v>6</v>
      </c>
      <c r="E67" s="1134" t="s">
        <v>415</v>
      </c>
      <c r="F67" s="1139"/>
      <c r="G67" s="1140" t="s">
        <v>496</v>
      </c>
      <c r="H67" s="1273"/>
      <c r="I67" s="1274"/>
      <c r="J67" s="1142"/>
      <c r="K67" s="1143">
        <v>-26912000</v>
      </c>
      <c r="L67" s="1150"/>
      <c r="M67" s="1145"/>
      <c r="N67" s="1465">
        <v>0</v>
      </c>
      <c r="O67" s="1766" t="s">
        <v>905</v>
      </c>
      <c r="P67" s="1747"/>
      <c r="Q67" s="1147">
        <v>0.01</v>
      </c>
      <c r="R67" s="1148" t="s">
        <v>415</v>
      </c>
      <c r="S67" s="1747"/>
      <c r="T67" s="1767"/>
      <c r="U67" s="1767"/>
    </row>
    <row r="68" spans="1:21" s="1748" customFormat="1" ht="21" x14ac:dyDescent="0.2">
      <c r="A68" s="1769">
        <v>30</v>
      </c>
      <c r="B68" s="1137" t="s">
        <v>740</v>
      </c>
      <c r="C68" s="1156">
        <v>901035800</v>
      </c>
      <c r="D68" s="1764">
        <v>5</v>
      </c>
      <c r="E68" s="1134" t="s">
        <v>415</v>
      </c>
      <c r="F68" s="1139"/>
      <c r="G68" s="1140" t="s">
        <v>495</v>
      </c>
      <c r="H68" s="1273">
        <v>34551000</v>
      </c>
      <c r="I68" s="1274"/>
      <c r="J68" s="1772"/>
      <c r="K68" s="1143"/>
      <c r="L68" s="1150"/>
      <c r="M68" s="1145"/>
      <c r="N68" s="1465">
        <v>34551000</v>
      </c>
      <c r="O68" s="1766" t="s">
        <v>905</v>
      </c>
      <c r="P68" s="1747"/>
      <c r="Q68" s="1147">
        <v>242897929.09999999</v>
      </c>
      <c r="R68" s="1148" t="s">
        <v>415</v>
      </c>
      <c r="S68" s="1747"/>
      <c r="T68" s="1767"/>
      <c r="U68" s="1767">
        <v>242897929.09999999</v>
      </c>
    </row>
    <row r="69" spans="1:21" s="1748" customFormat="1" ht="51" x14ac:dyDescent="0.2">
      <c r="A69" s="1769">
        <v>31</v>
      </c>
      <c r="B69" s="1137" t="s">
        <v>914</v>
      </c>
      <c r="C69" s="1156">
        <v>901904510</v>
      </c>
      <c r="D69" s="1764">
        <v>3</v>
      </c>
      <c r="E69" s="1134" t="s">
        <v>415</v>
      </c>
      <c r="F69" s="1139"/>
      <c r="G69" s="1140"/>
      <c r="H69" s="1273"/>
      <c r="I69" s="1775" t="s">
        <v>915</v>
      </c>
      <c r="J69" s="1776"/>
      <c r="K69" s="1143"/>
      <c r="L69" s="1150"/>
      <c r="M69" s="1145"/>
      <c r="N69" s="1465">
        <v>0</v>
      </c>
      <c r="O69" s="1553" t="s">
        <v>916</v>
      </c>
      <c r="P69" s="1747"/>
      <c r="Q69" s="1147">
        <v>0.01</v>
      </c>
      <c r="R69" s="1148" t="s">
        <v>415</v>
      </c>
      <c r="S69" s="1747"/>
      <c r="T69" s="1767"/>
      <c r="U69" s="1767"/>
    </row>
    <row r="70" spans="1:21" s="1748" customFormat="1" ht="15" x14ac:dyDescent="0.2">
      <c r="B70" s="337"/>
      <c r="C70" s="65"/>
      <c r="D70" s="771"/>
      <c r="E70" s="637"/>
      <c r="F70" s="800"/>
      <c r="G70" s="769"/>
      <c r="H70" s="1155"/>
      <c r="I70" s="780"/>
      <c r="J70" s="1123"/>
      <c r="K70" s="1124"/>
      <c r="L70" s="800"/>
      <c r="M70" s="1125"/>
      <c r="N70" s="358"/>
      <c r="O70" s="358"/>
      <c r="P70" s="1747"/>
      <c r="Q70" s="145"/>
      <c r="R70" s="674"/>
      <c r="S70" s="1747"/>
      <c r="T70" s="1749"/>
      <c r="U70" s="1749"/>
    </row>
    <row r="71" spans="1:21" s="1748" customFormat="1" ht="15" x14ac:dyDescent="0.2">
      <c r="B71" s="337"/>
      <c r="C71" s="65"/>
      <c r="D71" s="771"/>
      <c r="E71" s="637"/>
      <c r="F71" s="800"/>
      <c r="G71" s="769"/>
      <c r="H71" s="1155"/>
      <c r="I71" s="780"/>
      <c r="J71" s="1123"/>
      <c r="K71" s="1124"/>
      <c r="L71" s="800"/>
      <c r="M71" s="1125"/>
      <c r="N71" s="358"/>
      <c r="O71" s="358"/>
      <c r="P71" s="1747"/>
      <c r="Q71" s="145"/>
      <c r="R71" s="674"/>
      <c r="S71" s="1747"/>
      <c r="T71" s="1749"/>
      <c r="U71" s="1749"/>
    </row>
    <row r="72" spans="1:21" s="1748" customFormat="1" ht="15" x14ac:dyDescent="0.2">
      <c r="A72" s="1747"/>
      <c r="B72" s="846"/>
      <c r="C72" s="847"/>
      <c r="D72" s="850"/>
      <c r="E72" s="1158"/>
      <c r="F72" s="851"/>
      <c r="G72" s="852"/>
      <c r="H72" s="1777"/>
      <c r="I72" s="764"/>
      <c r="J72" s="1159"/>
      <c r="K72" s="1160"/>
      <c r="L72" s="851"/>
      <c r="M72" s="1161"/>
      <c r="N72" s="1778"/>
      <c r="O72" s="1778"/>
      <c r="P72" s="1747"/>
      <c r="Q72" s="920"/>
      <c r="R72" s="675"/>
      <c r="S72" s="1747"/>
      <c r="T72" s="1749"/>
      <c r="U72" s="1749"/>
    </row>
    <row r="73" spans="1:21" s="1748" customFormat="1" ht="15" x14ac:dyDescent="0.2">
      <c r="B73" s="337"/>
      <c r="C73" s="65"/>
      <c r="D73" s="771"/>
      <c r="E73" s="637"/>
      <c r="F73" s="800"/>
      <c r="G73" s="1162" t="s">
        <v>495</v>
      </c>
      <c r="H73" s="1163">
        <v>312111000</v>
      </c>
      <c r="J73" s="1164"/>
      <c r="K73" s="1165">
        <v>89577000</v>
      </c>
      <c r="L73" s="800"/>
      <c r="M73" s="1155"/>
      <c r="N73" s="1465">
        <v>222534000</v>
      </c>
      <c r="O73" s="1465">
        <v>0</v>
      </c>
      <c r="Q73" s="145"/>
      <c r="R73" s="674"/>
      <c r="T73" s="1749"/>
      <c r="U73" s="1749"/>
    </row>
    <row r="74" spans="1:21" s="1748" customFormat="1" ht="15" x14ac:dyDescent="0.2">
      <c r="B74" s="337"/>
      <c r="C74" s="65"/>
      <c r="D74" s="771"/>
      <c r="E74" s="637"/>
      <c r="F74" s="800"/>
      <c r="G74" s="1166" t="s">
        <v>496</v>
      </c>
      <c r="H74" s="1163">
        <v>-431770000</v>
      </c>
      <c r="J74" s="1164"/>
      <c r="K74" s="1124"/>
      <c r="L74" s="800"/>
      <c r="M74" s="1155"/>
      <c r="N74" s="358"/>
      <c r="O74" s="358"/>
      <c r="Q74" s="145"/>
      <c r="R74" s="674"/>
      <c r="T74" s="1749"/>
      <c r="U74" s="1749"/>
    </row>
    <row r="76" spans="1:21" s="1748" customFormat="1" ht="15" x14ac:dyDescent="0.2">
      <c r="B76" s="337"/>
      <c r="C76" s="65"/>
      <c r="D76" s="771"/>
      <c r="E76" s="637"/>
      <c r="F76" s="800"/>
      <c r="G76" s="769"/>
      <c r="H76" s="1155"/>
      <c r="I76" s="780"/>
      <c r="J76" s="1917">
        <v>45803</v>
      </c>
      <c r="K76" s="1917"/>
      <c r="L76" s="1917"/>
      <c r="M76" s="1125"/>
      <c r="N76" s="358"/>
      <c r="O76" s="358"/>
      <c r="Q76" s="145"/>
      <c r="R76" s="674"/>
      <c r="T76" s="1749"/>
      <c r="U76" s="1749"/>
    </row>
    <row r="77" spans="1:21" s="1748" customFormat="1" ht="15" x14ac:dyDescent="0.2">
      <c r="A77" s="1779" t="s">
        <v>917</v>
      </c>
      <c r="B77" s="1780"/>
      <c r="C77" s="65"/>
      <c r="D77" s="771"/>
      <c r="E77" s="637"/>
      <c r="F77" s="800"/>
      <c r="G77" s="769"/>
      <c r="H77" s="1155"/>
      <c r="I77" s="780"/>
      <c r="J77" s="1123"/>
      <c r="K77" s="1124"/>
      <c r="L77" s="800"/>
      <c r="M77" s="1125"/>
      <c r="N77" s="358"/>
      <c r="O77" s="358"/>
      <c r="Q77" s="145"/>
      <c r="R77" s="674"/>
      <c r="T77" s="1749"/>
      <c r="U77" s="1749"/>
    </row>
    <row r="78" spans="1:21" s="1748" customFormat="1" ht="15" x14ac:dyDescent="0.2">
      <c r="B78" s="337"/>
      <c r="C78" s="65"/>
      <c r="D78" s="771"/>
      <c r="E78" s="637"/>
      <c r="F78" s="800"/>
      <c r="G78" s="769"/>
      <c r="H78" s="1155"/>
      <c r="I78" s="780"/>
      <c r="J78" s="1123"/>
      <c r="K78" s="1124"/>
      <c r="L78" s="800"/>
      <c r="M78" s="1125"/>
      <c r="N78" s="358"/>
      <c r="O78" s="358"/>
      <c r="Q78" s="145"/>
      <c r="R78" s="674"/>
      <c r="T78" s="1749"/>
      <c r="U78" s="1749"/>
    </row>
    <row r="79" spans="1:21" s="1748" customFormat="1" ht="15" x14ac:dyDescent="0.2">
      <c r="A79" s="1769">
        <v>1</v>
      </c>
      <c r="B79" s="1137" t="s">
        <v>674</v>
      </c>
      <c r="C79" s="1138">
        <v>900625975</v>
      </c>
      <c r="D79" s="1764">
        <v>3</v>
      </c>
      <c r="E79" s="1134">
        <v>0</v>
      </c>
      <c r="F79" s="1139"/>
      <c r="G79" s="1140"/>
      <c r="H79" s="1273"/>
      <c r="I79" s="1157"/>
      <c r="J79" s="1149"/>
      <c r="K79" s="1143"/>
      <c r="L79" s="1150"/>
      <c r="M79" s="1152"/>
      <c r="N79" s="1465"/>
      <c r="O79" s="1465"/>
      <c r="P79" s="1747"/>
      <c r="Q79" s="1147"/>
      <c r="R79" s="1148"/>
      <c r="S79" s="1747"/>
      <c r="T79" s="1749"/>
      <c r="U79" s="1749"/>
    </row>
    <row r="80" spans="1:21" s="1748" customFormat="1" ht="15" x14ac:dyDescent="0.2">
      <c r="A80" s="1769">
        <v>2</v>
      </c>
      <c r="B80" s="1137" t="s">
        <v>735</v>
      </c>
      <c r="C80" s="1138">
        <v>890924327</v>
      </c>
      <c r="D80" s="1764">
        <v>8</v>
      </c>
      <c r="E80" s="1134">
        <v>0</v>
      </c>
      <c r="F80" s="1139"/>
      <c r="G80" s="1140"/>
      <c r="H80" s="1273"/>
      <c r="I80" s="1157"/>
      <c r="J80" s="1149"/>
      <c r="K80" s="1143"/>
      <c r="L80" s="1150"/>
      <c r="M80" s="1145"/>
      <c r="N80" s="1465"/>
      <c r="O80" s="1465"/>
      <c r="P80" s="1747"/>
      <c r="Q80" s="1147"/>
      <c r="R80" s="1148"/>
      <c r="S80" s="1747"/>
      <c r="T80" s="1749"/>
      <c r="U80" s="1749"/>
    </row>
    <row r="81" spans="2:21" s="1748" customFormat="1" ht="15" x14ac:dyDescent="0.2">
      <c r="B81" s="337"/>
      <c r="C81" s="65"/>
      <c r="D81" s="771"/>
      <c r="E81" s="637"/>
      <c r="F81" s="800"/>
      <c r="G81" s="769"/>
      <c r="H81" s="1155"/>
      <c r="I81" s="780"/>
      <c r="J81" s="1123"/>
      <c r="K81" s="1124"/>
      <c r="L81" s="800"/>
      <c r="M81" s="1125"/>
      <c r="N81" s="358"/>
      <c r="O81" s="358"/>
      <c r="Q81" s="145"/>
      <c r="R81" s="674"/>
      <c r="T81" s="1749"/>
      <c r="U81" s="1749"/>
    </row>
    <row r="82" spans="2:21" s="1748" customFormat="1" ht="15" x14ac:dyDescent="0.2">
      <c r="B82" s="337"/>
      <c r="C82" s="65">
        <v>901292059</v>
      </c>
      <c r="D82" s="1764">
        <v>4</v>
      </c>
      <c r="E82" s="637"/>
      <c r="F82" s="800"/>
      <c r="G82" s="769"/>
      <c r="H82" s="1155"/>
      <c r="I82" s="780"/>
      <c r="J82" s="1123"/>
      <c r="K82" s="1124"/>
      <c r="L82" s="800"/>
      <c r="M82" s="1125"/>
      <c r="N82" s="358"/>
      <c r="O82" s="358"/>
      <c r="Q82" s="145"/>
      <c r="R82" s="674"/>
      <c r="T82" s="1749"/>
      <c r="U82" s="1749"/>
    </row>
    <row r="83" spans="2:21" s="1748" customFormat="1" ht="15" x14ac:dyDescent="0.2">
      <c r="B83" s="337"/>
      <c r="C83" s="65"/>
      <c r="D83" s="771"/>
      <c r="E83" s="637"/>
      <c r="F83" s="800"/>
      <c r="G83" s="769"/>
      <c r="H83" s="1155"/>
      <c r="I83" s="780"/>
      <c r="J83" s="1123"/>
      <c r="K83" s="1124"/>
      <c r="L83" s="800"/>
      <c r="M83" s="1125"/>
      <c r="N83" s="358"/>
      <c r="O83" s="358"/>
      <c r="Q83" s="145"/>
      <c r="R83" s="674"/>
      <c r="T83" s="1749"/>
      <c r="U83" s="1749"/>
    </row>
    <row r="84" spans="2:21" s="1748" customFormat="1" ht="15" x14ac:dyDescent="0.2">
      <c r="B84" s="337"/>
      <c r="C84" s="65"/>
      <c r="D84" s="771"/>
      <c r="E84" s="637"/>
      <c r="F84" s="800"/>
      <c r="G84" s="769"/>
      <c r="H84" s="1155"/>
      <c r="I84" s="780"/>
      <c r="J84" s="1123"/>
      <c r="K84" s="1124"/>
      <c r="L84" s="800"/>
      <c r="M84" s="1125"/>
      <c r="N84" s="358"/>
      <c r="O84" s="358"/>
      <c r="Q84" s="145"/>
      <c r="R84" s="674"/>
      <c r="T84" s="1749"/>
      <c r="U84" s="1749"/>
    </row>
    <row r="85" spans="2:21" s="1748" customFormat="1" ht="15" x14ac:dyDescent="0.2">
      <c r="B85" s="337"/>
      <c r="C85" s="65"/>
      <c r="D85" s="771"/>
      <c r="E85" s="637"/>
      <c r="F85" s="800"/>
      <c r="G85" s="769"/>
      <c r="H85" s="1155"/>
      <c r="I85" s="780"/>
      <c r="J85" s="1123"/>
      <c r="K85" s="1124"/>
      <c r="L85" s="800"/>
      <c r="M85" s="1125"/>
      <c r="N85" s="358"/>
      <c r="O85" s="358"/>
      <c r="Q85" s="145"/>
      <c r="R85" s="674"/>
      <c r="T85" s="1749"/>
      <c r="U85" s="1749"/>
    </row>
    <row r="86" spans="2:21" s="1748" customFormat="1" ht="15" x14ac:dyDescent="0.2">
      <c r="B86" s="337"/>
      <c r="C86" s="65"/>
      <c r="D86" s="771"/>
      <c r="E86" s="637"/>
      <c r="F86" s="800"/>
      <c r="G86" s="769"/>
      <c r="H86" s="1155"/>
      <c r="I86" s="780"/>
      <c r="J86" s="1123"/>
      <c r="K86" s="1124"/>
      <c r="L86" s="800"/>
      <c r="M86" s="1125"/>
      <c r="N86" s="358"/>
      <c r="O86" s="358"/>
      <c r="Q86" s="145"/>
      <c r="R86" s="674"/>
      <c r="T86" s="1749"/>
      <c r="U86" s="1749"/>
    </row>
    <row r="87" spans="2:21" s="1748" customFormat="1" ht="15" x14ac:dyDescent="0.2">
      <c r="B87" s="337"/>
      <c r="C87" s="65"/>
      <c r="D87" s="771"/>
      <c r="E87" s="637"/>
      <c r="F87" s="800"/>
      <c r="G87" s="769"/>
      <c r="H87" s="1155"/>
      <c r="I87" s="780"/>
      <c r="J87" s="1123"/>
      <c r="K87" s="1124"/>
      <c r="L87" s="800"/>
      <c r="M87" s="1125"/>
      <c r="N87" s="358"/>
      <c r="O87" s="358"/>
      <c r="Q87" s="145"/>
      <c r="R87" s="674"/>
      <c r="T87" s="1749"/>
      <c r="U87" s="1749"/>
    </row>
    <row r="88" spans="2:21" s="1748" customFormat="1" ht="15" x14ac:dyDescent="0.2">
      <c r="B88" s="337"/>
      <c r="C88" s="65"/>
      <c r="D88" s="771"/>
      <c r="E88" s="637"/>
      <c r="F88" s="800"/>
      <c r="G88" s="769"/>
      <c r="H88" s="1155"/>
      <c r="I88" s="780"/>
      <c r="J88" s="1123"/>
      <c r="K88" s="1124"/>
      <c r="L88" s="800"/>
      <c r="M88" s="1125"/>
      <c r="N88" s="358"/>
      <c r="O88" s="358"/>
      <c r="Q88" s="145"/>
      <c r="R88" s="674"/>
      <c r="T88" s="1749"/>
      <c r="U88" s="1749"/>
    </row>
    <row r="89" spans="2:21" s="1748" customFormat="1" ht="15" x14ac:dyDescent="0.2">
      <c r="B89" s="337"/>
      <c r="C89" s="65"/>
      <c r="D89" s="771"/>
      <c r="E89" s="637"/>
      <c r="F89" s="800"/>
      <c r="G89" s="769"/>
      <c r="H89" s="1155"/>
      <c r="I89" s="780"/>
      <c r="J89" s="1123"/>
      <c r="K89" s="1124"/>
      <c r="L89" s="800"/>
      <c r="M89" s="1125"/>
      <c r="N89" s="358"/>
      <c r="O89" s="358"/>
      <c r="Q89" s="145"/>
      <c r="R89" s="674"/>
      <c r="T89" s="1749"/>
      <c r="U89" s="1749"/>
    </row>
    <row r="90" spans="2:21" s="1748" customFormat="1" ht="15" x14ac:dyDescent="0.2">
      <c r="B90" s="337"/>
      <c r="C90" s="65"/>
      <c r="D90" s="771"/>
      <c r="E90" s="637"/>
      <c r="F90" s="800"/>
      <c r="G90" s="769"/>
      <c r="H90" s="1155"/>
      <c r="I90" s="780"/>
      <c r="J90" s="1123"/>
      <c r="K90" s="1124"/>
      <c r="L90" s="800"/>
      <c r="M90" s="1125"/>
      <c r="N90" s="358"/>
      <c r="O90" s="358"/>
      <c r="Q90" s="145"/>
      <c r="R90" s="674"/>
      <c r="T90" s="1749"/>
      <c r="U90" s="1749"/>
    </row>
    <row r="91" spans="2:21" s="1748" customFormat="1" ht="15" x14ac:dyDescent="0.2">
      <c r="B91" s="337"/>
      <c r="C91" s="65"/>
      <c r="D91" s="771"/>
      <c r="E91" s="637"/>
      <c r="F91" s="800"/>
      <c r="G91" s="769"/>
      <c r="H91" s="1155"/>
      <c r="I91" s="780"/>
      <c r="J91" s="1123"/>
      <c r="K91" s="1124"/>
      <c r="L91" s="800"/>
      <c r="M91" s="1125"/>
      <c r="N91" s="358"/>
      <c r="O91" s="358"/>
      <c r="Q91" s="145"/>
      <c r="R91" s="674"/>
      <c r="T91" s="1749"/>
      <c r="U91" s="1749"/>
    </row>
    <row r="92" spans="2:21" s="1748" customFormat="1" ht="15" x14ac:dyDescent="0.2">
      <c r="B92" s="337"/>
      <c r="C92" s="65"/>
      <c r="D92" s="771"/>
      <c r="E92" s="637"/>
      <c r="F92" s="800"/>
      <c r="G92" s="769"/>
      <c r="H92" s="1155"/>
      <c r="I92" s="780"/>
      <c r="J92" s="1123"/>
      <c r="K92" s="1124"/>
      <c r="L92" s="800"/>
      <c r="M92" s="1125"/>
      <c r="N92" s="358"/>
      <c r="O92" s="358"/>
      <c r="Q92" s="145"/>
      <c r="R92" s="674"/>
      <c r="T92" s="1749"/>
      <c r="U92" s="1749"/>
    </row>
    <row r="93" spans="2:21" s="1748" customFormat="1" ht="15" x14ac:dyDescent="0.2">
      <c r="B93" s="337"/>
      <c r="C93" s="65"/>
      <c r="D93" s="771"/>
      <c r="E93" s="637"/>
      <c r="F93" s="800"/>
      <c r="G93" s="769"/>
      <c r="H93" s="1155"/>
      <c r="I93" s="780"/>
      <c r="J93" s="1123"/>
      <c r="K93" s="1124"/>
      <c r="L93" s="800"/>
      <c r="M93" s="1125"/>
      <c r="N93" s="358"/>
      <c r="O93" s="358"/>
      <c r="Q93" s="145"/>
      <c r="R93" s="674"/>
      <c r="T93" s="1749"/>
      <c r="U93" s="1749"/>
    </row>
    <row r="94" spans="2:21" s="1748" customFormat="1" ht="15" x14ac:dyDescent="0.2">
      <c r="B94" s="337"/>
      <c r="C94" s="65"/>
      <c r="D94" s="771"/>
      <c r="E94" s="637"/>
      <c r="F94" s="800"/>
      <c r="G94" s="769"/>
      <c r="H94" s="1155"/>
      <c r="I94" s="780"/>
      <c r="J94" s="1123"/>
      <c r="K94" s="1124"/>
      <c r="L94" s="800"/>
      <c r="M94" s="1125"/>
      <c r="N94" s="358"/>
      <c r="O94" s="358"/>
      <c r="Q94" s="145"/>
      <c r="R94" s="674"/>
      <c r="T94" s="1749"/>
      <c r="U94" s="1749"/>
    </row>
    <row r="95" spans="2:21" s="1748" customFormat="1" ht="15" x14ac:dyDescent="0.2">
      <c r="B95" s="337"/>
      <c r="C95" s="65"/>
      <c r="D95" s="771"/>
      <c r="E95" s="637"/>
      <c r="F95" s="800"/>
      <c r="G95" s="769"/>
      <c r="H95" s="1155"/>
      <c r="I95" s="780"/>
      <c r="J95" s="1123"/>
      <c r="K95" s="1124"/>
      <c r="L95" s="800"/>
      <c r="M95" s="1125"/>
      <c r="N95" s="358"/>
      <c r="O95" s="358"/>
      <c r="Q95" s="145"/>
      <c r="R95" s="674"/>
      <c r="T95" s="1749"/>
      <c r="U95" s="1749"/>
    </row>
    <row r="96" spans="2:21" s="1748" customFormat="1" ht="15" x14ac:dyDescent="0.2">
      <c r="B96" s="337"/>
      <c r="C96" s="65"/>
      <c r="D96" s="771"/>
      <c r="E96" s="637"/>
      <c r="F96" s="800"/>
      <c r="G96" s="769"/>
      <c r="H96" s="1155"/>
      <c r="I96" s="780"/>
      <c r="J96" s="1123"/>
      <c r="K96" s="1124"/>
      <c r="L96" s="800"/>
      <c r="M96" s="1125"/>
      <c r="N96" s="358"/>
      <c r="O96" s="358"/>
      <c r="Q96" s="145"/>
      <c r="R96" s="674"/>
      <c r="T96" s="1749"/>
      <c r="U96" s="1749"/>
    </row>
    <row r="97" spans="1:21" s="1748" customFormat="1" ht="15" x14ac:dyDescent="0.2">
      <c r="B97" s="337"/>
      <c r="C97" s="65"/>
      <c r="D97" s="771"/>
      <c r="E97" s="637"/>
      <c r="F97" s="800"/>
      <c r="G97" s="769"/>
      <c r="H97" s="1155"/>
      <c r="I97" s="780"/>
      <c r="J97" s="1123"/>
      <c r="K97" s="1124"/>
      <c r="L97" s="800"/>
      <c r="M97" s="1125"/>
      <c r="N97" s="358"/>
      <c r="O97" s="358"/>
      <c r="Q97" s="145"/>
      <c r="R97" s="674"/>
      <c r="T97" s="1749"/>
      <c r="U97" s="1749"/>
    </row>
    <row r="98" spans="1:21" s="1748" customFormat="1" ht="15" x14ac:dyDescent="0.2">
      <c r="B98" s="337"/>
      <c r="C98" s="65"/>
      <c r="D98" s="771"/>
      <c r="E98" s="637"/>
      <c r="F98" s="800"/>
      <c r="G98" s="769"/>
      <c r="H98" s="1155"/>
      <c r="I98" s="780"/>
      <c r="J98" s="1123"/>
      <c r="K98" s="1124"/>
      <c r="L98" s="800"/>
      <c r="M98" s="1125"/>
      <c r="N98" s="358"/>
      <c r="O98" s="358"/>
      <c r="Q98" s="145"/>
      <c r="R98" s="674"/>
      <c r="T98" s="1749"/>
      <c r="U98" s="1749"/>
    </row>
    <row r="99" spans="1:21" s="1748" customFormat="1" ht="15" x14ac:dyDescent="0.2">
      <c r="B99" s="337"/>
      <c r="C99" s="65"/>
      <c r="D99" s="771"/>
      <c r="E99" s="637"/>
      <c r="F99" s="800"/>
      <c r="G99" s="769"/>
      <c r="H99" s="1155"/>
      <c r="I99" s="780"/>
      <c r="J99" s="1123"/>
      <c r="K99" s="1124"/>
      <c r="L99" s="800"/>
      <c r="M99" s="1125"/>
      <c r="N99" s="358"/>
      <c r="O99" s="358"/>
      <c r="Q99" s="145"/>
      <c r="R99" s="674"/>
      <c r="T99" s="1749"/>
      <c r="U99" s="1749"/>
    </row>
    <row r="100" spans="1:21" s="1748" customFormat="1" ht="15" x14ac:dyDescent="0.2">
      <c r="B100" s="337"/>
      <c r="C100" s="65"/>
      <c r="D100" s="771"/>
      <c r="E100" s="637"/>
      <c r="F100" s="800"/>
      <c r="G100" s="769"/>
      <c r="H100" s="1155"/>
      <c r="I100" s="780"/>
      <c r="J100" s="1123"/>
      <c r="K100" s="1124"/>
      <c r="L100" s="800"/>
      <c r="M100" s="1125"/>
      <c r="N100" s="358"/>
      <c r="O100" s="358"/>
      <c r="Q100" s="145"/>
      <c r="R100" s="674"/>
      <c r="T100" s="1749"/>
      <c r="U100" s="1749"/>
    </row>
    <row r="101" spans="1:21" s="1748" customFormat="1" ht="15" x14ac:dyDescent="0.2">
      <c r="B101" s="848" t="s">
        <v>515</v>
      </c>
      <c r="C101" s="65"/>
      <c r="D101" s="771"/>
      <c r="E101" s="637"/>
      <c r="F101" s="800"/>
      <c r="G101" s="769"/>
      <c r="H101" s="1155"/>
      <c r="I101" s="780"/>
      <c r="J101" s="1123"/>
      <c r="K101" s="1124"/>
      <c r="L101" s="800"/>
      <c r="M101" s="1125"/>
      <c r="N101" s="358"/>
      <c r="O101" s="358"/>
      <c r="Q101" s="145"/>
      <c r="R101" s="674"/>
      <c r="T101" s="1749"/>
      <c r="U101" s="1749"/>
    </row>
    <row r="102" spans="1:21" s="1748" customFormat="1" ht="15" x14ac:dyDescent="0.2">
      <c r="B102" s="848"/>
      <c r="C102" s="65"/>
      <c r="D102" s="771"/>
      <c r="E102" s="637"/>
      <c r="F102" s="800"/>
      <c r="G102" s="769"/>
      <c r="H102" s="1155"/>
      <c r="I102" s="780"/>
      <c r="J102" s="1123"/>
      <c r="K102" s="1124"/>
      <c r="L102" s="800"/>
      <c r="M102" s="1125"/>
      <c r="N102" s="358"/>
      <c r="O102" s="358"/>
      <c r="Q102" s="145"/>
      <c r="R102" s="674"/>
      <c r="T102" s="1749"/>
      <c r="U102" s="1749"/>
    </row>
    <row r="103" spans="1:21" s="1748" customFormat="1" ht="15" x14ac:dyDescent="0.2">
      <c r="A103" s="1769">
        <v>15</v>
      </c>
      <c r="B103" s="1137" t="s">
        <v>348</v>
      </c>
      <c r="C103" s="1138">
        <v>901310811</v>
      </c>
      <c r="D103" s="1764" t="e">
        <v>#REF!</v>
      </c>
      <c r="E103" s="1134" t="e">
        <v>#REF!</v>
      </c>
      <c r="F103" s="1139" t="s">
        <v>318</v>
      </c>
      <c r="G103" s="1140"/>
      <c r="H103" s="1273"/>
      <c r="I103" s="1167"/>
      <c r="J103" s="1142"/>
      <c r="K103" s="1151"/>
      <c r="L103" s="1144"/>
      <c r="M103" s="1145"/>
      <c r="N103" s="1465"/>
      <c r="O103" s="1465"/>
      <c r="P103" s="1747"/>
      <c r="Q103" s="1147">
        <v>0</v>
      </c>
      <c r="R103" s="1148" t="e">
        <v>#REF!</v>
      </c>
      <c r="S103" s="1747"/>
      <c r="T103" s="1749"/>
      <c r="U103" s="1749"/>
    </row>
    <row r="104" spans="1:21" s="1748" customFormat="1" ht="15" x14ac:dyDescent="0.2">
      <c r="B104" s="337"/>
      <c r="C104" s="65"/>
      <c r="D104" s="771"/>
      <c r="E104" s="637"/>
      <c r="F104" s="800"/>
      <c r="G104" s="769"/>
      <c r="H104" s="1155"/>
      <c r="I104" s="780"/>
      <c r="J104" s="1123"/>
      <c r="K104" s="1124"/>
      <c r="L104" s="800"/>
      <c r="M104" s="1125"/>
      <c r="N104" s="358"/>
      <c r="O104" s="358"/>
      <c r="Q104" s="145"/>
      <c r="R104" s="674"/>
      <c r="T104" s="1749"/>
      <c r="U104" s="1749"/>
    </row>
    <row r="105" spans="1:21" s="1748" customFormat="1" ht="15" x14ac:dyDescent="0.2">
      <c r="B105" s="848" t="s">
        <v>516</v>
      </c>
      <c r="C105" s="65"/>
      <c r="D105" s="771"/>
      <c r="E105" s="637"/>
      <c r="F105" s="800"/>
      <c r="G105" s="769"/>
      <c r="H105" s="1155"/>
      <c r="I105" s="780"/>
      <c r="J105" s="1123"/>
      <c r="K105" s="1124"/>
      <c r="L105" s="800"/>
      <c r="M105" s="1125"/>
      <c r="N105" s="358"/>
      <c r="O105" s="358"/>
      <c r="Q105" s="145"/>
      <c r="R105" s="674"/>
      <c r="T105" s="1749"/>
      <c r="U105" s="1749"/>
    </row>
    <row r="106" spans="1:21" s="1748" customFormat="1" ht="15" x14ac:dyDescent="0.2">
      <c r="B106" s="848"/>
      <c r="C106" s="65"/>
      <c r="D106" s="771"/>
      <c r="E106" s="637"/>
      <c r="F106" s="800"/>
      <c r="G106" s="769"/>
      <c r="H106" s="1155"/>
      <c r="I106" s="780"/>
      <c r="J106" s="1123"/>
      <c r="K106" s="1124"/>
      <c r="L106" s="800"/>
      <c r="M106" s="1125"/>
      <c r="N106" s="358"/>
      <c r="O106" s="358"/>
      <c r="Q106" s="145"/>
      <c r="R106" s="674"/>
      <c r="T106" s="1749"/>
      <c r="U106" s="1749"/>
    </row>
    <row r="107" spans="1:21" s="1748" customFormat="1" ht="9.9499999999999993" customHeight="1" x14ac:dyDescent="0.2">
      <c r="A107" s="1769">
        <v>1</v>
      </c>
      <c r="B107" s="1137" t="s">
        <v>196</v>
      </c>
      <c r="C107" s="1138" t="s">
        <v>517</v>
      </c>
      <c r="D107" s="1168"/>
      <c r="E107" s="1169"/>
      <c r="F107" s="1139"/>
      <c r="G107" s="1170"/>
      <c r="H107" s="1143"/>
      <c r="I107" s="1171"/>
      <c r="J107" s="1172"/>
      <c r="K107" s="1151"/>
      <c r="L107" s="1148"/>
      <c r="M107" s="1145"/>
      <c r="N107" s="1465"/>
      <c r="O107" s="1465"/>
      <c r="P107" s="1747"/>
      <c r="Q107" s="1147">
        <v>0</v>
      </c>
      <c r="R107" s="1148" t="e">
        <v>#REF!</v>
      </c>
      <c r="S107" s="1747"/>
      <c r="T107" s="1749"/>
      <c r="U107" s="1749"/>
    </row>
    <row r="108" spans="1:21" s="1748" customFormat="1" ht="9.9499999999999993" customHeight="1" x14ac:dyDescent="0.2">
      <c r="A108" s="1769">
        <v>2</v>
      </c>
      <c r="B108" s="1137" t="s">
        <v>192</v>
      </c>
      <c r="C108" s="1138" t="s">
        <v>518</v>
      </c>
      <c r="D108" s="1168"/>
      <c r="E108" s="1169"/>
      <c r="F108" s="1139"/>
      <c r="G108" s="1157"/>
      <c r="H108" s="1143"/>
      <c r="I108" s="1171"/>
      <c r="J108" s="1172"/>
      <c r="K108" s="1151"/>
      <c r="L108" s="1148"/>
      <c r="M108" s="1145"/>
      <c r="N108" s="1465"/>
      <c r="O108" s="1465"/>
      <c r="P108" s="1747"/>
      <c r="Q108" s="1147"/>
      <c r="R108" s="1148" t="e">
        <v>#REF!</v>
      </c>
      <c r="S108" s="1747"/>
      <c r="T108" s="1749"/>
      <c r="U108" s="1749"/>
    </row>
    <row r="109" spans="1:21" s="1748" customFormat="1" ht="9.9499999999999993" customHeight="1" x14ac:dyDescent="0.2">
      <c r="A109" s="1769">
        <v>3</v>
      </c>
      <c r="B109" s="1137" t="s">
        <v>519</v>
      </c>
      <c r="C109" s="1138" t="s">
        <v>520</v>
      </c>
      <c r="D109" s="1168"/>
      <c r="E109" s="1169"/>
      <c r="F109" s="1139"/>
      <c r="G109" s="1140"/>
      <c r="H109" s="1273"/>
      <c r="I109" s="1171"/>
      <c r="J109" s="1172"/>
      <c r="K109" s="1151"/>
      <c r="L109" s="1148"/>
      <c r="M109" s="1173"/>
      <c r="N109" s="1465"/>
      <c r="O109" s="1465"/>
      <c r="P109" s="1747"/>
      <c r="Q109" s="1147">
        <v>16974000</v>
      </c>
      <c r="R109" s="1148" t="e">
        <v>#REF!</v>
      </c>
      <c r="S109" s="1747"/>
      <c r="T109" s="1749"/>
      <c r="U109" s="1749"/>
    </row>
    <row r="110" spans="1:21" s="1748" customFormat="1" ht="9.9499999999999993" customHeight="1" x14ac:dyDescent="0.2">
      <c r="A110" s="1769">
        <v>4</v>
      </c>
      <c r="B110" s="1137" t="s">
        <v>240</v>
      </c>
      <c r="C110" s="1156" t="s">
        <v>521</v>
      </c>
      <c r="D110" s="1174"/>
      <c r="E110" s="1169"/>
      <c r="F110" s="1139"/>
      <c r="G110" s="1140"/>
      <c r="H110" s="1273"/>
      <c r="I110" s="1171"/>
      <c r="J110" s="1172"/>
      <c r="K110" s="1151"/>
      <c r="L110" s="1148"/>
      <c r="M110" s="1173"/>
      <c r="N110" s="1465"/>
      <c r="O110" s="1465"/>
      <c r="P110" s="1747"/>
      <c r="Q110" s="1147">
        <v>27163000</v>
      </c>
      <c r="R110" s="1148" t="e">
        <v>#REF!</v>
      </c>
      <c r="S110" s="1747"/>
      <c r="T110" s="1749"/>
      <c r="U110" s="1749"/>
    </row>
    <row r="111" spans="1:21" s="1748" customFormat="1" ht="9.9499999999999993" customHeight="1" x14ac:dyDescent="0.2">
      <c r="A111" s="1769">
        <v>5</v>
      </c>
      <c r="B111" s="1137" t="s">
        <v>522</v>
      </c>
      <c r="C111" s="1138" t="s">
        <v>523</v>
      </c>
      <c r="D111" s="1168"/>
      <c r="E111" s="1169"/>
      <c r="F111" s="1139"/>
      <c r="G111" s="1140"/>
      <c r="H111" s="1273"/>
      <c r="I111" s="1171"/>
      <c r="J111" s="1172"/>
      <c r="K111" s="1151"/>
      <c r="L111" s="1148"/>
      <c r="M111" s="1173"/>
      <c r="N111" s="1465"/>
      <c r="O111" s="1465"/>
      <c r="P111" s="1747"/>
      <c r="Q111" s="1147"/>
      <c r="R111" s="1148" t="e">
        <v>#REF!</v>
      </c>
      <c r="S111" s="1747"/>
      <c r="T111" s="1749"/>
      <c r="U111" s="1749"/>
    </row>
    <row r="112" spans="1:21" s="1748" customFormat="1" ht="9.9499999999999993" customHeight="1" x14ac:dyDescent="0.2">
      <c r="A112" s="1769">
        <v>6</v>
      </c>
      <c r="B112" s="1137" t="s">
        <v>524</v>
      </c>
      <c r="C112" s="1138" t="s">
        <v>525</v>
      </c>
      <c r="D112" s="1168"/>
      <c r="E112" s="1169"/>
      <c r="F112" s="1139"/>
      <c r="G112" s="1140"/>
      <c r="H112" s="1273"/>
      <c r="I112" s="1171"/>
      <c r="J112" s="1172"/>
      <c r="K112" s="1151"/>
      <c r="L112" s="1148"/>
      <c r="M112" s="1173"/>
      <c r="N112" s="1465"/>
      <c r="O112" s="1465"/>
      <c r="P112" s="1747"/>
      <c r="Q112" s="1147"/>
      <c r="R112" s="1148" t="e">
        <v>#REF!</v>
      </c>
      <c r="S112" s="1747"/>
      <c r="T112" s="1749"/>
      <c r="U112" s="1749"/>
    </row>
    <row r="113" spans="1:21" s="1748" customFormat="1" ht="9.9499999999999993" customHeight="1" x14ac:dyDescent="0.2">
      <c r="A113" s="1769">
        <v>7</v>
      </c>
      <c r="B113" s="1137" t="s">
        <v>423</v>
      </c>
      <c r="C113" s="1138" t="s">
        <v>526</v>
      </c>
      <c r="D113" s="1168"/>
      <c r="E113" s="1169"/>
      <c r="F113" s="1139"/>
      <c r="G113" s="1140"/>
      <c r="H113" s="1273"/>
      <c r="I113" s="1171"/>
      <c r="J113" s="1172"/>
      <c r="K113" s="1151"/>
      <c r="L113" s="1148"/>
      <c r="M113" s="1173"/>
      <c r="N113" s="1465"/>
      <c r="O113" s="1465"/>
      <c r="P113" s="1747"/>
      <c r="Q113" s="1147"/>
      <c r="R113" s="1148" t="e">
        <v>#REF!</v>
      </c>
      <c r="S113" s="1747"/>
      <c r="T113" s="1749"/>
      <c r="U113" s="1749"/>
    </row>
    <row r="114" spans="1:21" s="1748" customFormat="1" ht="25.5" x14ac:dyDescent="0.2">
      <c r="A114" s="1769">
        <v>8</v>
      </c>
      <c r="B114" s="1137" t="s">
        <v>194</v>
      </c>
      <c r="C114" s="1138" t="s">
        <v>527</v>
      </c>
      <c r="D114" s="1168"/>
      <c r="E114" s="1169"/>
      <c r="F114" s="1139"/>
      <c r="G114" s="1140"/>
      <c r="H114" s="1273"/>
      <c r="I114" s="1171"/>
      <c r="J114" s="1172"/>
      <c r="K114" s="1151"/>
      <c r="L114" s="1148"/>
      <c r="M114" s="1173"/>
      <c r="N114" s="1465"/>
      <c r="O114" s="1465"/>
      <c r="P114" s="1747"/>
      <c r="Q114" s="1147"/>
      <c r="R114" s="1148" t="e">
        <v>#REF!</v>
      </c>
      <c r="S114" s="1747"/>
      <c r="T114" s="1749"/>
      <c r="U114" s="1749"/>
    </row>
    <row r="115" spans="1:21" s="1748" customFormat="1" ht="15" x14ac:dyDescent="0.2">
      <c r="B115" s="337"/>
      <c r="C115" s="65"/>
      <c r="D115" s="771"/>
      <c r="E115" s="637"/>
      <c r="F115" s="800"/>
      <c r="G115" s="769"/>
      <c r="H115" s="1155"/>
      <c r="I115" s="780"/>
      <c r="J115" s="1123"/>
      <c r="K115" s="1124"/>
      <c r="L115" s="800"/>
      <c r="M115" s="1125"/>
      <c r="N115" s="358"/>
      <c r="O115" s="358"/>
      <c r="Q115" s="145"/>
      <c r="R115" s="674"/>
      <c r="T115" s="1749"/>
      <c r="U115" s="1749"/>
    </row>
    <row r="116" spans="1:21" s="1748" customFormat="1" ht="15" x14ac:dyDescent="0.2">
      <c r="B116" s="337" t="s">
        <v>528</v>
      </c>
      <c r="C116" s="65"/>
      <c r="D116" s="771"/>
      <c r="E116" s="637"/>
      <c r="F116" s="800"/>
      <c r="G116" s="769"/>
      <c r="H116" s="1155"/>
      <c r="I116" s="780"/>
      <c r="J116" s="1123"/>
      <c r="K116" s="1124"/>
      <c r="L116" s="800"/>
      <c r="M116" s="1125"/>
      <c r="N116" s="358"/>
      <c r="O116" s="358"/>
      <c r="Q116" s="145"/>
      <c r="R116" s="674"/>
      <c r="T116" s="1749"/>
      <c r="U116" s="1749"/>
    </row>
    <row r="117" spans="1:21" s="1748" customFormat="1" ht="9.9499999999999993" customHeight="1" x14ac:dyDescent="0.2">
      <c r="A117" s="1769">
        <v>7</v>
      </c>
      <c r="B117" s="1137" t="s">
        <v>529</v>
      </c>
      <c r="C117" s="1156">
        <v>800183807</v>
      </c>
      <c r="D117" s="1764" t="e">
        <v>#REF!</v>
      </c>
      <c r="E117" s="1169" t="e">
        <v>#REF!</v>
      </c>
      <c r="F117" s="1175" t="s">
        <v>530</v>
      </c>
      <c r="G117" s="1140"/>
      <c r="H117" s="1273"/>
      <c r="I117" s="1176"/>
      <c r="J117" s="1177"/>
      <c r="K117" s="1151"/>
      <c r="L117" s="1144"/>
      <c r="M117" s="1145"/>
      <c r="N117" s="1465"/>
      <c r="O117" s="1465"/>
      <c r="P117" s="1747"/>
      <c r="Q117" s="1147"/>
      <c r="R117" s="1148" t="e">
        <v>#REF!</v>
      </c>
      <c r="S117" s="1747"/>
      <c r="T117" s="1749"/>
      <c r="U117" s="1749"/>
    </row>
    <row r="118" spans="1:21" s="1748" customFormat="1" ht="9.9499999999999993" customHeight="1" x14ac:dyDescent="0.2">
      <c r="A118" s="1769">
        <v>8</v>
      </c>
      <c r="B118" s="1137" t="s">
        <v>531</v>
      </c>
      <c r="C118" s="1138">
        <v>890919003</v>
      </c>
      <c r="D118" s="1764" t="e">
        <v>#REF!</v>
      </c>
      <c r="E118" s="1169" t="e">
        <v>#REF!</v>
      </c>
      <c r="F118" s="1139"/>
      <c r="G118" s="1140"/>
      <c r="H118" s="1273"/>
      <c r="I118" s="1176"/>
      <c r="J118" s="1177"/>
      <c r="K118" s="1151"/>
      <c r="L118" s="1144"/>
      <c r="M118" s="1145"/>
      <c r="N118" s="1465"/>
      <c r="O118" s="1465"/>
      <c r="P118" s="1747"/>
      <c r="Q118" s="1178"/>
      <c r="R118" s="1148" t="e">
        <v>#REF!</v>
      </c>
      <c r="S118" s="1747"/>
      <c r="T118" s="1749"/>
      <c r="U118" s="1749"/>
    </row>
    <row r="119" spans="1:21" s="1748" customFormat="1" ht="9.9499999999999993" customHeight="1" x14ac:dyDescent="0.2">
      <c r="A119" s="1769">
        <v>9</v>
      </c>
      <c r="B119" s="1137" t="s">
        <v>179</v>
      </c>
      <c r="C119" s="1138">
        <v>811032407</v>
      </c>
      <c r="D119" s="1764" t="e">
        <v>#REF!</v>
      </c>
      <c r="E119" s="1169" t="e">
        <v>#REF!</v>
      </c>
      <c r="F119" s="1139"/>
      <c r="G119" s="1140"/>
      <c r="H119" s="1273"/>
      <c r="I119" s="1176"/>
      <c r="J119" s="1177"/>
      <c r="K119" s="1151"/>
      <c r="L119" s="1144"/>
      <c r="M119" s="1145"/>
      <c r="N119" s="1465"/>
      <c r="O119" s="1465"/>
      <c r="P119" s="1747"/>
      <c r="Q119" s="1147"/>
      <c r="R119" s="1148" t="e">
        <v>#REF!</v>
      </c>
      <c r="S119" s="1747"/>
      <c r="T119" s="1749"/>
      <c r="U119" s="1749"/>
    </row>
    <row r="120" spans="1:21" s="1748" customFormat="1" ht="25.5" x14ac:dyDescent="0.2">
      <c r="A120" s="1769">
        <v>10</v>
      </c>
      <c r="B120" s="1137" t="s">
        <v>186</v>
      </c>
      <c r="C120" s="1138">
        <v>830507213</v>
      </c>
      <c r="D120" s="1764" t="e">
        <v>#REF!</v>
      </c>
      <c r="E120" s="1169" t="e">
        <v>#REF!</v>
      </c>
      <c r="F120" s="1175"/>
      <c r="G120" s="1140"/>
      <c r="H120" s="1273"/>
      <c r="I120" s="1176"/>
      <c r="J120" s="1177"/>
      <c r="K120" s="1151"/>
      <c r="L120" s="1144"/>
      <c r="M120" s="1145"/>
      <c r="N120" s="1465"/>
      <c r="O120" s="1465"/>
      <c r="P120" s="1747"/>
      <c r="Q120" s="1147"/>
      <c r="R120" s="1148" t="e">
        <v>#REF!</v>
      </c>
      <c r="S120" s="1747"/>
      <c r="T120" s="1749"/>
      <c r="U120" s="1749"/>
    </row>
    <row r="121" spans="1:21" s="1748" customFormat="1" ht="15" x14ac:dyDescent="0.2">
      <c r="B121" s="337"/>
      <c r="C121" s="65"/>
      <c r="D121" s="771"/>
      <c r="E121" s="637"/>
      <c r="F121" s="800"/>
      <c r="G121" s="769"/>
      <c r="H121" s="1155"/>
      <c r="I121" s="780"/>
      <c r="J121" s="1123"/>
      <c r="K121" s="1124"/>
      <c r="L121" s="800"/>
      <c r="M121" s="1125"/>
      <c r="N121" s="358"/>
      <c r="O121" s="358"/>
      <c r="Q121" s="145"/>
      <c r="R121" s="674"/>
      <c r="T121" s="1749"/>
      <c r="U121" s="1749"/>
    </row>
    <row r="122" spans="1:21" s="1748" customFormat="1" ht="15" x14ac:dyDescent="0.2">
      <c r="B122" s="849" t="s">
        <v>532</v>
      </c>
      <c r="C122" s="65"/>
      <c r="D122" s="771"/>
      <c r="E122" s="637"/>
      <c r="F122" s="800"/>
      <c r="G122" s="769"/>
      <c r="H122" s="1155"/>
      <c r="I122" s="780"/>
      <c r="J122" s="1123"/>
      <c r="K122" s="1124"/>
      <c r="L122" s="800"/>
      <c r="M122" s="1125"/>
      <c r="N122" s="358"/>
      <c r="O122" s="358"/>
      <c r="Q122" s="145"/>
      <c r="R122" s="674"/>
      <c r="T122" s="1749"/>
      <c r="U122" s="1749"/>
    </row>
    <row r="123" spans="1:21" s="1748" customFormat="1" ht="15" x14ac:dyDescent="0.2">
      <c r="A123" s="1769">
        <v>1</v>
      </c>
      <c r="B123" s="1137" t="s">
        <v>369</v>
      </c>
      <c r="C123" s="1138">
        <v>900555015</v>
      </c>
      <c r="D123" s="1764" t="e">
        <v>#REF!</v>
      </c>
      <c r="E123" s="1134">
        <v>0</v>
      </c>
      <c r="F123" s="1139"/>
      <c r="G123" s="1179"/>
      <c r="H123" s="1781"/>
      <c r="I123" s="1176"/>
      <c r="J123" s="1180"/>
      <c r="K123" s="1181"/>
      <c r="L123" s="1144"/>
      <c r="M123" s="1152"/>
      <c r="N123" s="1782"/>
      <c r="O123" s="1782"/>
      <c r="Q123" s="145"/>
      <c r="R123" s="674"/>
      <c r="T123" s="1749"/>
      <c r="U123" s="1749"/>
    </row>
    <row r="124" spans="1:21" s="1748" customFormat="1" ht="9.9499999999999993" customHeight="1" x14ac:dyDescent="0.2">
      <c r="A124" s="1769">
        <v>2</v>
      </c>
      <c r="B124" s="1137" t="s">
        <v>191</v>
      </c>
      <c r="C124" s="1138">
        <v>900562446</v>
      </c>
      <c r="D124" s="1764" t="e">
        <v>#REF!</v>
      </c>
      <c r="E124" s="1134" t="e">
        <v>#REF!</v>
      </c>
      <c r="F124" s="1139"/>
      <c r="G124" s="1140"/>
      <c r="H124" s="1273"/>
      <c r="I124" s="1176"/>
      <c r="J124" s="1177"/>
      <c r="K124" s="1151"/>
      <c r="L124" s="1144"/>
      <c r="M124" s="1145"/>
      <c r="N124" s="1465"/>
      <c r="O124" s="1465"/>
      <c r="P124" s="1747"/>
      <c r="Q124" s="1147">
        <v>0</v>
      </c>
      <c r="R124" s="1148" t="e">
        <v>#REF!</v>
      </c>
      <c r="S124" s="1747"/>
      <c r="T124" s="1749"/>
      <c r="U124" s="1749"/>
    </row>
    <row r="125" spans="1:21" s="1748" customFormat="1" ht="15" x14ac:dyDescent="0.2">
      <c r="B125" s="337"/>
      <c r="C125" s="65"/>
      <c r="D125" s="771"/>
      <c r="E125" s="637"/>
      <c r="F125" s="800"/>
      <c r="G125" s="769"/>
      <c r="H125" s="1155"/>
      <c r="I125" s="780"/>
      <c r="J125" s="1123"/>
      <c r="K125" s="1124"/>
      <c r="L125" s="800"/>
      <c r="M125" s="1125"/>
      <c r="N125" s="358"/>
      <c r="O125" s="358"/>
      <c r="Q125" s="145"/>
      <c r="R125" s="674"/>
      <c r="T125" s="1749"/>
      <c r="U125" s="1749"/>
    </row>
    <row r="126" spans="1:21" s="1748" customFormat="1" ht="15" x14ac:dyDescent="0.2">
      <c r="B126" s="849" t="s">
        <v>533</v>
      </c>
      <c r="C126" s="65"/>
      <c r="D126" s="771"/>
      <c r="E126" s="637"/>
      <c r="F126" s="800"/>
      <c r="G126" s="769"/>
      <c r="H126" s="1155"/>
      <c r="I126" s="780"/>
      <c r="J126" s="1123"/>
      <c r="K126" s="1124"/>
      <c r="L126" s="800"/>
      <c r="M126" s="1125"/>
      <c r="N126" s="358"/>
      <c r="O126" s="358"/>
      <c r="Q126" s="145"/>
      <c r="R126" s="674"/>
      <c r="T126" s="1749"/>
      <c r="U126" s="1749"/>
    </row>
    <row r="127" spans="1:21" s="1748" customFormat="1" ht="9.9499999999999993" customHeight="1" x14ac:dyDescent="0.2">
      <c r="A127" s="1769">
        <v>1</v>
      </c>
      <c r="B127" s="1154" t="s">
        <v>270</v>
      </c>
      <c r="C127" s="1138">
        <v>901025040</v>
      </c>
      <c r="D127" s="1764" t="e">
        <v>#REF!</v>
      </c>
      <c r="E127" s="1134" t="e">
        <v>#REF!</v>
      </c>
      <c r="F127" s="1139"/>
      <c r="G127" s="1140"/>
      <c r="H127" s="1273"/>
      <c r="I127" s="1182"/>
      <c r="J127" s="1142"/>
      <c r="K127" s="1151"/>
      <c r="L127" s="1144"/>
      <c r="M127" s="1145"/>
      <c r="N127" s="1465"/>
      <c r="O127" s="1465"/>
      <c r="P127" s="1747"/>
      <c r="Q127" s="1147">
        <v>0</v>
      </c>
      <c r="R127" s="1148" t="e">
        <v>#REF!</v>
      </c>
      <c r="S127" s="1747"/>
      <c r="T127" s="1749"/>
      <c r="U127" s="1749"/>
    </row>
    <row r="128" spans="1:21" s="1748" customFormat="1" ht="15" x14ac:dyDescent="0.2">
      <c r="A128" s="1769" t="e">
        <v>#REF!</v>
      </c>
      <c r="B128" s="1137" t="s">
        <v>370</v>
      </c>
      <c r="C128" s="1138">
        <v>900477305</v>
      </c>
      <c r="D128" s="1764" t="e">
        <v>#REF!</v>
      </c>
      <c r="E128" s="1134" t="e">
        <v>#REF!</v>
      </c>
      <c r="F128" s="1139"/>
      <c r="G128" s="1140"/>
      <c r="H128" s="1273"/>
      <c r="I128" s="1176"/>
      <c r="J128" s="1142"/>
      <c r="K128" s="1151"/>
      <c r="L128" s="1144"/>
      <c r="M128" s="1145"/>
      <c r="N128" s="1465"/>
      <c r="O128" s="1465"/>
      <c r="P128" s="1747"/>
      <c r="Q128" s="1147">
        <v>0</v>
      </c>
      <c r="R128" s="1148" t="e">
        <v>#REF!</v>
      </c>
      <c r="S128" s="1747"/>
      <c r="T128" s="1749"/>
      <c r="U128" s="1749"/>
    </row>
    <row r="129" spans="1:21" s="1748" customFormat="1" ht="9.9499999999999993" customHeight="1" x14ac:dyDescent="0.2">
      <c r="A129" s="1769">
        <v>16</v>
      </c>
      <c r="B129" s="1137" t="s">
        <v>174</v>
      </c>
      <c r="C129" s="1138">
        <v>900835520</v>
      </c>
      <c r="D129" s="1764" t="e">
        <v>#REF!</v>
      </c>
      <c r="E129" s="1134" t="e">
        <v>#REF!</v>
      </c>
      <c r="F129" s="1139"/>
      <c r="G129" s="1140"/>
      <c r="H129" s="1273"/>
      <c r="I129" s="1182"/>
      <c r="J129" s="1142"/>
      <c r="K129" s="1151"/>
      <c r="L129" s="1144"/>
      <c r="M129" s="1145"/>
      <c r="N129" s="1465"/>
      <c r="O129" s="1465"/>
      <c r="P129" s="1747"/>
      <c r="Q129" s="1147">
        <v>0</v>
      </c>
      <c r="R129" s="1148" t="e">
        <v>#REF!</v>
      </c>
      <c r="S129" s="1747"/>
      <c r="T129" s="1749"/>
      <c r="U129" s="1749"/>
    </row>
    <row r="130" spans="1:21" s="1748" customFormat="1" ht="9.9499999999999993" customHeight="1" x14ac:dyDescent="0.2">
      <c r="A130" s="1769">
        <v>1</v>
      </c>
      <c r="B130" s="1137" t="s">
        <v>534</v>
      </c>
      <c r="C130" s="1138">
        <v>901673118</v>
      </c>
      <c r="D130" s="1764" t="e">
        <v>#REF!</v>
      </c>
      <c r="E130" s="1134"/>
      <c r="F130" s="1139"/>
      <c r="G130" s="1140"/>
      <c r="H130" s="1273"/>
      <c r="I130" s="1182"/>
      <c r="J130" s="1142"/>
      <c r="K130" s="1151"/>
      <c r="L130" s="1144"/>
      <c r="M130" s="1145"/>
      <c r="N130" s="1465"/>
      <c r="O130" s="1465"/>
      <c r="P130" s="1747"/>
      <c r="Q130" s="1147">
        <v>0</v>
      </c>
      <c r="R130" s="1148" t="e">
        <v>#REF!</v>
      </c>
      <c r="S130" s="1747"/>
      <c r="T130" s="1749"/>
      <c r="U130" s="1749"/>
    </row>
    <row r="131" spans="1:21" s="1748" customFormat="1" ht="9.9499999999999993" customHeight="1" x14ac:dyDescent="0.2">
      <c r="A131" s="1769">
        <v>2</v>
      </c>
      <c r="B131" s="1137" t="s">
        <v>180</v>
      </c>
      <c r="C131" s="1138">
        <v>900482720</v>
      </c>
      <c r="D131" s="1764" t="e">
        <v>#REF!</v>
      </c>
      <c r="E131" s="1134" t="e">
        <v>#REF!</v>
      </c>
      <c r="F131" s="1139"/>
      <c r="G131" s="1140"/>
      <c r="H131" s="1273"/>
      <c r="I131" s="1182"/>
      <c r="J131" s="1142"/>
      <c r="K131" s="1151"/>
      <c r="L131" s="1144"/>
      <c r="M131" s="1145"/>
      <c r="N131" s="1465"/>
      <c r="O131" s="1465"/>
      <c r="P131" s="1747"/>
      <c r="Q131" s="1147">
        <v>0</v>
      </c>
      <c r="R131" s="1148" t="e">
        <v>#REF!</v>
      </c>
      <c r="S131" s="1747"/>
      <c r="T131" s="1749"/>
      <c r="U131" s="1749"/>
    </row>
    <row r="132" spans="1:21" s="1748" customFormat="1" ht="9.9499999999999993" customHeight="1" x14ac:dyDescent="0.2">
      <c r="A132" s="1769">
        <v>19</v>
      </c>
      <c r="B132" s="1137" t="s">
        <v>176</v>
      </c>
      <c r="C132" s="1138">
        <v>811034469</v>
      </c>
      <c r="D132" s="1764" t="e">
        <v>#REF!</v>
      </c>
      <c r="E132" s="1134" t="e">
        <v>#REF!</v>
      </c>
      <c r="F132" s="1139"/>
      <c r="G132" s="1140"/>
      <c r="H132" s="1273"/>
      <c r="I132" s="1182"/>
      <c r="J132" s="1142"/>
      <c r="K132" s="1151"/>
      <c r="L132" s="1144"/>
      <c r="M132" s="1145"/>
      <c r="N132" s="1465"/>
      <c r="O132" s="1465"/>
      <c r="P132" s="1747"/>
      <c r="Q132" s="1147">
        <v>0</v>
      </c>
      <c r="R132" s="1148" t="e">
        <v>#REF!</v>
      </c>
      <c r="S132" s="1747"/>
      <c r="T132" s="1749"/>
      <c r="U132" s="1749"/>
    </row>
    <row r="133" spans="1:21" s="1748" customFormat="1" ht="9.9499999999999993" customHeight="1" x14ac:dyDescent="0.2">
      <c r="A133" s="1769">
        <v>1</v>
      </c>
      <c r="B133" s="1137" t="s">
        <v>190</v>
      </c>
      <c r="C133" s="1138">
        <v>900112266</v>
      </c>
      <c r="D133" s="1764" t="e">
        <v>#REF!</v>
      </c>
      <c r="E133" s="1134" t="e">
        <v>#REF!</v>
      </c>
      <c r="F133" s="1139"/>
      <c r="G133" s="1140"/>
      <c r="H133" s="1273"/>
      <c r="I133" s="1182"/>
      <c r="J133" s="1142"/>
      <c r="K133" s="1151"/>
      <c r="L133" s="1144"/>
      <c r="M133" s="1145"/>
      <c r="N133" s="1465"/>
      <c r="O133" s="1465"/>
      <c r="P133" s="1747"/>
      <c r="Q133" s="1147">
        <v>0</v>
      </c>
      <c r="R133" s="1148" t="e">
        <v>#REF!</v>
      </c>
      <c r="S133" s="1747"/>
      <c r="T133" s="1749"/>
      <c r="U133" s="1749"/>
    </row>
    <row r="134" spans="1:21" s="1748" customFormat="1" ht="15" x14ac:dyDescent="0.2">
      <c r="B134" s="337"/>
      <c r="C134" s="65"/>
      <c r="D134" s="771"/>
      <c r="E134" s="637"/>
      <c r="F134" s="800"/>
      <c r="G134" s="769"/>
      <c r="H134" s="1155"/>
      <c r="I134" s="780"/>
      <c r="J134" s="1123"/>
      <c r="K134" s="1124"/>
      <c r="L134" s="800"/>
      <c r="M134" s="1125"/>
      <c r="N134" s="358"/>
      <c r="O134" s="358"/>
      <c r="Q134" s="145"/>
      <c r="R134" s="674"/>
      <c r="T134" s="1749"/>
      <c r="U134" s="1749"/>
    </row>
    <row r="135" spans="1:21" s="1748" customFormat="1" ht="15" x14ac:dyDescent="0.2">
      <c r="B135" s="849" t="s">
        <v>741</v>
      </c>
      <c r="C135" s="65"/>
      <c r="D135" s="771"/>
      <c r="E135" s="637"/>
      <c r="F135" s="800"/>
      <c r="G135" s="769"/>
      <c r="H135" s="1155"/>
      <c r="I135" s="780"/>
      <c r="J135" s="1123"/>
      <c r="K135" s="1124"/>
      <c r="L135" s="800"/>
      <c r="M135" s="1125"/>
      <c r="N135" s="358"/>
      <c r="O135" s="358"/>
      <c r="Q135" s="145"/>
      <c r="R135" s="674"/>
      <c r="T135" s="1749"/>
      <c r="U135" s="1749"/>
    </row>
    <row r="136" spans="1:21" s="1748" customFormat="1" ht="15" x14ac:dyDescent="0.2">
      <c r="B136" s="337"/>
      <c r="C136" s="65"/>
      <c r="D136" s="771"/>
      <c r="E136" s="637"/>
      <c r="F136" s="800"/>
      <c r="G136" s="769"/>
      <c r="H136" s="1155"/>
      <c r="I136" s="780"/>
      <c r="J136" s="1123"/>
      <c r="K136" s="1124"/>
      <c r="L136" s="800"/>
      <c r="M136" s="1125"/>
      <c r="N136" s="358"/>
      <c r="O136" s="358"/>
      <c r="Q136" s="145"/>
      <c r="R136" s="674"/>
      <c r="T136" s="1749"/>
      <c r="U136" s="1749"/>
    </row>
    <row r="137" spans="1:21" s="1748" customFormat="1" ht="140.25" x14ac:dyDescent="0.2">
      <c r="A137" s="1769">
        <v>2</v>
      </c>
      <c r="B137" s="1137" t="s">
        <v>507</v>
      </c>
      <c r="C137" s="1156">
        <v>901011421</v>
      </c>
      <c r="D137" s="1764" t="e">
        <v>#REF!</v>
      </c>
      <c r="E137" s="1134" t="e">
        <v>#REF!</v>
      </c>
      <c r="F137" s="1139"/>
      <c r="G137" s="1140" t="s">
        <v>496</v>
      </c>
      <c r="H137" s="1267"/>
      <c r="I137" s="849" t="s">
        <v>742</v>
      </c>
      <c r="J137" s="1142"/>
      <c r="K137" s="1143"/>
      <c r="L137" s="1144"/>
      <c r="M137" s="1145"/>
      <c r="N137" s="1465"/>
      <c r="O137" s="1465"/>
      <c r="P137" s="1747"/>
      <c r="Q137" s="1147">
        <v>1233.1500000000001</v>
      </c>
      <c r="R137" s="1148" t="e">
        <v>#REF!</v>
      </c>
      <c r="S137" s="1747"/>
      <c r="T137" s="1749"/>
      <c r="U137" s="1749"/>
    </row>
    <row r="138" spans="1:21" s="1748" customFormat="1" ht="63.75" x14ac:dyDescent="0.2">
      <c r="A138" s="1769">
        <v>8</v>
      </c>
      <c r="B138" s="1137" t="s">
        <v>364</v>
      </c>
      <c r="C138" s="1138">
        <v>901237382</v>
      </c>
      <c r="D138" s="1764" t="e">
        <v>#REF!</v>
      </c>
      <c r="E138" s="1134" t="e">
        <v>#REF!</v>
      </c>
      <c r="F138" s="1139"/>
      <c r="G138" s="1140" t="s">
        <v>501</v>
      </c>
      <c r="H138" s="1267"/>
      <c r="I138" s="1183" t="s">
        <v>743</v>
      </c>
      <c r="J138" s="1142"/>
      <c r="K138" s="1143"/>
      <c r="L138" s="1139"/>
      <c r="M138" s="1145"/>
      <c r="N138" s="1465"/>
      <c r="O138" s="1465"/>
      <c r="P138" s="1747"/>
      <c r="Q138" s="1147">
        <v>87434000</v>
      </c>
      <c r="R138" s="1148" t="e">
        <v>#REF!</v>
      </c>
      <c r="S138" s="1747"/>
      <c r="T138" s="1749"/>
      <c r="U138" s="1749"/>
    </row>
    <row r="139" spans="1:21" s="1748" customFormat="1" ht="25.5" x14ac:dyDescent="0.2">
      <c r="A139" s="1769">
        <v>5</v>
      </c>
      <c r="B139" s="1137" t="s">
        <v>365</v>
      </c>
      <c r="C139" s="1138">
        <v>890910962</v>
      </c>
      <c r="D139" s="1764" t="e">
        <v>#REF!</v>
      </c>
      <c r="E139" s="1134" t="e">
        <v>#REF!</v>
      </c>
      <c r="F139" s="1139"/>
      <c r="G139" s="1140" t="s">
        <v>496</v>
      </c>
      <c r="H139" s="1273"/>
      <c r="I139" s="1157"/>
      <c r="J139" s="1142"/>
      <c r="K139" s="1143"/>
      <c r="L139" s="1139"/>
      <c r="M139" s="1145"/>
      <c r="N139" s="1465"/>
      <c r="O139" s="1465"/>
      <c r="P139" s="1747"/>
      <c r="Q139" s="1147">
        <v>1046671990.8</v>
      </c>
      <c r="R139" s="1148" t="e">
        <v>#REF!</v>
      </c>
      <c r="S139" s="1747"/>
      <c r="T139" s="1749"/>
      <c r="U139" s="1749"/>
    </row>
    <row r="140" spans="1:21" s="1748" customFormat="1" ht="63.75" x14ac:dyDescent="0.2">
      <c r="A140" s="1769">
        <v>26</v>
      </c>
      <c r="B140" s="1137" t="s">
        <v>268</v>
      </c>
      <c r="C140" s="1138">
        <v>901035759</v>
      </c>
      <c r="D140" s="1764" t="e">
        <v>#REF!</v>
      </c>
      <c r="E140" s="1134" t="e">
        <v>#REF!</v>
      </c>
      <c r="F140" s="1139"/>
      <c r="G140" s="1140" t="s">
        <v>495</v>
      </c>
      <c r="H140" s="1267"/>
      <c r="I140" s="1183" t="s">
        <v>743</v>
      </c>
      <c r="J140" s="1142"/>
      <c r="K140" s="1143"/>
      <c r="L140" s="1139"/>
      <c r="M140" s="1145"/>
      <c r="N140" s="1465"/>
      <c r="O140" s="1465"/>
      <c r="P140" s="1747"/>
      <c r="Q140" s="1147">
        <v>1044273552.28</v>
      </c>
      <c r="R140" s="1148" t="e">
        <v>#REF!</v>
      </c>
      <c r="S140" s="1747"/>
      <c r="T140" s="1749"/>
      <c r="U140" s="1749"/>
    </row>
    <row r="141" spans="1:21" s="1748" customFormat="1" ht="15" x14ac:dyDescent="0.2">
      <c r="B141" s="337"/>
      <c r="C141" s="65"/>
      <c r="D141" s="771"/>
      <c r="E141" s="637"/>
      <c r="F141" s="800"/>
      <c r="G141" s="769"/>
      <c r="H141" s="1155"/>
      <c r="I141" s="780"/>
      <c r="J141" s="1123"/>
      <c r="K141" s="1124"/>
      <c r="L141" s="800"/>
      <c r="M141" s="1125"/>
      <c r="N141" s="358"/>
      <c r="O141" s="358"/>
      <c r="Q141" s="145"/>
      <c r="R141" s="674"/>
      <c r="T141" s="1749"/>
      <c r="U141" s="1749"/>
    </row>
    <row r="142" spans="1:21" s="1748" customFormat="1" ht="15" x14ac:dyDescent="0.2">
      <c r="B142" s="337"/>
      <c r="C142" s="65"/>
      <c r="D142" s="771"/>
      <c r="E142" s="637"/>
      <c r="F142" s="800"/>
      <c r="G142" s="769"/>
      <c r="H142" s="1155"/>
      <c r="I142" s="780"/>
      <c r="J142" s="1123"/>
      <c r="K142" s="1124"/>
      <c r="L142" s="800"/>
      <c r="M142" s="1125"/>
      <c r="N142" s="358"/>
      <c r="O142" s="358"/>
      <c r="Q142" s="145"/>
      <c r="R142" s="674"/>
      <c r="T142" s="1749"/>
      <c r="U142" s="1749"/>
    </row>
    <row r="143" spans="1:21" s="1748" customFormat="1" ht="15" x14ac:dyDescent="0.2">
      <c r="B143" s="337"/>
      <c r="C143" s="65"/>
      <c r="D143" s="771"/>
      <c r="E143" s="637"/>
      <c r="F143" s="800"/>
      <c r="G143" s="769"/>
      <c r="H143" s="1155"/>
      <c r="I143" s="780"/>
      <c r="J143" s="1123"/>
      <c r="K143" s="1124"/>
      <c r="L143" s="800"/>
      <c r="M143" s="1125"/>
      <c r="N143" s="358"/>
      <c r="O143" s="358"/>
      <c r="Q143" s="145"/>
      <c r="R143" s="674"/>
      <c r="T143" s="1749"/>
      <c r="U143" s="1749"/>
    </row>
    <row r="144" spans="1:21" s="1748" customFormat="1" ht="15" x14ac:dyDescent="0.2">
      <c r="B144" s="337"/>
      <c r="C144" s="65"/>
      <c r="D144" s="771"/>
      <c r="E144" s="637"/>
      <c r="F144" s="800"/>
      <c r="G144" s="769"/>
      <c r="H144" s="1155"/>
      <c r="I144" s="780"/>
      <c r="J144" s="1123"/>
      <c r="K144" s="1124"/>
      <c r="L144" s="800"/>
      <c r="M144" s="1125"/>
      <c r="N144" s="358"/>
      <c r="O144" s="358"/>
      <c r="Q144" s="145"/>
      <c r="R144" s="674"/>
      <c r="T144" s="1749"/>
      <c r="U144" s="1749"/>
    </row>
    <row r="145" spans="2:21" s="1748" customFormat="1" ht="15" x14ac:dyDescent="0.2">
      <c r="B145" s="337"/>
      <c r="C145" s="65"/>
      <c r="D145" s="771"/>
      <c r="E145" s="637"/>
      <c r="F145" s="800"/>
      <c r="G145" s="769"/>
      <c r="H145" s="1155"/>
      <c r="I145" s="780"/>
      <c r="J145" s="1123"/>
      <c r="K145" s="1124"/>
      <c r="L145" s="800"/>
      <c r="M145" s="1125"/>
      <c r="N145" s="358"/>
      <c r="O145" s="358"/>
      <c r="Q145" s="145"/>
      <c r="R145" s="674"/>
      <c r="T145" s="1749"/>
      <c r="U145" s="1749"/>
    </row>
    <row r="146" spans="2:21" s="1748" customFormat="1" ht="15" x14ac:dyDescent="0.2">
      <c r="B146" s="1783">
        <v>45847</v>
      </c>
      <c r="C146" s="65"/>
      <c r="D146" s="771"/>
      <c r="E146" s="637"/>
      <c r="F146" s="800"/>
      <c r="G146" s="769"/>
      <c r="H146" s="1155"/>
      <c r="I146" s="780"/>
      <c r="J146" s="1123"/>
      <c r="K146" s="1124"/>
      <c r="L146" s="800"/>
      <c r="M146" s="1125"/>
      <c r="N146" s="358"/>
      <c r="O146" s="358"/>
      <c r="Q146" s="145"/>
      <c r="R146" s="674"/>
      <c r="T146" s="1749"/>
      <c r="U146" s="1749"/>
    </row>
    <row r="147" spans="2:21" s="1748" customFormat="1" ht="15" x14ac:dyDescent="0.2">
      <c r="B147" s="1783">
        <v>45848</v>
      </c>
      <c r="C147" s="65"/>
      <c r="D147" s="771"/>
      <c r="E147" s="637"/>
      <c r="F147" s="800"/>
      <c r="G147" s="769"/>
      <c r="H147" s="1155"/>
      <c r="I147" s="780"/>
      <c r="J147" s="1123"/>
      <c r="K147" s="1124"/>
      <c r="L147" s="800"/>
      <c r="M147" s="1125"/>
      <c r="N147" s="358"/>
      <c r="O147" s="358"/>
      <c r="Q147" s="145"/>
      <c r="R147" s="674"/>
      <c r="T147" s="1749"/>
      <c r="U147" s="1749"/>
    </row>
    <row r="148" spans="2:21" s="1748" customFormat="1" ht="15" x14ac:dyDescent="0.2">
      <c r="B148" s="1783">
        <v>45849</v>
      </c>
      <c r="C148" s="65"/>
      <c r="D148" s="771"/>
      <c r="E148" s="637"/>
      <c r="F148" s="800"/>
      <c r="G148" s="769"/>
      <c r="H148" s="1155"/>
      <c r="I148" s="780"/>
      <c r="J148" s="1123"/>
      <c r="K148" s="1124"/>
      <c r="L148" s="800"/>
      <c r="M148" s="1125"/>
      <c r="N148" s="358"/>
      <c r="O148" s="358"/>
      <c r="Q148" s="145"/>
      <c r="R148" s="674"/>
      <c r="T148" s="1749"/>
      <c r="U148" s="1749"/>
    </row>
    <row r="149" spans="2:21" s="1748" customFormat="1" ht="15" x14ac:dyDescent="0.2">
      <c r="B149" s="1783">
        <v>45852</v>
      </c>
      <c r="C149" s="65"/>
      <c r="D149" s="771"/>
      <c r="E149" s="637"/>
      <c r="F149" s="800"/>
      <c r="G149" s="769"/>
      <c r="H149" s="1155"/>
      <c r="I149" s="780"/>
      <c r="J149" s="1123"/>
      <c r="K149" s="1124"/>
      <c r="L149" s="800"/>
      <c r="M149" s="1125"/>
      <c r="N149" s="358"/>
      <c r="O149" s="358"/>
      <c r="Q149" s="145"/>
      <c r="R149" s="674"/>
      <c r="T149" s="1749"/>
      <c r="U149" s="1749"/>
    </row>
    <row r="150" spans="2:21" s="1748" customFormat="1" ht="15" x14ac:dyDescent="0.2">
      <c r="B150" s="1783">
        <v>45853</v>
      </c>
      <c r="C150" s="65"/>
      <c r="D150" s="771"/>
      <c r="E150" s="637"/>
      <c r="F150" s="800"/>
      <c r="G150" s="769"/>
      <c r="H150" s="1155"/>
      <c r="I150" s="780"/>
      <c r="J150" s="1123"/>
      <c r="K150" s="1124"/>
      <c r="L150" s="800"/>
      <c r="M150" s="1125"/>
      <c r="N150" s="358"/>
      <c r="O150" s="358"/>
      <c r="Q150" s="145"/>
      <c r="R150" s="674"/>
      <c r="T150" s="1749"/>
      <c r="U150" s="1749"/>
    </row>
    <row r="151" spans="2:21" s="1748" customFormat="1" ht="15" x14ac:dyDescent="0.2">
      <c r="B151" s="1783">
        <v>45854</v>
      </c>
      <c r="C151" s="65"/>
      <c r="D151" s="771"/>
      <c r="E151" s="637"/>
      <c r="F151" s="800"/>
      <c r="G151" s="769"/>
      <c r="H151" s="1155"/>
      <c r="I151" s="780"/>
      <c r="J151" s="1123"/>
      <c r="K151" s="1124"/>
      <c r="L151" s="800"/>
      <c r="M151" s="1125"/>
      <c r="N151" s="358"/>
      <c r="O151" s="358"/>
      <c r="Q151" s="145"/>
      <c r="R151" s="674"/>
      <c r="T151" s="1749"/>
      <c r="U151" s="1749"/>
    </row>
    <row r="152" spans="2:21" s="1748" customFormat="1" ht="15" x14ac:dyDescent="0.2">
      <c r="B152" s="1783">
        <v>45855</v>
      </c>
      <c r="C152" s="65"/>
      <c r="D152" s="771"/>
      <c r="E152" s="637"/>
      <c r="F152" s="800"/>
      <c r="G152" s="769"/>
      <c r="H152" s="1155"/>
      <c r="I152" s="780"/>
      <c r="J152" s="1123"/>
      <c r="K152" s="1124"/>
      <c r="L152" s="800"/>
      <c r="M152" s="1125"/>
      <c r="N152" s="358"/>
      <c r="O152" s="358"/>
      <c r="Q152" s="145"/>
      <c r="R152" s="674"/>
      <c r="T152" s="1749"/>
      <c r="U152" s="1749"/>
    </row>
    <row r="153" spans="2:21" s="1748" customFormat="1" ht="15" x14ac:dyDescent="0.2">
      <c r="B153" s="1783">
        <v>45856</v>
      </c>
      <c r="C153" s="65"/>
      <c r="D153" s="771"/>
      <c r="E153" s="637"/>
      <c r="F153" s="800"/>
      <c r="G153" s="769"/>
      <c r="H153" s="1155"/>
      <c r="I153" s="780"/>
      <c r="J153" s="1123"/>
      <c r="K153" s="1124"/>
      <c r="L153" s="800"/>
      <c r="M153" s="1125"/>
      <c r="N153" s="358"/>
      <c r="O153" s="358"/>
      <c r="Q153" s="145"/>
      <c r="R153" s="674"/>
      <c r="T153" s="1749"/>
      <c r="U153" s="1749"/>
    </row>
    <row r="154" spans="2:21" s="1748" customFormat="1" ht="15" x14ac:dyDescent="0.2">
      <c r="B154" s="1783">
        <v>45859</v>
      </c>
      <c r="C154" s="65"/>
      <c r="D154" s="771"/>
      <c r="E154" s="637"/>
      <c r="F154" s="800"/>
      <c r="G154" s="769"/>
      <c r="H154" s="1155"/>
      <c r="I154" s="780"/>
      <c r="J154" s="1123"/>
      <c r="K154" s="1124"/>
      <c r="L154" s="800"/>
      <c r="M154" s="1125"/>
      <c r="N154" s="358"/>
      <c r="O154" s="358"/>
      <c r="Q154" s="145"/>
      <c r="R154" s="674"/>
      <c r="T154" s="1749"/>
      <c r="U154" s="1749"/>
    </row>
    <row r="155" spans="2:21" s="1748" customFormat="1" ht="15" x14ac:dyDescent="0.2">
      <c r="B155" s="1783">
        <v>45860</v>
      </c>
      <c r="C155" s="65"/>
      <c r="D155" s="771"/>
      <c r="E155" s="637"/>
      <c r="F155" s="800"/>
      <c r="G155" s="769"/>
      <c r="H155" s="1155"/>
      <c r="I155" s="780"/>
      <c r="J155" s="1123"/>
      <c r="K155" s="1124"/>
      <c r="L155" s="800"/>
      <c r="M155" s="1125"/>
      <c r="N155" s="358"/>
      <c r="O155" s="358"/>
      <c r="Q155" s="145"/>
      <c r="R155" s="674"/>
      <c r="T155" s="1749"/>
      <c r="U155" s="1749"/>
    </row>
    <row r="156" spans="2:21" s="1748" customFormat="1" ht="15" x14ac:dyDescent="0.2">
      <c r="B156" s="337"/>
      <c r="C156" s="65"/>
      <c r="D156" s="771"/>
      <c r="E156" s="637"/>
      <c r="F156" s="800"/>
      <c r="G156" s="769"/>
      <c r="H156" s="1155"/>
      <c r="I156" s="780"/>
      <c r="J156" s="1123"/>
      <c r="K156" s="1124"/>
      <c r="L156" s="800"/>
      <c r="M156" s="1125"/>
      <c r="N156" s="358"/>
      <c r="O156" s="358"/>
      <c r="Q156" s="145"/>
      <c r="R156" s="674"/>
      <c r="T156" s="1749"/>
      <c r="U156" s="1749"/>
    </row>
    <row r="157" spans="2:21" s="1748" customFormat="1" ht="15" x14ac:dyDescent="0.2">
      <c r="B157" s="337"/>
      <c r="C157" s="65"/>
      <c r="D157" s="771"/>
      <c r="E157" s="637"/>
      <c r="F157" s="800"/>
      <c r="G157" s="769"/>
      <c r="H157" s="1155"/>
      <c r="I157" s="780"/>
      <c r="J157" s="1123"/>
      <c r="K157" s="1124"/>
      <c r="L157" s="800"/>
      <c r="M157" s="1125"/>
      <c r="N157" s="358"/>
      <c r="O157" s="358"/>
      <c r="Q157" s="145"/>
      <c r="R157" s="674"/>
      <c r="T157" s="1749"/>
      <c r="U157" s="1749"/>
    </row>
    <row r="158" spans="2:21" s="1748" customFormat="1" ht="15" x14ac:dyDescent="0.2">
      <c r="B158" s="337"/>
      <c r="C158" s="65"/>
      <c r="D158" s="771"/>
      <c r="E158" s="637"/>
      <c r="F158" s="800"/>
      <c r="G158" s="769"/>
      <c r="H158" s="1155"/>
      <c r="I158" s="780"/>
      <c r="J158" s="1123"/>
      <c r="K158" s="1124"/>
      <c r="L158" s="800"/>
      <c r="M158" s="1125"/>
      <c r="N158" s="358"/>
      <c r="O158" s="358"/>
      <c r="Q158" s="145"/>
      <c r="R158" s="674"/>
      <c r="T158" s="1749"/>
      <c r="U158" s="1749"/>
    </row>
    <row r="159" spans="2:21" s="1748" customFormat="1" ht="15" x14ac:dyDescent="0.2">
      <c r="B159" s="337"/>
      <c r="C159" s="65"/>
      <c r="D159" s="771"/>
      <c r="E159" s="637"/>
      <c r="F159" s="800"/>
      <c r="G159" s="769"/>
      <c r="H159" s="1155"/>
      <c r="I159" s="780"/>
      <c r="J159" s="1123"/>
      <c r="K159" s="1124"/>
      <c r="L159" s="800"/>
      <c r="M159" s="1125"/>
      <c r="N159" s="358"/>
      <c r="O159" s="358"/>
      <c r="Q159" s="145"/>
      <c r="R159" s="674"/>
      <c r="T159" s="1749"/>
      <c r="U159" s="1749"/>
    </row>
    <row r="160" spans="2:21" s="1748" customFormat="1" ht="15" x14ac:dyDescent="0.2">
      <c r="B160" s="337"/>
      <c r="C160" s="65"/>
      <c r="D160" s="771"/>
      <c r="E160" s="637"/>
      <c r="F160" s="800"/>
      <c r="G160" s="769"/>
      <c r="H160" s="1155"/>
      <c r="I160" s="780"/>
      <c r="J160" s="1123"/>
      <c r="K160" s="1124"/>
      <c r="L160" s="800"/>
      <c r="M160" s="1125"/>
      <c r="N160" s="358"/>
      <c r="O160" s="358"/>
      <c r="Q160" s="145"/>
      <c r="R160" s="674"/>
      <c r="T160" s="1749"/>
      <c r="U160" s="1749"/>
    </row>
    <row r="161" spans="2:21" s="1748" customFormat="1" ht="15" x14ac:dyDescent="0.2">
      <c r="B161" s="337"/>
      <c r="C161" s="65"/>
      <c r="D161" s="771"/>
      <c r="E161" s="637"/>
      <c r="F161" s="800"/>
      <c r="G161" s="769"/>
      <c r="H161" s="1155"/>
      <c r="I161" s="780"/>
      <c r="J161" s="1123"/>
      <c r="K161" s="1124"/>
      <c r="L161" s="800"/>
      <c r="M161" s="1125"/>
      <c r="N161" s="358"/>
      <c r="O161" s="358"/>
      <c r="Q161" s="145"/>
      <c r="R161" s="674"/>
      <c r="T161" s="1749"/>
      <c r="U161" s="1749"/>
    </row>
    <row r="162" spans="2:21" s="1748" customFormat="1" ht="15" x14ac:dyDescent="0.2">
      <c r="B162" s="337"/>
      <c r="C162" s="65"/>
      <c r="D162" s="771"/>
      <c r="E162" s="637"/>
      <c r="F162" s="800"/>
      <c r="G162" s="769"/>
      <c r="H162" s="1155"/>
      <c r="I162" s="780"/>
      <c r="J162" s="1123"/>
      <c r="K162" s="1124"/>
      <c r="L162" s="800"/>
      <c r="M162" s="1125"/>
      <c r="N162" s="358"/>
      <c r="O162" s="358"/>
      <c r="Q162" s="145"/>
      <c r="R162" s="674"/>
      <c r="T162" s="1749"/>
      <c r="U162" s="1749"/>
    </row>
    <row r="163" spans="2:21" s="1748" customFormat="1" ht="15" x14ac:dyDescent="0.2">
      <c r="B163" s="337"/>
      <c r="C163" s="65"/>
      <c r="D163" s="771"/>
      <c r="E163" s="637"/>
      <c r="F163" s="800"/>
      <c r="G163" s="769"/>
      <c r="H163" s="1155"/>
      <c r="I163" s="780"/>
      <c r="J163" s="1123"/>
      <c r="K163" s="1124"/>
      <c r="L163" s="800"/>
      <c r="M163" s="1125"/>
      <c r="N163" s="358"/>
      <c r="O163" s="358"/>
      <c r="Q163" s="145"/>
      <c r="R163" s="674"/>
      <c r="T163" s="1749"/>
      <c r="U163" s="1749"/>
    </row>
    <row r="164" spans="2:21" s="1748" customFormat="1" ht="15" x14ac:dyDescent="0.2">
      <c r="B164" s="337"/>
      <c r="C164" s="65"/>
      <c r="D164" s="771"/>
      <c r="E164" s="637"/>
      <c r="F164" s="800"/>
      <c r="G164" s="769"/>
      <c r="H164" s="1155"/>
      <c r="I164" s="780"/>
      <c r="J164" s="1123"/>
      <c r="K164" s="1124"/>
      <c r="L164" s="800"/>
      <c r="M164" s="1125"/>
      <c r="N164" s="358"/>
      <c r="O164" s="358"/>
      <c r="Q164" s="145"/>
      <c r="R164" s="674"/>
      <c r="T164" s="1749"/>
      <c r="U164" s="1749"/>
    </row>
    <row r="165" spans="2:21" s="1748" customFormat="1" ht="15" x14ac:dyDescent="0.2">
      <c r="B165" s="337"/>
      <c r="C165" s="65"/>
      <c r="D165" s="771"/>
      <c r="E165" s="637"/>
      <c r="F165" s="800"/>
      <c r="G165" s="769"/>
      <c r="H165" s="1155"/>
      <c r="I165" s="780"/>
      <c r="J165" s="1123"/>
      <c r="K165" s="1124"/>
      <c r="L165" s="800"/>
      <c r="M165" s="1125"/>
      <c r="N165" s="358"/>
      <c r="O165" s="358"/>
      <c r="Q165" s="145"/>
      <c r="R165" s="674"/>
      <c r="T165" s="1749"/>
      <c r="U165" s="1749"/>
    </row>
    <row r="166" spans="2:21" s="1748" customFormat="1" ht="15" x14ac:dyDescent="0.2">
      <c r="B166" s="337"/>
      <c r="C166" s="65"/>
      <c r="D166" s="771"/>
      <c r="E166" s="637"/>
      <c r="F166" s="800"/>
      <c r="G166" s="769"/>
      <c r="H166" s="1155"/>
      <c r="I166" s="780"/>
      <c r="J166" s="1123"/>
      <c r="K166" s="1124"/>
      <c r="L166" s="800"/>
      <c r="M166" s="1125"/>
      <c r="N166" s="358"/>
      <c r="O166" s="358"/>
      <c r="Q166" s="145"/>
      <c r="R166" s="674"/>
      <c r="T166" s="1749"/>
      <c r="U166" s="1749"/>
    </row>
    <row r="167" spans="2:21" s="1748" customFormat="1" ht="15" x14ac:dyDescent="0.2">
      <c r="B167" s="337"/>
      <c r="C167" s="65"/>
      <c r="D167" s="771"/>
      <c r="E167" s="637"/>
      <c r="F167" s="800"/>
      <c r="G167" s="769"/>
      <c r="H167" s="1155"/>
      <c r="I167" s="780"/>
      <c r="J167" s="1123"/>
      <c r="K167" s="1124"/>
      <c r="L167" s="800"/>
      <c r="M167" s="1125"/>
      <c r="N167" s="358"/>
      <c r="O167" s="358"/>
      <c r="Q167" s="145"/>
      <c r="R167" s="674"/>
      <c r="T167" s="1749"/>
      <c r="U167" s="1749"/>
    </row>
    <row r="168" spans="2:21" s="1748" customFormat="1" ht="15" x14ac:dyDescent="0.2">
      <c r="B168" s="337"/>
      <c r="C168" s="65"/>
      <c r="D168" s="771"/>
      <c r="E168" s="637"/>
      <c r="F168" s="800"/>
      <c r="G168" s="769"/>
      <c r="H168" s="1155"/>
      <c r="I168" s="780"/>
      <c r="J168" s="1123"/>
      <c r="K168" s="1124"/>
      <c r="L168" s="800"/>
      <c r="M168" s="1125"/>
      <c r="N168" s="358"/>
      <c r="O168" s="358"/>
      <c r="Q168" s="145"/>
      <c r="R168" s="674"/>
      <c r="T168" s="1749"/>
      <c r="U168" s="1749"/>
    </row>
    <row r="169" spans="2:21" s="1748" customFormat="1" ht="15" x14ac:dyDescent="0.2">
      <c r="B169" s="337"/>
      <c r="C169" s="65"/>
      <c r="D169" s="771"/>
      <c r="E169" s="637"/>
      <c r="F169" s="800"/>
      <c r="G169" s="769"/>
      <c r="H169" s="1155"/>
      <c r="I169" s="780"/>
      <c r="J169" s="1123"/>
      <c r="K169" s="1124"/>
      <c r="L169" s="800"/>
      <c r="M169" s="1125"/>
      <c r="N169" s="358"/>
      <c r="O169" s="358"/>
      <c r="Q169" s="145"/>
      <c r="R169" s="674"/>
      <c r="T169" s="1749"/>
      <c r="U169" s="1749"/>
    </row>
    <row r="170" spans="2:21" s="1748" customFormat="1" ht="15" x14ac:dyDescent="0.2">
      <c r="B170" s="337"/>
      <c r="C170" s="65"/>
      <c r="D170" s="771"/>
      <c r="E170" s="637"/>
      <c r="F170" s="800"/>
      <c r="G170" s="769"/>
      <c r="H170" s="1155"/>
      <c r="I170" s="780"/>
      <c r="J170" s="1123"/>
      <c r="K170" s="1124"/>
      <c r="L170" s="800"/>
      <c r="M170" s="1125"/>
      <c r="N170" s="358"/>
      <c r="O170" s="358"/>
      <c r="Q170" s="145"/>
      <c r="R170" s="674"/>
      <c r="T170" s="1749"/>
      <c r="U170" s="1749"/>
    </row>
    <row r="171" spans="2:21" s="1748" customFormat="1" ht="15" x14ac:dyDescent="0.2">
      <c r="B171" s="337"/>
      <c r="C171" s="65"/>
      <c r="D171" s="771"/>
      <c r="E171" s="637"/>
      <c r="F171" s="800"/>
      <c r="G171" s="769"/>
      <c r="H171" s="1155"/>
      <c r="I171" s="780"/>
      <c r="J171" s="1123"/>
      <c r="K171" s="1124"/>
      <c r="L171" s="800"/>
      <c r="M171" s="1125"/>
      <c r="N171" s="358"/>
      <c r="O171" s="358"/>
      <c r="Q171" s="145"/>
      <c r="R171" s="674"/>
      <c r="T171" s="1749"/>
      <c r="U171" s="1749"/>
    </row>
    <row r="172" spans="2:21" s="1748" customFormat="1" ht="15" x14ac:dyDescent="0.2">
      <c r="B172" s="337"/>
      <c r="C172" s="65"/>
      <c r="D172" s="771"/>
      <c r="E172" s="637"/>
      <c r="F172" s="800"/>
      <c r="G172" s="769"/>
      <c r="H172" s="1155"/>
      <c r="I172" s="780"/>
      <c r="J172" s="1123"/>
      <c r="K172" s="1124"/>
      <c r="L172" s="800"/>
      <c r="M172" s="1125"/>
      <c r="N172" s="358"/>
      <c r="O172" s="358"/>
      <c r="Q172" s="145"/>
      <c r="R172" s="674"/>
      <c r="T172" s="1749"/>
      <c r="U172" s="1749"/>
    </row>
    <row r="173" spans="2:21" s="1748" customFormat="1" ht="15" x14ac:dyDescent="0.2">
      <c r="B173" s="337"/>
      <c r="C173" s="65"/>
      <c r="D173" s="771"/>
      <c r="E173" s="637"/>
      <c r="F173" s="800"/>
      <c r="G173" s="769"/>
      <c r="H173" s="1155"/>
      <c r="I173" s="780"/>
      <c r="J173" s="1123"/>
      <c r="K173" s="1124"/>
      <c r="L173" s="800"/>
      <c r="M173" s="1125"/>
      <c r="N173" s="358"/>
      <c r="O173" s="358"/>
      <c r="Q173" s="145"/>
      <c r="R173" s="674"/>
      <c r="T173" s="1749"/>
      <c r="U173" s="1749"/>
    </row>
    <row r="174" spans="2:21" s="1748" customFormat="1" ht="15" x14ac:dyDescent="0.2">
      <c r="B174" s="337"/>
      <c r="C174" s="65"/>
      <c r="D174" s="771"/>
      <c r="E174" s="637"/>
      <c r="F174" s="800"/>
      <c r="G174" s="769"/>
      <c r="H174" s="1155"/>
      <c r="I174" s="780"/>
      <c r="J174" s="1123"/>
      <c r="K174" s="1124"/>
      <c r="L174" s="800"/>
      <c r="M174" s="1125"/>
      <c r="N174" s="358"/>
      <c r="O174" s="358"/>
      <c r="Q174" s="145"/>
      <c r="R174" s="674"/>
      <c r="T174" s="1749"/>
      <c r="U174" s="1749"/>
    </row>
    <row r="175" spans="2:21" s="1748" customFormat="1" ht="15" x14ac:dyDescent="0.2">
      <c r="B175" s="337"/>
      <c r="C175" s="65"/>
      <c r="D175" s="771"/>
      <c r="E175" s="637"/>
      <c r="F175" s="800"/>
      <c r="G175" s="769"/>
      <c r="H175" s="1155"/>
      <c r="I175" s="780"/>
      <c r="J175" s="1123"/>
      <c r="K175" s="1124"/>
      <c r="L175" s="800"/>
      <c r="M175" s="1125"/>
      <c r="N175" s="358"/>
      <c r="O175" s="358"/>
      <c r="Q175" s="145"/>
      <c r="R175" s="674"/>
      <c r="T175" s="1749"/>
      <c r="U175" s="1749"/>
    </row>
    <row r="176" spans="2:21" s="1748" customFormat="1" ht="15" x14ac:dyDescent="0.2">
      <c r="B176" s="337"/>
      <c r="C176" s="65"/>
      <c r="D176" s="771"/>
      <c r="E176" s="637"/>
      <c r="F176" s="800"/>
      <c r="G176" s="769"/>
      <c r="H176" s="1155"/>
      <c r="I176" s="780"/>
      <c r="J176" s="1123"/>
      <c r="K176" s="1124"/>
      <c r="L176" s="800"/>
      <c r="M176" s="1125"/>
      <c r="N176" s="358"/>
      <c r="O176" s="358"/>
      <c r="Q176" s="145"/>
      <c r="R176" s="674"/>
      <c r="T176" s="1749"/>
      <c r="U176" s="1749"/>
    </row>
    <row r="177" spans="2:21" s="1748" customFormat="1" ht="15" x14ac:dyDescent="0.2">
      <c r="B177" s="337"/>
      <c r="C177" s="65"/>
      <c r="D177" s="771"/>
      <c r="E177" s="637"/>
      <c r="F177" s="800"/>
      <c r="G177" s="769"/>
      <c r="H177" s="1155"/>
      <c r="I177" s="780"/>
      <c r="J177" s="1123"/>
      <c r="K177" s="1124"/>
      <c r="L177" s="800"/>
      <c r="M177" s="1125"/>
      <c r="N177" s="358"/>
      <c r="O177" s="358"/>
      <c r="Q177" s="145"/>
      <c r="R177" s="674"/>
      <c r="T177" s="1749"/>
      <c r="U177" s="1749"/>
    </row>
    <row r="178" spans="2:21" s="1748" customFormat="1" ht="15" x14ac:dyDescent="0.2">
      <c r="B178" s="337"/>
      <c r="C178" s="65"/>
      <c r="D178" s="771"/>
      <c r="E178" s="637"/>
      <c r="F178" s="800"/>
      <c r="G178" s="769"/>
      <c r="H178" s="1155"/>
      <c r="I178" s="780"/>
      <c r="J178" s="1123"/>
      <c r="K178" s="1124"/>
      <c r="L178" s="800"/>
      <c r="M178" s="1125"/>
      <c r="N178" s="358"/>
      <c r="O178" s="358"/>
      <c r="Q178" s="145"/>
      <c r="R178" s="674"/>
      <c r="T178" s="1749"/>
      <c r="U178" s="1749"/>
    </row>
    <row r="179" spans="2:21" s="1748" customFormat="1" ht="15" x14ac:dyDescent="0.2">
      <c r="B179" s="337"/>
      <c r="C179" s="65"/>
      <c r="D179" s="771"/>
      <c r="E179" s="637"/>
      <c r="F179" s="800"/>
      <c r="G179" s="769"/>
      <c r="H179" s="1155"/>
      <c r="I179" s="780"/>
      <c r="J179" s="1123"/>
      <c r="K179" s="1124"/>
      <c r="L179" s="800"/>
      <c r="M179" s="1125"/>
      <c r="N179" s="358"/>
      <c r="O179" s="358"/>
      <c r="Q179" s="145"/>
      <c r="R179" s="674"/>
      <c r="T179" s="1749"/>
      <c r="U179" s="1749"/>
    </row>
    <row r="180" spans="2:21" s="1748" customFormat="1" ht="15" x14ac:dyDescent="0.2">
      <c r="B180" s="337"/>
      <c r="C180" s="65"/>
      <c r="D180" s="771"/>
      <c r="E180" s="637"/>
      <c r="F180" s="800"/>
      <c r="G180" s="769"/>
      <c r="H180" s="1155"/>
      <c r="I180" s="780"/>
      <c r="J180" s="1123"/>
      <c r="K180" s="1124"/>
      <c r="L180" s="800"/>
      <c r="M180" s="1125"/>
      <c r="N180" s="358"/>
      <c r="O180" s="358"/>
      <c r="Q180" s="145"/>
      <c r="R180" s="674"/>
      <c r="T180" s="1749"/>
      <c r="U180" s="1749"/>
    </row>
    <row r="181" spans="2:21" s="1748" customFormat="1" ht="15" x14ac:dyDescent="0.2">
      <c r="B181" s="337"/>
      <c r="C181" s="65"/>
      <c r="D181" s="771"/>
      <c r="E181" s="637"/>
      <c r="F181" s="800"/>
      <c r="G181" s="769"/>
      <c r="H181" s="1155"/>
      <c r="I181" s="780"/>
      <c r="J181" s="1123"/>
      <c r="K181" s="1124"/>
      <c r="L181" s="800"/>
      <c r="M181" s="1125"/>
      <c r="N181" s="358"/>
      <c r="O181" s="358"/>
      <c r="Q181" s="145"/>
      <c r="R181" s="674"/>
      <c r="T181" s="1749"/>
      <c r="U181" s="1749"/>
    </row>
    <row r="182" spans="2:21" s="1748" customFormat="1" ht="15" x14ac:dyDescent="0.2">
      <c r="B182" s="337"/>
      <c r="C182" s="65"/>
      <c r="D182" s="771"/>
      <c r="E182" s="637"/>
      <c r="F182" s="800"/>
      <c r="G182" s="769"/>
      <c r="H182" s="1155"/>
      <c r="I182" s="780"/>
      <c r="J182" s="1123"/>
      <c r="K182" s="1124"/>
      <c r="L182" s="800"/>
      <c r="M182" s="1125"/>
      <c r="N182" s="358"/>
      <c r="O182" s="358"/>
      <c r="Q182" s="145"/>
      <c r="R182" s="674"/>
      <c r="T182" s="1749"/>
      <c r="U182" s="1749"/>
    </row>
    <row r="183" spans="2:21" s="1748" customFormat="1" ht="15" x14ac:dyDescent="0.2">
      <c r="B183" s="337"/>
      <c r="C183" s="65"/>
      <c r="D183" s="771"/>
      <c r="E183" s="637"/>
      <c r="F183" s="800"/>
      <c r="G183" s="769"/>
      <c r="H183" s="1155"/>
      <c r="I183" s="780"/>
      <c r="J183" s="1123"/>
      <c r="K183" s="1124"/>
      <c r="L183" s="800"/>
      <c r="M183" s="1125"/>
      <c r="N183" s="358"/>
      <c r="O183" s="358"/>
      <c r="Q183" s="145"/>
      <c r="R183" s="674"/>
      <c r="T183" s="1749"/>
      <c r="U183" s="1749"/>
    </row>
    <row r="184" spans="2:21" s="1748" customFormat="1" ht="15" x14ac:dyDescent="0.2">
      <c r="B184" s="337"/>
      <c r="C184" s="65"/>
      <c r="D184" s="771"/>
      <c r="E184" s="637"/>
      <c r="F184" s="800"/>
      <c r="G184" s="769"/>
      <c r="H184" s="1155"/>
      <c r="I184" s="780"/>
      <c r="J184" s="1123"/>
      <c r="K184" s="1124"/>
      <c r="L184" s="800"/>
      <c r="M184" s="1125"/>
      <c r="N184" s="358"/>
      <c r="O184" s="358"/>
      <c r="Q184" s="145"/>
      <c r="R184" s="674"/>
      <c r="T184" s="1749"/>
      <c r="U184" s="1749"/>
    </row>
    <row r="185" spans="2:21" s="1748" customFormat="1" ht="15" x14ac:dyDescent="0.2">
      <c r="B185" s="337"/>
      <c r="C185" s="65"/>
      <c r="D185" s="771"/>
      <c r="E185" s="637"/>
      <c r="F185" s="800"/>
      <c r="G185" s="769"/>
      <c r="H185" s="1155"/>
      <c r="I185" s="780"/>
      <c r="J185" s="1123"/>
      <c r="K185" s="1124"/>
      <c r="L185" s="800"/>
      <c r="M185" s="1125"/>
      <c r="N185" s="358"/>
      <c r="O185" s="358"/>
      <c r="Q185" s="145"/>
      <c r="R185" s="674"/>
      <c r="T185" s="1749"/>
      <c r="U185" s="1749"/>
    </row>
    <row r="186" spans="2:21" s="1748" customFormat="1" ht="15" x14ac:dyDescent="0.2">
      <c r="B186" s="337"/>
      <c r="C186" s="65"/>
      <c r="D186" s="771"/>
      <c r="E186" s="637"/>
      <c r="F186" s="800"/>
      <c r="G186" s="769"/>
      <c r="H186" s="1155"/>
      <c r="I186" s="780"/>
      <c r="J186" s="1123"/>
      <c r="K186" s="1124"/>
      <c r="L186" s="800"/>
      <c r="M186" s="1125"/>
      <c r="N186" s="358"/>
      <c r="O186" s="358"/>
      <c r="Q186" s="145"/>
      <c r="R186" s="674"/>
      <c r="T186" s="1749"/>
      <c r="U186" s="1749"/>
    </row>
    <row r="187" spans="2:21" s="1748" customFormat="1" ht="15" x14ac:dyDescent="0.2">
      <c r="B187" s="337"/>
      <c r="C187" s="65"/>
      <c r="D187" s="771"/>
      <c r="E187" s="637"/>
      <c r="F187" s="800"/>
      <c r="G187" s="769"/>
      <c r="H187" s="1155"/>
      <c r="I187" s="780"/>
      <c r="J187" s="1123"/>
      <c r="K187" s="1124"/>
      <c r="L187" s="800"/>
      <c r="M187" s="1125"/>
      <c r="N187" s="358"/>
      <c r="O187" s="358"/>
      <c r="Q187" s="145"/>
      <c r="R187" s="674"/>
      <c r="T187" s="1749"/>
      <c r="U187" s="1749"/>
    </row>
    <row r="188" spans="2:21" s="1748" customFormat="1" ht="15" x14ac:dyDescent="0.2">
      <c r="B188" s="337"/>
      <c r="C188" s="65"/>
      <c r="D188" s="771"/>
      <c r="E188" s="637"/>
      <c r="F188" s="800"/>
      <c r="G188" s="769"/>
      <c r="H188" s="1155"/>
      <c r="I188" s="780"/>
      <c r="J188" s="1123"/>
      <c r="K188" s="1124"/>
      <c r="L188" s="800"/>
      <c r="M188" s="1125"/>
      <c r="N188" s="358"/>
      <c r="O188" s="358"/>
      <c r="Q188" s="145"/>
      <c r="R188" s="674"/>
      <c r="T188" s="1749"/>
      <c r="U188" s="1749"/>
    </row>
    <row r="189" spans="2:21" s="1748" customFormat="1" ht="15" x14ac:dyDescent="0.2">
      <c r="B189" s="337"/>
      <c r="C189" s="65"/>
      <c r="D189" s="771"/>
      <c r="E189" s="637"/>
      <c r="F189" s="800"/>
      <c r="G189" s="769"/>
      <c r="H189" s="1155"/>
      <c r="I189" s="780"/>
      <c r="J189" s="1123"/>
      <c r="K189" s="1124"/>
      <c r="L189" s="800"/>
      <c r="M189" s="1125"/>
      <c r="N189" s="358"/>
      <c r="O189" s="358"/>
      <c r="Q189" s="145"/>
      <c r="R189" s="674"/>
      <c r="T189" s="1749"/>
      <c r="U189" s="1749"/>
    </row>
    <row r="190" spans="2:21" s="1748" customFormat="1" ht="15" x14ac:dyDescent="0.2">
      <c r="B190" s="337"/>
      <c r="C190" s="65"/>
      <c r="D190" s="771"/>
      <c r="E190" s="637"/>
      <c r="F190" s="800"/>
      <c r="G190" s="769"/>
      <c r="H190" s="1155"/>
      <c r="I190" s="780"/>
      <c r="J190" s="1123"/>
      <c r="K190" s="1124"/>
      <c r="L190" s="800"/>
      <c r="M190" s="1125"/>
      <c r="N190" s="358"/>
      <c r="O190" s="358"/>
      <c r="Q190" s="145"/>
      <c r="R190" s="674"/>
      <c r="T190" s="1749"/>
      <c r="U190" s="1749"/>
    </row>
    <row r="191" spans="2:21" s="1748" customFormat="1" ht="15" x14ac:dyDescent="0.2">
      <c r="B191" s="337"/>
      <c r="C191" s="65"/>
      <c r="D191" s="771"/>
      <c r="E191" s="637"/>
      <c r="F191" s="800"/>
      <c r="G191" s="769"/>
      <c r="H191" s="1155"/>
      <c r="I191" s="780"/>
      <c r="J191" s="1123"/>
      <c r="K191" s="1124"/>
      <c r="L191" s="800"/>
      <c r="M191" s="1125"/>
      <c r="N191" s="358"/>
      <c r="O191" s="358"/>
      <c r="Q191" s="145"/>
      <c r="R191" s="674"/>
      <c r="T191" s="1749"/>
      <c r="U191" s="1749"/>
    </row>
    <row r="192" spans="2:21" s="1748" customFormat="1" ht="15" x14ac:dyDescent="0.2">
      <c r="B192" s="337"/>
      <c r="C192" s="65"/>
      <c r="D192" s="771"/>
      <c r="E192" s="637"/>
      <c r="F192" s="800"/>
      <c r="G192" s="769"/>
      <c r="H192" s="1155"/>
      <c r="I192" s="780"/>
      <c r="J192" s="1123"/>
      <c r="K192" s="1124"/>
      <c r="L192" s="800"/>
      <c r="M192" s="1125"/>
      <c r="N192" s="358"/>
      <c r="O192" s="358"/>
      <c r="Q192" s="145"/>
      <c r="R192" s="674"/>
      <c r="T192" s="1749"/>
      <c r="U192" s="1749"/>
    </row>
    <row r="193" spans="2:21" s="1748" customFormat="1" ht="15" x14ac:dyDescent="0.2">
      <c r="B193" s="337"/>
      <c r="C193" s="65"/>
      <c r="D193" s="771"/>
      <c r="E193" s="637"/>
      <c r="F193" s="800"/>
      <c r="G193" s="769"/>
      <c r="H193" s="1155"/>
      <c r="I193" s="780"/>
      <c r="J193" s="1123"/>
      <c r="K193" s="1124"/>
      <c r="L193" s="800"/>
      <c r="M193" s="1125"/>
      <c r="N193" s="358"/>
      <c r="O193" s="358"/>
      <c r="Q193" s="145"/>
      <c r="R193" s="674"/>
      <c r="T193" s="1749"/>
      <c r="U193" s="1749"/>
    </row>
    <row r="194" spans="2:21" s="1748" customFormat="1" ht="15" x14ac:dyDescent="0.2">
      <c r="B194" s="337"/>
      <c r="C194" s="65"/>
      <c r="D194" s="771"/>
      <c r="E194" s="637"/>
      <c r="F194" s="800"/>
      <c r="G194" s="769"/>
      <c r="H194" s="1155"/>
      <c r="I194" s="780"/>
      <c r="J194" s="1123"/>
      <c r="K194" s="1124"/>
      <c r="L194" s="800"/>
      <c r="M194" s="1125"/>
      <c r="N194" s="358"/>
      <c r="O194" s="358"/>
      <c r="Q194" s="145"/>
      <c r="R194" s="674"/>
      <c r="T194" s="1749"/>
      <c r="U194" s="1749"/>
    </row>
    <row r="195" spans="2:21" s="1748" customFormat="1" ht="15" x14ac:dyDescent="0.2">
      <c r="B195" s="337"/>
      <c r="C195" s="65"/>
      <c r="D195" s="771"/>
      <c r="E195" s="637"/>
      <c r="F195" s="800"/>
      <c r="G195" s="769"/>
      <c r="H195" s="1155"/>
      <c r="I195" s="780"/>
      <c r="J195" s="1123"/>
      <c r="K195" s="1124"/>
      <c r="L195" s="800"/>
      <c r="M195" s="1125"/>
      <c r="N195" s="358"/>
      <c r="O195" s="358"/>
      <c r="Q195" s="145"/>
      <c r="R195" s="674"/>
      <c r="T195" s="1749"/>
      <c r="U195" s="1749"/>
    </row>
    <row r="196" spans="2:21" s="1748" customFormat="1" ht="15" x14ac:dyDescent="0.2">
      <c r="B196" s="337"/>
      <c r="C196" s="65"/>
      <c r="D196" s="771"/>
      <c r="E196" s="637"/>
      <c r="F196" s="800"/>
      <c r="G196" s="769"/>
      <c r="H196" s="1155"/>
      <c r="I196" s="780"/>
      <c r="J196" s="1123"/>
      <c r="K196" s="1124"/>
      <c r="L196" s="800"/>
      <c r="M196" s="1125"/>
      <c r="N196" s="358"/>
      <c r="O196" s="358"/>
      <c r="Q196" s="145"/>
      <c r="R196" s="674"/>
      <c r="T196" s="1749"/>
      <c r="U196" s="1749"/>
    </row>
    <row r="197" spans="2:21" s="1748" customFormat="1" ht="15" x14ac:dyDescent="0.2">
      <c r="B197" s="337"/>
      <c r="C197" s="65"/>
      <c r="D197" s="771"/>
      <c r="E197" s="637"/>
      <c r="F197" s="800"/>
      <c r="G197" s="769"/>
      <c r="H197" s="1155"/>
      <c r="I197" s="780"/>
      <c r="J197" s="1123"/>
      <c r="K197" s="1124"/>
      <c r="L197" s="800"/>
      <c r="M197" s="1125"/>
      <c r="N197" s="358"/>
      <c r="O197" s="358"/>
      <c r="Q197" s="145"/>
      <c r="R197" s="674"/>
      <c r="T197" s="1749"/>
      <c r="U197" s="1749"/>
    </row>
    <row r="198" spans="2:21" s="1748" customFormat="1" ht="15" x14ac:dyDescent="0.2">
      <c r="B198" s="337"/>
      <c r="C198" s="65"/>
      <c r="D198" s="771"/>
      <c r="E198" s="637"/>
      <c r="F198" s="800"/>
      <c r="G198" s="769"/>
      <c r="H198" s="1155"/>
      <c r="I198" s="780"/>
      <c r="J198" s="1123"/>
      <c r="K198" s="1124"/>
      <c r="L198" s="800"/>
      <c r="M198" s="1125"/>
      <c r="N198" s="358"/>
      <c r="O198" s="358"/>
      <c r="Q198" s="145"/>
      <c r="R198" s="674"/>
      <c r="T198" s="1749"/>
      <c r="U198" s="1749"/>
    </row>
    <row r="199" spans="2:21" s="1748" customFormat="1" ht="15" x14ac:dyDescent="0.2">
      <c r="B199" s="337"/>
      <c r="C199" s="65"/>
      <c r="D199" s="771"/>
      <c r="E199" s="637"/>
      <c r="F199" s="800"/>
      <c r="G199" s="769"/>
      <c r="H199" s="1155"/>
      <c r="I199" s="780"/>
      <c r="J199" s="1123"/>
      <c r="K199" s="1124"/>
      <c r="L199" s="800"/>
      <c r="M199" s="1125"/>
      <c r="N199" s="358"/>
      <c r="O199" s="358"/>
      <c r="Q199" s="145"/>
      <c r="R199" s="674"/>
      <c r="T199" s="1749"/>
      <c r="U199" s="1749"/>
    </row>
    <row r="200" spans="2:21" s="1748" customFormat="1" ht="15" x14ac:dyDescent="0.2">
      <c r="B200" s="337"/>
      <c r="C200" s="65"/>
      <c r="D200" s="771"/>
      <c r="E200" s="637"/>
      <c r="F200" s="800"/>
      <c r="G200" s="769"/>
      <c r="H200" s="1155"/>
      <c r="I200" s="780"/>
      <c r="J200" s="1123"/>
      <c r="K200" s="1124"/>
      <c r="L200" s="800"/>
      <c r="M200" s="1125"/>
      <c r="N200" s="358"/>
      <c r="O200" s="358"/>
      <c r="Q200" s="145"/>
      <c r="R200" s="674"/>
      <c r="T200" s="1749"/>
      <c r="U200" s="1749"/>
    </row>
    <row r="201" spans="2:21" s="1748" customFormat="1" ht="15" x14ac:dyDescent="0.2">
      <c r="B201" s="337"/>
      <c r="C201" s="65"/>
      <c r="D201" s="771"/>
      <c r="E201" s="637"/>
      <c r="F201" s="800"/>
      <c r="G201" s="769"/>
      <c r="H201" s="1155"/>
      <c r="I201" s="780"/>
      <c r="J201" s="1123"/>
      <c r="K201" s="1124"/>
      <c r="L201" s="800"/>
      <c r="M201" s="1125"/>
      <c r="N201" s="358"/>
      <c r="O201" s="358"/>
      <c r="Q201" s="145"/>
      <c r="R201" s="674"/>
      <c r="T201" s="1749"/>
      <c r="U201" s="1749"/>
    </row>
    <row r="202" spans="2:21" s="1748" customFormat="1" ht="15" x14ac:dyDescent="0.2">
      <c r="B202" s="337"/>
      <c r="C202" s="65"/>
      <c r="D202" s="771"/>
      <c r="E202" s="637"/>
      <c r="F202" s="800"/>
      <c r="G202" s="769"/>
      <c r="H202" s="1155"/>
      <c r="I202" s="780"/>
      <c r="J202" s="1123"/>
      <c r="K202" s="1124"/>
      <c r="L202" s="800"/>
      <c r="M202" s="1125"/>
      <c r="N202" s="358"/>
      <c r="O202" s="358"/>
      <c r="Q202" s="145"/>
      <c r="R202" s="674"/>
      <c r="T202" s="1749"/>
      <c r="U202" s="1749"/>
    </row>
    <row r="203" spans="2:21" s="1748" customFormat="1" ht="15" x14ac:dyDescent="0.2">
      <c r="B203" s="337"/>
      <c r="C203" s="65"/>
      <c r="D203" s="771"/>
      <c r="E203" s="637"/>
      <c r="F203" s="800"/>
      <c r="G203" s="769"/>
      <c r="H203" s="1155"/>
      <c r="I203" s="780"/>
      <c r="J203" s="1123"/>
      <c r="K203" s="1124"/>
      <c r="L203" s="800"/>
      <c r="M203" s="1125"/>
      <c r="N203" s="358"/>
      <c r="O203" s="358"/>
      <c r="Q203" s="145"/>
      <c r="R203" s="674"/>
      <c r="T203" s="1749"/>
      <c r="U203" s="1749"/>
    </row>
    <row r="204" spans="2:21" s="1748" customFormat="1" ht="15" x14ac:dyDescent="0.2">
      <c r="B204" s="337"/>
      <c r="C204" s="65"/>
      <c r="D204" s="771"/>
      <c r="E204" s="637"/>
      <c r="F204" s="800"/>
      <c r="G204" s="769"/>
      <c r="H204" s="1155"/>
      <c r="I204" s="780"/>
      <c r="J204" s="1123"/>
      <c r="K204" s="1124"/>
      <c r="L204" s="800"/>
      <c r="M204" s="1125"/>
      <c r="N204" s="358"/>
      <c r="O204" s="358"/>
      <c r="Q204" s="145"/>
      <c r="R204" s="674"/>
      <c r="T204" s="1749"/>
      <c r="U204" s="1749"/>
    </row>
    <row r="205" spans="2:21" s="1748" customFormat="1" ht="15" x14ac:dyDescent="0.2">
      <c r="B205" s="337"/>
      <c r="C205" s="65"/>
      <c r="D205" s="771"/>
      <c r="E205" s="637"/>
      <c r="F205" s="800"/>
      <c r="G205" s="769"/>
      <c r="H205" s="1155"/>
      <c r="I205" s="780"/>
      <c r="J205" s="1123"/>
      <c r="K205" s="1124"/>
      <c r="L205" s="800"/>
      <c r="M205" s="1125"/>
      <c r="N205" s="358"/>
      <c r="O205" s="358"/>
      <c r="Q205" s="145"/>
      <c r="R205" s="674"/>
      <c r="T205" s="1749"/>
      <c r="U205" s="1749"/>
    </row>
    <row r="206" spans="2:21" s="1748" customFormat="1" ht="15" x14ac:dyDescent="0.2">
      <c r="B206" s="337"/>
      <c r="C206" s="65"/>
      <c r="D206" s="771"/>
      <c r="E206" s="637"/>
      <c r="F206" s="800"/>
      <c r="G206" s="769"/>
      <c r="H206" s="1155"/>
      <c r="I206" s="780"/>
      <c r="J206" s="1123"/>
      <c r="K206" s="1124"/>
      <c r="L206" s="800"/>
      <c r="M206" s="1125"/>
      <c r="N206" s="358"/>
      <c r="O206" s="358"/>
      <c r="Q206" s="145"/>
      <c r="R206" s="674"/>
      <c r="T206" s="1749"/>
      <c r="U206" s="1749"/>
    </row>
    <row r="207" spans="2:21" s="1748" customFormat="1" ht="15" x14ac:dyDescent="0.2">
      <c r="B207" s="337"/>
      <c r="C207" s="65"/>
      <c r="D207" s="771"/>
      <c r="E207" s="637"/>
      <c r="F207" s="800"/>
      <c r="G207" s="769"/>
      <c r="H207" s="1155"/>
      <c r="I207" s="780"/>
      <c r="J207" s="1123"/>
      <c r="K207" s="1124"/>
      <c r="L207" s="800"/>
      <c r="M207" s="1125"/>
      <c r="N207" s="358"/>
      <c r="O207" s="358"/>
      <c r="Q207" s="145"/>
      <c r="R207" s="674"/>
      <c r="T207" s="1749"/>
      <c r="U207" s="1749"/>
    </row>
    <row r="208" spans="2:21" s="1748" customFormat="1" ht="15" x14ac:dyDescent="0.2">
      <c r="B208" s="337"/>
      <c r="C208" s="65"/>
      <c r="D208" s="771"/>
      <c r="E208" s="637"/>
      <c r="F208" s="800"/>
      <c r="G208" s="769"/>
      <c r="H208" s="1155"/>
      <c r="I208" s="780"/>
      <c r="J208" s="1123"/>
      <c r="K208" s="1124"/>
      <c r="L208" s="800"/>
      <c r="M208" s="1125"/>
      <c r="N208" s="358"/>
      <c r="O208" s="358"/>
      <c r="Q208" s="145"/>
      <c r="R208" s="674"/>
      <c r="T208" s="1749"/>
      <c r="U208" s="1749"/>
    </row>
    <row r="209" spans="2:21" s="1748" customFormat="1" ht="15" x14ac:dyDescent="0.2">
      <c r="B209" s="337"/>
      <c r="C209" s="65"/>
      <c r="D209" s="771"/>
      <c r="E209" s="637"/>
      <c r="F209" s="800"/>
      <c r="G209" s="769"/>
      <c r="H209" s="1155"/>
      <c r="I209" s="780"/>
      <c r="J209" s="1123"/>
      <c r="K209" s="1124"/>
      <c r="L209" s="800"/>
      <c r="M209" s="1125"/>
      <c r="N209" s="358"/>
      <c r="O209" s="358"/>
      <c r="Q209" s="145"/>
      <c r="R209" s="674"/>
      <c r="T209" s="1749"/>
      <c r="U209" s="1749"/>
    </row>
    <row r="210" spans="2:21" s="1748" customFormat="1" ht="15" x14ac:dyDescent="0.2">
      <c r="B210" s="337"/>
      <c r="C210" s="65"/>
      <c r="D210" s="771"/>
      <c r="E210" s="637"/>
      <c r="F210" s="800"/>
      <c r="G210" s="769"/>
      <c r="H210" s="1155"/>
      <c r="I210" s="780"/>
      <c r="J210" s="1123"/>
      <c r="K210" s="1124"/>
      <c r="L210" s="800"/>
      <c r="M210" s="1125"/>
      <c r="N210" s="358"/>
      <c r="O210" s="358"/>
      <c r="Q210" s="145"/>
      <c r="R210" s="674"/>
      <c r="T210" s="1749"/>
      <c r="U210" s="1749"/>
    </row>
    <row r="211" spans="2:21" s="1748" customFormat="1" ht="15" x14ac:dyDescent="0.2">
      <c r="B211" s="337"/>
      <c r="C211" s="65"/>
      <c r="D211" s="771"/>
      <c r="E211" s="637"/>
      <c r="F211" s="800"/>
      <c r="G211" s="769"/>
      <c r="H211" s="1155"/>
      <c r="I211" s="780"/>
      <c r="J211" s="1123"/>
      <c r="K211" s="1124"/>
      <c r="L211" s="800"/>
      <c r="M211" s="1125"/>
      <c r="N211" s="358"/>
      <c r="O211" s="358"/>
      <c r="Q211" s="145"/>
      <c r="R211" s="674"/>
      <c r="T211" s="1749"/>
      <c r="U211" s="1749"/>
    </row>
    <row r="212" spans="2:21" s="1748" customFormat="1" ht="15" x14ac:dyDescent="0.2">
      <c r="B212" s="337"/>
      <c r="C212" s="65"/>
      <c r="D212" s="771"/>
      <c r="E212" s="637"/>
      <c r="F212" s="800"/>
      <c r="G212" s="769"/>
      <c r="H212" s="1155"/>
      <c r="I212" s="780"/>
      <c r="J212" s="1123"/>
      <c r="K212" s="1124"/>
      <c r="L212" s="800"/>
      <c r="M212" s="1125"/>
      <c r="N212" s="358"/>
      <c r="O212" s="358"/>
      <c r="Q212" s="145"/>
      <c r="R212" s="674"/>
      <c r="T212" s="1749"/>
      <c r="U212" s="1749"/>
    </row>
    <row r="213" spans="2:21" s="1748" customFormat="1" ht="15" x14ac:dyDescent="0.2">
      <c r="B213" s="337"/>
      <c r="C213" s="65"/>
      <c r="D213" s="771"/>
      <c r="E213" s="637"/>
      <c r="F213" s="800"/>
      <c r="G213" s="769"/>
      <c r="H213" s="1155"/>
      <c r="I213" s="780"/>
      <c r="J213" s="1123"/>
      <c r="K213" s="1124"/>
      <c r="L213" s="800"/>
      <c r="M213" s="1125"/>
      <c r="N213" s="358"/>
      <c r="O213" s="358"/>
      <c r="Q213" s="145"/>
      <c r="R213" s="674"/>
      <c r="T213" s="1749"/>
      <c r="U213" s="1749"/>
    </row>
    <row r="214" spans="2:21" s="1748" customFormat="1" ht="15" x14ac:dyDescent="0.2">
      <c r="B214" s="337"/>
      <c r="C214" s="65"/>
      <c r="D214" s="771"/>
      <c r="E214" s="637"/>
      <c r="F214" s="800"/>
      <c r="G214" s="769"/>
      <c r="H214" s="1155"/>
      <c r="I214" s="780"/>
      <c r="J214" s="1123"/>
      <c r="K214" s="1124"/>
      <c r="L214" s="800"/>
      <c r="M214" s="1125"/>
      <c r="N214" s="358"/>
      <c r="O214" s="358"/>
      <c r="Q214" s="145"/>
      <c r="R214" s="674"/>
      <c r="T214" s="1749"/>
      <c r="U214" s="1749"/>
    </row>
    <row r="215" spans="2:21" s="1748" customFormat="1" ht="15" x14ac:dyDescent="0.2">
      <c r="B215" s="337"/>
      <c r="C215" s="65"/>
      <c r="D215" s="771"/>
      <c r="E215" s="637"/>
      <c r="F215" s="800"/>
      <c r="G215" s="769"/>
      <c r="H215" s="1155"/>
      <c r="I215" s="780"/>
      <c r="J215" s="1123"/>
      <c r="K215" s="1124"/>
      <c r="L215" s="800"/>
      <c r="M215" s="1125"/>
      <c r="N215" s="358"/>
      <c r="O215" s="358"/>
      <c r="Q215" s="145"/>
      <c r="R215" s="674"/>
      <c r="T215" s="1749"/>
      <c r="U215" s="1749"/>
    </row>
    <row r="216" spans="2:21" s="1748" customFormat="1" ht="15" x14ac:dyDescent="0.2">
      <c r="B216" s="337"/>
      <c r="C216" s="65"/>
      <c r="D216" s="771"/>
      <c r="E216" s="637"/>
      <c r="F216" s="800"/>
      <c r="G216" s="769"/>
      <c r="H216" s="1155"/>
      <c r="I216" s="780"/>
      <c r="J216" s="1123"/>
      <c r="K216" s="1124"/>
      <c r="L216" s="800"/>
      <c r="M216" s="1125"/>
      <c r="N216" s="358"/>
      <c r="O216" s="358"/>
      <c r="Q216" s="145"/>
      <c r="R216" s="674"/>
      <c r="T216" s="1749"/>
      <c r="U216" s="1749"/>
    </row>
    <row r="217" spans="2:21" s="1748" customFormat="1" ht="15" x14ac:dyDescent="0.2">
      <c r="B217" s="337"/>
      <c r="C217" s="65"/>
      <c r="D217" s="771"/>
      <c r="E217" s="637"/>
      <c r="F217" s="800"/>
      <c r="G217" s="769"/>
      <c r="H217" s="1155"/>
      <c r="I217" s="780"/>
      <c r="J217" s="1123"/>
      <c r="K217" s="1124"/>
      <c r="L217" s="800"/>
      <c r="M217" s="1125"/>
      <c r="N217" s="358"/>
      <c r="O217" s="358"/>
      <c r="Q217" s="145"/>
      <c r="R217" s="674"/>
      <c r="T217" s="1749"/>
      <c r="U217" s="1749"/>
    </row>
    <row r="218" spans="2:21" s="1748" customFormat="1" ht="15" x14ac:dyDescent="0.2">
      <c r="B218" s="337"/>
      <c r="C218" s="65"/>
      <c r="D218" s="771"/>
      <c r="E218" s="637"/>
      <c r="F218" s="800"/>
      <c r="G218" s="769"/>
      <c r="H218" s="1155"/>
      <c r="I218" s="780"/>
      <c r="J218" s="1123"/>
      <c r="K218" s="1124"/>
      <c r="L218" s="800"/>
      <c r="M218" s="1125"/>
      <c r="N218" s="358"/>
      <c r="O218" s="358"/>
      <c r="Q218" s="145"/>
      <c r="R218" s="674"/>
      <c r="T218" s="1749"/>
      <c r="U218" s="1749"/>
    </row>
    <row r="219" spans="2:21" s="1748" customFormat="1" ht="15" x14ac:dyDescent="0.2">
      <c r="B219" s="337"/>
      <c r="C219" s="65"/>
      <c r="D219" s="771"/>
      <c r="E219" s="637"/>
      <c r="F219" s="800"/>
      <c r="G219" s="769"/>
      <c r="H219" s="1155"/>
      <c r="I219" s="780"/>
      <c r="J219" s="1123"/>
      <c r="K219" s="1124"/>
      <c r="L219" s="800"/>
      <c r="M219" s="1125"/>
      <c r="N219" s="358"/>
      <c r="O219" s="358"/>
      <c r="Q219" s="145"/>
      <c r="R219" s="674"/>
      <c r="T219" s="1749"/>
      <c r="U219" s="1749"/>
    </row>
    <row r="220" spans="2:21" s="1748" customFormat="1" ht="15" x14ac:dyDescent="0.2">
      <c r="B220" s="337"/>
      <c r="C220" s="65"/>
      <c r="D220" s="771"/>
      <c r="E220" s="637"/>
      <c r="F220" s="800"/>
      <c r="G220" s="769"/>
      <c r="H220" s="1155"/>
      <c r="I220" s="780"/>
      <c r="J220" s="1123"/>
      <c r="K220" s="1124"/>
      <c r="L220" s="800"/>
      <c r="M220" s="1125"/>
      <c r="N220" s="358"/>
      <c r="O220" s="358"/>
      <c r="Q220" s="145"/>
      <c r="R220" s="674"/>
      <c r="T220" s="1749"/>
      <c r="U220" s="1749"/>
    </row>
    <row r="221" spans="2:21" s="1748" customFormat="1" ht="15" x14ac:dyDescent="0.2">
      <c r="B221" s="337"/>
      <c r="C221" s="65"/>
      <c r="D221" s="771"/>
      <c r="E221" s="637"/>
      <c r="F221" s="800"/>
      <c r="G221" s="769"/>
      <c r="H221" s="1155"/>
      <c r="I221" s="780"/>
      <c r="J221" s="1123"/>
      <c r="K221" s="1124"/>
      <c r="L221" s="800"/>
      <c r="M221" s="1125"/>
      <c r="N221" s="358"/>
      <c r="O221" s="358"/>
      <c r="Q221" s="145"/>
      <c r="R221" s="674"/>
      <c r="T221" s="1749"/>
      <c r="U221" s="1749"/>
    </row>
    <row r="222" spans="2:21" s="1748" customFormat="1" ht="15" x14ac:dyDescent="0.2">
      <c r="B222" s="337"/>
      <c r="C222" s="65"/>
      <c r="D222" s="771"/>
      <c r="E222" s="637"/>
      <c r="F222" s="800"/>
      <c r="G222" s="769"/>
      <c r="H222" s="1155"/>
      <c r="I222" s="780"/>
      <c r="J222" s="1123"/>
      <c r="K222" s="1124"/>
      <c r="L222" s="800"/>
      <c r="M222" s="1125"/>
      <c r="N222" s="358"/>
      <c r="O222" s="358"/>
      <c r="Q222" s="145"/>
      <c r="R222" s="674"/>
      <c r="T222" s="1749"/>
      <c r="U222" s="1749"/>
    </row>
    <row r="223" spans="2:21" s="1748" customFormat="1" ht="15" x14ac:dyDescent="0.2">
      <c r="B223" s="337"/>
      <c r="C223" s="65"/>
      <c r="D223" s="771"/>
      <c r="E223" s="637"/>
      <c r="F223" s="800"/>
      <c r="G223" s="769"/>
      <c r="H223" s="1155"/>
      <c r="I223" s="780"/>
      <c r="J223" s="1123"/>
      <c r="K223" s="1124"/>
      <c r="L223" s="800"/>
      <c r="M223" s="1125"/>
      <c r="N223" s="358"/>
      <c r="O223" s="358"/>
      <c r="Q223" s="145"/>
      <c r="R223" s="674"/>
      <c r="T223" s="1749"/>
      <c r="U223" s="1749"/>
    </row>
    <row r="224" spans="2:21" s="1748" customFormat="1" ht="15" x14ac:dyDescent="0.2">
      <c r="B224" s="337"/>
      <c r="C224" s="65"/>
      <c r="D224" s="771"/>
      <c r="E224" s="637"/>
      <c r="F224" s="800"/>
      <c r="G224" s="769"/>
      <c r="H224" s="1155"/>
      <c r="I224" s="780"/>
      <c r="J224" s="1123"/>
      <c r="K224" s="1124"/>
      <c r="L224" s="800"/>
      <c r="M224" s="1125"/>
      <c r="N224" s="358"/>
      <c r="O224" s="358"/>
      <c r="Q224" s="145"/>
      <c r="R224" s="674"/>
      <c r="T224" s="1749"/>
      <c r="U224" s="1749"/>
    </row>
    <row r="225" spans="2:21" s="1748" customFormat="1" ht="15" x14ac:dyDescent="0.2">
      <c r="B225" s="337"/>
      <c r="C225" s="65"/>
      <c r="D225" s="771"/>
      <c r="E225" s="637"/>
      <c r="F225" s="800"/>
      <c r="G225" s="769"/>
      <c r="H225" s="1155"/>
      <c r="I225" s="780"/>
      <c r="J225" s="1123"/>
      <c r="K225" s="1124"/>
      <c r="L225" s="800"/>
      <c r="M225" s="1125"/>
      <c r="N225" s="358"/>
      <c r="O225" s="358"/>
      <c r="Q225" s="145"/>
      <c r="R225" s="674"/>
      <c r="T225" s="1749"/>
      <c r="U225" s="1749"/>
    </row>
    <row r="226" spans="2:21" s="1748" customFormat="1" ht="15" x14ac:dyDescent="0.2">
      <c r="B226" s="337"/>
      <c r="C226" s="65"/>
      <c r="D226" s="771"/>
      <c r="E226" s="637"/>
      <c r="F226" s="800"/>
      <c r="G226" s="769"/>
      <c r="H226" s="1155"/>
      <c r="I226" s="780"/>
      <c r="J226" s="1123"/>
      <c r="K226" s="1124"/>
      <c r="L226" s="800"/>
      <c r="M226" s="1125"/>
      <c r="N226" s="358"/>
      <c r="O226" s="358"/>
      <c r="Q226" s="145"/>
      <c r="R226" s="674"/>
      <c r="T226" s="1749"/>
      <c r="U226" s="1749"/>
    </row>
    <row r="227" spans="2:21" s="1748" customFormat="1" ht="15" x14ac:dyDescent="0.2">
      <c r="B227" s="337"/>
      <c r="C227" s="65"/>
      <c r="D227" s="771"/>
      <c r="E227" s="637"/>
      <c r="F227" s="800"/>
      <c r="G227" s="769"/>
      <c r="H227" s="1155"/>
      <c r="I227" s="780"/>
      <c r="J227" s="1123"/>
      <c r="K227" s="1124"/>
      <c r="L227" s="800"/>
      <c r="M227" s="1125"/>
      <c r="N227" s="358"/>
      <c r="O227" s="358"/>
      <c r="Q227" s="145"/>
      <c r="R227" s="674"/>
      <c r="T227" s="1749"/>
      <c r="U227" s="1749"/>
    </row>
    <row r="228" spans="2:21" s="1748" customFormat="1" ht="15" x14ac:dyDescent="0.2">
      <c r="B228" s="337"/>
      <c r="C228" s="65"/>
      <c r="D228" s="771"/>
      <c r="E228" s="637"/>
      <c r="F228" s="800"/>
      <c r="G228" s="769"/>
      <c r="H228" s="1155"/>
      <c r="I228" s="780"/>
      <c r="J228" s="1123"/>
      <c r="K228" s="1124"/>
      <c r="L228" s="800"/>
      <c r="M228" s="1125"/>
      <c r="N228" s="358"/>
      <c r="O228" s="358"/>
      <c r="Q228" s="145"/>
      <c r="R228" s="674"/>
      <c r="T228" s="1749"/>
      <c r="U228" s="1749"/>
    </row>
    <row r="229" spans="2:21" s="1748" customFormat="1" ht="15" x14ac:dyDescent="0.2">
      <c r="B229" s="337"/>
      <c r="C229" s="65"/>
      <c r="D229" s="771"/>
      <c r="E229" s="637"/>
      <c r="F229" s="800"/>
      <c r="G229" s="769"/>
      <c r="H229" s="1155"/>
      <c r="I229" s="780"/>
      <c r="J229" s="1123"/>
      <c r="K229" s="1124"/>
      <c r="L229" s="800"/>
      <c r="M229" s="1125"/>
      <c r="N229" s="358"/>
      <c r="O229" s="358"/>
      <c r="Q229" s="145"/>
      <c r="R229" s="674"/>
      <c r="T229" s="1749"/>
      <c r="U229" s="1749"/>
    </row>
    <row r="230" spans="2:21" s="1748" customFormat="1" ht="15" x14ac:dyDescent="0.2">
      <c r="B230" s="337"/>
      <c r="C230" s="65"/>
      <c r="D230" s="771"/>
      <c r="E230" s="637"/>
      <c r="F230" s="800"/>
      <c r="G230" s="769"/>
      <c r="H230" s="1155"/>
      <c r="I230" s="780"/>
      <c r="J230" s="1123"/>
      <c r="K230" s="1124"/>
      <c r="L230" s="800"/>
      <c r="M230" s="1125"/>
      <c r="N230" s="358"/>
      <c r="O230" s="358"/>
      <c r="Q230" s="145"/>
      <c r="R230" s="674"/>
      <c r="T230" s="1749"/>
      <c r="U230" s="1749"/>
    </row>
    <row r="231" spans="2:21" s="1748" customFormat="1" ht="15" x14ac:dyDescent="0.2">
      <c r="B231" s="337"/>
      <c r="C231" s="65"/>
      <c r="D231" s="771"/>
      <c r="E231" s="637"/>
      <c r="F231" s="800"/>
      <c r="G231" s="769"/>
      <c r="H231" s="1155"/>
      <c r="I231" s="780"/>
      <c r="J231" s="1123"/>
      <c r="K231" s="1124"/>
      <c r="L231" s="800"/>
      <c r="M231" s="1125"/>
      <c r="N231" s="358"/>
      <c r="O231" s="358"/>
      <c r="Q231" s="145"/>
      <c r="R231" s="674"/>
      <c r="T231" s="1749"/>
      <c r="U231" s="1749"/>
    </row>
    <row r="232" spans="2:21" s="1748" customFormat="1" ht="15" x14ac:dyDescent="0.2">
      <c r="B232" s="337"/>
      <c r="C232" s="65"/>
      <c r="D232" s="771"/>
      <c r="E232" s="637"/>
      <c r="F232" s="800"/>
      <c r="G232" s="769"/>
      <c r="H232" s="1155"/>
      <c r="I232" s="780"/>
      <c r="J232" s="1123"/>
      <c r="K232" s="1124"/>
      <c r="L232" s="800"/>
      <c r="M232" s="1125"/>
      <c r="N232" s="358"/>
      <c r="O232" s="358"/>
      <c r="Q232" s="145"/>
      <c r="R232" s="674"/>
      <c r="T232" s="1749"/>
      <c r="U232" s="1749"/>
    </row>
    <row r="233" spans="2:21" s="1748" customFormat="1" ht="15" x14ac:dyDescent="0.2">
      <c r="B233" s="337"/>
      <c r="C233" s="65"/>
      <c r="D233" s="771"/>
      <c r="E233" s="637"/>
      <c r="F233" s="800"/>
      <c r="G233" s="769"/>
      <c r="H233" s="1155"/>
      <c r="I233" s="780"/>
      <c r="J233" s="1123"/>
      <c r="K233" s="1124"/>
      <c r="L233" s="800"/>
      <c r="M233" s="1125"/>
      <c r="N233" s="358"/>
      <c r="O233" s="358"/>
      <c r="Q233" s="145"/>
      <c r="R233" s="674"/>
      <c r="T233" s="1749"/>
      <c r="U233" s="1749"/>
    </row>
    <row r="234" spans="2:21" s="1748" customFormat="1" ht="15" x14ac:dyDescent="0.2">
      <c r="B234" s="337"/>
      <c r="C234" s="65"/>
      <c r="D234" s="771"/>
      <c r="E234" s="637"/>
      <c r="F234" s="800"/>
      <c r="G234" s="769"/>
      <c r="H234" s="1155"/>
      <c r="I234" s="780"/>
      <c r="J234" s="1123"/>
      <c r="K234" s="1124"/>
      <c r="L234" s="800"/>
      <c r="M234" s="1125"/>
      <c r="N234" s="358"/>
      <c r="O234" s="358"/>
      <c r="Q234" s="145"/>
      <c r="R234" s="674"/>
      <c r="T234" s="1749"/>
      <c r="U234" s="1749"/>
    </row>
    <row r="235" spans="2:21" s="1748" customFormat="1" ht="15" x14ac:dyDescent="0.2">
      <c r="B235" s="337"/>
      <c r="C235" s="65"/>
      <c r="D235" s="771"/>
      <c r="E235" s="637"/>
      <c r="F235" s="800"/>
      <c r="G235" s="769"/>
      <c r="H235" s="1155"/>
      <c r="I235" s="780"/>
      <c r="J235" s="1123"/>
      <c r="K235" s="1124"/>
      <c r="L235" s="800"/>
      <c r="M235" s="1125"/>
      <c r="N235" s="358"/>
      <c r="O235" s="358"/>
      <c r="Q235" s="145"/>
      <c r="R235" s="674"/>
      <c r="T235" s="1749"/>
      <c r="U235" s="1749"/>
    </row>
    <row r="236" spans="2:21" s="1748" customFormat="1" ht="15" x14ac:dyDescent="0.2">
      <c r="B236" s="337"/>
      <c r="C236" s="65"/>
      <c r="D236" s="771"/>
      <c r="E236" s="637"/>
      <c r="F236" s="800"/>
      <c r="G236" s="769"/>
      <c r="H236" s="1155"/>
      <c r="I236" s="780"/>
      <c r="J236" s="1123"/>
      <c r="K236" s="1124"/>
      <c r="L236" s="800"/>
      <c r="M236" s="1125"/>
      <c r="N236" s="358"/>
      <c r="O236" s="358"/>
      <c r="Q236" s="145"/>
      <c r="R236" s="674"/>
      <c r="T236" s="1749"/>
      <c r="U236" s="1749"/>
    </row>
    <row r="237" spans="2:21" s="1748" customFormat="1" ht="15" x14ac:dyDescent="0.2">
      <c r="B237" s="337"/>
      <c r="C237" s="65"/>
      <c r="D237" s="771"/>
      <c r="E237" s="637"/>
      <c r="F237" s="800"/>
      <c r="G237" s="769"/>
      <c r="H237" s="1155"/>
      <c r="I237" s="780"/>
      <c r="J237" s="1123"/>
      <c r="K237" s="1124"/>
      <c r="L237" s="800"/>
      <c r="M237" s="1125"/>
      <c r="N237" s="358"/>
      <c r="O237" s="358"/>
      <c r="Q237" s="145"/>
      <c r="R237" s="674"/>
      <c r="T237" s="1749"/>
      <c r="U237" s="1749"/>
    </row>
    <row r="238" spans="2:21" s="1748" customFormat="1" ht="15" x14ac:dyDescent="0.2">
      <c r="B238" s="337"/>
      <c r="C238" s="65"/>
      <c r="D238" s="771"/>
      <c r="E238" s="637"/>
      <c r="F238" s="800"/>
      <c r="G238" s="769"/>
      <c r="H238" s="1155"/>
      <c r="I238" s="780"/>
      <c r="J238" s="1123"/>
      <c r="K238" s="1124"/>
      <c r="L238" s="800"/>
      <c r="M238" s="1125"/>
      <c r="N238" s="358"/>
      <c r="O238" s="358"/>
      <c r="Q238" s="145"/>
      <c r="R238" s="674"/>
      <c r="T238" s="1749"/>
      <c r="U238" s="1749"/>
    </row>
    <row r="239" spans="2:21" s="1748" customFormat="1" ht="15" x14ac:dyDescent="0.2">
      <c r="B239" s="337"/>
      <c r="C239" s="65"/>
      <c r="D239" s="771"/>
      <c r="E239" s="637"/>
      <c r="F239" s="800"/>
      <c r="G239" s="769"/>
      <c r="H239" s="1155"/>
      <c r="I239" s="780"/>
      <c r="J239" s="1123"/>
      <c r="K239" s="1124"/>
      <c r="L239" s="800"/>
      <c r="M239" s="1125"/>
      <c r="N239" s="358"/>
      <c r="O239" s="358"/>
      <c r="Q239" s="145"/>
      <c r="R239" s="674"/>
      <c r="T239" s="1749"/>
      <c r="U239" s="1749"/>
    </row>
    <row r="240" spans="2:21" s="1748" customFormat="1" ht="15" x14ac:dyDescent="0.2">
      <c r="B240" s="337"/>
      <c r="C240" s="65"/>
      <c r="D240" s="771"/>
      <c r="E240" s="637"/>
      <c r="F240" s="800"/>
      <c r="G240" s="769"/>
      <c r="H240" s="1155"/>
      <c r="I240" s="780"/>
      <c r="J240" s="1123"/>
      <c r="K240" s="1124"/>
      <c r="L240" s="800"/>
      <c r="M240" s="1125"/>
      <c r="N240" s="358"/>
      <c r="O240" s="358"/>
      <c r="Q240" s="145"/>
      <c r="R240" s="674"/>
      <c r="T240" s="1749"/>
      <c r="U240" s="1749"/>
    </row>
    <row r="241" spans="2:21" s="1748" customFormat="1" ht="15" x14ac:dyDescent="0.2">
      <c r="B241" s="337"/>
      <c r="C241" s="65"/>
      <c r="D241" s="771"/>
      <c r="E241" s="637"/>
      <c r="F241" s="800"/>
      <c r="G241" s="769"/>
      <c r="H241" s="1155"/>
      <c r="I241" s="780"/>
      <c r="J241" s="1123"/>
      <c r="K241" s="1124"/>
      <c r="L241" s="800"/>
      <c r="M241" s="1125"/>
      <c r="N241" s="358"/>
      <c r="O241" s="358"/>
      <c r="Q241" s="145"/>
      <c r="R241" s="674"/>
      <c r="T241" s="1749"/>
      <c r="U241" s="1749"/>
    </row>
    <row r="242" spans="2:21" s="1748" customFormat="1" ht="15" x14ac:dyDescent="0.2">
      <c r="B242" s="337"/>
      <c r="C242" s="65"/>
      <c r="D242" s="771"/>
      <c r="E242" s="637"/>
      <c r="F242" s="800"/>
      <c r="G242" s="769"/>
      <c r="H242" s="1155"/>
      <c r="I242" s="780"/>
      <c r="J242" s="1123"/>
      <c r="K242" s="1124"/>
      <c r="L242" s="800"/>
      <c r="M242" s="1125"/>
      <c r="N242" s="358"/>
      <c r="O242" s="358"/>
      <c r="Q242" s="145"/>
      <c r="R242" s="674"/>
      <c r="T242" s="1749"/>
      <c r="U242" s="1749"/>
    </row>
    <row r="243" spans="2:21" s="1748" customFormat="1" ht="15" x14ac:dyDescent="0.2">
      <c r="B243" s="337"/>
      <c r="C243" s="65"/>
      <c r="D243" s="771"/>
      <c r="E243" s="637"/>
      <c r="F243" s="800"/>
      <c r="G243" s="769"/>
      <c r="H243" s="1155"/>
      <c r="I243" s="780"/>
      <c r="J243" s="1123"/>
      <c r="K243" s="1124"/>
      <c r="L243" s="800"/>
      <c r="M243" s="1125"/>
      <c r="N243" s="358"/>
      <c r="O243" s="358"/>
      <c r="Q243" s="145"/>
      <c r="R243" s="674"/>
      <c r="T243" s="1749"/>
      <c r="U243" s="1749"/>
    </row>
    <row r="244" spans="2:21" s="1748" customFormat="1" ht="15" x14ac:dyDescent="0.2">
      <c r="B244" s="337"/>
      <c r="C244" s="65"/>
      <c r="D244" s="771"/>
      <c r="E244" s="637"/>
      <c r="F244" s="800"/>
      <c r="G244" s="769"/>
      <c r="H244" s="1155"/>
      <c r="I244" s="780"/>
      <c r="J244" s="1123"/>
      <c r="K244" s="1124"/>
      <c r="L244" s="800"/>
      <c r="M244" s="1125"/>
      <c r="N244" s="358"/>
      <c r="O244" s="358"/>
      <c r="Q244" s="145"/>
      <c r="R244" s="674"/>
      <c r="T244" s="1749"/>
      <c r="U244" s="1749"/>
    </row>
    <row r="245" spans="2:21" s="1748" customFormat="1" ht="15" x14ac:dyDescent="0.2">
      <c r="B245" s="337"/>
      <c r="C245" s="65"/>
      <c r="D245" s="771"/>
      <c r="E245" s="637"/>
      <c r="F245" s="800"/>
      <c r="G245" s="769"/>
      <c r="H245" s="1155"/>
      <c r="I245" s="780"/>
      <c r="J245" s="1123"/>
      <c r="K245" s="1124"/>
      <c r="L245" s="800"/>
      <c r="M245" s="1125"/>
      <c r="N245" s="358"/>
      <c r="O245" s="358"/>
      <c r="Q245" s="145"/>
      <c r="R245" s="674"/>
      <c r="T245" s="1749"/>
      <c r="U245" s="1749"/>
    </row>
    <row r="246" spans="2:21" s="1748" customFormat="1" ht="15" x14ac:dyDescent="0.2">
      <c r="B246" s="337"/>
      <c r="C246" s="65"/>
      <c r="D246" s="771"/>
      <c r="E246" s="637"/>
      <c r="F246" s="800"/>
      <c r="G246" s="769"/>
      <c r="H246" s="1155"/>
      <c r="I246" s="780"/>
      <c r="J246" s="1123"/>
      <c r="K246" s="1124"/>
      <c r="L246" s="800"/>
      <c r="M246" s="1125"/>
      <c r="N246" s="358"/>
      <c r="O246" s="358"/>
      <c r="Q246" s="145"/>
      <c r="R246" s="674"/>
      <c r="T246" s="1749"/>
      <c r="U246" s="1749"/>
    </row>
    <row r="247" spans="2:21" s="1748" customFormat="1" ht="15" x14ac:dyDescent="0.2">
      <c r="B247" s="337"/>
      <c r="C247" s="65"/>
      <c r="D247" s="771"/>
      <c r="E247" s="637"/>
      <c r="F247" s="800"/>
      <c r="G247" s="769"/>
      <c r="H247" s="1155"/>
      <c r="I247" s="780"/>
      <c r="J247" s="1123"/>
      <c r="K247" s="1124"/>
      <c r="L247" s="800"/>
      <c r="M247" s="1125"/>
      <c r="N247" s="358"/>
      <c r="O247" s="358"/>
      <c r="Q247" s="145"/>
      <c r="R247" s="674"/>
      <c r="T247" s="1749"/>
      <c r="U247" s="1749"/>
    </row>
    <row r="248" spans="2:21" s="1748" customFormat="1" ht="15" x14ac:dyDescent="0.2">
      <c r="B248" s="337"/>
      <c r="C248" s="65"/>
      <c r="D248" s="771"/>
      <c r="E248" s="637"/>
      <c r="F248" s="800"/>
      <c r="G248" s="769"/>
      <c r="H248" s="1155"/>
      <c r="I248" s="780"/>
      <c r="J248" s="1123"/>
      <c r="K248" s="1124"/>
      <c r="L248" s="800"/>
      <c r="M248" s="1125"/>
      <c r="N248" s="358"/>
      <c r="O248" s="358"/>
      <c r="Q248" s="145"/>
      <c r="R248" s="674"/>
      <c r="T248" s="1749"/>
      <c r="U248" s="1749"/>
    </row>
    <row r="249" spans="2:21" s="1748" customFormat="1" ht="15" x14ac:dyDescent="0.2">
      <c r="B249" s="337"/>
      <c r="C249" s="65"/>
      <c r="D249" s="771"/>
      <c r="E249" s="637"/>
      <c r="F249" s="800"/>
      <c r="G249" s="769"/>
      <c r="H249" s="1155"/>
      <c r="I249" s="780"/>
      <c r="J249" s="1123"/>
      <c r="K249" s="1124"/>
      <c r="L249" s="800"/>
      <c r="M249" s="1125"/>
      <c r="N249" s="358"/>
      <c r="O249" s="358"/>
      <c r="Q249" s="145"/>
      <c r="R249" s="674"/>
      <c r="T249" s="1749"/>
      <c r="U249" s="1749"/>
    </row>
    <row r="250" spans="2:21" s="1748" customFormat="1" ht="15" x14ac:dyDescent="0.2">
      <c r="B250" s="337"/>
      <c r="C250" s="65"/>
      <c r="D250" s="771"/>
      <c r="E250" s="637"/>
      <c r="F250" s="800"/>
      <c r="G250" s="769"/>
      <c r="H250" s="1155"/>
      <c r="I250" s="780"/>
      <c r="J250" s="1123"/>
      <c r="K250" s="1124"/>
      <c r="L250" s="800"/>
      <c r="M250" s="1125"/>
      <c r="N250" s="358"/>
      <c r="O250" s="358"/>
      <c r="Q250" s="145"/>
      <c r="R250" s="674"/>
      <c r="T250" s="1749"/>
      <c r="U250" s="1749"/>
    </row>
    <row r="251" spans="2:21" s="1748" customFormat="1" ht="15" x14ac:dyDescent="0.2">
      <c r="B251" s="337"/>
      <c r="C251" s="65"/>
      <c r="D251" s="771"/>
      <c r="E251" s="637"/>
      <c r="F251" s="800"/>
      <c r="G251" s="769"/>
      <c r="H251" s="1155"/>
      <c r="I251" s="780"/>
      <c r="J251" s="1123"/>
      <c r="K251" s="1124"/>
      <c r="L251" s="800"/>
      <c r="M251" s="1125"/>
      <c r="N251" s="358"/>
      <c r="O251" s="358"/>
      <c r="Q251" s="145"/>
      <c r="R251" s="674"/>
      <c r="T251" s="1749"/>
      <c r="U251" s="1749"/>
    </row>
    <row r="252" spans="2:21" s="1748" customFormat="1" ht="15" x14ac:dyDescent="0.2">
      <c r="B252" s="337"/>
      <c r="C252" s="65"/>
      <c r="D252" s="771"/>
      <c r="E252" s="637"/>
      <c r="F252" s="800"/>
      <c r="G252" s="769"/>
      <c r="H252" s="1155"/>
      <c r="I252" s="780"/>
      <c r="J252" s="1123"/>
      <c r="K252" s="1124"/>
      <c r="L252" s="800"/>
      <c r="M252" s="1125"/>
      <c r="N252" s="358"/>
      <c r="O252" s="358"/>
      <c r="Q252" s="145"/>
      <c r="R252" s="674"/>
      <c r="T252" s="1749"/>
      <c r="U252" s="1749"/>
    </row>
    <row r="253" spans="2:21" s="1748" customFormat="1" ht="15" x14ac:dyDescent="0.2">
      <c r="B253" s="337"/>
      <c r="C253" s="65"/>
      <c r="D253" s="771"/>
      <c r="E253" s="637"/>
      <c r="F253" s="800"/>
      <c r="G253" s="769"/>
      <c r="H253" s="1155"/>
      <c r="I253" s="780"/>
      <c r="J253" s="1123"/>
      <c r="K253" s="1124"/>
      <c r="L253" s="800"/>
      <c r="M253" s="1125"/>
      <c r="N253" s="358"/>
      <c r="O253" s="358"/>
      <c r="Q253" s="145"/>
      <c r="R253" s="674"/>
      <c r="T253" s="1749"/>
      <c r="U253" s="1749"/>
    </row>
    <row r="254" spans="2:21" s="1748" customFormat="1" ht="15" x14ac:dyDescent="0.2">
      <c r="B254" s="337"/>
      <c r="C254" s="65"/>
      <c r="D254" s="771"/>
      <c r="E254" s="637"/>
      <c r="F254" s="800"/>
      <c r="G254" s="769"/>
      <c r="H254" s="1155"/>
      <c r="I254" s="780"/>
      <c r="J254" s="1123"/>
      <c r="K254" s="1124"/>
      <c r="L254" s="800"/>
      <c r="M254" s="1125"/>
      <c r="N254" s="358"/>
      <c r="O254" s="358"/>
      <c r="Q254" s="145"/>
      <c r="R254" s="674"/>
      <c r="T254" s="1749"/>
      <c r="U254" s="1749"/>
    </row>
    <row r="255" spans="2:21" s="1748" customFormat="1" ht="15" x14ac:dyDescent="0.2">
      <c r="B255" s="337"/>
      <c r="C255" s="65"/>
      <c r="D255" s="771"/>
      <c r="E255" s="637"/>
      <c r="F255" s="800"/>
      <c r="G255" s="769"/>
      <c r="H255" s="1155"/>
      <c r="I255" s="780"/>
      <c r="J255" s="1123"/>
      <c r="K255" s="1124"/>
      <c r="L255" s="800"/>
      <c r="M255" s="1125"/>
      <c r="N255" s="358"/>
      <c r="O255" s="358"/>
      <c r="Q255" s="145"/>
      <c r="R255" s="674"/>
      <c r="T255" s="1749"/>
      <c r="U255" s="1749"/>
    </row>
    <row r="256" spans="2:21" s="1748" customFormat="1" ht="15" x14ac:dyDescent="0.2">
      <c r="B256" s="337"/>
      <c r="C256" s="65"/>
      <c r="D256" s="771"/>
      <c r="E256" s="637"/>
      <c r="F256" s="800"/>
      <c r="G256" s="769"/>
      <c r="H256" s="1155"/>
      <c r="I256" s="780"/>
      <c r="J256" s="1123"/>
      <c r="K256" s="1124"/>
      <c r="L256" s="800"/>
      <c r="M256" s="1125"/>
      <c r="N256" s="358"/>
      <c r="O256" s="358"/>
      <c r="Q256" s="145"/>
      <c r="R256" s="674"/>
      <c r="T256" s="1749"/>
      <c r="U256" s="1749"/>
    </row>
    <row r="257" spans="2:21" s="1748" customFormat="1" ht="15" x14ac:dyDescent="0.2">
      <c r="B257" s="337"/>
      <c r="C257" s="65"/>
      <c r="D257" s="771"/>
      <c r="E257" s="637"/>
      <c r="F257" s="800"/>
      <c r="G257" s="769"/>
      <c r="H257" s="1155"/>
      <c r="I257" s="780"/>
      <c r="J257" s="1123"/>
      <c r="K257" s="1124"/>
      <c r="L257" s="800"/>
      <c r="M257" s="1125"/>
      <c r="N257" s="358"/>
      <c r="O257" s="358"/>
      <c r="Q257" s="145"/>
      <c r="R257" s="674"/>
      <c r="T257" s="1749"/>
      <c r="U257" s="1749"/>
    </row>
    <row r="258" spans="2:21" s="1748" customFormat="1" ht="15" x14ac:dyDescent="0.2">
      <c r="B258" s="337"/>
      <c r="C258" s="65"/>
      <c r="D258" s="771"/>
      <c r="E258" s="637"/>
      <c r="F258" s="800"/>
      <c r="G258" s="769"/>
      <c r="H258" s="1155"/>
      <c r="I258" s="780"/>
      <c r="J258" s="1123"/>
      <c r="K258" s="1124"/>
      <c r="L258" s="800"/>
      <c r="M258" s="1125"/>
      <c r="N258" s="358"/>
      <c r="O258" s="358"/>
      <c r="Q258" s="145"/>
      <c r="R258" s="674"/>
      <c r="T258" s="1749"/>
      <c r="U258" s="1749"/>
    </row>
    <row r="259" spans="2:21" s="1748" customFormat="1" ht="15" x14ac:dyDescent="0.2">
      <c r="B259" s="337"/>
      <c r="C259" s="65"/>
      <c r="D259" s="771"/>
      <c r="E259" s="637"/>
      <c r="F259" s="800"/>
      <c r="G259" s="769"/>
      <c r="H259" s="1155"/>
      <c r="I259" s="780"/>
      <c r="J259" s="1123"/>
      <c r="K259" s="1124"/>
      <c r="L259" s="800"/>
      <c r="M259" s="1125"/>
      <c r="N259" s="358"/>
      <c r="O259" s="358"/>
      <c r="Q259" s="145"/>
      <c r="R259" s="674"/>
      <c r="T259" s="1749"/>
      <c r="U259" s="1749"/>
    </row>
    <row r="260" spans="2:21" s="1748" customFormat="1" ht="15" x14ac:dyDescent="0.2">
      <c r="B260" s="337"/>
      <c r="C260" s="65"/>
      <c r="D260" s="771"/>
      <c r="E260" s="637"/>
      <c r="F260" s="800"/>
      <c r="G260" s="769"/>
      <c r="H260" s="1155"/>
      <c r="I260" s="780"/>
      <c r="J260" s="1123"/>
      <c r="K260" s="1124"/>
      <c r="L260" s="800"/>
      <c r="M260" s="1125"/>
      <c r="N260" s="358"/>
      <c r="O260" s="358"/>
      <c r="Q260" s="145"/>
      <c r="R260" s="674"/>
      <c r="T260" s="1749"/>
      <c r="U260" s="1749"/>
    </row>
    <row r="261" spans="2:21" s="1748" customFormat="1" ht="15" x14ac:dyDescent="0.2">
      <c r="B261" s="337"/>
      <c r="C261" s="65"/>
      <c r="D261" s="771"/>
      <c r="E261" s="637"/>
      <c r="F261" s="800"/>
      <c r="G261" s="769"/>
      <c r="H261" s="1155"/>
      <c r="I261" s="780"/>
      <c r="J261" s="1123"/>
      <c r="K261" s="1124"/>
      <c r="L261" s="800"/>
      <c r="M261" s="1125"/>
      <c r="N261" s="358"/>
      <c r="O261" s="358"/>
      <c r="Q261" s="145"/>
      <c r="R261" s="674"/>
      <c r="T261" s="1749"/>
      <c r="U261" s="1749"/>
    </row>
    <row r="262" spans="2:21" s="1748" customFormat="1" ht="15" x14ac:dyDescent="0.2">
      <c r="B262" s="337"/>
      <c r="C262" s="65"/>
      <c r="D262" s="771"/>
      <c r="E262" s="637"/>
      <c r="F262" s="800"/>
      <c r="G262" s="769"/>
      <c r="H262" s="1155"/>
      <c r="I262" s="780"/>
      <c r="J262" s="1123"/>
      <c r="K262" s="1124"/>
      <c r="L262" s="800"/>
      <c r="M262" s="1125"/>
      <c r="N262" s="358"/>
      <c r="O262" s="358"/>
      <c r="Q262" s="145"/>
      <c r="R262" s="674"/>
      <c r="T262" s="1749"/>
      <c r="U262" s="1749"/>
    </row>
    <row r="263" spans="2:21" s="1748" customFormat="1" ht="15" x14ac:dyDescent="0.2">
      <c r="B263" s="337"/>
      <c r="C263" s="65"/>
      <c r="D263" s="771"/>
      <c r="E263" s="637"/>
      <c r="F263" s="800"/>
      <c r="G263" s="769"/>
      <c r="H263" s="1155"/>
      <c r="I263" s="780"/>
      <c r="J263" s="1123"/>
      <c r="K263" s="1124"/>
      <c r="L263" s="800"/>
      <c r="M263" s="1125"/>
      <c r="N263" s="358"/>
      <c r="O263" s="358"/>
      <c r="Q263" s="145"/>
      <c r="R263" s="674"/>
      <c r="T263" s="1749"/>
      <c r="U263" s="1749"/>
    </row>
    <row r="264" spans="2:21" s="1748" customFormat="1" ht="15" x14ac:dyDescent="0.2">
      <c r="B264" s="337"/>
      <c r="C264" s="65"/>
      <c r="D264" s="771"/>
      <c r="E264" s="637"/>
      <c r="F264" s="800"/>
      <c r="G264" s="769"/>
      <c r="H264" s="1155"/>
      <c r="I264" s="780"/>
      <c r="J264" s="1123"/>
      <c r="K264" s="1124"/>
      <c r="L264" s="800"/>
      <c r="M264" s="1125"/>
      <c r="N264" s="358"/>
      <c r="O264" s="358"/>
      <c r="Q264" s="145"/>
      <c r="R264" s="674"/>
      <c r="T264" s="1749"/>
      <c r="U264" s="1749"/>
    </row>
    <row r="265" spans="2:21" s="1748" customFormat="1" ht="15" x14ac:dyDescent="0.2">
      <c r="B265" s="337"/>
      <c r="C265" s="65"/>
      <c r="D265" s="771"/>
      <c r="E265" s="637"/>
      <c r="F265" s="800"/>
      <c r="G265" s="769"/>
      <c r="H265" s="1155"/>
      <c r="I265" s="780"/>
      <c r="J265" s="1123"/>
      <c r="K265" s="1124"/>
      <c r="L265" s="800"/>
      <c r="M265" s="1125"/>
      <c r="N265" s="358"/>
      <c r="O265" s="358"/>
      <c r="Q265" s="145"/>
      <c r="R265" s="674"/>
      <c r="T265" s="1749"/>
      <c r="U265" s="1749"/>
    </row>
    <row r="266" spans="2:21" s="1748" customFormat="1" ht="15" x14ac:dyDescent="0.2">
      <c r="B266" s="337"/>
      <c r="C266" s="65"/>
      <c r="D266" s="771"/>
      <c r="E266" s="637"/>
      <c r="F266" s="800"/>
      <c r="G266" s="769"/>
      <c r="H266" s="1155"/>
      <c r="I266" s="780"/>
      <c r="J266" s="1123"/>
      <c r="K266" s="1124"/>
      <c r="L266" s="800"/>
      <c r="M266" s="1125"/>
      <c r="N266" s="358"/>
      <c r="O266" s="358"/>
      <c r="Q266" s="145"/>
      <c r="R266" s="674"/>
      <c r="T266" s="1749"/>
      <c r="U266" s="1749"/>
    </row>
    <row r="267" spans="2:21" s="1748" customFormat="1" ht="15" x14ac:dyDescent="0.2">
      <c r="B267" s="337"/>
      <c r="C267" s="65"/>
      <c r="D267" s="771"/>
      <c r="E267" s="637"/>
      <c r="F267" s="800"/>
      <c r="G267" s="769"/>
      <c r="H267" s="1155"/>
      <c r="I267" s="780"/>
      <c r="J267" s="1123"/>
      <c r="K267" s="1124"/>
      <c r="L267" s="800"/>
      <c r="M267" s="1125"/>
      <c r="N267" s="358"/>
      <c r="O267" s="358"/>
      <c r="Q267" s="145"/>
      <c r="R267" s="674"/>
      <c r="T267" s="1749"/>
      <c r="U267" s="1749"/>
    </row>
    <row r="268" spans="2:21" s="1748" customFormat="1" ht="15" x14ac:dyDescent="0.2">
      <c r="B268" s="337"/>
      <c r="C268" s="65"/>
      <c r="D268" s="771"/>
      <c r="E268" s="637"/>
      <c r="F268" s="800"/>
      <c r="G268" s="769"/>
      <c r="H268" s="1155"/>
      <c r="I268" s="780"/>
      <c r="J268" s="1123"/>
      <c r="K268" s="1124"/>
      <c r="L268" s="800"/>
      <c r="M268" s="1125"/>
      <c r="N268" s="358"/>
      <c r="O268" s="358"/>
      <c r="Q268" s="145"/>
      <c r="R268" s="674"/>
      <c r="T268" s="1749"/>
      <c r="U268" s="1749"/>
    </row>
    <row r="269" spans="2:21" s="1748" customFormat="1" ht="15" x14ac:dyDescent="0.2">
      <c r="B269" s="337"/>
      <c r="C269" s="65"/>
      <c r="D269" s="771"/>
      <c r="E269" s="637"/>
      <c r="F269" s="800"/>
      <c r="G269" s="769"/>
      <c r="H269" s="1155"/>
      <c r="I269" s="780"/>
      <c r="J269" s="1123"/>
      <c r="K269" s="1124"/>
      <c r="L269" s="800"/>
      <c r="M269" s="1125"/>
      <c r="N269" s="358"/>
      <c r="O269" s="358"/>
      <c r="Q269" s="145"/>
      <c r="R269" s="674"/>
      <c r="T269" s="1749"/>
      <c r="U269" s="1749"/>
    </row>
    <row r="270" spans="2:21" s="1748" customFormat="1" ht="15" x14ac:dyDescent="0.2">
      <c r="B270" s="337"/>
      <c r="C270" s="65"/>
      <c r="D270" s="771"/>
      <c r="E270" s="637"/>
      <c r="F270" s="800"/>
      <c r="G270" s="769"/>
      <c r="H270" s="1155"/>
      <c r="I270" s="780"/>
      <c r="J270" s="1123"/>
      <c r="K270" s="1124"/>
      <c r="L270" s="800"/>
      <c r="M270" s="1125"/>
      <c r="N270" s="358"/>
      <c r="O270" s="358"/>
      <c r="Q270" s="145"/>
      <c r="R270" s="674"/>
      <c r="T270" s="1749"/>
      <c r="U270" s="1749"/>
    </row>
    <row r="271" spans="2:21" s="1748" customFormat="1" ht="15" x14ac:dyDescent="0.2">
      <c r="B271" s="337"/>
      <c r="C271" s="65"/>
      <c r="D271" s="771"/>
      <c r="E271" s="637"/>
      <c r="F271" s="800"/>
      <c r="G271" s="769"/>
      <c r="H271" s="1155"/>
      <c r="I271" s="780"/>
      <c r="J271" s="1123"/>
      <c r="K271" s="1124"/>
      <c r="L271" s="800"/>
      <c r="M271" s="1125"/>
      <c r="N271" s="358"/>
      <c r="O271" s="358"/>
      <c r="Q271" s="145"/>
      <c r="R271" s="674"/>
      <c r="T271" s="1749"/>
      <c r="U271" s="1749"/>
    </row>
    <row r="272" spans="2:21" s="1748" customFormat="1" ht="15" x14ac:dyDescent="0.2">
      <c r="B272" s="337"/>
      <c r="C272" s="65"/>
      <c r="D272" s="771"/>
      <c r="E272" s="637"/>
      <c r="F272" s="800"/>
      <c r="G272" s="769"/>
      <c r="H272" s="1155"/>
      <c r="I272" s="780"/>
      <c r="J272" s="1123"/>
      <c r="K272" s="1124"/>
      <c r="L272" s="800"/>
      <c r="M272" s="1125"/>
      <c r="N272" s="358"/>
      <c r="O272" s="358"/>
      <c r="Q272" s="145"/>
      <c r="R272" s="674"/>
      <c r="T272" s="1749"/>
      <c r="U272" s="1749"/>
    </row>
    <row r="273" spans="2:21" s="1748" customFormat="1" ht="15" x14ac:dyDescent="0.2">
      <c r="B273" s="337"/>
      <c r="C273" s="65"/>
      <c r="D273" s="771"/>
      <c r="E273" s="637"/>
      <c r="F273" s="800"/>
      <c r="G273" s="769"/>
      <c r="H273" s="1155"/>
      <c r="I273" s="780"/>
      <c r="J273" s="1123"/>
      <c r="K273" s="1124"/>
      <c r="L273" s="800"/>
      <c r="M273" s="1125"/>
      <c r="N273" s="358"/>
      <c r="O273" s="358"/>
      <c r="Q273" s="145"/>
      <c r="R273" s="674"/>
      <c r="T273" s="1749"/>
      <c r="U273" s="1749"/>
    </row>
    <row r="274" spans="2:21" s="1748" customFormat="1" ht="15" x14ac:dyDescent="0.2">
      <c r="B274" s="337"/>
      <c r="C274" s="65"/>
      <c r="D274" s="771"/>
      <c r="E274" s="637"/>
      <c r="F274" s="800"/>
      <c r="G274" s="769"/>
      <c r="H274" s="1155"/>
      <c r="I274" s="780"/>
      <c r="J274" s="1123"/>
      <c r="K274" s="1124"/>
      <c r="L274" s="800"/>
      <c r="M274" s="1125"/>
      <c r="N274" s="358"/>
      <c r="O274" s="358"/>
      <c r="Q274" s="145"/>
      <c r="R274" s="674"/>
      <c r="T274" s="1749"/>
      <c r="U274" s="1749"/>
    </row>
    <row r="275" spans="2:21" s="1748" customFormat="1" ht="15" x14ac:dyDescent="0.2">
      <c r="B275" s="337"/>
      <c r="C275" s="65"/>
      <c r="D275" s="771"/>
      <c r="E275" s="637"/>
      <c r="F275" s="800"/>
      <c r="G275" s="769"/>
      <c r="H275" s="1155"/>
      <c r="I275" s="780"/>
      <c r="J275" s="1123"/>
      <c r="K275" s="1124"/>
      <c r="L275" s="800"/>
      <c r="M275" s="1125"/>
      <c r="N275" s="358"/>
      <c r="O275" s="358"/>
      <c r="Q275" s="145"/>
      <c r="R275" s="674"/>
      <c r="T275" s="1749"/>
      <c r="U275" s="1749"/>
    </row>
    <row r="276" spans="2:21" s="1748" customFormat="1" ht="15" x14ac:dyDescent="0.2">
      <c r="B276" s="337"/>
      <c r="C276" s="65"/>
      <c r="D276" s="771"/>
      <c r="E276" s="637"/>
      <c r="F276" s="800"/>
      <c r="G276" s="769"/>
      <c r="H276" s="1155"/>
      <c r="I276" s="780"/>
      <c r="J276" s="1123"/>
      <c r="K276" s="1124"/>
      <c r="L276" s="800"/>
      <c r="M276" s="1125"/>
      <c r="N276" s="358"/>
      <c r="O276" s="358"/>
      <c r="Q276" s="145"/>
      <c r="R276" s="674"/>
      <c r="T276" s="1749"/>
      <c r="U276" s="1749"/>
    </row>
    <row r="277" spans="2:21" s="1748" customFormat="1" ht="15" x14ac:dyDescent="0.2">
      <c r="B277" s="337"/>
      <c r="C277" s="65"/>
      <c r="D277" s="771"/>
      <c r="E277" s="637"/>
      <c r="F277" s="800"/>
      <c r="G277" s="769"/>
      <c r="H277" s="1155"/>
      <c r="I277" s="780"/>
      <c r="J277" s="1123"/>
      <c r="K277" s="1124"/>
      <c r="L277" s="800"/>
      <c r="M277" s="1125"/>
      <c r="N277" s="358"/>
      <c r="O277" s="358"/>
      <c r="Q277" s="145"/>
      <c r="R277" s="674"/>
      <c r="T277" s="1749"/>
      <c r="U277" s="1749"/>
    </row>
    <row r="278" spans="2:21" s="1748" customFormat="1" ht="15" x14ac:dyDescent="0.2">
      <c r="B278" s="337"/>
      <c r="C278" s="65"/>
      <c r="D278" s="771"/>
      <c r="E278" s="637"/>
      <c r="F278" s="800"/>
      <c r="G278" s="769"/>
      <c r="H278" s="1155"/>
      <c r="I278" s="780"/>
      <c r="J278" s="1123"/>
      <c r="K278" s="1124"/>
      <c r="L278" s="800"/>
      <c r="M278" s="1125"/>
      <c r="N278" s="358"/>
      <c r="O278" s="358"/>
      <c r="Q278" s="145"/>
      <c r="R278" s="674"/>
      <c r="T278" s="1749"/>
      <c r="U278" s="1749"/>
    </row>
    <row r="279" spans="2:21" s="1748" customFormat="1" ht="15" x14ac:dyDescent="0.2">
      <c r="B279" s="337"/>
      <c r="C279" s="65"/>
      <c r="D279" s="771"/>
      <c r="E279" s="637"/>
      <c r="F279" s="800"/>
      <c r="G279" s="769"/>
      <c r="H279" s="1155"/>
      <c r="I279" s="780"/>
      <c r="J279" s="1123"/>
      <c r="K279" s="1124"/>
      <c r="L279" s="800"/>
      <c r="M279" s="1125"/>
      <c r="N279" s="358"/>
      <c r="O279" s="358"/>
      <c r="Q279" s="145"/>
      <c r="R279" s="674"/>
      <c r="T279" s="1749"/>
      <c r="U279" s="1749"/>
    </row>
    <row r="280" spans="2:21" s="1748" customFormat="1" ht="15" x14ac:dyDescent="0.2">
      <c r="B280" s="337"/>
      <c r="C280" s="65"/>
      <c r="D280" s="771"/>
      <c r="E280" s="637"/>
      <c r="F280" s="800"/>
      <c r="G280" s="769"/>
      <c r="H280" s="1155"/>
      <c r="I280" s="780"/>
      <c r="J280" s="1123"/>
      <c r="K280" s="1124"/>
      <c r="L280" s="800"/>
      <c r="M280" s="1125"/>
      <c r="N280" s="358"/>
      <c r="O280" s="358"/>
      <c r="Q280" s="145"/>
      <c r="R280" s="674"/>
      <c r="T280" s="1749"/>
      <c r="U280" s="1749"/>
    </row>
    <row r="281" spans="2:21" s="1748" customFormat="1" ht="15" x14ac:dyDescent="0.2">
      <c r="B281" s="337"/>
      <c r="C281" s="65"/>
      <c r="D281" s="771"/>
      <c r="E281" s="637"/>
      <c r="F281" s="800"/>
      <c r="G281" s="769"/>
      <c r="H281" s="1155"/>
      <c r="I281" s="780"/>
      <c r="J281" s="1123"/>
      <c r="K281" s="1124"/>
      <c r="L281" s="800"/>
      <c r="M281" s="1125"/>
      <c r="N281" s="358"/>
      <c r="O281" s="358"/>
      <c r="Q281" s="145"/>
      <c r="R281" s="674"/>
      <c r="T281" s="1749"/>
      <c r="U281" s="1749"/>
    </row>
    <row r="282" spans="2:21" s="1748" customFormat="1" ht="15" x14ac:dyDescent="0.2">
      <c r="B282" s="337"/>
      <c r="C282" s="65"/>
      <c r="D282" s="771"/>
      <c r="E282" s="637"/>
      <c r="F282" s="800"/>
      <c r="G282" s="769"/>
      <c r="H282" s="1155"/>
      <c r="I282" s="780"/>
      <c r="J282" s="1123"/>
      <c r="K282" s="1124"/>
      <c r="L282" s="800"/>
      <c r="M282" s="1125"/>
      <c r="N282" s="358"/>
      <c r="O282" s="358"/>
      <c r="Q282" s="145"/>
      <c r="R282" s="674"/>
      <c r="T282" s="1749"/>
      <c r="U282" s="1749"/>
    </row>
    <row r="283" spans="2:21" s="1748" customFormat="1" ht="15" x14ac:dyDescent="0.2">
      <c r="B283" s="337"/>
      <c r="C283" s="65"/>
      <c r="D283" s="771"/>
      <c r="E283" s="637"/>
      <c r="F283" s="800"/>
      <c r="G283" s="769"/>
      <c r="H283" s="1155"/>
      <c r="I283" s="780"/>
      <c r="J283" s="1123"/>
      <c r="K283" s="1124"/>
      <c r="L283" s="800"/>
      <c r="M283" s="1125"/>
      <c r="N283" s="358"/>
      <c r="O283" s="358"/>
      <c r="Q283" s="145"/>
      <c r="R283" s="674"/>
      <c r="T283" s="1749"/>
      <c r="U283" s="1749"/>
    </row>
    <row r="284" spans="2:21" s="1748" customFormat="1" ht="15" x14ac:dyDescent="0.2">
      <c r="B284" s="337"/>
      <c r="C284" s="65"/>
      <c r="D284" s="771"/>
      <c r="E284" s="637"/>
      <c r="F284" s="800"/>
      <c r="G284" s="769"/>
      <c r="H284" s="1155"/>
      <c r="I284" s="780"/>
      <c r="J284" s="1123"/>
      <c r="K284" s="1124"/>
      <c r="L284" s="800"/>
      <c r="M284" s="1125"/>
      <c r="N284" s="358"/>
      <c r="O284" s="358"/>
      <c r="Q284" s="145"/>
      <c r="R284" s="674"/>
      <c r="T284" s="1749"/>
      <c r="U284" s="1749"/>
    </row>
    <row r="285" spans="2:21" s="1748" customFormat="1" ht="15" x14ac:dyDescent="0.2">
      <c r="B285" s="337"/>
      <c r="C285" s="65"/>
      <c r="D285" s="771"/>
      <c r="E285" s="637"/>
      <c r="F285" s="800"/>
      <c r="G285" s="769"/>
      <c r="H285" s="1155"/>
      <c r="I285" s="780"/>
      <c r="J285" s="1123"/>
      <c r="K285" s="1124"/>
      <c r="L285" s="800"/>
      <c r="M285" s="1125"/>
      <c r="N285" s="358"/>
      <c r="O285" s="358"/>
      <c r="Q285" s="145"/>
      <c r="R285" s="674"/>
      <c r="T285" s="1749"/>
      <c r="U285" s="1749"/>
    </row>
    <row r="286" spans="2:21" s="1748" customFormat="1" ht="15" x14ac:dyDescent="0.2">
      <c r="B286" s="337"/>
      <c r="C286" s="65"/>
      <c r="D286" s="771"/>
      <c r="E286" s="637"/>
      <c r="F286" s="800"/>
      <c r="G286" s="769"/>
      <c r="H286" s="1155"/>
      <c r="I286" s="780"/>
      <c r="J286" s="1123"/>
      <c r="K286" s="1124"/>
      <c r="L286" s="800"/>
      <c r="M286" s="1125"/>
      <c r="N286" s="358"/>
      <c r="O286" s="358"/>
      <c r="Q286" s="145"/>
      <c r="R286" s="674"/>
      <c r="T286" s="1749"/>
      <c r="U286" s="1749"/>
    </row>
    <row r="287" spans="2:21" s="1748" customFormat="1" ht="15" x14ac:dyDescent="0.2">
      <c r="B287" s="337"/>
      <c r="C287" s="65"/>
      <c r="D287" s="771"/>
      <c r="E287" s="637"/>
      <c r="F287" s="800"/>
      <c r="G287" s="769"/>
      <c r="H287" s="1155"/>
      <c r="I287" s="780"/>
      <c r="J287" s="1123"/>
      <c r="K287" s="1124"/>
      <c r="L287" s="800"/>
      <c r="M287" s="1125"/>
      <c r="N287" s="358"/>
      <c r="O287" s="358"/>
      <c r="Q287" s="145"/>
      <c r="R287" s="674"/>
      <c r="T287" s="1749"/>
      <c r="U287" s="1749"/>
    </row>
    <row r="288" spans="2:21" s="1748" customFormat="1" ht="15" x14ac:dyDescent="0.2">
      <c r="B288" s="337"/>
      <c r="C288" s="65"/>
      <c r="D288" s="771"/>
      <c r="E288" s="637"/>
      <c r="F288" s="800"/>
      <c r="G288" s="769"/>
      <c r="H288" s="1155"/>
      <c r="I288" s="780"/>
      <c r="J288" s="1123"/>
      <c r="K288" s="1124"/>
      <c r="L288" s="800"/>
      <c r="M288" s="1125"/>
      <c r="N288" s="358"/>
      <c r="O288" s="358"/>
      <c r="Q288" s="145"/>
      <c r="R288" s="674"/>
      <c r="T288" s="1749"/>
      <c r="U288" s="1749"/>
    </row>
    <row r="289" spans="2:21" s="1748" customFormat="1" ht="15" x14ac:dyDescent="0.2">
      <c r="B289" s="337"/>
      <c r="C289" s="65"/>
      <c r="D289" s="771"/>
      <c r="E289" s="637"/>
      <c r="F289" s="800"/>
      <c r="G289" s="769"/>
      <c r="H289" s="1155"/>
      <c r="I289" s="780"/>
      <c r="J289" s="1123"/>
      <c r="K289" s="1124"/>
      <c r="L289" s="800"/>
      <c r="M289" s="1125"/>
      <c r="N289" s="358"/>
      <c r="O289" s="358"/>
      <c r="Q289" s="145"/>
      <c r="R289" s="674"/>
      <c r="T289" s="1749"/>
      <c r="U289" s="1749"/>
    </row>
    <row r="290" spans="2:21" s="1748" customFormat="1" ht="15" x14ac:dyDescent="0.2">
      <c r="B290" s="337"/>
      <c r="C290" s="65"/>
      <c r="D290" s="771"/>
      <c r="E290" s="637"/>
      <c r="F290" s="800"/>
      <c r="G290" s="769"/>
      <c r="H290" s="1155"/>
      <c r="I290" s="780"/>
      <c r="J290" s="1123"/>
      <c r="K290" s="1124"/>
      <c r="L290" s="800"/>
      <c r="M290" s="1125"/>
      <c r="N290" s="358"/>
      <c r="O290" s="358"/>
      <c r="Q290" s="145"/>
      <c r="R290" s="674"/>
      <c r="T290" s="1749"/>
      <c r="U290" s="1749"/>
    </row>
    <row r="291" spans="2:21" s="1748" customFormat="1" ht="15" x14ac:dyDescent="0.2">
      <c r="B291" s="337"/>
      <c r="C291" s="65"/>
      <c r="D291" s="771"/>
      <c r="E291" s="637"/>
      <c r="F291" s="800"/>
      <c r="G291" s="769"/>
      <c r="H291" s="1155"/>
      <c r="I291" s="780"/>
      <c r="J291" s="1123"/>
      <c r="K291" s="1124"/>
      <c r="L291" s="800"/>
      <c r="M291" s="1125"/>
      <c r="N291" s="358"/>
      <c r="O291" s="358"/>
      <c r="Q291" s="145"/>
      <c r="R291" s="674"/>
      <c r="T291" s="1749"/>
      <c r="U291" s="1749"/>
    </row>
    <row r="292" spans="2:21" s="1748" customFormat="1" ht="15" x14ac:dyDescent="0.2">
      <c r="B292" s="337"/>
      <c r="C292" s="65"/>
      <c r="D292" s="771"/>
      <c r="E292" s="637"/>
      <c r="F292" s="800"/>
      <c r="G292" s="769"/>
      <c r="H292" s="1155"/>
      <c r="I292" s="780"/>
      <c r="J292" s="1123"/>
      <c r="K292" s="1124"/>
      <c r="L292" s="800"/>
      <c r="M292" s="1125"/>
      <c r="N292" s="358"/>
      <c r="O292" s="358"/>
      <c r="Q292" s="145"/>
      <c r="R292" s="674"/>
      <c r="T292" s="1749"/>
      <c r="U292" s="1749"/>
    </row>
    <row r="293" spans="2:21" s="1748" customFormat="1" ht="15" x14ac:dyDescent="0.2">
      <c r="B293" s="337"/>
      <c r="C293" s="65"/>
      <c r="D293" s="771"/>
      <c r="E293" s="637"/>
      <c r="F293" s="800"/>
      <c r="G293" s="769"/>
      <c r="H293" s="1155"/>
      <c r="I293" s="780"/>
      <c r="J293" s="1123"/>
      <c r="K293" s="1124"/>
      <c r="L293" s="800"/>
      <c r="M293" s="1125"/>
      <c r="N293" s="358"/>
      <c r="O293" s="358"/>
      <c r="Q293" s="145"/>
      <c r="R293" s="674"/>
      <c r="T293" s="1749"/>
      <c r="U293" s="1749"/>
    </row>
    <row r="294" spans="2:21" s="1748" customFormat="1" ht="15" x14ac:dyDescent="0.2">
      <c r="B294" s="337"/>
      <c r="C294" s="65"/>
      <c r="D294" s="771"/>
      <c r="E294" s="637"/>
      <c r="F294" s="800"/>
      <c r="G294" s="769"/>
      <c r="H294" s="1155"/>
      <c r="I294" s="780"/>
      <c r="J294" s="1123"/>
      <c r="K294" s="1124"/>
      <c r="L294" s="800"/>
      <c r="M294" s="1125"/>
      <c r="N294" s="358"/>
      <c r="O294" s="358"/>
      <c r="Q294" s="145"/>
      <c r="R294" s="674"/>
      <c r="T294" s="1749"/>
      <c r="U294" s="1749"/>
    </row>
    <row r="295" spans="2:21" s="1748" customFormat="1" ht="15" x14ac:dyDescent="0.2">
      <c r="B295" s="337"/>
      <c r="C295" s="65"/>
      <c r="D295" s="771"/>
      <c r="E295" s="637"/>
      <c r="F295" s="800"/>
      <c r="G295" s="769"/>
      <c r="H295" s="1155"/>
      <c r="I295" s="780"/>
      <c r="J295" s="1123"/>
      <c r="K295" s="1124"/>
      <c r="L295" s="800"/>
      <c r="M295" s="1125"/>
      <c r="N295" s="358"/>
      <c r="O295" s="358"/>
      <c r="Q295" s="145"/>
      <c r="R295" s="674"/>
      <c r="T295" s="1749"/>
      <c r="U295" s="1749"/>
    </row>
    <row r="296" spans="2:21" s="1748" customFormat="1" ht="15" x14ac:dyDescent="0.2">
      <c r="B296" s="337"/>
      <c r="C296" s="65"/>
      <c r="D296" s="771"/>
      <c r="E296" s="637"/>
      <c r="F296" s="800"/>
      <c r="G296" s="769"/>
      <c r="H296" s="1155"/>
      <c r="I296" s="780"/>
      <c r="J296" s="1123"/>
      <c r="K296" s="1124"/>
      <c r="L296" s="800"/>
      <c r="M296" s="1125"/>
      <c r="N296" s="358"/>
      <c r="O296" s="358"/>
      <c r="Q296" s="145"/>
      <c r="R296" s="674"/>
      <c r="T296" s="1749"/>
      <c r="U296" s="1749"/>
    </row>
    <row r="297" spans="2:21" s="1748" customFormat="1" ht="15" x14ac:dyDescent="0.2">
      <c r="B297" s="337"/>
      <c r="C297" s="65"/>
      <c r="D297" s="771"/>
      <c r="E297" s="637"/>
      <c r="F297" s="800"/>
      <c r="G297" s="769"/>
      <c r="H297" s="1155"/>
      <c r="I297" s="780"/>
      <c r="J297" s="1123"/>
      <c r="K297" s="1124"/>
      <c r="L297" s="800"/>
      <c r="M297" s="1125"/>
      <c r="N297" s="358"/>
      <c r="O297" s="358"/>
      <c r="Q297" s="145"/>
      <c r="R297" s="674"/>
      <c r="T297" s="1749"/>
      <c r="U297" s="1749"/>
    </row>
    <row r="298" spans="2:21" s="1748" customFormat="1" ht="15" x14ac:dyDescent="0.2">
      <c r="B298" s="337"/>
      <c r="C298" s="65"/>
      <c r="D298" s="771"/>
      <c r="E298" s="637"/>
      <c r="F298" s="800"/>
      <c r="G298" s="769"/>
      <c r="H298" s="1155"/>
      <c r="I298" s="780"/>
      <c r="J298" s="1123"/>
      <c r="K298" s="1124"/>
      <c r="L298" s="800"/>
      <c r="M298" s="1125"/>
      <c r="N298" s="358"/>
      <c r="O298" s="358"/>
      <c r="Q298" s="145"/>
      <c r="R298" s="674"/>
      <c r="T298" s="1749"/>
      <c r="U298" s="1749"/>
    </row>
    <row r="299" spans="2:21" s="1748" customFormat="1" ht="15" x14ac:dyDescent="0.2">
      <c r="B299" s="337"/>
      <c r="C299" s="65"/>
      <c r="D299" s="771"/>
      <c r="E299" s="637"/>
      <c r="F299" s="800"/>
      <c r="G299" s="769"/>
      <c r="H299" s="1155"/>
      <c r="I299" s="780"/>
      <c r="J299" s="1123"/>
      <c r="K299" s="1124"/>
      <c r="L299" s="800"/>
      <c r="M299" s="1125"/>
      <c r="N299" s="358"/>
      <c r="O299" s="358"/>
      <c r="Q299" s="145"/>
      <c r="R299" s="674"/>
      <c r="T299" s="1749"/>
      <c r="U299" s="1749"/>
    </row>
    <row r="300" spans="2:21" s="1748" customFormat="1" ht="15" x14ac:dyDescent="0.2">
      <c r="B300" s="337"/>
      <c r="C300" s="65"/>
      <c r="D300" s="771"/>
      <c r="E300" s="637"/>
      <c r="F300" s="800"/>
      <c r="G300" s="769"/>
      <c r="H300" s="1155"/>
      <c r="I300" s="780"/>
      <c r="J300" s="1123"/>
      <c r="K300" s="1124"/>
      <c r="L300" s="800"/>
      <c r="M300" s="1125"/>
      <c r="N300" s="358"/>
      <c r="O300" s="358"/>
      <c r="Q300" s="145"/>
      <c r="R300" s="674"/>
      <c r="T300" s="1749"/>
      <c r="U300" s="1749"/>
    </row>
    <row r="301" spans="2:21" s="1748" customFormat="1" ht="15" x14ac:dyDescent="0.2">
      <c r="B301" s="337"/>
      <c r="C301" s="65"/>
      <c r="D301" s="771"/>
      <c r="E301" s="637"/>
      <c r="F301" s="800"/>
      <c r="G301" s="769"/>
      <c r="H301" s="1155"/>
      <c r="I301" s="780"/>
      <c r="J301" s="1123"/>
      <c r="K301" s="1124"/>
      <c r="L301" s="800"/>
      <c r="M301" s="1125"/>
      <c r="N301" s="358"/>
      <c r="O301" s="358"/>
      <c r="Q301" s="145"/>
      <c r="R301" s="674"/>
      <c r="T301" s="1749"/>
      <c r="U301" s="1749"/>
    </row>
    <row r="302" spans="2:21" s="1748" customFormat="1" ht="15" x14ac:dyDescent="0.2">
      <c r="B302" s="337"/>
      <c r="C302" s="65"/>
      <c r="D302" s="771"/>
      <c r="E302" s="637"/>
      <c r="F302" s="800"/>
      <c r="G302" s="769"/>
      <c r="H302" s="1155"/>
      <c r="I302" s="780"/>
      <c r="J302" s="1123"/>
      <c r="K302" s="1124"/>
      <c r="L302" s="800"/>
      <c r="M302" s="1125"/>
      <c r="N302" s="358"/>
      <c r="O302" s="358"/>
      <c r="Q302" s="145"/>
      <c r="R302" s="674"/>
      <c r="T302" s="1749"/>
      <c r="U302" s="1749"/>
    </row>
    <row r="303" spans="2:21" s="1748" customFormat="1" ht="15" x14ac:dyDescent="0.2">
      <c r="B303" s="337"/>
      <c r="C303" s="65"/>
      <c r="D303" s="771"/>
      <c r="E303" s="637"/>
      <c r="F303" s="800"/>
      <c r="G303" s="769"/>
      <c r="H303" s="1155"/>
      <c r="I303" s="780"/>
      <c r="J303" s="1123"/>
      <c r="K303" s="1124"/>
      <c r="L303" s="800"/>
      <c r="M303" s="1125"/>
      <c r="N303" s="358"/>
      <c r="O303" s="358"/>
      <c r="Q303" s="145"/>
      <c r="R303" s="674"/>
      <c r="T303" s="1749"/>
      <c r="U303" s="1749"/>
    </row>
    <row r="304" spans="2:21" s="1748" customFormat="1" ht="15" x14ac:dyDescent="0.2">
      <c r="B304" s="337"/>
      <c r="C304" s="65"/>
      <c r="D304" s="771"/>
      <c r="E304" s="637"/>
      <c r="F304" s="800"/>
      <c r="G304" s="769"/>
      <c r="H304" s="1155"/>
      <c r="I304" s="780"/>
      <c r="J304" s="1123"/>
      <c r="K304" s="1124"/>
      <c r="L304" s="800"/>
      <c r="M304" s="1125"/>
      <c r="N304" s="358"/>
      <c r="O304" s="358"/>
      <c r="Q304" s="145"/>
      <c r="R304" s="674"/>
      <c r="T304" s="1749"/>
      <c r="U304" s="1749"/>
    </row>
    <row r="305" spans="2:21" s="1748" customFormat="1" ht="15" x14ac:dyDescent="0.2">
      <c r="B305" s="337"/>
      <c r="C305" s="65"/>
      <c r="D305" s="771"/>
      <c r="E305" s="637"/>
      <c r="F305" s="800"/>
      <c r="G305" s="769"/>
      <c r="H305" s="1155"/>
      <c r="I305" s="780"/>
      <c r="J305" s="1123"/>
      <c r="K305" s="1124"/>
      <c r="L305" s="800"/>
      <c r="M305" s="1125"/>
      <c r="N305" s="358"/>
      <c r="O305" s="358"/>
      <c r="Q305" s="145"/>
      <c r="R305" s="674"/>
      <c r="T305" s="1749"/>
      <c r="U305" s="1749"/>
    </row>
  </sheetData>
  <sortState xmlns:xlrd2="http://schemas.microsoft.com/office/spreadsheetml/2017/richdata2" ref="B164:C222">
    <sortCondition ref="B164:B222"/>
  </sortState>
  <mergeCells count="36">
    <mergeCell ref="F6:F7"/>
    <mergeCell ref="G6:G7"/>
    <mergeCell ref="A6:A7"/>
    <mergeCell ref="B6:B7"/>
    <mergeCell ref="C6:C7"/>
    <mergeCell ref="D6:D7"/>
    <mergeCell ref="E6:E7"/>
    <mergeCell ref="I47:K47"/>
    <mergeCell ref="L47:N47"/>
    <mergeCell ref="J5:K5"/>
    <mergeCell ref="M5:N5"/>
    <mergeCell ref="I10:K10"/>
    <mergeCell ref="L10:N10"/>
    <mergeCell ref="I16:K16"/>
    <mergeCell ref="L16:N16"/>
    <mergeCell ref="I23:K23"/>
    <mergeCell ref="L23:N23"/>
    <mergeCell ref="I28:K28"/>
    <mergeCell ref="L28:N28"/>
    <mergeCell ref="I35:K35"/>
    <mergeCell ref="L35:N35"/>
    <mergeCell ref="I40:K40"/>
    <mergeCell ref="L40:N40"/>
    <mergeCell ref="Q5:R5"/>
    <mergeCell ref="T5:U5"/>
    <mergeCell ref="H6:H7"/>
    <mergeCell ref="I6:K6"/>
    <mergeCell ref="L6:N6"/>
    <mergeCell ref="O6:O7"/>
    <mergeCell ref="J76:L76"/>
    <mergeCell ref="I52:K52"/>
    <mergeCell ref="L52:N52"/>
    <mergeCell ref="I56:K56"/>
    <mergeCell ref="L56:N56"/>
    <mergeCell ref="I64:K64"/>
    <mergeCell ref="L64:N64"/>
  </mergeCells>
  <conditionalFormatting sqref="E12:E14 E18:E21 E25:E26 E30:E33 E35 E37:E38 E40 E42:E45 E47 E49:E50 E52 E54 E56 E58:E62 E64 E66:E69 E103 E137:E140">
    <cfRule type="expression" dxfId="33" priority="34">
      <formula>E12="PRESENTAR"</formula>
    </cfRule>
    <cfRule type="expression" dxfId="32" priority="35">
      <formula>E12="CONSERVAR"</formula>
    </cfRule>
    <cfRule type="expression" priority="36">
      <formula>$E$68</formula>
    </cfRule>
  </conditionalFormatting>
  <conditionalFormatting sqref="E79:E80">
    <cfRule type="expression" dxfId="31" priority="29">
      <formula>E79="PRESENTAR"</formula>
    </cfRule>
    <cfRule type="expression" dxfId="30" priority="30">
      <formula>E79="CONSERVAR"</formula>
    </cfRule>
    <cfRule type="expression" priority="31">
      <formula>$E$68</formula>
    </cfRule>
  </conditionalFormatting>
  <conditionalFormatting sqref="E123:E124 E127:E133">
    <cfRule type="expression" priority="37">
      <formula>$E$68</formula>
    </cfRule>
  </conditionalFormatting>
  <conditionalFormatting sqref="E123:E133">
    <cfRule type="expression" dxfId="29" priority="32">
      <formula>E123="PRESENTAR"</formula>
    </cfRule>
    <cfRule type="expression" dxfId="28" priority="33">
      <formula>E123="CONSERVAR"</formula>
    </cfRule>
  </conditionalFormatting>
  <conditionalFormatting sqref="J12:J14">
    <cfRule type="expression" dxfId="27" priority="25">
      <formula>J12="FALTA INFO"</formula>
    </cfRule>
    <cfRule type="expression" dxfId="26" priority="26">
      <formula>J12="SIN DATOS"</formula>
    </cfRule>
    <cfRule type="expression" dxfId="25" priority="27">
      <formula>J12="REVISAR"</formula>
    </cfRule>
    <cfRule type="expression" dxfId="24" priority="28">
      <formula>J12="OBLIGADO"</formula>
    </cfRule>
  </conditionalFormatting>
  <conditionalFormatting sqref="J18:J21">
    <cfRule type="expression" dxfId="23" priority="1">
      <formula>J18="FALTA INFO"</formula>
    </cfRule>
    <cfRule type="expression" dxfId="22" priority="2">
      <formula>J18="SIN DATOS"</formula>
    </cfRule>
    <cfRule type="expression" dxfId="21" priority="3">
      <formula>J18="REVISAR"</formula>
    </cfRule>
    <cfRule type="expression" dxfId="20" priority="4">
      <formula>J18="OBLIGADO"</formula>
    </cfRule>
  </conditionalFormatting>
  <conditionalFormatting sqref="J30:J32">
    <cfRule type="expression" dxfId="19" priority="21">
      <formula>J30="FALTA INFO"</formula>
    </cfRule>
    <cfRule type="expression" dxfId="18" priority="22">
      <formula>J30="SIN DATOS"</formula>
    </cfRule>
    <cfRule type="expression" dxfId="17" priority="23">
      <formula>J30="REVISAR"</formula>
    </cfRule>
    <cfRule type="expression" dxfId="16" priority="24">
      <formula>J30="OBLIGADO"</formula>
    </cfRule>
  </conditionalFormatting>
  <conditionalFormatting sqref="J37:J38">
    <cfRule type="expression" dxfId="15" priority="17">
      <formula>J37="FALTA INFO"</formula>
    </cfRule>
    <cfRule type="expression" dxfId="14" priority="18">
      <formula>J37="SIN DATOS"</formula>
    </cfRule>
    <cfRule type="expression" dxfId="13" priority="19">
      <formula>J37="REVISAR"</formula>
    </cfRule>
    <cfRule type="expression" dxfId="12" priority="20">
      <formula>J37="OBLIGADO"</formula>
    </cfRule>
  </conditionalFormatting>
  <conditionalFormatting sqref="J42">
    <cfRule type="expression" dxfId="11" priority="13">
      <formula>J42="FALTA INFO"</formula>
    </cfRule>
    <cfRule type="expression" dxfId="10" priority="14">
      <formula>J42="SIN DATOS"</formula>
    </cfRule>
    <cfRule type="expression" dxfId="9" priority="15">
      <formula>J42="REVISAR"</formula>
    </cfRule>
    <cfRule type="expression" dxfId="8" priority="16">
      <formula>J42="OBLIGADO"</formula>
    </cfRule>
  </conditionalFormatting>
  <conditionalFormatting sqref="J44">
    <cfRule type="expression" dxfId="7" priority="9">
      <formula>J44="FALTA INFO"</formula>
    </cfRule>
    <cfRule type="expression" dxfId="6" priority="10">
      <formula>J44="SIN DATOS"</formula>
    </cfRule>
    <cfRule type="expression" dxfId="5" priority="11">
      <formula>J44="REVISAR"</formula>
    </cfRule>
    <cfRule type="expression" dxfId="4" priority="12">
      <formula>J44="OBLIGADO"</formula>
    </cfRule>
  </conditionalFormatting>
  <conditionalFormatting sqref="J60">
    <cfRule type="expression" dxfId="3" priority="5">
      <formula>J60="FALTA INFO"</formula>
    </cfRule>
    <cfRule type="expression" dxfId="2" priority="6">
      <formula>J60="SIN DATOS"</formula>
    </cfRule>
    <cfRule type="expression" dxfId="1" priority="7">
      <formula>J60="REVISAR"</formula>
    </cfRule>
    <cfRule type="expression" dxfId="0" priority="8">
      <formula>J60="OBLIGADO"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4AC70-C334-4139-8FBE-F9DF7657D0DA}">
  <sheetPr codeName="Hoja11"/>
  <dimension ref="A1:GF409"/>
  <sheetViews>
    <sheetView showGridLines="0" zoomScale="80" zoomScaleNormal="80" workbookViewId="0">
      <pane ySplit="6" topLeftCell="A344" activePane="bottomLeft" state="frozen"/>
      <selection pane="bottomLeft" activeCell="B378" sqref="B378"/>
    </sheetView>
  </sheetViews>
  <sheetFormatPr baseColWidth="10" defaultColWidth="9.6640625" defaultRowHeight="12.75" x14ac:dyDescent="0.2"/>
  <cols>
    <col min="1" max="1" width="6.6640625" style="90" customWidth="1"/>
    <col min="2" max="2" width="74.44140625" style="359" customWidth="1"/>
    <col min="3" max="3" width="35.44140625" style="359" customWidth="1"/>
    <col min="4" max="4" width="50.77734375" style="360" customWidth="1"/>
    <col min="5" max="5" width="2.6640625" style="376" customWidth="1"/>
    <col min="6" max="16384" width="9.6640625" style="70"/>
  </cols>
  <sheetData>
    <row r="1" spans="1:188" ht="12" customHeight="1" x14ac:dyDescent="0.2">
      <c r="A1" s="661" t="s">
        <v>352</v>
      </c>
      <c r="E1" s="361"/>
    </row>
    <row r="2" spans="1:188" ht="12" customHeight="1" x14ac:dyDescent="0.2">
      <c r="A2" s="661" t="s">
        <v>418</v>
      </c>
      <c r="E2" s="361"/>
    </row>
    <row r="3" spans="1:188" ht="12" customHeight="1" x14ac:dyDescent="0.2">
      <c r="A3" s="265" t="str">
        <f>+'Grupos Familiares'!A4</f>
        <v>AÑO  GRAVABLE 2024</v>
      </c>
      <c r="B3" s="362"/>
      <c r="C3" s="362"/>
      <c r="D3" s="363"/>
      <c r="E3" s="361"/>
    </row>
    <row r="4" spans="1:188" ht="12" customHeight="1" x14ac:dyDescent="0.2">
      <c r="A4" s="364"/>
      <c r="B4" s="365"/>
      <c r="C4" s="365"/>
      <c r="D4" s="363"/>
      <c r="E4" s="361"/>
    </row>
    <row r="5" spans="1:188" x14ac:dyDescent="0.2">
      <c r="A5" s="366" t="s">
        <v>419</v>
      </c>
      <c r="B5" s="367" t="s">
        <v>620</v>
      </c>
      <c r="C5" s="367"/>
      <c r="D5" s="368" t="s">
        <v>201</v>
      </c>
      <c r="E5" s="369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K5" s="370"/>
      <c r="AL5" s="370"/>
      <c r="AM5" s="370"/>
      <c r="AN5" s="370"/>
      <c r="AO5" s="370"/>
      <c r="AP5" s="370"/>
      <c r="AQ5" s="370"/>
      <c r="AR5" s="370"/>
      <c r="AS5" s="370"/>
      <c r="AT5" s="370"/>
      <c r="AU5" s="370"/>
      <c r="AV5" s="370"/>
      <c r="AW5" s="370"/>
      <c r="AX5" s="370"/>
      <c r="AY5" s="370"/>
      <c r="AZ5" s="370"/>
      <c r="BA5" s="370"/>
      <c r="BB5" s="370"/>
      <c r="BC5" s="370"/>
      <c r="BD5" s="370"/>
      <c r="BE5" s="370"/>
      <c r="BF5" s="370"/>
      <c r="BG5" s="370"/>
      <c r="BH5" s="370"/>
      <c r="BI5" s="370"/>
      <c r="BJ5" s="370"/>
      <c r="BK5" s="370"/>
      <c r="BL5" s="370"/>
      <c r="BM5" s="370"/>
      <c r="BN5" s="370"/>
      <c r="BO5" s="370"/>
      <c r="BP5" s="370"/>
      <c r="BQ5" s="370"/>
      <c r="BR5" s="370"/>
      <c r="BS5" s="370"/>
      <c r="BT5" s="370"/>
      <c r="BU5" s="370"/>
      <c r="BV5" s="370"/>
      <c r="BW5" s="370"/>
      <c r="BX5" s="370"/>
      <c r="BY5" s="370"/>
      <c r="BZ5" s="370"/>
      <c r="CA5" s="370"/>
      <c r="CB5" s="370"/>
      <c r="CC5" s="370"/>
      <c r="CD5" s="370"/>
      <c r="CE5" s="370"/>
      <c r="CF5" s="370"/>
      <c r="CG5" s="370"/>
      <c r="CH5" s="370"/>
      <c r="CI5" s="370"/>
      <c r="CJ5" s="370"/>
      <c r="CK5" s="370"/>
      <c r="CL5" s="370"/>
      <c r="CM5" s="370"/>
      <c r="CN5" s="370"/>
      <c r="CO5" s="370"/>
      <c r="CP5" s="370"/>
      <c r="CQ5" s="370"/>
      <c r="CR5" s="370"/>
      <c r="CS5" s="370"/>
      <c r="CT5" s="370"/>
      <c r="CU5" s="370"/>
      <c r="CV5" s="370"/>
      <c r="CW5" s="370"/>
      <c r="CX5" s="370"/>
      <c r="CY5" s="370"/>
      <c r="CZ5" s="370"/>
      <c r="DA5" s="370"/>
      <c r="DB5" s="370"/>
      <c r="DC5" s="370"/>
      <c r="DD5" s="370"/>
      <c r="DE5" s="370"/>
      <c r="DF5" s="370"/>
      <c r="DG5" s="370"/>
      <c r="DH5" s="370"/>
      <c r="DI5" s="370"/>
      <c r="DJ5" s="370"/>
      <c r="DK5" s="370"/>
      <c r="DL5" s="370"/>
      <c r="DM5" s="370"/>
      <c r="DN5" s="370"/>
      <c r="DO5" s="370"/>
      <c r="DP5" s="370"/>
      <c r="DQ5" s="370"/>
      <c r="DR5" s="370"/>
      <c r="DS5" s="370"/>
      <c r="DT5" s="370"/>
      <c r="DU5" s="370"/>
      <c r="DV5" s="370"/>
      <c r="DW5" s="370"/>
      <c r="DX5" s="370"/>
      <c r="DY5" s="370"/>
      <c r="DZ5" s="370"/>
      <c r="EA5" s="370"/>
      <c r="EB5" s="370"/>
      <c r="EC5" s="370"/>
      <c r="ED5" s="370"/>
      <c r="EE5" s="370"/>
      <c r="EF5" s="370"/>
      <c r="EG5" s="370"/>
      <c r="EH5" s="370"/>
      <c r="EI5" s="370"/>
      <c r="EJ5" s="370"/>
      <c r="EK5" s="370"/>
      <c r="EL5" s="370"/>
      <c r="EM5" s="370"/>
      <c r="EN5" s="370"/>
      <c r="EO5" s="370"/>
      <c r="EP5" s="370"/>
      <c r="EQ5" s="370"/>
      <c r="ER5" s="370"/>
      <c r="ES5" s="370"/>
      <c r="ET5" s="370"/>
      <c r="EU5" s="370"/>
      <c r="EV5" s="370"/>
      <c r="EW5" s="370"/>
      <c r="EX5" s="370"/>
      <c r="EY5" s="370"/>
      <c r="EZ5" s="370"/>
      <c r="FA5" s="370"/>
      <c r="FB5" s="370"/>
      <c r="FC5" s="370"/>
      <c r="FD5" s="370"/>
      <c r="FE5" s="370"/>
      <c r="FF5" s="370"/>
      <c r="FG5" s="370"/>
      <c r="FH5" s="370"/>
      <c r="FI5" s="370"/>
      <c r="FJ5" s="370"/>
      <c r="FK5" s="370"/>
      <c r="FL5" s="370"/>
      <c r="FM5" s="370"/>
      <c r="FN5" s="370"/>
      <c r="FO5" s="370"/>
      <c r="FP5" s="370"/>
      <c r="FQ5" s="370"/>
      <c r="FR5" s="370"/>
      <c r="FS5" s="370"/>
      <c r="FT5" s="370"/>
      <c r="FU5" s="370"/>
      <c r="FV5" s="370"/>
      <c r="FW5" s="370"/>
      <c r="FX5" s="370"/>
      <c r="FY5" s="370"/>
      <c r="FZ5" s="370"/>
      <c r="GA5" s="370"/>
      <c r="GB5" s="370"/>
      <c r="GC5" s="370"/>
      <c r="GD5" s="370"/>
      <c r="GE5" s="370"/>
      <c r="GF5" s="370"/>
    </row>
    <row r="6" spans="1:188" x14ac:dyDescent="0.2">
      <c r="A6" s="371"/>
      <c r="B6" s="372"/>
      <c r="C6" s="372"/>
      <c r="D6" s="373"/>
      <c r="E6" s="361"/>
    </row>
    <row r="7" spans="1:188" x14ac:dyDescent="0.2">
      <c r="A7" s="216"/>
      <c r="B7" s="374"/>
      <c r="C7" s="374"/>
      <c r="E7" s="361"/>
    </row>
    <row r="8" spans="1:188" x14ac:dyDescent="0.2">
      <c r="A8" s="1162">
        <v>41</v>
      </c>
      <c r="B8" s="1201" t="s">
        <v>4</v>
      </c>
      <c r="C8" s="1201"/>
      <c r="D8" s="1257"/>
      <c r="E8" s="361"/>
    </row>
    <row r="9" spans="1:188" x14ac:dyDescent="0.2">
      <c r="A9" s="1162">
        <v>346</v>
      </c>
      <c r="B9" s="1201" t="s">
        <v>360</v>
      </c>
      <c r="C9" s="1201"/>
      <c r="D9" s="1257"/>
      <c r="E9" s="361"/>
    </row>
    <row r="10" spans="1:188" x14ac:dyDescent="0.2">
      <c r="A10" s="1162">
        <v>300</v>
      </c>
      <c r="B10" s="1201" t="s">
        <v>198</v>
      </c>
      <c r="C10" s="1201"/>
      <c r="D10" s="1257"/>
      <c r="E10" s="361"/>
    </row>
    <row r="11" spans="1:188" x14ac:dyDescent="0.2">
      <c r="A11" s="1162">
        <v>312</v>
      </c>
      <c r="B11" s="1201" t="s">
        <v>197</v>
      </c>
      <c r="C11" s="1201"/>
      <c r="D11" s="1257"/>
      <c r="E11" s="361"/>
    </row>
    <row r="12" spans="1:188" x14ac:dyDescent="0.2">
      <c r="A12" s="1162">
        <v>217</v>
      </c>
      <c r="B12" s="1201" t="s">
        <v>5</v>
      </c>
      <c r="C12" s="1201"/>
      <c r="D12" s="1257"/>
      <c r="E12" s="361"/>
    </row>
    <row r="13" spans="1:188" x14ac:dyDescent="0.2">
      <c r="A13" s="1162">
        <v>42</v>
      </c>
      <c r="B13" s="1201" t="s">
        <v>6</v>
      </c>
      <c r="C13" s="1201"/>
      <c r="D13" s="1257"/>
      <c r="E13" s="361"/>
    </row>
    <row r="14" spans="1:188" x14ac:dyDescent="0.2">
      <c r="A14" s="1162">
        <v>43</v>
      </c>
      <c r="B14" s="1201" t="s">
        <v>356</v>
      </c>
      <c r="C14" s="1201"/>
      <c r="D14" s="1257"/>
      <c r="E14" s="361"/>
    </row>
    <row r="15" spans="1:188" x14ac:dyDescent="0.2">
      <c r="A15" s="1162">
        <v>44</v>
      </c>
      <c r="B15" s="1201" t="s">
        <v>7</v>
      </c>
      <c r="C15" s="1201"/>
      <c r="D15" s="1257"/>
      <c r="E15" s="361"/>
    </row>
    <row r="16" spans="1:188" x14ac:dyDescent="0.2">
      <c r="A16" s="1162">
        <v>45</v>
      </c>
      <c r="B16" s="1201" t="s">
        <v>8</v>
      </c>
      <c r="C16" s="1201"/>
      <c r="D16" s="1257"/>
      <c r="E16" s="361"/>
    </row>
    <row r="17" spans="1:5" x14ac:dyDescent="0.2">
      <c r="A17" s="1162">
        <v>172</v>
      </c>
      <c r="B17" s="1201" t="s">
        <v>489</v>
      </c>
      <c r="C17" s="1201"/>
      <c r="D17" s="1257"/>
      <c r="E17" s="361"/>
    </row>
    <row r="18" spans="1:5" x14ac:dyDescent="0.2">
      <c r="A18" s="1162">
        <v>156</v>
      </c>
      <c r="B18" s="1201" t="s">
        <v>468</v>
      </c>
      <c r="C18" s="1201"/>
      <c r="D18" s="1257"/>
      <c r="E18" s="361"/>
    </row>
    <row r="19" spans="1:5" x14ac:dyDescent="0.2">
      <c r="A19" s="1162">
        <v>47</v>
      </c>
      <c r="B19" s="1201" t="s">
        <v>355</v>
      </c>
      <c r="C19" s="1201"/>
      <c r="D19" s="1257"/>
      <c r="E19" s="361"/>
    </row>
    <row r="20" spans="1:5" x14ac:dyDescent="0.2">
      <c r="A20" s="1162">
        <v>179</v>
      </c>
      <c r="B20" s="1201" t="s">
        <v>493</v>
      </c>
      <c r="C20" s="1201"/>
      <c r="D20" s="1257"/>
      <c r="E20" s="361"/>
    </row>
    <row r="21" spans="1:5" x14ac:dyDescent="0.2">
      <c r="A21" s="1162">
        <v>48</v>
      </c>
      <c r="B21" s="1201" t="s">
        <v>9</v>
      </c>
      <c r="C21" s="1201"/>
      <c r="D21" s="1257"/>
      <c r="E21" s="361"/>
    </row>
    <row r="22" spans="1:5" x14ac:dyDescent="0.2">
      <c r="A22" s="1162">
        <v>36</v>
      </c>
      <c r="B22" s="1201" t="s">
        <v>410</v>
      </c>
      <c r="C22" s="1201"/>
      <c r="D22" s="1257"/>
      <c r="E22" s="361"/>
    </row>
    <row r="23" spans="1:5" x14ac:dyDescent="0.2">
      <c r="A23" s="1162">
        <v>38</v>
      </c>
      <c r="B23" s="1201" t="s">
        <v>407</v>
      </c>
      <c r="C23" s="1201"/>
      <c r="D23" s="1257"/>
      <c r="E23" s="361"/>
    </row>
    <row r="24" spans="1:5" x14ac:dyDescent="0.2">
      <c r="A24" s="1162">
        <v>49</v>
      </c>
      <c r="B24" s="1201" t="s">
        <v>10</v>
      </c>
      <c r="C24" s="1201"/>
      <c r="D24" s="1257"/>
      <c r="E24" s="361"/>
    </row>
    <row r="25" spans="1:5" x14ac:dyDescent="0.2">
      <c r="A25" s="1162">
        <v>50</v>
      </c>
      <c r="B25" s="1201" t="s">
        <v>11</v>
      </c>
      <c r="C25" s="1201"/>
      <c r="D25" s="1257"/>
      <c r="E25" s="361"/>
    </row>
    <row r="26" spans="1:5" x14ac:dyDescent="0.2">
      <c r="A26" s="1162">
        <v>51</v>
      </c>
      <c r="B26" s="1201" t="s">
        <v>12</v>
      </c>
      <c r="C26" s="1201"/>
      <c r="D26" s="1257"/>
      <c r="E26" s="361"/>
    </row>
    <row r="27" spans="1:5" x14ac:dyDescent="0.2">
      <c r="A27" s="1162">
        <v>52</v>
      </c>
      <c r="B27" s="1201" t="s">
        <v>13</v>
      </c>
      <c r="C27" s="1201"/>
      <c r="D27" s="1257"/>
      <c r="E27" s="361"/>
    </row>
    <row r="28" spans="1:5" x14ac:dyDescent="0.2">
      <c r="A28" s="1162">
        <v>1</v>
      </c>
      <c r="B28" s="1201" t="s">
        <v>251</v>
      </c>
      <c r="C28" s="1201"/>
      <c r="D28" s="1257"/>
      <c r="E28" s="361"/>
    </row>
    <row r="29" spans="1:5" x14ac:dyDescent="0.2">
      <c r="A29" s="1162">
        <v>53</v>
      </c>
      <c r="B29" s="1201" t="s">
        <v>14</v>
      </c>
      <c r="C29" s="1201"/>
      <c r="D29" s="1257"/>
      <c r="E29" s="361"/>
    </row>
    <row r="30" spans="1:5" x14ac:dyDescent="0.2">
      <c r="A30" s="1162">
        <v>2</v>
      </c>
      <c r="B30" s="1201" t="s">
        <v>365</v>
      </c>
      <c r="C30" s="1201"/>
      <c r="D30" s="1257"/>
      <c r="E30" s="361"/>
    </row>
    <row r="31" spans="1:5" x14ac:dyDescent="0.2">
      <c r="A31" s="1162">
        <v>3</v>
      </c>
      <c r="B31" s="1201" t="s">
        <v>420</v>
      </c>
      <c r="C31" s="1201"/>
      <c r="D31" s="1257"/>
      <c r="E31" s="361"/>
    </row>
    <row r="32" spans="1:5" x14ac:dyDescent="0.2">
      <c r="A32" s="1162">
        <v>5</v>
      </c>
      <c r="B32" s="1201" t="s">
        <v>421</v>
      </c>
      <c r="C32" s="1201"/>
      <c r="D32" s="1257"/>
      <c r="E32" s="361"/>
    </row>
    <row r="33" spans="1:5" x14ac:dyDescent="0.2">
      <c r="A33" s="1162">
        <v>341</v>
      </c>
      <c r="B33" s="1201" t="s">
        <v>351</v>
      </c>
      <c r="C33" s="1201"/>
      <c r="D33" s="1257"/>
      <c r="E33" s="361"/>
    </row>
    <row r="34" spans="1:5" x14ac:dyDescent="0.2">
      <c r="A34" s="1162">
        <v>260</v>
      </c>
      <c r="B34" s="1201" t="s">
        <v>336</v>
      </c>
      <c r="C34" s="1201"/>
      <c r="D34" s="1257"/>
      <c r="E34" s="361"/>
    </row>
    <row r="35" spans="1:5" x14ac:dyDescent="0.2">
      <c r="A35" s="1162">
        <v>225</v>
      </c>
      <c r="B35" s="1201" t="s">
        <v>422</v>
      </c>
      <c r="C35" s="1201"/>
      <c r="D35" s="1257"/>
      <c r="E35" s="361"/>
    </row>
    <row r="36" spans="1:5" x14ac:dyDescent="0.2">
      <c r="A36" s="1162">
        <v>257</v>
      </c>
      <c r="B36" s="1201" t="s">
        <v>656</v>
      </c>
      <c r="C36" s="1201"/>
      <c r="D36" s="1257"/>
      <c r="E36" s="361"/>
    </row>
    <row r="37" spans="1:5" x14ac:dyDescent="0.2">
      <c r="A37" s="1162">
        <v>56</v>
      </c>
      <c r="B37" s="1201" t="s">
        <v>15</v>
      </c>
      <c r="C37" s="1201"/>
      <c r="D37" s="1257"/>
      <c r="E37" s="361"/>
    </row>
    <row r="38" spans="1:5" x14ac:dyDescent="0.2">
      <c r="A38" s="1162">
        <v>353</v>
      </c>
      <c r="B38" s="1201" t="s">
        <v>399</v>
      </c>
      <c r="C38" s="1201"/>
      <c r="D38" s="1257"/>
      <c r="E38" s="361"/>
    </row>
    <row r="39" spans="1:5" x14ac:dyDescent="0.2">
      <c r="A39" s="1162">
        <v>218</v>
      </c>
      <c r="B39" s="1201" t="s">
        <v>647</v>
      </c>
      <c r="C39" s="1201"/>
      <c r="D39" s="1257"/>
      <c r="E39" s="361"/>
    </row>
    <row r="40" spans="1:5" x14ac:dyDescent="0.2">
      <c r="A40" s="1162">
        <v>306</v>
      </c>
      <c r="B40" s="1201" t="s">
        <v>358</v>
      </c>
      <c r="C40" s="1201"/>
      <c r="D40" s="1257"/>
      <c r="E40" s="361"/>
    </row>
    <row r="41" spans="1:5" x14ac:dyDescent="0.2">
      <c r="A41" s="1162">
        <v>270</v>
      </c>
      <c r="B41" s="1201" t="s">
        <v>16</v>
      </c>
      <c r="C41" s="1201"/>
      <c r="D41" s="1257"/>
      <c r="E41" s="361"/>
    </row>
    <row r="42" spans="1:5" x14ac:dyDescent="0.2">
      <c r="A42" s="1162">
        <v>4</v>
      </c>
      <c r="B42" s="1201" t="s">
        <v>423</v>
      </c>
      <c r="C42" s="1201"/>
      <c r="D42" s="1257"/>
      <c r="E42" s="361"/>
    </row>
    <row r="43" spans="1:5" x14ac:dyDescent="0.2">
      <c r="A43" s="1162">
        <v>59</v>
      </c>
      <c r="B43" s="1201" t="s">
        <v>17</v>
      </c>
      <c r="C43" s="1201"/>
      <c r="D43" s="1257"/>
      <c r="E43" s="361"/>
    </row>
    <row r="44" spans="1:5" x14ac:dyDescent="0.2">
      <c r="A44" s="1162">
        <v>322</v>
      </c>
      <c r="B44" s="1201" t="s">
        <v>274</v>
      </c>
      <c r="C44" s="1201"/>
      <c r="D44" s="1257"/>
      <c r="E44" s="361"/>
    </row>
    <row r="45" spans="1:5" x14ac:dyDescent="0.2">
      <c r="A45" s="1162">
        <v>271</v>
      </c>
      <c r="B45" s="1201" t="s">
        <v>18</v>
      </c>
      <c r="C45" s="1201"/>
      <c r="D45" s="1257"/>
      <c r="E45" s="361"/>
    </row>
    <row r="46" spans="1:5" x14ac:dyDescent="0.2">
      <c r="A46" s="1162">
        <v>60</v>
      </c>
      <c r="B46" s="1201" t="s">
        <v>19</v>
      </c>
      <c r="C46" s="1201"/>
      <c r="D46" s="1257"/>
      <c r="E46" s="361"/>
    </row>
    <row r="47" spans="1:5" x14ac:dyDescent="0.2">
      <c r="A47" s="1162">
        <v>61</v>
      </c>
      <c r="B47" s="1201" t="s">
        <v>20</v>
      </c>
      <c r="C47" s="1201"/>
      <c r="D47" s="1257"/>
      <c r="E47" s="361"/>
    </row>
    <row r="48" spans="1:5" x14ac:dyDescent="0.2">
      <c r="A48" s="1162">
        <v>246</v>
      </c>
      <c r="B48" s="1137" t="s">
        <v>173</v>
      </c>
      <c r="C48" s="1137"/>
      <c r="D48" s="1257"/>
      <c r="E48" s="361"/>
    </row>
    <row r="49" spans="1:5" x14ac:dyDescent="0.2">
      <c r="A49" s="1162">
        <v>62</v>
      </c>
      <c r="B49" s="1201" t="s">
        <v>21</v>
      </c>
      <c r="C49" s="1201"/>
      <c r="D49" s="1257"/>
      <c r="E49" s="361"/>
    </row>
    <row r="50" spans="1:5" x14ac:dyDescent="0.2">
      <c r="A50" s="1162">
        <v>63</v>
      </c>
      <c r="B50" s="1201" t="s">
        <v>22</v>
      </c>
      <c r="C50" s="1201"/>
      <c r="D50" s="1257"/>
      <c r="E50" s="361"/>
    </row>
    <row r="51" spans="1:5" x14ac:dyDescent="0.2">
      <c r="A51" s="1162">
        <v>65</v>
      </c>
      <c r="B51" s="1201" t="s">
        <v>23</v>
      </c>
      <c r="C51" s="1201"/>
      <c r="D51" s="1257"/>
      <c r="E51" s="361"/>
    </row>
    <row r="52" spans="1:5" x14ac:dyDescent="0.2">
      <c r="A52" s="1162">
        <v>67</v>
      </c>
      <c r="B52" s="1201" t="s">
        <v>24</v>
      </c>
      <c r="C52" s="1201"/>
      <c r="D52" s="1257"/>
      <c r="E52" s="361"/>
    </row>
    <row r="53" spans="1:5" x14ac:dyDescent="0.2">
      <c r="A53" s="1162">
        <v>279</v>
      </c>
      <c r="B53" s="1201" t="s">
        <v>750</v>
      </c>
      <c r="C53" s="1201"/>
      <c r="D53" s="1257"/>
      <c r="E53" s="361"/>
    </row>
    <row r="54" spans="1:5" x14ac:dyDescent="0.2">
      <c r="A54" s="1162">
        <v>68</v>
      </c>
      <c r="B54" s="1201" t="s">
        <v>26</v>
      </c>
      <c r="C54" s="1201"/>
      <c r="D54" s="1257"/>
      <c r="E54" s="361"/>
    </row>
    <row r="55" spans="1:5" x14ac:dyDescent="0.2">
      <c r="A55" s="1162">
        <v>236</v>
      </c>
      <c r="B55" s="1201" t="s">
        <v>27</v>
      </c>
      <c r="C55" s="1201"/>
      <c r="D55" s="1257"/>
      <c r="E55" s="361"/>
    </row>
    <row r="56" spans="1:5" x14ac:dyDescent="0.2">
      <c r="A56" s="1162">
        <v>361</v>
      </c>
      <c r="B56" s="1201" t="s">
        <v>424</v>
      </c>
      <c r="C56" s="1201"/>
      <c r="D56" s="1257"/>
      <c r="E56" s="361"/>
    </row>
    <row r="57" spans="1:5" x14ac:dyDescent="0.2">
      <c r="A57" s="1162">
        <v>13</v>
      </c>
      <c r="B57" s="1137" t="s">
        <v>25</v>
      </c>
      <c r="C57" s="1137"/>
      <c r="D57" s="1257"/>
      <c r="E57" s="361"/>
    </row>
    <row r="58" spans="1:5" x14ac:dyDescent="0.2">
      <c r="A58" s="1162">
        <v>69</v>
      </c>
      <c r="B58" s="1201" t="s">
        <v>28</v>
      </c>
      <c r="C58" s="1201"/>
      <c r="D58" s="1257"/>
      <c r="E58" s="361"/>
    </row>
    <row r="59" spans="1:5" x14ac:dyDescent="0.2">
      <c r="A59" s="1162">
        <v>70</v>
      </c>
      <c r="B59" s="1201" t="s">
        <v>29</v>
      </c>
      <c r="C59" s="1201"/>
      <c r="D59" s="1257"/>
      <c r="E59" s="361"/>
    </row>
    <row r="60" spans="1:5" x14ac:dyDescent="0.2">
      <c r="A60" s="1162">
        <v>71</v>
      </c>
      <c r="B60" s="1201" t="s">
        <v>30</v>
      </c>
      <c r="C60" s="1201"/>
      <c r="D60" s="1257"/>
      <c r="E60" s="361"/>
    </row>
    <row r="61" spans="1:5" x14ac:dyDescent="0.2">
      <c r="A61" s="1162">
        <v>72</v>
      </c>
      <c r="B61" s="1201" t="s">
        <v>31</v>
      </c>
      <c r="C61" s="1201"/>
      <c r="D61" s="1257"/>
      <c r="E61" s="361"/>
    </row>
    <row r="62" spans="1:5" x14ac:dyDescent="0.2">
      <c r="A62" s="1162">
        <v>73</v>
      </c>
      <c r="B62" s="1201" t="s">
        <v>32</v>
      </c>
      <c r="C62" s="1201"/>
      <c r="D62" s="1257"/>
      <c r="E62" s="361"/>
    </row>
    <row r="63" spans="1:5" x14ac:dyDescent="0.2">
      <c r="A63" s="1162">
        <v>74</v>
      </c>
      <c r="B63" s="1201" t="s">
        <v>357</v>
      </c>
      <c r="C63" s="1201"/>
      <c r="D63" s="1257"/>
      <c r="E63" s="361"/>
    </row>
    <row r="64" spans="1:5" x14ac:dyDescent="0.2">
      <c r="A64" s="1162">
        <v>6</v>
      </c>
      <c r="B64" s="1201" t="s">
        <v>425</v>
      </c>
      <c r="C64" s="1201"/>
      <c r="D64" s="1257"/>
      <c r="E64" s="361"/>
    </row>
    <row r="65" spans="1:5" x14ac:dyDescent="0.2">
      <c r="A65" s="1162">
        <v>0</v>
      </c>
      <c r="B65" s="1201" t="s">
        <v>426</v>
      </c>
      <c r="C65" s="1201"/>
      <c r="D65" s="1257"/>
      <c r="E65" s="361"/>
    </row>
    <row r="66" spans="1:5" x14ac:dyDescent="0.2">
      <c r="A66" s="1162">
        <v>7</v>
      </c>
      <c r="B66" s="1201" t="s">
        <v>427</v>
      </c>
      <c r="C66" s="1201"/>
      <c r="D66" s="1257"/>
      <c r="E66" s="361"/>
    </row>
    <row r="67" spans="1:5" x14ac:dyDescent="0.2">
      <c r="A67" s="1162">
        <v>75</v>
      </c>
      <c r="B67" s="1201" t="s">
        <v>33</v>
      </c>
      <c r="C67" s="1201"/>
      <c r="D67" s="1257"/>
      <c r="E67" s="361"/>
    </row>
    <row r="68" spans="1:5" x14ac:dyDescent="0.2">
      <c r="A68" s="1162">
        <v>76</v>
      </c>
      <c r="B68" s="1201" t="s">
        <v>34</v>
      </c>
      <c r="C68" s="1201"/>
      <c r="D68" s="1257"/>
      <c r="E68" s="361"/>
    </row>
    <row r="69" spans="1:5" x14ac:dyDescent="0.2">
      <c r="A69" s="1162">
        <v>77</v>
      </c>
      <c r="B69" s="1201" t="s">
        <v>35</v>
      </c>
      <c r="C69" s="1201"/>
      <c r="D69" s="1257"/>
      <c r="E69" s="361"/>
    </row>
    <row r="70" spans="1:5" x14ac:dyDescent="0.2">
      <c r="A70" s="1162">
        <v>78</v>
      </c>
      <c r="B70" s="1201" t="s">
        <v>36</v>
      </c>
      <c r="C70" s="1201"/>
      <c r="D70" s="1257"/>
      <c r="E70" s="361"/>
    </row>
    <row r="71" spans="1:5" x14ac:dyDescent="0.2">
      <c r="A71" s="1162">
        <v>8</v>
      </c>
      <c r="B71" s="1201" t="s">
        <v>673</v>
      </c>
      <c r="C71" s="1201"/>
      <c r="D71" s="1257"/>
      <c r="E71" s="361"/>
    </row>
    <row r="72" spans="1:5" x14ac:dyDescent="0.2">
      <c r="A72" s="1162">
        <v>9</v>
      </c>
      <c r="B72" s="1201" t="s">
        <v>317</v>
      </c>
      <c r="C72" s="1201"/>
      <c r="D72" s="1257"/>
      <c r="E72" s="361"/>
    </row>
    <row r="73" spans="1:5" x14ac:dyDescent="0.2">
      <c r="A73" s="1162">
        <v>303</v>
      </c>
      <c r="B73" s="1201" t="s">
        <v>37</v>
      </c>
      <c r="C73" s="1201"/>
      <c r="D73" s="1257"/>
      <c r="E73" s="361"/>
    </row>
    <row r="74" spans="1:5" x14ac:dyDescent="0.2">
      <c r="A74" s="1162">
        <v>79</v>
      </c>
      <c r="B74" s="1201" t="s">
        <v>38</v>
      </c>
      <c r="C74" s="1201"/>
      <c r="D74" s="1257"/>
      <c r="E74" s="361"/>
    </row>
    <row r="75" spans="1:5" x14ac:dyDescent="0.2">
      <c r="A75" s="1162">
        <v>348</v>
      </c>
      <c r="B75" s="1201" t="s">
        <v>335</v>
      </c>
      <c r="C75" s="1201"/>
      <c r="D75" s="1257"/>
      <c r="E75" s="361"/>
    </row>
    <row r="76" spans="1:5" x14ac:dyDescent="0.2">
      <c r="A76" s="1162">
        <v>338</v>
      </c>
      <c r="B76" s="1201" t="s">
        <v>324</v>
      </c>
      <c r="C76" s="1201"/>
      <c r="D76" s="1257"/>
      <c r="E76" s="361"/>
    </row>
    <row r="77" spans="1:5" x14ac:dyDescent="0.2">
      <c r="A77" s="1162">
        <v>313</v>
      </c>
      <c r="B77" s="1201" t="s">
        <v>241</v>
      </c>
      <c r="C77" s="1201"/>
      <c r="D77" s="1257"/>
      <c r="E77" s="361"/>
    </row>
    <row r="78" spans="1:5" x14ac:dyDescent="0.2">
      <c r="A78" s="1162">
        <v>324</v>
      </c>
      <c r="B78" s="1201" t="s">
        <v>273</v>
      </c>
      <c r="C78" s="1201"/>
      <c r="D78" s="1257"/>
      <c r="E78" s="361"/>
    </row>
    <row r="79" spans="1:5" x14ac:dyDescent="0.2">
      <c r="A79" s="1162">
        <v>340</v>
      </c>
      <c r="B79" s="1201" t="s">
        <v>428</v>
      </c>
      <c r="C79" s="1201"/>
      <c r="D79" s="1257"/>
      <c r="E79" s="361"/>
    </row>
    <row r="80" spans="1:5" x14ac:dyDescent="0.2">
      <c r="A80" s="1162">
        <v>349</v>
      </c>
      <c r="B80" s="1201" t="s">
        <v>429</v>
      </c>
      <c r="C80" s="1201"/>
      <c r="D80" s="1257"/>
      <c r="E80" s="361"/>
    </row>
    <row r="81" spans="1:5" x14ac:dyDescent="0.2">
      <c r="A81" s="1162">
        <v>227</v>
      </c>
      <c r="B81" s="1201" t="s">
        <v>430</v>
      </c>
      <c r="C81" s="1201"/>
      <c r="D81" s="1257"/>
      <c r="E81" s="361"/>
    </row>
    <row r="82" spans="1:5" x14ac:dyDescent="0.2">
      <c r="A82" s="1162">
        <v>250</v>
      </c>
      <c r="B82" s="1201" t="s">
        <v>431</v>
      </c>
      <c r="C82" s="1201"/>
      <c r="D82" s="1257"/>
      <c r="E82" s="361"/>
    </row>
    <row r="83" spans="1:5" x14ac:dyDescent="0.2">
      <c r="A83" s="1162">
        <v>299</v>
      </c>
      <c r="B83" s="1201" t="s">
        <v>40</v>
      </c>
      <c r="C83" s="1201"/>
      <c r="D83" s="1257"/>
      <c r="E83" s="361"/>
    </row>
    <row r="84" spans="1:5" x14ac:dyDescent="0.2">
      <c r="A84" s="1162">
        <v>295</v>
      </c>
      <c r="B84" s="1201" t="s">
        <v>39</v>
      </c>
      <c r="C84" s="1201"/>
      <c r="D84" s="1257"/>
      <c r="E84" s="361"/>
    </row>
    <row r="85" spans="1:5" x14ac:dyDescent="0.2">
      <c r="A85" s="1162">
        <v>81</v>
      </c>
      <c r="B85" s="1201" t="s">
        <v>41</v>
      </c>
      <c r="C85" s="1201"/>
      <c r="D85" s="1257"/>
      <c r="E85" s="361"/>
    </row>
    <row r="86" spans="1:5" x14ac:dyDescent="0.2">
      <c r="A86" s="1162">
        <v>39</v>
      </c>
      <c r="B86" s="1201" t="s">
        <v>239</v>
      </c>
      <c r="C86" s="1201"/>
      <c r="D86" s="1257"/>
      <c r="E86" s="361"/>
    </row>
    <row r="87" spans="1:5" x14ac:dyDescent="0.2">
      <c r="A87" s="1162">
        <v>10</v>
      </c>
      <c r="B87" s="1201" t="s">
        <v>269</v>
      </c>
      <c r="C87" s="1201"/>
      <c r="D87" s="1257"/>
      <c r="E87" s="361"/>
    </row>
    <row r="88" spans="1:5" x14ac:dyDescent="0.2">
      <c r="A88" s="1162">
        <v>272</v>
      </c>
      <c r="B88" s="1201" t="s">
        <v>42</v>
      </c>
      <c r="C88" s="1201"/>
      <c r="D88" s="1257"/>
      <c r="E88" s="361"/>
    </row>
    <row r="89" spans="1:5" x14ac:dyDescent="0.2">
      <c r="A89" s="1162">
        <v>83</v>
      </c>
      <c r="B89" s="1201" t="s">
        <v>43</v>
      </c>
      <c r="C89" s="1201"/>
      <c r="D89" s="1257"/>
      <c r="E89" s="361"/>
    </row>
    <row r="90" spans="1:5" x14ac:dyDescent="0.2">
      <c r="A90" s="1162">
        <v>84</v>
      </c>
      <c r="B90" s="1201" t="s">
        <v>44</v>
      </c>
      <c r="C90" s="1201"/>
      <c r="D90" s="1257"/>
      <c r="E90" s="361"/>
    </row>
    <row r="91" spans="1:5" x14ac:dyDescent="0.2">
      <c r="A91" s="1162">
        <v>301</v>
      </c>
      <c r="B91" s="1201" t="s">
        <v>612</v>
      </c>
      <c r="C91" s="1201"/>
      <c r="D91" s="1257"/>
      <c r="E91" s="361"/>
    </row>
    <row r="92" spans="1:5" x14ac:dyDescent="0.2">
      <c r="A92" s="1162">
        <v>329</v>
      </c>
      <c r="B92" s="1201" t="s">
        <v>313</v>
      </c>
      <c r="C92" s="1201"/>
      <c r="D92" s="1257"/>
      <c r="E92" s="361"/>
    </row>
    <row r="93" spans="1:5" x14ac:dyDescent="0.2">
      <c r="A93" s="1162">
        <v>85</v>
      </c>
      <c r="B93" s="1201" t="s">
        <v>432</v>
      </c>
      <c r="C93" s="1201"/>
      <c r="D93" s="1257"/>
      <c r="E93" s="361"/>
    </row>
    <row r="94" spans="1:5" x14ac:dyDescent="0.2">
      <c r="A94" s="1162">
        <v>86</v>
      </c>
      <c r="B94" s="1201" t="s">
        <v>45</v>
      </c>
      <c r="C94" s="1201"/>
      <c r="D94" s="1257"/>
      <c r="E94" s="361"/>
    </row>
    <row r="95" spans="1:5" x14ac:dyDescent="0.2">
      <c r="A95" s="1162">
        <v>273</v>
      </c>
      <c r="B95" s="1201" t="s">
        <v>46</v>
      </c>
      <c r="C95" s="1201"/>
      <c r="D95" s="1257"/>
      <c r="E95" s="361"/>
    </row>
    <row r="96" spans="1:5" x14ac:dyDescent="0.2">
      <c r="A96" s="1162">
        <v>87</v>
      </c>
      <c r="B96" s="1201" t="s">
        <v>47</v>
      </c>
      <c r="C96" s="1201"/>
      <c r="D96" s="1257"/>
      <c r="E96" s="361"/>
    </row>
    <row r="97" spans="1:5" x14ac:dyDescent="0.2">
      <c r="A97" s="1162">
        <v>88</v>
      </c>
      <c r="B97" s="1201" t="s">
        <v>48</v>
      </c>
      <c r="C97" s="1201"/>
      <c r="D97" s="1257"/>
      <c r="E97" s="361"/>
    </row>
    <row r="98" spans="1:5" x14ac:dyDescent="0.2">
      <c r="A98" s="1162">
        <v>11</v>
      </c>
      <c r="B98" s="1201" t="s">
        <v>250</v>
      </c>
      <c r="C98" s="1201"/>
      <c r="D98" s="1257"/>
      <c r="E98" s="361"/>
    </row>
    <row r="99" spans="1:5" x14ac:dyDescent="0.2">
      <c r="A99" s="1162">
        <v>90</v>
      </c>
      <c r="B99" s="1201" t="s">
        <v>50</v>
      </c>
      <c r="C99" s="1201"/>
      <c r="D99" s="1257"/>
      <c r="E99" s="361"/>
    </row>
    <row r="100" spans="1:5" x14ac:dyDescent="0.2">
      <c r="A100" s="1162">
        <v>360</v>
      </c>
      <c r="B100" s="1201" t="s">
        <v>433</v>
      </c>
      <c r="C100" s="1201"/>
      <c r="D100" s="1257"/>
      <c r="E100" s="361"/>
    </row>
    <row r="101" spans="1:5" x14ac:dyDescent="0.2">
      <c r="A101" s="1162">
        <v>262</v>
      </c>
      <c r="B101" s="1201" t="s">
        <v>319</v>
      </c>
      <c r="C101" s="1201"/>
      <c r="D101" s="1257"/>
      <c r="E101" s="361"/>
    </row>
    <row r="102" spans="1:5" x14ac:dyDescent="0.2">
      <c r="A102" s="1162">
        <v>355</v>
      </c>
      <c r="B102" s="1201" t="s">
        <v>51</v>
      </c>
      <c r="C102" s="1201"/>
      <c r="D102" s="1257"/>
      <c r="E102" s="361"/>
    </row>
    <row r="103" spans="1:5" x14ac:dyDescent="0.2">
      <c r="A103" s="1162">
        <v>362</v>
      </c>
      <c r="B103" s="1201" t="s">
        <v>434</v>
      </c>
      <c r="C103" s="1201"/>
      <c r="D103" s="1257"/>
      <c r="E103" s="361"/>
    </row>
    <row r="104" spans="1:5" x14ac:dyDescent="0.2">
      <c r="A104" s="1162">
        <v>244</v>
      </c>
      <c r="B104" s="1137" t="s">
        <v>657</v>
      </c>
      <c r="C104" s="1137"/>
      <c r="D104" s="1257"/>
      <c r="E104" s="361"/>
    </row>
    <row r="105" spans="1:5" x14ac:dyDescent="0.2">
      <c r="A105" s="1162">
        <v>285</v>
      </c>
      <c r="B105" s="1201" t="s">
        <v>435</v>
      </c>
      <c r="C105" s="1201"/>
      <c r="D105" s="1257"/>
      <c r="E105" s="361"/>
    </row>
    <row r="106" spans="1:5" x14ac:dyDescent="0.2">
      <c r="A106" s="1162">
        <v>91</v>
      </c>
      <c r="B106" s="1201" t="s">
        <v>52</v>
      </c>
      <c r="C106" s="1201"/>
      <c r="D106" s="1257"/>
      <c r="E106" s="361"/>
    </row>
    <row r="107" spans="1:5" x14ac:dyDescent="0.2">
      <c r="A107" s="1162">
        <v>222</v>
      </c>
      <c r="B107" s="1201" t="s">
        <v>53</v>
      </c>
      <c r="C107" s="1201"/>
      <c r="D107" s="1257"/>
      <c r="E107" s="361"/>
    </row>
    <row r="108" spans="1:5" x14ac:dyDescent="0.2">
      <c r="A108" s="1162">
        <v>253</v>
      </c>
      <c r="B108" s="1201" t="s">
        <v>436</v>
      </c>
      <c r="C108" s="1201"/>
      <c r="D108" s="1257"/>
      <c r="E108" s="361"/>
    </row>
    <row r="109" spans="1:5" x14ac:dyDescent="0.2">
      <c r="A109" s="1162">
        <v>284</v>
      </c>
      <c r="B109" s="1201" t="s">
        <v>437</v>
      </c>
      <c r="C109" s="1201"/>
      <c r="D109" s="1257"/>
      <c r="E109" s="361"/>
    </row>
    <row r="110" spans="1:5" x14ac:dyDescent="0.2">
      <c r="A110" s="1162">
        <v>283</v>
      </c>
      <c r="B110" s="1201" t="s">
        <v>438</v>
      </c>
      <c r="C110" s="1201"/>
      <c r="D110" s="1257"/>
      <c r="E110" s="361"/>
    </row>
    <row r="111" spans="1:5" x14ac:dyDescent="0.2">
      <c r="A111" s="1162">
        <v>16</v>
      </c>
      <c r="B111" s="1201" t="s">
        <v>613</v>
      </c>
      <c r="C111" s="1201"/>
      <c r="D111" s="1257"/>
      <c r="E111" s="361"/>
    </row>
    <row r="112" spans="1:5" x14ac:dyDescent="0.2">
      <c r="A112" s="1162">
        <v>92</v>
      </c>
      <c r="B112" s="1201" t="s">
        <v>54</v>
      </c>
      <c r="C112" s="1201"/>
      <c r="D112" s="1257"/>
      <c r="E112" s="361"/>
    </row>
    <row r="113" spans="1:5" x14ac:dyDescent="0.2">
      <c r="A113" s="1162">
        <v>357</v>
      </c>
      <c r="B113" s="1201" t="s">
        <v>439</v>
      </c>
      <c r="C113" s="1201"/>
      <c r="D113" s="1257"/>
      <c r="E113" s="361"/>
    </row>
    <row r="114" spans="1:5" x14ac:dyDescent="0.2">
      <c r="A114" s="1162">
        <v>356</v>
      </c>
      <c r="B114" s="1201" t="s">
        <v>440</v>
      </c>
      <c r="C114" s="1201"/>
      <c r="D114" s="1257"/>
      <c r="E114" s="361"/>
    </row>
    <row r="115" spans="1:5" x14ac:dyDescent="0.2">
      <c r="A115" s="1162">
        <v>287</v>
      </c>
      <c r="B115" s="1201" t="s">
        <v>308</v>
      </c>
      <c r="C115" s="1201"/>
      <c r="D115" s="1257"/>
      <c r="E115" s="361"/>
    </row>
    <row r="116" spans="1:5" x14ac:dyDescent="0.2">
      <c r="A116" s="1162">
        <v>347</v>
      </c>
      <c r="B116" s="1201" t="s">
        <v>334</v>
      </c>
      <c r="C116" s="1201"/>
      <c r="D116" s="1257"/>
      <c r="E116" s="361"/>
    </row>
    <row r="117" spans="1:5" x14ac:dyDescent="0.2">
      <c r="A117" s="1162">
        <v>95</v>
      </c>
      <c r="B117" s="1201" t="s">
        <v>55</v>
      </c>
      <c r="C117" s="1201"/>
      <c r="D117" s="1257"/>
      <c r="E117" s="361"/>
    </row>
    <row r="118" spans="1:5" x14ac:dyDescent="0.2">
      <c r="A118" s="1162">
        <v>96</v>
      </c>
      <c r="B118" s="1201" t="s">
        <v>56</v>
      </c>
      <c r="C118" s="1201"/>
      <c r="D118" s="1257"/>
      <c r="E118" s="361"/>
    </row>
    <row r="119" spans="1:5" x14ac:dyDescent="0.2">
      <c r="A119" s="1162">
        <v>97</v>
      </c>
      <c r="B119" s="1201" t="s">
        <v>57</v>
      </c>
      <c r="C119" s="1201"/>
      <c r="D119" s="1257"/>
      <c r="E119" s="361"/>
    </row>
    <row r="120" spans="1:5" x14ac:dyDescent="0.2">
      <c r="A120" s="1162">
        <v>98</v>
      </c>
      <c r="B120" s="1201" t="s">
        <v>58</v>
      </c>
      <c r="C120" s="1201"/>
      <c r="D120" s="1257"/>
      <c r="E120" s="361"/>
    </row>
    <row r="121" spans="1:5" x14ac:dyDescent="0.2">
      <c r="A121" s="1162">
        <v>12</v>
      </c>
      <c r="B121" s="1201" t="s">
        <v>175</v>
      </c>
      <c r="C121" s="1201"/>
      <c r="D121" s="1257"/>
      <c r="E121" s="361"/>
    </row>
    <row r="122" spans="1:5" x14ac:dyDescent="0.2">
      <c r="A122" s="1162">
        <v>46</v>
      </c>
      <c r="B122" s="1201" t="s">
        <v>409</v>
      </c>
      <c r="C122" s="1201"/>
      <c r="D122" s="1257"/>
      <c r="E122" s="361"/>
    </row>
    <row r="123" spans="1:5" x14ac:dyDescent="0.2">
      <c r="A123" s="1162">
        <v>131</v>
      </c>
      <c r="B123" s="1201" t="s">
        <v>414</v>
      </c>
      <c r="C123" s="1201"/>
      <c r="D123" s="1257"/>
      <c r="E123" s="361"/>
    </row>
    <row r="124" spans="1:5" x14ac:dyDescent="0.2">
      <c r="A124" s="1162">
        <v>54</v>
      </c>
      <c r="B124" s="1201" t="s">
        <v>390</v>
      </c>
      <c r="C124" s="1201"/>
      <c r="D124" s="1257"/>
      <c r="E124" s="361"/>
    </row>
    <row r="125" spans="1:5" x14ac:dyDescent="0.2">
      <c r="A125" s="1162">
        <v>99</v>
      </c>
      <c r="B125" s="1201" t="s">
        <v>59</v>
      </c>
      <c r="C125" s="1201"/>
      <c r="D125" s="1257"/>
      <c r="E125" s="361"/>
    </row>
    <row r="126" spans="1:5" x14ac:dyDescent="0.2">
      <c r="A126" s="1162">
        <v>55</v>
      </c>
      <c r="B126" s="1201" t="s">
        <v>60</v>
      </c>
      <c r="C126" s="1201"/>
      <c r="D126" s="1257"/>
      <c r="E126" s="361"/>
    </row>
    <row r="127" spans="1:5" x14ac:dyDescent="0.2">
      <c r="A127" s="1162">
        <v>232</v>
      </c>
      <c r="B127" s="1201" t="s">
        <v>441</v>
      </c>
      <c r="C127" s="1201"/>
      <c r="D127" s="1257"/>
      <c r="E127" s="361"/>
    </row>
    <row r="128" spans="1:5" x14ac:dyDescent="0.2">
      <c r="A128" s="1162">
        <v>233</v>
      </c>
      <c r="B128" s="1137" t="s">
        <v>650</v>
      </c>
      <c r="C128" s="1137"/>
      <c r="D128" s="1257"/>
      <c r="E128" s="361"/>
    </row>
    <row r="129" spans="1:5" x14ac:dyDescent="0.2">
      <c r="A129" s="1162">
        <v>330</v>
      </c>
      <c r="B129" s="1201" t="s">
        <v>294</v>
      </c>
      <c r="C129" s="1201"/>
      <c r="D129" s="1257"/>
      <c r="E129" s="361"/>
    </row>
    <row r="130" spans="1:5" x14ac:dyDescent="0.2">
      <c r="A130" s="1162">
        <v>100</v>
      </c>
      <c r="B130" s="1201" t="s">
        <v>61</v>
      </c>
      <c r="C130" s="1201"/>
      <c r="D130" s="1257"/>
      <c r="E130" s="361"/>
    </row>
    <row r="131" spans="1:5" x14ac:dyDescent="0.2">
      <c r="A131" s="1162">
        <v>223</v>
      </c>
      <c r="B131" s="1201" t="s">
        <v>62</v>
      </c>
      <c r="C131" s="1201"/>
      <c r="D131" s="1257"/>
      <c r="E131" s="361"/>
    </row>
    <row r="132" spans="1:5" x14ac:dyDescent="0.2">
      <c r="A132" s="1162">
        <v>101</v>
      </c>
      <c r="B132" s="1201" t="s">
        <v>63</v>
      </c>
      <c r="C132" s="1201"/>
      <c r="D132" s="1257"/>
      <c r="E132" s="361"/>
    </row>
    <row r="133" spans="1:5" x14ac:dyDescent="0.2">
      <c r="A133" s="1162">
        <v>239</v>
      </c>
      <c r="B133" s="1201" t="s">
        <v>64</v>
      </c>
      <c r="C133" s="1201"/>
      <c r="D133" s="1257"/>
      <c r="E133" s="361"/>
    </row>
    <row r="134" spans="1:5" x14ac:dyDescent="0.2">
      <c r="A134" s="1162">
        <v>263</v>
      </c>
      <c r="B134" s="1201" t="s">
        <v>65</v>
      </c>
      <c r="C134" s="1201"/>
      <c r="D134" s="1257"/>
      <c r="E134" s="361"/>
    </row>
    <row r="135" spans="1:5" x14ac:dyDescent="0.2">
      <c r="A135" s="1162">
        <v>286</v>
      </c>
      <c r="B135" s="1201" t="s">
        <v>442</v>
      </c>
      <c r="C135" s="1201"/>
      <c r="D135" s="1257"/>
      <c r="E135" s="361"/>
    </row>
    <row r="136" spans="1:5" x14ac:dyDescent="0.2">
      <c r="A136" s="1162">
        <v>57</v>
      </c>
      <c r="B136" s="1201" t="s">
        <v>406</v>
      </c>
      <c r="C136" s="1201"/>
      <c r="D136" s="1257"/>
      <c r="E136" s="361"/>
    </row>
    <row r="137" spans="1:5" x14ac:dyDescent="0.2">
      <c r="A137" s="1162">
        <v>108</v>
      </c>
      <c r="B137" s="1201" t="s">
        <v>443</v>
      </c>
      <c r="C137" s="1201"/>
      <c r="D137" s="1257"/>
      <c r="E137" s="361"/>
    </row>
    <row r="138" spans="1:5" x14ac:dyDescent="0.2">
      <c r="A138" s="1162">
        <v>24</v>
      </c>
      <c r="B138" s="1201" t="s">
        <v>384</v>
      </c>
      <c r="C138" s="1201"/>
      <c r="D138" s="1257"/>
      <c r="E138" s="361"/>
    </row>
    <row r="139" spans="1:5" x14ac:dyDescent="0.2">
      <c r="A139" s="1162">
        <v>109</v>
      </c>
      <c r="B139" s="1201" t="s">
        <v>66</v>
      </c>
      <c r="C139" s="1201"/>
      <c r="D139" s="1257"/>
      <c r="E139" s="361"/>
    </row>
    <row r="140" spans="1:5" x14ac:dyDescent="0.2">
      <c r="A140" s="1162">
        <v>110</v>
      </c>
      <c r="B140" s="1201" t="s">
        <v>67</v>
      </c>
      <c r="C140" s="1201"/>
      <c r="D140" s="1257"/>
      <c r="E140" s="361"/>
    </row>
    <row r="141" spans="1:5" x14ac:dyDescent="0.2">
      <c r="A141" s="1162">
        <v>111</v>
      </c>
      <c r="B141" s="1201" t="s">
        <v>68</v>
      </c>
      <c r="C141" s="1201"/>
      <c r="D141" s="1257"/>
      <c r="E141" s="361"/>
    </row>
    <row r="142" spans="1:5" x14ac:dyDescent="0.2">
      <c r="A142" s="1162">
        <v>343</v>
      </c>
      <c r="B142" s="1201" t="s">
        <v>332</v>
      </c>
      <c r="C142" s="1201"/>
      <c r="D142" s="1257"/>
      <c r="E142" s="361"/>
    </row>
    <row r="143" spans="1:5" x14ac:dyDescent="0.2">
      <c r="A143" s="1162">
        <v>305</v>
      </c>
      <c r="B143" s="1201" t="s">
        <v>69</v>
      </c>
      <c r="C143" s="1201"/>
      <c r="D143" s="1257"/>
      <c r="E143" s="361"/>
    </row>
    <row r="144" spans="1:5" x14ac:dyDescent="0.2">
      <c r="A144" s="1162">
        <v>224</v>
      </c>
      <c r="B144" s="1137" t="s">
        <v>659</v>
      </c>
      <c r="C144" s="1137"/>
      <c r="D144" s="1257"/>
      <c r="E144" s="361"/>
    </row>
    <row r="145" spans="1:5" x14ac:dyDescent="0.2">
      <c r="A145" s="1162">
        <v>228</v>
      </c>
      <c r="B145" s="1137" t="s">
        <v>646</v>
      </c>
      <c r="C145" s="1137"/>
      <c r="D145" s="1257"/>
      <c r="E145" s="361"/>
    </row>
    <row r="146" spans="1:5" x14ac:dyDescent="0.2">
      <c r="A146" s="1162">
        <v>289</v>
      </c>
      <c r="B146" s="1201" t="s">
        <v>70</v>
      </c>
      <c r="C146" s="1201"/>
      <c r="D146" s="1257"/>
      <c r="E146" s="361"/>
    </row>
    <row r="147" spans="1:5" x14ac:dyDescent="0.2">
      <c r="A147" s="1162">
        <v>112</v>
      </c>
      <c r="B147" s="1201" t="s">
        <v>71</v>
      </c>
      <c r="C147" s="1201"/>
      <c r="D147" s="1257"/>
      <c r="E147" s="361"/>
    </row>
    <row r="148" spans="1:5" x14ac:dyDescent="0.2">
      <c r="A148" s="1162">
        <v>113</v>
      </c>
      <c r="B148" s="1201" t="s">
        <v>444</v>
      </c>
      <c r="C148" s="1201"/>
      <c r="D148" s="1257"/>
      <c r="E148" s="361"/>
    </row>
    <row r="149" spans="1:5" x14ac:dyDescent="0.2">
      <c r="A149" s="1162">
        <v>148</v>
      </c>
      <c r="B149" s="1201" t="s">
        <v>492</v>
      </c>
      <c r="C149" s="1201"/>
      <c r="D149" s="1257"/>
      <c r="E149" s="361"/>
    </row>
    <row r="150" spans="1:5" x14ac:dyDescent="0.2">
      <c r="A150" s="1162">
        <v>258</v>
      </c>
      <c r="B150" s="1201" t="s">
        <v>674</v>
      </c>
      <c r="C150" s="1201"/>
      <c r="D150" s="1257"/>
      <c r="E150" s="361"/>
    </row>
    <row r="151" spans="1:5" x14ac:dyDescent="0.2">
      <c r="A151" s="1162">
        <v>115</v>
      </c>
      <c r="B151" s="1201" t="s">
        <v>72</v>
      </c>
      <c r="C151" s="1201"/>
      <c r="D151" s="1257"/>
      <c r="E151" s="361"/>
    </row>
    <row r="152" spans="1:5" x14ac:dyDescent="0.2">
      <c r="A152" s="1162">
        <v>116</v>
      </c>
      <c r="B152" s="1201" t="s">
        <v>73</v>
      </c>
      <c r="C152" s="1201"/>
      <c r="D152" s="1257"/>
      <c r="E152" s="361"/>
    </row>
    <row r="153" spans="1:5" x14ac:dyDescent="0.2">
      <c r="A153" s="1162">
        <v>331</v>
      </c>
      <c r="B153" s="1201" t="s">
        <v>295</v>
      </c>
      <c r="C153" s="1201"/>
      <c r="D153" s="1257"/>
      <c r="E153" s="361"/>
    </row>
    <row r="154" spans="1:5" x14ac:dyDescent="0.2">
      <c r="A154" s="1162">
        <v>256</v>
      </c>
      <c r="B154" s="1137" t="s">
        <v>652</v>
      </c>
      <c r="C154" s="1137"/>
      <c r="D154" s="1257"/>
      <c r="E154" s="361"/>
    </row>
    <row r="155" spans="1:5" x14ac:dyDescent="0.2">
      <c r="A155" s="1162">
        <v>242</v>
      </c>
      <c r="B155" s="1201" t="s">
        <v>74</v>
      </c>
      <c r="C155" s="1201"/>
      <c r="D155" s="1257"/>
      <c r="E155" s="361"/>
    </row>
    <row r="156" spans="1:5" x14ac:dyDescent="0.2">
      <c r="A156" s="1162">
        <v>314</v>
      </c>
      <c r="B156" s="1201" t="s">
        <v>246</v>
      </c>
      <c r="C156" s="1201"/>
      <c r="D156" s="1257"/>
      <c r="E156" s="361"/>
    </row>
    <row r="157" spans="1:5" x14ac:dyDescent="0.2">
      <c r="A157" s="1162">
        <v>248</v>
      </c>
      <c r="B157" s="1201" t="s">
        <v>75</v>
      </c>
      <c r="C157" s="1201"/>
      <c r="D157" s="1257"/>
      <c r="E157" s="361"/>
    </row>
    <row r="158" spans="1:5" x14ac:dyDescent="0.2">
      <c r="A158" s="1162">
        <v>251</v>
      </c>
      <c r="B158" s="1201" t="s">
        <v>329</v>
      </c>
      <c r="C158" s="1201"/>
      <c r="D158" s="1257"/>
      <c r="E158" s="361"/>
    </row>
    <row r="159" spans="1:5" x14ac:dyDescent="0.2">
      <c r="A159" s="1162">
        <v>261</v>
      </c>
      <c r="B159" s="1201" t="s">
        <v>660</v>
      </c>
      <c r="C159" s="1201"/>
      <c r="D159" s="1257"/>
      <c r="E159" s="361"/>
    </row>
    <row r="160" spans="1:5" x14ac:dyDescent="0.2">
      <c r="A160" s="1162">
        <v>118</v>
      </c>
      <c r="B160" s="1201" t="s">
        <v>76</v>
      </c>
      <c r="C160" s="1201"/>
      <c r="D160" s="1257"/>
      <c r="E160" s="361"/>
    </row>
    <row r="161" spans="1:5" x14ac:dyDescent="0.2">
      <c r="A161" s="1162">
        <v>275</v>
      </c>
      <c r="B161" s="1201" t="s">
        <v>77</v>
      </c>
      <c r="C161" s="1201"/>
      <c r="D161" s="1257"/>
      <c r="E161" s="361"/>
    </row>
    <row r="162" spans="1:5" x14ac:dyDescent="0.2">
      <c r="A162" s="1162">
        <v>276</v>
      </c>
      <c r="B162" s="1201" t="s">
        <v>78</v>
      </c>
      <c r="C162" s="1201"/>
      <c r="D162" s="1257"/>
      <c r="E162" s="361"/>
    </row>
    <row r="163" spans="1:5" x14ac:dyDescent="0.2">
      <c r="A163" s="1162">
        <v>119</v>
      </c>
      <c r="B163" s="1201" t="s">
        <v>79</v>
      </c>
      <c r="C163" s="1201"/>
      <c r="D163" s="1257"/>
      <c r="E163" s="361"/>
    </row>
    <row r="164" spans="1:5" x14ac:dyDescent="0.2">
      <c r="A164" s="1162">
        <v>14</v>
      </c>
      <c r="B164" s="1201" t="s">
        <v>176</v>
      </c>
      <c r="C164" s="1201"/>
      <c r="D164" s="1257"/>
      <c r="E164" s="361"/>
    </row>
    <row r="165" spans="1:5" x14ac:dyDescent="0.2">
      <c r="A165" s="1162">
        <v>15</v>
      </c>
      <c r="B165" s="1201" t="s">
        <v>177</v>
      </c>
      <c r="C165" s="1201"/>
      <c r="D165" s="1257"/>
      <c r="E165" s="361"/>
    </row>
    <row r="166" spans="1:5" x14ac:dyDescent="0.2">
      <c r="A166" s="1162">
        <v>17</v>
      </c>
      <c r="B166" s="1201" t="s">
        <v>178</v>
      </c>
      <c r="C166" s="1201"/>
      <c r="D166" s="1257"/>
      <c r="E166" s="361"/>
    </row>
    <row r="167" spans="1:5" x14ac:dyDescent="0.2">
      <c r="A167" s="1162">
        <v>18</v>
      </c>
      <c r="B167" s="1201" t="s">
        <v>179</v>
      </c>
      <c r="C167" s="1201"/>
      <c r="D167" s="1257"/>
      <c r="E167" s="361"/>
    </row>
    <row r="168" spans="1:5" x14ac:dyDescent="0.2">
      <c r="A168" s="1162">
        <v>245</v>
      </c>
      <c r="B168" s="1137" t="s">
        <v>363</v>
      </c>
      <c r="C168" s="1137"/>
      <c r="D168" s="1257"/>
      <c r="E168" s="361"/>
    </row>
    <row r="169" spans="1:5" x14ac:dyDescent="0.2">
      <c r="A169" s="1162">
        <v>337</v>
      </c>
      <c r="B169" s="1137" t="s">
        <v>364</v>
      </c>
      <c r="C169" s="1137"/>
      <c r="D169" s="1257"/>
      <c r="E169" s="361"/>
    </row>
    <row r="170" spans="1:5" x14ac:dyDescent="0.2">
      <c r="A170" s="1162">
        <v>19</v>
      </c>
      <c r="B170" s="1137" t="s">
        <v>738</v>
      </c>
      <c r="C170" s="1137"/>
      <c r="D170" s="1257"/>
      <c r="E170" s="361"/>
    </row>
    <row r="171" spans="1:5" x14ac:dyDescent="0.2">
      <c r="A171" s="1162">
        <v>196</v>
      </c>
      <c r="B171" s="1154" t="s">
        <v>672</v>
      </c>
      <c r="C171" s="1154"/>
      <c r="D171" s="1257"/>
      <c r="E171" s="361"/>
    </row>
    <row r="172" spans="1:5" x14ac:dyDescent="0.2">
      <c r="A172" s="1162">
        <v>255</v>
      </c>
      <c r="B172" s="1201" t="s">
        <v>614</v>
      </c>
      <c r="C172" s="1201"/>
      <c r="D172" s="1257"/>
      <c r="E172" s="361"/>
    </row>
    <row r="173" spans="1:5" x14ac:dyDescent="0.2">
      <c r="A173" s="1162">
        <v>20</v>
      </c>
      <c r="B173" s="1201" t="s">
        <v>671</v>
      </c>
      <c r="C173" s="1201"/>
      <c r="D173" s="1257"/>
      <c r="E173" s="361"/>
    </row>
    <row r="174" spans="1:5" x14ac:dyDescent="0.2">
      <c r="A174" s="1162">
        <v>21</v>
      </c>
      <c r="B174" s="1137" t="s">
        <v>181</v>
      </c>
      <c r="C174" s="1137"/>
      <c r="D174" s="1257"/>
      <c r="E174" s="361"/>
    </row>
    <row r="175" spans="1:5" x14ac:dyDescent="0.2">
      <c r="A175" s="1162">
        <v>23</v>
      </c>
      <c r="B175" s="1201" t="s">
        <v>182</v>
      </c>
      <c r="C175" s="1201"/>
      <c r="D175" s="1257"/>
      <c r="E175" s="361"/>
    </row>
    <row r="176" spans="1:5" x14ac:dyDescent="0.2">
      <c r="A176" s="1162">
        <v>290</v>
      </c>
      <c r="B176" s="1201" t="s">
        <v>366</v>
      </c>
      <c r="C176" s="1201"/>
      <c r="D176" s="1257"/>
      <c r="E176" s="361"/>
    </row>
    <row r="177" spans="1:5" x14ac:dyDescent="0.2">
      <c r="A177" s="1162">
        <v>33</v>
      </c>
      <c r="B177" s="1137" t="s">
        <v>349</v>
      </c>
      <c r="C177" s="1137"/>
      <c r="D177" s="1257"/>
      <c r="E177" s="361"/>
    </row>
    <row r="178" spans="1:5" x14ac:dyDescent="0.2">
      <c r="A178" s="1162">
        <v>318</v>
      </c>
      <c r="B178" s="1137" t="s">
        <v>268</v>
      </c>
      <c r="C178" s="1137"/>
      <c r="D178" s="1257"/>
      <c r="E178" s="361"/>
    </row>
    <row r="179" spans="1:5" x14ac:dyDescent="0.2">
      <c r="A179" s="1162">
        <v>291</v>
      </c>
      <c r="B179" s="1137" t="s">
        <v>731</v>
      </c>
      <c r="C179" s="1137"/>
      <c r="D179" s="1257"/>
      <c r="E179" s="361"/>
    </row>
    <row r="180" spans="1:5" x14ac:dyDescent="0.2">
      <c r="A180" s="1162">
        <v>292</v>
      </c>
      <c r="B180" s="1137" t="s">
        <v>184</v>
      </c>
      <c r="C180" s="1137"/>
      <c r="D180" s="1257"/>
      <c r="E180" s="361"/>
    </row>
    <row r="181" spans="1:5" x14ac:dyDescent="0.2">
      <c r="A181" s="1162">
        <v>293</v>
      </c>
      <c r="B181" s="1137" t="s">
        <v>185</v>
      </c>
      <c r="C181" s="1137"/>
      <c r="D181" s="1257"/>
      <c r="E181" s="361"/>
    </row>
    <row r="182" spans="1:5" x14ac:dyDescent="0.2">
      <c r="A182" s="1162">
        <v>34</v>
      </c>
      <c r="B182" s="1137" t="s">
        <v>367</v>
      </c>
      <c r="C182" s="1137"/>
      <c r="D182" s="1257"/>
      <c r="E182" s="361"/>
    </row>
    <row r="183" spans="1:5" x14ac:dyDescent="0.2">
      <c r="A183" s="1162">
        <v>310</v>
      </c>
      <c r="B183" s="1137" t="s">
        <v>749</v>
      </c>
      <c r="C183" s="1137"/>
      <c r="D183" s="1257"/>
      <c r="E183" s="361"/>
    </row>
    <row r="184" spans="1:5" x14ac:dyDescent="0.2">
      <c r="A184" s="1162">
        <v>25</v>
      </c>
      <c r="B184" s="1201" t="s">
        <v>187</v>
      </c>
      <c r="C184" s="1201"/>
      <c r="D184" s="1257"/>
      <c r="E184" s="361"/>
    </row>
    <row r="185" spans="1:5" x14ac:dyDescent="0.2">
      <c r="A185" s="1162">
        <v>325</v>
      </c>
      <c r="B185" s="1201" t="s">
        <v>615</v>
      </c>
      <c r="C185" s="1201"/>
      <c r="D185" s="1257"/>
      <c r="E185" s="361"/>
    </row>
    <row r="186" spans="1:5" x14ac:dyDescent="0.2">
      <c r="A186" s="1162">
        <v>28</v>
      </c>
      <c r="B186" s="1137" t="s">
        <v>188</v>
      </c>
      <c r="C186" s="1137"/>
      <c r="D186" s="1257"/>
      <c r="E186" s="361"/>
    </row>
    <row r="187" spans="1:5" x14ac:dyDescent="0.2">
      <c r="A187" s="1162">
        <v>254</v>
      </c>
      <c r="B187" s="1201" t="s">
        <v>369</v>
      </c>
      <c r="C187" s="1201"/>
      <c r="D187" s="1257"/>
      <c r="E187" s="361"/>
    </row>
    <row r="188" spans="1:5" x14ac:dyDescent="0.2">
      <c r="A188" s="1162">
        <v>288</v>
      </c>
      <c r="B188" s="1201" t="s">
        <v>80</v>
      </c>
      <c r="C188" s="1201"/>
      <c r="D188" s="1257"/>
      <c r="E188" s="361"/>
    </row>
    <row r="189" spans="1:5" x14ac:dyDescent="0.2">
      <c r="A189" s="1162">
        <v>315</v>
      </c>
      <c r="B189" s="1201" t="s">
        <v>242</v>
      </c>
      <c r="C189" s="1201"/>
      <c r="D189" s="1257"/>
      <c r="E189" s="361"/>
    </row>
    <row r="190" spans="1:5" x14ac:dyDescent="0.2">
      <c r="A190" s="1162">
        <v>230</v>
      </c>
      <c r="B190" s="1137" t="s">
        <v>649</v>
      </c>
      <c r="C190" s="1137"/>
      <c r="D190" s="1257"/>
      <c r="E190" s="361"/>
    </row>
    <row r="191" spans="1:5" x14ac:dyDescent="0.2">
      <c r="A191" s="1162">
        <v>235</v>
      </c>
      <c r="B191" s="1201" t="s">
        <v>81</v>
      </c>
      <c r="C191" s="1201"/>
      <c r="D191" s="1257"/>
      <c r="E191" s="361"/>
    </row>
    <row r="192" spans="1:5" x14ac:dyDescent="0.2">
      <c r="A192" s="1162">
        <v>259</v>
      </c>
      <c r="B192" s="1201" t="s">
        <v>243</v>
      </c>
      <c r="C192" s="1201"/>
      <c r="D192" s="1257"/>
      <c r="E192" s="361"/>
    </row>
    <row r="193" spans="1:5" x14ac:dyDescent="0.2">
      <c r="A193" s="1162">
        <v>29</v>
      </c>
      <c r="B193" s="1137" t="s">
        <v>735</v>
      </c>
      <c r="C193" s="1137"/>
      <c r="D193" s="1257"/>
      <c r="E193" s="361"/>
    </row>
    <row r="194" spans="1:5" x14ac:dyDescent="0.2">
      <c r="A194" s="1162">
        <v>30</v>
      </c>
      <c r="B194" s="1201" t="s">
        <v>445</v>
      </c>
      <c r="C194" s="1201"/>
      <c r="D194" s="1257"/>
      <c r="E194" s="361"/>
    </row>
    <row r="195" spans="1:5" x14ac:dyDescent="0.2">
      <c r="A195" s="1162">
        <v>31</v>
      </c>
      <c r="B195" s="1201" t="s">
        <v>189</v>
      </c>
      <c r="C195" s="1201"/>
      <c r="D195" s="1257"/>
      <c r="E195" s="361"/>
    </row>
    <row r="196" spans="1:5" x14ac:dyDescent="0.2">
      <c r="A196" s="1162">
        <v>121</v>
      </c>
      <c r="B196" s="1201" t="s">
        <v>82</v>
      </c>
      <c r="C196" s="1201"/>
      <c r="D196" s="1257"/>
      <c r="E196" s="361"/>
    </row>
    <row r="197" spans="1:5" x14ac:dyDescent="0.2">
      <c r="A197" s="1162">
        <v>122</v>
      </c>
      <c r="B197" s="1201" t="s">
        <v>83</v>
      </c>
      <c r="C197" s="1201"/>
      <c r="D197" s="1257"/>
      <c r="E197" s="361"/>
    </row>
    <row r="198" spans="1:5" x14ac:dyDescent="0.2">
      <c r="A198" s="1162">
        <v>58</v>
      </c>
      <c r="B198" s="1201" t="s">
        <v>400</v>
      </c>
      <c r="C198" s="1201"/>
      <c r="D198" s="1257"/>
      <c r="E198" s="361"/>
    </row>
    <row r="199" spans="1:5" x14ac:dyDescent="0.2">
      <c r="A199" s="1162">
        <v>162</v>
      </c>
      <c r="B199" s="1201" t="s">
        <v>486</v>
      </c>
      <c r="C199" s="1201"/>
      <c r="D199" s="1257"/>
      <c r="E199" s="361"/>
    </row>
    <row r="200" spans="1:5" x14ac:dyDescent="0.2">
      <c r="A200" s="1162">
        <v>123</v>
      </c>
      <c r="B200" s="1201" t="s">
        <v>354</v>
      </c>
      <c r="C200" s="1201"/>
      <c r="D200" s="1257"/>
      <c r="E200" s="361"/>
    </row>
    <row r="201" spans="1:5" x14ac:dyDescent="0.2">
      <c r="A201" s="1162">
        <v>345</v>
      </c>
      <c r="B201" s="1201" t="s">
        <v>323</v>
      </c>
      <c r="C201" s="1201"/>
      <c r="D201" s="1257"/>
      <c r="E201" s="361"/>
    </row>
    <row r="202" spans="1:5" x14ac:dyDescent="0.2">
      <c r="A202" s="1162">
        <v>124</v>
      </c>
      <c r="B202" s="1201" t="s">
        <v>446</v>
      </c>
      <c r="C202" s="1201"/>
      <c r="D202" s="1257"/>
      <c r="E202" s="361"/>
    </row>
    <row r="203" spans="1:5" x14ac:dyDescent="0.2">
      <c r="A203" s="1162">
        <v>350</v>
      </c>
      <c r="B203" s="1201" t="s">
        <v>327</v>
      </c>
      <c r="C203" s="1201"/>
      <c r="D203" s="1257"/>
      <c r="E203" s="361"/>
    </row>
    <row r="204" spans="1:5" x14ac:dyDescent="0.2">
      <c r="A204" s="1162">
        <v>351</v>
      </c>
      <c r="B204" s="1201" t="s">
        <v>325</v>
      </c>
      <c r="C204" s="1201"/>
      <c r="D204" s="1257"/>
      <c r="E204" s="361"/>
    </row>
    <row r="205" spans="1:5" x14ac:dyDescent="0.2">
      <c r="A205" s="1162">
        <v>32</v>
      </c>
      <c r="B205" s="1201" t="s">
        <v>616</v>
      </c>
      <c r="C205" s="1201"/>
      <c r="D205" s="1257"/>
      <c r="E205" s="361"/>
    </row>
    <row r="206" spans="1:5" x14ac:dyDescent="0.2">
      <c r="A206" s="1162">
        <v>247</v>
      </c>
      <c r="B206" s="1137" t="s">
        <v>664</v>
      </c>
      <c r="C206" s="1137"/>
      <c r="D206" s="1257"/>
      <c r="E206" s="361"/>
    </row>
    <row r="207" spans="1:5" x14ac:dyDescent="0.2">
      <c r="A207" s="1162">
        <v>26</v>
      </c>
      <c r="B207" s="1201" t="s">
        <v>326</v>
      </c>
      <c r="C207" s="1201"/>
      <c r="D207" s="1257"/>
      <c r="E207" s="361"/>
    </row>
    <row r="208" spans="1:5" x14ac:dyDescent="0.2">
      <c r="A208" s="1162">
        <v>64</v>
      </c>
      <c r="B208" s="1201" t="s">
        <v>405</v>
      </c>
      <c r="C208" s="1201"/>
      <c r="D208" s="1257"/>
      <c r="E208" s="361"/>
    </row>
    <row r="209" spans="1:5" x14ac:dyDescent="0.2">
      <c r="A209" s="1162">
        <v>333</v>
      </c>
      <c r="B209" s="1201" t="s">
        <v>247</v>
      </c>
      <c r="C209" s="1201"/>
      <c r="D209" s="1257"/>
      <c r="E209" s="361"/>
    </row>
    <row r="210" spans="1:5" x14ac:dyDescent="0.2">
      <c r="A210" s="1162">
        <v>344</v>
      </c>
      <c r="B210" s="1201" t="s">
        <v>328</v>
      </c>
      <c r="C210" s="1201"/>
      <c r="D210" s="1257"/>
      <c r="E210" s="361"/>
    </row>
    <row r="211" spans="1:5" x14ac:dyDescent="0.2">
      <c r="A211" s="1162">
        <v>186</v>
      </c>
      <c r="B211" s="1201" t="s">
        <v>483</v>
      </c>
      <c r="C211" s="1201"/>
      <c r="D211" s="1257"/>
      <c r="E211" s="361"/>
    </row>
    <row r="212" spans="1:5" x14ac:dyDescent="0.2">
      <c r="A212" s="1162">
        <v>126</v>
      </c>
      <c r="B212" s="1201" t="s">
        <v>84</v>
      </c>
      <c r="C212" s="1201"/>
      <c r="D212" s="1257"/>
      <c r="E212" s="361"/>
    </row>
    <row r="213" spans="1:5" x14ac:dyDescent="0.2">
      <c r="A213" s="1162">
        <v>66</v>
      </c>
      <c r="B213" s="1201" t="s">
        <v>85</v>
      </c>
      <c r="C213" s="1201"/>
      <c r="D213" s="1257"/>
      <c r="E213" s="361"/>
    </row>
    <row r="214" spans="1:5" x14ac:dyDescent="0.2">
      <c r="A214" s="1162">
        <v>127</v>
      </c>
      <c r="B214" s="1201" t="s">
        <v>86</v>
      </c>
      <c r="C214" s="1201"/>
      <c r="D214" s="1257"/>
      <c r="E214" s="361"/>
    </row>
    <row r="215" spans="1:5" x14ac:dyDescent="0.2">
      <c r="A215" s="1162">
        <v>128</v>
      </c>
      <c r="B215" s="1201" t="s">
        <v>87</v>
      </c>
      <c r="C215" s="1201"/>
      <c r="D215" s="1257"/>
      <c r="E215" s="361"/>
    </row>
    <row r="216" spans="1:5" x14ac:dyDescent="0.2">
      <c r="A216" s="1162">
        <v>221</v>
      </c>
      <c r="B216" s="1201" t="s">
        <v>88</v>
      </c>
      <c r="C216" s="1201"/>
      <c r="D216" s="1257"/>
      <c r="E216" s="361"/>
    </row>
    <row r="217" spans="1:5" x14ac:dyDescent="0.2">
      <c r="A217" s="1162">
        <v>80</v>
      </c>
      <c r="B217" s="1201" t="s">
        <v>397</v>
      </c>
      <c r="C217" s="1201"/>
      <c r="D217" s="1257"/>
      <c r="E217" s="361"/>
    </row>
    <row r="218" spans="1:5" x14ac:dyDescent="0.2">
      <c r="A218" s="1162">
        <v>231</v>
      </c>
      <c r="B218" s="1201" t="s">
        <v>447</v>
      </c>
      <c r="C218" s="1201"/>
      <c r="D218" s="1257"/>
      <c r="E218" s="361"/>
    </row>
    <row r="219" spans="1:5" x14ac:dyDescent="0.2">
      <c r="A219" s="1162">
        <v>216</v>
      </c>
      <c r="B219" s="1201" t="s">
        <v>89</v>
      </c>
      <c r="C219" s="1201"/>
      <c r="D219" s="1257"/>
      <c r="E219" s="361"/>
    </row>
    <row r="220" spans="1:5" x14ac:dyDescent="0.2">
      <c r="A220" s="1162">
        <v>129</v>
      </c>
      <c r="B220" s="1201" t="s">
        <v>90</v>
      </c>
      <c r="C220" s="1201"/>
      <c r="D220" s="1257"/>
      <c r="E220" s="361"/>
    </row>
    <row r="221" spans="1:5" x14ac:dyDescent="0.2">
      <c r="A221" s="1162">
        <v>132</v>
      </c>
      <c r="B221" s="1201" t="s">
        <v>91</v>
      </c>
      <c r="C221" s="1201"/>
      <c r="D221" s="1257"/>
      <c r="E221" s="361"/>
    </row>
    <row r="222" spans="1:5" x14ac:dyDescent="0.2">
      <c r="A222" s="1162">
        <v>133</v>
      </c>
      <c r="B222" s="1201" t="s">
        <v>92</v>
      </c>
      <c r="C222" s="1201"/>
      <c r="D222" s="1257"/>
      <c r="E222" s="361"/>
    </row>
    <row r="223" spans="1:5" x14ac:dyDescent="0.2">
      <c r="A223" s="1162">
        <v>134</v>
      </c>
      <c r="B223" s="1201" t="s">
        <v>93</v>
      </c>
      <c r="C223" s="1201"/>
      <c r="D223" s="1257"/>
      <c r="E223" s="361"/>
    </row>
    <row r="224" spans="1:5" x14ac:dyDescent="0.2">
      <c r="A224" s="1162">
        <v>269</v>
      </c>
      <c r="B224" s="1201" t="s">
        <v>94</v>
      </c>
      <c r="C224" s="1201"/>
      <c r="D224" s="1257"/>
      <c r="E224" s="361"/>
    </row>
    <row r="225" spans="1:5" x14ac:dyDescent="0.2">
      <c r="A225" s="1162">
        <v>252</v>
      </c>
      <c r="B225" s="1201" t="s">
        <v>309</v>
      </c>
      <c r="C225" s="1201"/>
      <c r="D225" s="1257"/>
      <c r="E225" s="361"/>
    </row>
    <row r="226" spans="1:5" x14ac:dyDescent="0.2">
      <c r="A226" s="1162">
        <v>249</v>
      </c>
      <c r="B226" s="1201" t="s">
        <v>95</v>
      </c>
      <c r="C226" s="1201"/>
      <c r="D226" s="1257"/>
      <c r="E226" s="361"/>
    </row>
    <row r="227" spans="1:5" x14ac:dyDescent="0.2">
      <c r="A227" s="1162">
        <v>82</v>
      </c>
      <c r="B227" s="1201" t="s">
        <v>96</v>
      </c>
      <c r="C227" s="1201"/>
      <c r="D227" s="1257"/>
      <c r="E227" s="361"/>
    </row>
    <row r="228" spans="1:5" x14ac:dyDescent="0.2">
      <c r="A228" s="1162">
        <v>136</v>
      </c>
      <c r="B228" s="1201" t="s">
        <v>98</v>
      </c>
      <c r="C228" s="1201"/>
      <c r="D228" s="1257"/>
      <c r="E228" s="361"/>
    </row>
    <row r="229" spans="1:5" x14ac:dyDescent="0.2">
      <c r="A229" s="1162">
        <v>137</v>
      </c>
      <c r="B229" s="1201" t="s">
        <v>99</v>
      </c>
      <c r="C229" s="1201"/>
      <c r="D229" s="1257"/>
      <c r="E229" s="361"/>
    </row>
    <row r="230" spans="1:5" x14ac:dyDescent="0.2">
      <c r="A230" s="1162">
        <v>267</v>
      </c>
      <c r="B230" s="1201" t="s">
        <v>100</v>
      </c>
      <c r="C230" s="1201"/>
      <c r="D230" s="1257"/>
      <c r="E230" s="361"/>
    </row>
    <row r="231" spans="1:5" x14ac:dyDescent="0.2">
      <c r="A231" s="1162">
        <v>280</v>
      </c>
      <c r="B231" s="1201" t="s">
        <v>101</v>
      </c>
      <c r="C231" s="1201"/>
      <c r="D231" s="1257"/>
      <c r="E231" s="361"/>
    </row>
    <row r="232" spans="1:5" x14ac:dyDescent="0.2">
      <c r="A232" s="1162">
        <v>89</v>
      </c>
      <c r="B232" s="1201" t="s">
        <v>408</v>
      </c>
      <c r="C232" s="1201"/>
      <c r="D232" s="1257"/>
      <c r="E232" s="361"/>
    </row>
    <row r="233" spans="1:5" x14ac:dyDescent="0.2">
      <c r="A233" s="1162">
        <v>352</v>
      </c>
      <c r="B233" s="1201" t="s">
        <v>448</v>
      </c>
      <c r="C233" s="1201"/>
      <c r="D233" s="1257"/>
      <c r="E233" s="361"/>
    </row>
    <row r="234" spans="1:5" x14ac:dyDescent="0.2">
      <c r="A234" s="1162">
        <v>138</v>
      </c>
      <c r="B234" s="1201" t="s">
        <v>102</v>
      </c>
      <c r="C234" s="1201"/>
      <c r="D234" s="1257"/>
      <c r="E234" s="361"/>
    </row>
    <row r="235" spans="1:5" x14ac:dyDescent="0.2">
      <c r="A235" s="1162">
        <v>139</v>
      </c>
      <c r="B235" s="1201" t="s">
        <v>103</v>
      </c>
      <c r="C235" s="1201"/>
      <c r="D235" s="1257"/>
      <c r="E235" s="361"/>
    </row>
    <row r="236" spans="1:5" x14ac:dyDescent="0.2">
      <c r="A236" s="1162">
        <v>140</v>
      </c>
      <c r="B236" s="1201" t="s">
        <v>104</v>
      </c>
      <c r="C236" s="1201"/>
      <c r="D236" s="1257"/>
      <c r="E236" s="361"/>
    </row>
    <row r="237" spans="1:5" x14ac:dyDescent="0.2">
      <c r="A237" s="1162">
        <v>359</v>
      </c>
      <c r="B237" s="1201" t="s">
        <v>449</v>
      </c>
      <c r="C237" s="1201"/>
      <c r="D237" s="1257"/>
      <c r="E237" s="361"/>
    </row>
    <row r="238" spans="1:5" x14ac:dyDescent="0.2">
      <c r="A238" s="1162">
        <v>195</v>
      </c>
      <c r="B238" s="1201" t="s">
        <v>482</v>
      </c>
      <c r="C238" s="1201"/>
      <c r="D238" s="1257"/>
      <c r="E238" s="361"/>
    </row>
    <row r="239" spans="1:5" x14ac:dyDescent="0.2">
      <c r="A239" s="1162">
        <v>170</v>
      </c>
      <c r="B239" s="1201" t="s">
        <v>474</v>
      </c>
      <c r="C239" s="1201"/>
      <c r="D239" s="1257"/>
      <c r="E239" s="361"/>
    </row>
    <row r="240" spans="1:5" x14ac:dyDescent="0.2">
      <c r="A240" s="1162">
        <v>142</v>
      </c>
      <c r="B240" s="1201" t="s">
        <v>105</v>
      </c>
      <c r="C240" s="1201"/>
      <c r="D240" s="1257"/>
      <c r="E240" s="361"/>
    </row>
    <row r="241" spans="1:5" x14ac:dyDescent="0.2">
      <c r="A241" s="1162">
        <v>143</v>
      </c>
      <c r="B241" s="1201" t="s">
        <v>106</v>
      </c>
      <c r="C241" s="1201"/>
      <c r="D241" s="1257"/>
      <c r="E241" s="361"/>
    </row>
    <row r="242" spans="1:5" x14ac:dyDescent="0.2">
      <c r="A242" s="1162">
        <v>144</v>
      </c>
      <c r="B242" s="1201" t="s">
        <v>107</v>
      </c>
      <c r="C242" s="1201"/>
      <c r="D242" s="1257"/>
      <c r="E242" s="361"/>
    </row>
    <row r="243" spans="1:5" x14ac:dyDescent="0.2">
      <c r="A243" s="1162">
        <v>145</v>
      </c>
      <c r="B243" s="1201" t="s">
        <v>108</v>
      </c>
      <c r="C243" s="1201"/>
      <c r="D243" s="1257"/>
      <c r="E243" s="361"/>
    </row>
    <row r="244" spans="1:5" x14ac:dyDescent="0.2">
      <c r="A244" s="1162">
        <v>146</v>
      </c>
      <c r="B244" s="1201" t="s">
        <v>109</v>
      </c>
      <c r="C244" s="1201"/>
      <c r="D244" s="1257"/>
      <c r="E244" s="361"/>
    </row>
    <row r="245" spans="1:5" x14ac:dyDescent="0.2">
      <c r="A245" s="1162">
        <v>22</v>
      </c>
      <c r="B245" s="1201" t="s">
        <v>382</v>
      </c>
      <c r="C245" s="1201"/>
      <c r="D245" s="1257"/>
      <c r="E245" s="361"/>
    </row>
    <row r="246" spans="1:5" x14ac:dyDescent="0.2">
      <c r="A246" s="1162">
        <v>147</v>
      </c>
      <c r="B246" s="1201" t="s">
        <v>110</v>
      </c>
      <c r="C246" s="1201"/>
      <c r="D246" s="1257"/>
      <c r="E246" s="361"/>
    </row>
    <row r="247" spans="1:5" x14ac:dyDescent="0.2">
      <c r="A247" s="1162">
        <v>320</v>
      </c>
      <c r="B247" s="1201" t="s">
        <v>244</v>
      </c>
      <c r="C247" s="1201"/>
      <c r="D247" s="1257"/>
      <c r="E247" s="361"/>
    </row>
    <row r="248" spans="1:5" x14ac:dyDescent="0.2">
      <c r="A248" s="1162">
        <v>93</v>
      </c>
      <c r="B248" s="1201" t="s">
        <v>312</v>
      </c>
      <c r="C248" s="1201"/>
      <c r="D248" s="1257"/>
      <c r="E248" s="361"/>
    </row>
    <row r="249" spans="1:5" x14ac:dyDescent="0.2">
      <c r="A249" s="1162">
        <v>149</v>
      </c>
      <c r="B249" s="1201" t="s">
        <v>111</v>
      </c>
      <c r="C249" s="1201"/>
      <c r="D249" s="1257"/>
      <c r="E249" s="361"/>
    </row>
    <row r="250" spans="1:5" x14ac:dyDescent="0.2">
      <c r="A250" s="1162">
        <v>184</v>
      </c>
      <c r="B250" s="1201" t="s">
        <v>494</v>
      </c>
      <c r="C250" s="1201"/>
      <c r="D250" s="1257"/>
      <c r="E250" s="361"/>
    </row>
    <row r="251" spans="1:5" x14ac:dyDescent="0.2">
      <c r="A251" s="1162">
        <v>265</v>
      </c>
      <c r="B251" s="1201" t="s">
        <v>112</v>
      </c>
      <c r="C251" s="1201"/>
      <c r="D251" s="1257"/>
      <c r="E251" s="361"/>
    </row>
    <row r="252" spans="1:5" x14ac:dyDescent="0.2">
      <c r="A252" s="1162">
        <v>150</v>
      </c>
      <c r="B252" s="1201" t="s">
        <v>450</v>
      </c>
      <c r="C252" s="1201"/>
      <c r="D252" s="1257"/>
      <c r="E252" s="361"/>
    </row>
    <row r="253" spans="1:5" x14ac:dyDescent="0.2">
      <c r="A253" s="1162">
        <v>151</v>
      </c>
      <c r="B253" s="1201" t="s">
        <v>113</v>
      </c>
      <c r="C253" s="1201"/>
      <c r="D253" s="1257"/>
      <c r="E253" s="361"/>
    </row>
    <row r="254" spans="1:5" x14ac:dyDescent="0.2">
      <c r="A254" s="1162">
        <v>152</v>
      </c>
      <c r="B254" s="1201" t="s">
        <v>114</v>
      </c>
      <c r="C254" s="1201"/>
      <c r="D254" s="1257"/>
      <c r="E254" s="361"/>
    </row>
    <row r="255" spans="1:5" x14ac:dyDescent="0.2">
      <c r="A255" s="1162">
        <v>94</v>
      </c>
      <c r="B255" s="1201" t="s">
        <v>413</v>
      </c>
      <c r="C255" s="1201"/>
      <c r="D255" s="1257"/>
      <c r="E255" s="361"/>
    </row>
    <row r="256" spans="1:5" x14ac:dyDescent="0.2">
      <c r="A256" s="1162">
        <v>154</v>
      </c>
      <c r="B256" s="1201" t="s">
        <v>115</v>
      </c>
      <c r="C256" s="1201"/>
      <c r="D256" s="1257"/>
      <c r="E256" s="361"/>
    </row>
    <row r="257" spans="1:5" x14ac:dyDescent="0.2">
      <c r="A257" s="1162">
        <v>297</v>
      </c>
      <c r="B257" s="1201" t="s">
        <v>488</v>
      </c>
      <c r="C257" s="1201"/>
      <c r="D257" s="1257"/>
      <c r="E257" s="361"/>
    </row>
    <row r="258" spans="1:5" x14ac:dyDescent="0.2">
      <c r="A258" s="1162">
        <v>163</v>
      </c>
      <c r="B258" s="1201" t="s">
        <v>473</v>
      </c>
      <c r="C258" s="1201"/>
      <c r="D258" s="1257"/>
      <c r="E258" s="361"/>
    </row>
    <row r="259" spans="1:5" x14ac:dyDescent="0.2">
      <c r="A259" s="1162">
        <v>339</v>
      </c>
      <c r="B259" s="1201" t="s">
        <v>331</v>
      </c>
      <c r="C259" s="1201"/>
      <c r="D259" s="1257"/>
      <c r="E259" s="361"/>
    </row>
    <row r="260" spans="1:5" x14ac:dyDescent="0.2">
      <c r="A260" s="1162">
        <v>102</v>
      </c>
      <c r="B260" s="1201" t="s">
        <v>402</v>
      </c>
      <c r="C260" s="1201"/>
      <c r="D260" s="1257"/>
      <c r="E260" s="361"/>
    </row>
    <row r="261" spans="1:5" x14ac:dyDescent="0.2">
      <c r="A261" s="1162">
        <v>321</v>
      </c>
      <c r="B261" s="1201" t="s">
        <v>451</v>
      </c>
      <c r="C261" s="1201"/>
      <c r="D261" s="1257"/>
      <c r="E261" s="361"/>
    </row>
    <row r="262" spans="1:5" x14ac:dyDescent="0.2">
      <c r="A262" s="1162">
        <v>277</v>
      </c>
      <c r="B262" s="1201" t="s">
        <v>116</v>
      </c>
      <c r="C262" s="1201"/>
      <c r="D262" s="1257"/>
      <c r="E262" s="361"/>
    </row>
    <row r="263" spans="1:5" x14ac:dyDescent="0.2">
      <c r="A263" s="1162">
        <v>302</v>
      </c>
      <c r="B263" s="1137" t="s">
        <v>193</v>
      </c>
      <c r="C263" s="1137"/>
      <c r="D263" s="1257"/>
      <c r="E263" s="361"/>
    </row>
    <row r="264" spans="1:5" x14ac:dyDescent="0.2">
      <c r="A264" s="1162">
        <v>155</v>
      </c>
      <c r="B264" s="1201" t="s">
        <v>117</v>
      </c>
      <c r="C264" s="1201"/>
      <c r="D264" s="1257"/>
      <c r="E264" s="361"/>
    </row>
    <row r="265" spans="1:5" x14ac:dyDescent="0.2">
      <c r="A265" s="1162">
        <v>157</v>
      </c>
      <c r="B265" s="1201" t="s">
        <v>118</v>
      </c>
      <c r="C265" s="1201"/>
      <c r="D265" s="1257"/>
      <c r="E265" s="361"/>
    </row>
    <row r="266" spans="1:5" x14ac:dyDescent="0.2">
      <c r="A266" s="1162">
        <v>103</v>
      </c>
      <c r="B266" s="1201" t="s">
        <v>119</v>
      </c>
      <c r="C266" s="1201"/>
      <c r="D266" s="1257"/>
      <c r="E266" s="361"/>
    </row>
    <row r="267" spans="1:5" x14ac:dyDescent="0.2">
      <c r="A267" s="1162">
        <v>158</v>
      </c>
      <c r="B267" s="1201" t="s">
        <v>120</v>
      </c>
      <c r="C267" s="1201"/>
      <c r="D267" s="1257"/>
      <c r="E267" s="361"/>
    </row>
    <row r="268" spans="1:5" x14ac:dyDescent="0.2">
      <c r="A268" s="1162">
        <v>334</v>
      </c>
      <c r="B268" s="1201" t="s">
        <v>310</v>
      </c>
      <c r="C268" s="1201"/>
      <c r="D268" s="1257"/>
      <c r="E268" s="361"/>
    </row>
    <row r="269" spans="1:5" x14ac:dyDescent="0.2">
      <c r="A269" s="1162">
        <v>342</v>
      </c>
      <c r="B269" s="1201" t="s">
        <v>320</v>
      </c>
      <c r="C269" s="1201"/>
      <c r="D269" s="1257"/>
      <c r="E269" s="361"/>
    </row>
    <row r="270" spans="1:5" x14ac:dyDescent="0.2">
      <c r="A270" s="1162">
        <v>328</v>
      </c>
      <c r="B270" s="1201" t="s">
        <v>238</v>
      </c>
      <c r="C270" s="1201"/>
      <c r="D270" s="1257"/>
      <c r="E270" s="361"/>
    </row>
    <row r="271" spans="1:5" x14ac:dyDescent="0.2">
      <c r="A271" s="1162">
        <v>159</v>
      </c>
      <c r="B271" s="1201" t="s">
        <v>121</v>
      </c>
      <c r="C271" s="1201"/>
      <c r="D271" s="1257"/>
      <c r="E271" s="361"/>
    </row>
    <row r="272" spans="1:5" x14ac:dyDescent="0.2">
      <c r="A272" s="1162">
        <v>160</v>
      </c>
      <c r="B272" s="1201" t="s">
        <v>122</v>
      </c>
      <c r="C272" s="1201"/>
      <c r="D272" s="1257"/>
      <c r="E272" s="361"/>
    </row>
    <row r="273" spans="1:5" x14ac:dyDescent="0.2">
      <c r="A273" s="1162">
        <v>161</v>
      </c>
      <c r="B273" s="1201" t="s">
        <v>123</v>
      </c>
      <c r="C273" s="1201"/>
      <c r="D273" s="1257"/>
      <c r="E273" s="361"/>
    </row>
    <row r="274" spans="1:5" x14ac:dyDescent="0.2">
      <c r="A274" s="1162">
        <v>164</v>
      </c>
      <c r="B274" s="1201" t="s">
        <v>124</v>
      </c>
      <c r="C274" s="1201"/>
      <c r="D274" s="1257"/>
      <c r="E274" s="361"/>
    </row>
    <row r="275" spans="1:5" x14ac:dyDescent="0.2">
      <c r="A275" s="1162">
        <v>165</v>
      </c>
      <c r="B275" s="1201" t="s">
        <v>125</v>
      </c>
      <c r="C275" s="1201"/>
      <c r="D275" s="1257"/>
      <c r="E275" s="361"/>
    </row>
    <row r="276" spans="1:5" x14ac:dyDescent="0.2">
      <c r="A276" s="1162">
        <v>166</v>
      </c>
      <c r="B276" s="1201" t="s">
        <v>126</v>
      </c>
      <c r="C276" s="1201"/>
      <c r="D276" s="1257"/>
      <c r="E276" s="361"/>
    </row>
    <row r="277" spans="1:5" x14ac:dyDescent="0.2">
      <c r="A277" s="1162">
        <v>167</v>
      </c>
      <c r="B277" s="1201" t="s">
        <v>127</v>
      </c>
      <c r="C277" s="1201"/>
      <c r="D277" s="1257"/>
      <c r="E277" s="361"/>
    </row>
    <row r="278" spans="1:5" x14ac:dyDescent="0.2">
      <c r="A278" s="1162">
        <v>168</v>
      </c>
      <c r="B278" s="1201" t="s">
        <v>128</v>
      </c>
      <c r="C278" s="1201"/>
      <c r="D278" s="1257"/>
      <c r="E278" s="361"/>
    </row>
    <row r="279" spans="1:5" x14ac:dyDescent="0.2">
      <c r="A279" s="1162">
        <v>35</v>
      </c>
      <c r="B279" s="1201" t="s">
        <v>368</v>
      </c>
      <c r="C279" s="1201"/>
      <c r="D279" s="1257"/>
      <c r="E279" s="361"/>
    </row>
    <row r="280" spans="1:5" x14ac:dyDescent="0.2">
      <c r="A280" s="1162">
        <v>307</v>
      </c>
      <c r="B280" s="1201" t="s">
        <v>245</v>
      </c>
      <c r="C280" s="1201"/>
      <c r="D280" s="1257"/>
      <c r="E280" s="361"/>
    </row>
    <row r="281" spans="1:5" x14ac:dyDescent="0.2">
      <c r="A281" s="1162">
        <v>104</v>
      </c>
      <c r="B281" s="1201" t="s">
        <v>398</v>
      </c>
      <c r="C281" s="1201"/>
      <c r="D281" s="1257"/>
      <c r="E281" s="361"/>
    </row>
    <row r="282" spans="1:5" x14ac:dyDescent="0.2">
      <c r="A282" s="1162">
        <v>141</v>
      </c>
      <c r="B282" s="1204" t="s">
        <v>783</v>
      </c>
      <c r="C282" s="1201"/>
      <c r="D282" s="1257"/>
      <c r="E282" s="361"/>
    </row>
    <row r="283" spans="1:5" x14ac:dyDescent="0.2">
      <c r="A283" s="1162">
        <v>105</v>
      </c>
      <c r="B283" s="1361" t="s">
        <v>786</v>
      </c>
      <c r="C283" s="1201"/>
      <c r="D283" s="1257"/>
      <c r="E283" s="361"/>
    </row>
    <row r="284" spans="1:5" x14ac:dyDescent="0.2">
      <c r="A284" s="1162">
        <v>323</v>
      </c>
      <c r="B284" s="1201" t="s">
        <v>271</v>
      </c>
      <c r="C284" s="1201"/>
      <c r="D284" s="1257"/>
      <c r="E284" s="361"/>
    </row>
    <row r="285" spans="1:5" x14ac:dyDescent="0.2">
      <c r="A285" s="1162">
        <v>106</v>
      </c>
      <c r="B285" s="1201" t="s">
        <v>129</v>
      </c>
      <c r="C285" s="1201"/>
      <c r="D285" s="1257"/>
      <c r="E285" s="361"/>
    </row>
    <row r="286" spans="1:5" x14ac:dyDescent="0.2">
      <c r="A286" s="1162">
        <v>274</v>
      </c>
      <c r="B286" s="1201" t="s">
        <v>608</v>
      </c>
      <c r="C286" s="1201"/>
      <c r="D286" s="1257"/>
      <c r="E286" s="361"/>
    </row>
    <row r="287" spans="1:5" x14ac:dyDescent="0.2">
      <c r="A287" s="1162">
        <v>304</v>
      </c>
      <c r="B287" s="1201" t="s">
        <v>759</v>
      </c>
      <c r="C287" s="1201"/>
      <c r="D287" s="1257"/>
      <c r="E287" s="361"/>
    </row>
    <row r="288" spans="1:5" x14ac:dyDescent="0.2">
      <c r="A288" s="1162">
        <v>237</v>
      </c>
      <c r="B288" s="1137" t="s">
        <v>607</v>
      </c>
      <c r="C288" s="1137"/>
      <c r="D288" s="1257"/>
      <c r="E288" s="361"/>
    </row>
    <row r="289" spans="1:5" x14ac:dyDescent="0.2">
      <c r="A289" s="1162">
        <v>298</v>
      </c>
      <c r="B289" s="1137" t="s">
        <v>130</v>
      </c>
      <c r="C289" s="1137"/>
      <c r="D289" s="1257"/>
      <c r="E289" s="361"/>
    </row>
    <row r="290" spans="1:5" x14ac:dyDescent="0.2">
      <c r="A290" s="1162">
        <v>169</v>
      </c>
      <c r="B290" s="1201" t="s">
        <v>131</v>
      </c>
      <c r="C290" s="1201"/>
      <c r="D290" s="1257"/>
      <c r="E290" s="361"/>
    </row>
    <row r="291" spans="1:5" x14ac:dyDescent="0.2">
      <c r="A291" s="1254">
        <v>316</v>
      </c>
      <c r="B291" s="1201" t="s">
        <v>452</v>
      </c>
      <c r="C291" s="1201"/>
      <c r="D291" s="1257"/>
      <c r="E291" s="361"/>
    </row>
    <row r="292" spans="1:5" x14ac:dyDescent="0.2">
      <c r="A292" s="1254">
        <v>281</v>
      </c>
      <c r="B292" s="589" t="s">
        <v>785</v>
      </c>
      <c r="C292" s="1201"/>
      <c r="D292" s="1257"/>
      <c r="E292" s="361"/>
    </row>
    <row r="293" spans="1:5" x14ac:dyDescent="0.2">
      <c r="A293" s="1162">
        <v>153</v>
      </c>
      <c r="B293" s="1201" t="s">
        <v>467</v>
      </c>
      <c r="C293" s="1201"/>
      <c r="D293" s="1257"/>
      <c r="E293" s="361"/>
    </row>
    <row r="294" spans="1:5" x14ac:dyDescent="0.2">
      <c r="A294" s="1162">
        <v>181</v>
      </c>
      <c r="B294" s="1201" t="s">
        <v>475</v>
      </c>
      <c r="C294" s="1201"/>
      <c r="D294" s="1257"/>
      <c r="E294" s="361"/>
    </row>
    <row r="295" spans="1:5" x14ac:dyDescent="0.2">
      <c r="A295" s="1162">
        <v>107</v>
      </c>
      <c r="B295" s="1201" t="s">
        <v>401</v>
      </c>
      <c r="C295" s="1201"/>
      <c r="D295" s="1257"/>
      <c r="E295" s="361"/>
    </row>
    <row r="296" spans="1:5" x14ac:dyDescent="0.2">
      <c r="A296" s="1162">
        <v>229</v>
      </c>
      <c r="B296" s="1212" t="s">
        <v>648</v>
      </c>
      <c r="C296" s="1212"/>
      <c r="D296" s="1257"/>
      <c r="E296" s="361"/>
    </row>
    <row r="297" spans="1:5" x14ac:dyDescent="0.2">
      <c r="A297" s="1162">
        <v>171</v>
      </c>
      <c r="B297" s="1201" t="s">
        <v>267</v>
      </c>
      <c r="C297" s="1201"/>
      <c r="D297" s="1257"/>
      <c r="E297" s="361"/>
    </row>
    <row r="298" spans="1:5" x14ac:dyDescent="0.2">
      <c r="A298" s="1162">
        <v>238</v>
      </c>
      <c r="B298" s="1201" t="s">
        <v>132</v>
      </c>
      <c r="C298" s="1201"/>
      <c r="D298" s="1257"/>
      <c r="E298" s="361"/>
    </row>
    <row r="299" spans="1:5" x14ac:dyDescent="0.2">
      <c r="A299" s="1162">
        <v>282</v>
      </c>
      <c r="B299" s="1201" t="s">
        <v>133</v>
      </c>
      <c r="C299" s="1201"/>
      <c r="D299" s="1257"/>
      <c r="E299" s="361"/>
    </row>
    <row r="300" spans="1:5" x14ac:dyDescent="0.2">
      <c r="A300" s="1162">
        <v>174</v>
      </c>
      <c r="B300" s="1201" t="s">
        <v>134</v>
      </c>
      <c r="C300" s="1201"/>
      <c r="D300" s="1257"/>
      <c r="E300" s="361"/>
    </row>
    <row r="301" spans="1:5" x14ac:dyDescent="0.2">
      <c r="A301" s="1162">
        <v>173</v>
      </c>
      <c r="B301" s="1201" t="s">
        <v>135</v>
      </c>
      <c r="C301" s="1201"/>
      <c r="D301" s="1257"/>
      <c r="E301" s="361"/>
    </row>
    <row r="302" spans="1:5" x14ac:dyDescent="0.2">
      <c r="A302" s="1162">
        <v>332</v>
      </c>
      <c r="B302" s="1201" t="s">
        <v>277</v>
      </c>
      <c r="C302" s="1201"/>
      <c r="D302" s="1257"/>
      <c r="E302" s="361"/>
    </row>
    <row r="303" spans="1:5" x14ac:dyDescent="0.2">
      <c r="A303" s="1162">
        <v>294</v>
      </c>
      <c r="B303" s="1201" t="s">
        <v>724</v>
      </c>
      <c r="C303" s="1201"/>
      <c r="D303" s="1257"/>
      <c r="E303" s="361"/>
    </row>
    <row r="304" spans="1:5" x14ac:dyDescent="0.2">
      <c r="A304" s="1162">
        <v>326</v>
      </c>
      <c r="B304" s="1201" t="s">
        <v>270</v>
      </c>
      <c r="C304" s="1201"/>
      <c r="D304" s="1257"/>
      <c r="E304" s="361"/>
    </row>
    <row r="305" spans="1:5" x14ac:dyDescent="0.2">
      <c r="A305" s="1162">
        <v>243</v>
      </c>
      <c r="B305" s="1201" t="s">
        <v>136</v>
      </c>
      <c r="C305" s="1201"/>
      <c r="D305" s="1257"/>
      <c r="E305" s="361"/>
    </row>
    <row r="306" spans="1:5" x14ac:dyDescent="0.2">
      <c r="A306" s="1162">
        <v>175</v>
      </c>
      <c r="B306" s="1201" t="s">
        <v>137</v>
      </c>
      <c r="C306" s="1201"/>
      <c r="D306" s="1257"/>
      <c r="E306" s="361"/>
    </row>
    <row r="307" spans="1:5" x14ac:dyDescent="0.2">
      <c r="A307" s="1162">
        <v>296</v>
      </c>
      <c r="B307" s="1201" t="s">
        <v>138</v>
      </c>
      <c r="C307" s="1201"/>
      <c r="D307" s="1257"/>
      <c r="E307" s="361"/>
    </row>
    <row r="308" spans="1:5" x14ac:dyDescent="0.2">
      <c r="A308" s="1162">
        <v>176</v>
      </c>
      <c r="B308" s="1201" t="s">
        <v>139</v>
      </c>
      <c r="C308" s="1201"/>
      <c r="D308" s="1587"/>
      <c r="E308" s="361"/>
    </row>
    <row r="309" spans="1:5" x14ac:dyDescent="0.2">
      <c r="A309" s="1162">
        <v>177</v>
      </c>
      <c r="B309" s="1201" t="s">
        <v>140</v>
      </c>
      <c r="C309" s="1201"/>
      <c r="D309" s="1257"/>
      <c r="E309" s="361"/>
    </row>
    <row r="310" spans="1:5" x14ac:dyDescent="0.2">
      <c r="A310" s="1162">
        <v>234</v>
      </c>
      <c r="B310" s="1201" t="s">
        <v>141</v>
      </c>
      <c r="C310" s="1201"/>
      <c r="D310" s="1257"/>
      <c r="E310" s="361"/>
    </row>
    <row r="311" spans="1:5" x14ac:dyDescent="0.2">
      <c r="A311" s="1162">
        <v>266</v>
      </c>
      <c r="B311" s="1213" t="s">
        <v>142</v>
      </c>
      <c r="C311" s="1213"/>
      <c r="D311" s="1257"/>
      <c r="E311" s="361"/>
    </row>
    <row r="312" spans="1:5" x14ac:dyDescent="0.2">
      <c r="A312" s="1162">
        <v>317</v>
      </c>
      <c r="B312" s="1201" t="s">
        <v>199</v>
      </c>
      <c r="C312" s="1201"/>
      <c r="D312" s="1257"/>
      <c r="E312" s="361"/>
    </row>
    <row r="313" spans="1:5" x14ac:dyDescent="0.2">
      <c r="A313" s="1162">
        <v>135</v>
      </c>
      <c r="B313" s="1201" t="s">
        <v>484</v>
      </c>
      <c r="C313" s="1201"/>
      <c r="D313" s="1257"/>
      <c r="E313" s="361"/>
    </row>
    <row r="314" spans="1:5" x14ac:dyDescent="0.2">
      <c r="A314" s="1162">
        <v>178</v>
      </c>
      <c r="B314" s="1201" t="s">
        <v>487</v>
      </c>
      <c r="C314" s="1201"/>
      <c r="D314" s="1257"/>
      <c r="E314" s="361"/>
    </row>
    <row r="315" spans="1:5" x14ac:dyDescent="0.2">
      <c r="A315" s="1162">
        <v>114</v>
      </c>
      <c r="B315" s="1201" t="s">
        <v>322</v>
      </c>
      <c r="C315" s="1201"/>
      <c r="D315" s="1257"/>
      <c r="E315" s="361"/>
    </row>
    <row r="316" spans="1:5" x14ac:dyDescent="0.2">
      <c r="A316" s="1162">
        <v>319</v>
      </c>
      <c r="B316" s="1201" t="s">
        <v>740</v>
      </c>
      <c r="C316" s="1201"/>
      <c r="D316" s="1257"/>
      <c r="E316" s="361"/>
    </row>
    <row r="317" spans="1:5" x14ac:dyDescent="0.2">
      <c r="A317" s="1162">
        <v>37</v>
      </c>
      <c r="B317" s="1137" t="s">
        <v>195</v>
      </c>
      <c r="C317" s="1137"/>
      <c r="D317" s="1257"/>
      <c r="E317" s="361"/>
    </row>
    <row r="318" spans="1:5" x14ac:dyDescent="0.2">
      <c r="A318" s="1162">
        <v>264</v>
      </c>
      <c r="B318" s="1201" t="s">
        <v>143</v>
      </c>
      <c r="C318" s="1201"/>
      <c r="D318" s="1257"/>
      <c r="E318" s="361"/>
    </row>
    <row r="319" spans="1:5" x14ac:dyDescent="0.2">
      <c r="A319" s="1162">
        <v>180</v>
      </c>
      <c r="B319" s="1201" t="s">
        <v>144</v>
      </c>
      <c r="C319" s="1201"/>
      <c r="D319" s="1257"/>
      <c r="E319" s="361"/>
    </row>
    <row r="320" spans="1:5" x14ac:dyDescent="0.2">
      <c r="A320" s="1162">
        <v>311</v>
      </c>
      <c r="B320" s="1201" t="s">
        <v>249</v>
      </c>
      <c r="C320" s="1201"/>
      <c r="D320" s="1257"/>
      <c r="E320" s="361"/>
    </row>
    <row r="321" spans="1:5" x14ac:dyDescent="0.2">
      <c r="A321" s="1162">
        <v>241</v>
      </c>
      <c r="B321" s="1201" t="s">
        <v>145</v>
      </c>
      <c r="C321" s="1201"/>
      <c r="D321" s="1257"/>
      <c r="E321" s="361"/>
    </row>
    <row r="322" spans="1:5" x14ac:dyDescent="0.2">
      <c r="A322" s="1162">
        <v>182</v>
      </c>
      <c r="B322" s="1201" t="s">
        <v>146</v>
      </c>
      <c r="C322" s="1201"/>
      <c r="D322" s="1257"/>
      <c r="E322" s="361"/>
    </row>
    <row r="323" spans="1:5" x14ac:dyDescent="0.2">
      <c r="A323" s="1162">
        <v>354</v>
      </c>
      <c r="B323" s="1201" t="s">
        <v>348</v>
      </c>
      <c r="C323" s="1201"/>
      <c r="D323" s="1257"/>
      <c r="E323" s="361"/>
    </row>
    <row r="324" spans="1:5" x14ac:dyDescent="0.2">
      <c r="A324" s="1162">
        <v>183</v>
      </c>
      <c r="B324" s="1201" t="s">
        <v>361</v>
      </c>
      <c r="C324" s="1201"/>
      <c r="D324" s="1257"/>
      <c r="E324" s="361"/>
    </row>
    <row r="325" spans="1:5" x14ac:dyDescent="0.2">
      <c r="A325" s="1162">
        <v>201</v>
      </c>
      <c r="B325" s="1201" t="s">
        <v>651</v>
      </c>
      <c r="C325" s="1201"/>
      <c r="D325" s="1257"/>
      <c r="E325" s="361"/>
    </row>
    <row r="326" spans="1:5" x14ac:dyDescent="0.2">
      <c r="A326" s="1162">
        <v>205</v>
      </c>
      <c r="B326" s="1201" t="s">
        <v>645</v>
      </c>
      <c r="C326" s="1201"/>
      <c r="D326" s="1257"/>
      <c r="E326" s="361"/>
    </row>
    <row r="327" spans="1:5" x14ac:dyDescent="0.2">
      <c r="A327" s="1162">
        <v>185</v>
      </c>
      <c r="B327" s="1201" t="s">
        <v>147</v>
      </c>
      <c r="C327" s="1201"/>
      <c r="D327" s="1257"/>
      <c r="E327" s="361"/>
    </row>
    <row r="328" spans="1:5" x14ac:dyDescent="0.2">
      <c r="A328" s="1162">
        <v>187</v>
      </c>
      <c r="B328" s="1201" t="s">
        <v>148</v>
      </c>
      <c r="C328" s="1201"/>
      <c r="D328" s="1257"/>
      <c r="E328" s="361"/>
    </row>
    <row r="329" spans="1:5" x14ac:dyDescent="0.2">
      <c r="A329" s="1162">
        <v>40</v>
      </c>
      <c r="B329" s="1201" t="s">
        <v>454</v>
      </c>
      <c r="C329" s="1201"/>
      <c r="D329" s="1257"/>
      <c r="E329" s="361"/>
    </row>
    <row r="330" spans="1:5" x14ac:dyDescent="0.2">
      <c r="A330" s="1162">
        <v>268</v>
      </c>
      <c r="B330" s="1137" t="s">
        <v>662</v>
      </c>
      <c r="C330" s="1137"/>
      <c r="D330" s="1257"/>
      <c r="E330" s="361"/>
    </row>
    <row r="331" spans="1:5" x14ac:dyDescent="0.2">
      <c r="A331" s="1162">
        <v>188</v>
      </c>
      <c r="B331" s="1201" t="s">
        <v>359</v>
      </c>
      <c r="C331" s="1201"/>
      <c r="D331" s="1257"/>
      <c r="E331" s="361"/>
    </row>
    <row r="332" spans="1:5" x14ac:dyDescent="0.2">
      <c r="A332" s="1162">
        <v>189</v>
      </c>
      <c r="B332" s="1201" t="s">
        <v>149</v>
      </c>
      <c r="C332" s="1201"/>
      <c r="D332" s="1257"/>
      <c r="E332" s="361"/>
    </row>
    <row r="333" spans="1:5" x14ac:dyDescent="0.2">
      <c r="A333" s="1162">
        <v>190</v>
      </c>
      <c r="B333" s="1201" t="s">
        <v>150</v>
      </c>
      <c r="C333" s="1201"/>
      <c r="D333" s="1257"/>
      <c r="E333" s="361"/>
    </row>
    <row r="334" spans="1:5" x14ac:dyDescent="0.2">
      <c r="A334" s="1162">
        <v>191</v>
      </c>
      <c r="B334" s="1201" t="s">
        <v>151</v>
      </c>
      <c r="C334" s="1201"/>
      <c r="D334" s="1257"/>
      <c r="E334" s="361"/>
    </row>
    <row r="335" spans="1:5" x14ac:dyDescent="0.2">
      <c r="A335" s="1162">
        <v>192</v>
      </c>
      <c r="B335" s="1137" t="s">
        <v>455</v>
      </c>
      <c r="C335" s="1137"/>
      <c r="D335" s="1257"/>
      <c r="E335" s="361"/>
    </row>
    <row r="336" spans="1:5" x14ac:dyDescent="0.2">
      <c r="A336" s="1162">
        <v>193</v>
      </c>
      <c r="B336" s="1201" t="s">
        <v>152</v>
      </c>
      <c r="C336" s="1201"/>
      <c r="D336" s="1257"/>
      <c r="E336" s="361"/>
    </row>
    <row r="337" spans="1:5" x14ac:dyDescent="0.2">
      <c r="A337" s="1162">
        <v>194</v>
      </c>
      <c r="B337" s="1201" t="s">
        <v>153</v>
      </c>
      <c r="C337" s="1201"/>
      <c r="D337" s="1257"/>
      <c r="E337" s="361"/>
    </row>
    <row r="338" spans="1:5" x14ac:dyDescent="0.2">
      <c r="A338" s="1162">
        <v>197</v>
      </c>
      <c r="B338" s="1201" t="s">
        <v>154</v>
      </c>
      <c r="C338" s="1201"/>
      <c r="D338" s="1257"/>
      <c r="E338" s="361"/>
    </row>
    <row r="339" spans="1:5" x14ac:dyDescent="0.2">
      <c r="A339" s="1162">
        <v>226</v>
      </c>
      <c r="B339" s="1201" t="s">
        <v>519</v>
      </c>
      <c r="C339" s="1201"/>
      <c r="D339" s="1257"/>
      <c r="E339" s="361"/>
    </row>
    <row r="340" spans="1:5" x14ac:dyDescent="0.2">
      <c r="A340" s="1162">
        <v>198</v>
      </c>
      <c r="B340" s="1201" t="s">
        <v>155</v>
      </c>
      <c r="C340" s="1201"/>
      <c r="D340" s="1257"/>
      <c r="E340" s="361"/>
    </row>
    <row r="341" spans="1:5" x14ac:dyDescent="0.2">
      <c r="A341" s="1162">
        <v>199</v>
      </c>
      <c r="B341" s="1201" t="s">
        <v>156</v>
      </c>
      <c r="C341" s="1201"/>
      <c r="D341" s="1257"/>
      <c r="E341" s="361"/>
    </row>
    <row r="342" spans="1:5" x14ac:dyDescent="0.2">
      <c r="A342" s="1162">
        <v>358</v>
      </c>
      <c r="B342" s="1201" t="s">
        <v>456</v>
      </c>
      <c r="C342" s="1201"/>
      <c r="D342" s="1257"/>
      <c r="E342" s="361"/>
    </row>
    <row r="343" spans="1:5" x14ac:dyDescent="0.2">
      <c r="A343" s="1162">
        <v>200</v>
      </c>
      <c r="B343" s="1201" t="s">
        <v>157</v>
      </c>
      <c r="C343" s="1201"/>
      <c r="D343" s="1257"/>
      <c r="E343" s="361"/>
    </row>
    <row r="344" spans="1:5" x14ac:dyDescent="0.2">
      <c r="A344" s="1162">
        <v>117</v>
      </c>
      <c r="B344" s="1201" t="s">
        <v>403</v>
      </c>
      <c r="C344" s="1201"/>
      <c r="D344" s="1257"/>
      <c r="E344" s="361"/>
    </row>
    <row r="345" spans="1:5" x14ac:dyDescent="0.2">
      <c r="A345" s="1162">
        <v>240</v>
      </c>
      <c r="B345" s="1201" t="s">
        <v>158</v>
      </c>
      <c r="C345" s="1201"/>
      <c r="D345" s="1257"/>
      <c r="E345" s="361"/>
    </row>
    <row r="346" spans="1:5" x14ac:dyDescent="0.2">
      <c r="A346" s="1162">
        <v>202</v>
      </c>
      <c r="B346" s="1201" t="s">
        <v>159</v>
      </c>
      <c r="C346" s="1201"/>
      <c r="D346" s="1257"/>
      <c r="E346" s="361"/>
    </row>
    <row r="347" spans="1:5" x14ac:dyDescent="0.2">
      <c r="A347" s="1162">
        <v>120</v>
      </c>
      <c r="B347" s="1201" t="s">
        <v>412</v>
      </c>
      <c r="C347" s="1201"/>
      <c r="D347" s="1257"/>
      <c r="E347" s="361"/>
    </row>
    <row r="348" spans="1:5" x14ac:dyDescent="0.2">
      <c r="A348" s="1162">
        <v>203</v>
      </c>
      <c r="B348" s="1201" t="s">
        <v>160</v>
      </c>
      <c r="C348" s="1201"/>
      <c r="D348" s="1257"/>
      <c r="E348" s="361"/>
    </row>
    <row r="349" spans="1:5" x14ac:dyDescent="0.2">
      <c r="A349" s="1162">
        <v>27</v>
      </c>
      <c r="B349" s="1201" t="s">
        <v>618</v>
      </c>
      <c r="C349" s="1201"/>
      <c r="D349" s="1257"/>
      <c r="E349" s="361"/>
    </row>
    <row r="350" spans="1:5" x14ac:dyDescent="0.2">
      <c r="A350" s="1162">
        <v>204</v>
      </c>
      <c r="B350" s="1201" t="s">
        <v>161</v>
      </c>
      <c r="C350" s="1201"/>
      <c r="D350" s="1257"/>
      <c r="E350" s="361"/>
    </row>
    <row r="351" spans="1:5" x14ac:dyDescent="0.2">
      <c r="A351" s="1162">
        <v>220</v>
      </c>
      <c r="B351" s="1201" t="s">
        <v>162</v>
      </c>
      <c r="C351" s="1201"/>
      <c r="D351" s="1257"/>
      <c r="E351" s="361"/>
    </row>
    <row r="352" spans="1:5" x14ac:dyDescent="0.2">
      <c r="A352" s="1162">
        <v>219</v>
      </c>
      <c r="B352" s="1201" t="s">
        <v>457</v>
      </c>
      <c r="C352" s="1201"/>
      <c r="D352" s="1257"/>
      <c r="E352" s="361"/>
    </row>
    <row r="353" spans="1:5" x14ac:dyDescent="0.2">
      <c r="A353" s="1162">
        <v>206</v>
      </c>
      <c r="B353" s="1137" t="s">
        <v>163</v>
      </c>
      <c r="C353" s="1137"/>
      <c r="D353" s="1257"/>
      <c r="E353" s="361"/>
    </row>
    <row r="354" spans="1:5" x14ac:dyDescent="0.2">
      <c r="A354" s="1162">
        <v>207</v>
      </c>
      <c r="B354" s="631" t="s">
        <v>164</v>
      </c>
      <c r="C354" s="631"/>
      <c r="D354" s="1257"/>
      <c r="E354" s="361"/>
    </row>
    <row r="355" spans="1:5" x14ac:dyDescent="0.2">
      <c r="A355" s="1162">
        <v>208</v>
      </c>
      <c r="B355" s="1201" t="s">
        <v>165</v>
      </c>
      <c r="C355" s="1201"/>
      <c r="D355" s="1257"/>
      <c r="E355" s="361"/>
    </row>
    <row r="356" spans="1:5" x14ac:dyDescent="0.2">
      <c r="A356" s="1162">
        <v>209</v>
      </c>
      <c r="B356" s="1201" t="s">
        <v>166</v>
      </c>
      <c r="C356" s="1201"/>
      <c r="D356" s="1257"/>
      <c r="E356" s="361"/>
    </row>
    <row r="357" spans="1:5" x14ac:dyDescent="0.2">
      <c r="A357" s="1162">
        <v>210</v>
      </c>
      <c r="B357" s="1201" t="s">
        <v>167</v>
      </c>
      <c r="C357" s="1201"/>
      <c r="D357" s="1257"/>
      <c r="E357" s="361"/>
    </row>
    <row r="358" spans="1:5" x14ac:dyDescent="0.2">
      <c r="A358" s="1162">
        <v>211</v>
      </c>
      <c r="B358" s="631" t="s">
        <v>168</v>
      </c>
      <c r="C358" s="631"/>
      <c r="D358" s="1257"/>
      <c r="E358" s="361"/>
    </row>
    <row r="359" spans="1:5" x14ac:dyDescent="0.2">
      <c r="A359" s="1162">
        <v>125</v>
      </c>
      <c r="B359" s="1201" t="s">
        <v>248</v>
      </c>
      <c r="C359" s="1201"/>
      <c r="D359" s="1257"/>
      <c r="E359" s="361"/>
    </row>
    <row r="360" spans="1:5" x14ac:dyDescent="0.2">
      <c r="A360" s="1162">
        <v>335</v>
      </c>
      <c r="B360" s="1201" t="s">
        <v>316</v>
      </c>
      <c r="C360" s="1201"/>
      <c r="D360" s="1257"/>
      <c r="E360" s="361"/>
    </row>
    <row r="361" spans="1:5" x14ac:dyDescent="0.2">
      <c r="A361" s="1162">
        <v>278</v>
      </c>
      <c r="B361" s="1201" t="s">
        <v>169</v>
      </c>
      <c r="C361" s="1201"/>
      <c r="D361" s="1257"/>
      <c r="E361" s="361"/>
    </row>
    <row r="362" spans="1:5" x14ac:dyDescent="0.2">
      <c r="A362" s="1162">
        <v>130</v>
      </c>
      <c r="B362" s="1201" t="s">
        <v>383</v>
      </c>
      <c r="C362" s="1201"/>
      <c r="D362" s="1257"/>
      <c r="E362" s="361"/>
    </row>
    <row r="363" spans="1:5" x14ac:dyDescent="0.2">
      <c r="A363" s="1162">
        <v>212</v>
      </c>
      <c r="B363" s="1201" t="s">
        <v>458</v>
      </c>
      <c r="C363" s="1201"/>
      <c r="D363" s="1257"/>
      <c r="E363" s="361"/>
    </row>
    <row r="364" spans="1:5" x14ac:dyDescent="0.2">
      <c r="A364" s="1162">
        <v>336</v>
      </c>
      <c r="B364" s="1201" t="s">
        <v>311</v>
      </c>
      <c r="C364" s="1201"/>
      <c r="D364" s="1257"/>
      <c r="E364" s="361"/>
    </row>
    <row r="365" spans="1:5" x14ac:dyDescent="0.2">
      <c r="A365" s="1162">
        <v>213</v>
      </c>
      <c r="B365" s="1201" t="s">
        <v>170</v>
      </c>
      <c r="C365" s="1201"/>
      <c r="D365" s="1257"/>
      <c r="E365" s="361"/>
    </row>
    <row r="366" spans="1:5" x14ac:dyDescent="0.2">
      <c r="A366" s="1162">
        <v>214</v>
      </c>
      <c r="B366" s="1201" t="s">
        <v>171</v>
      </c>
      <c r="C366" s="1201"/>
      <c r="D366" s="1257"/>
      <c r="E366" s="361"/>
    </row>
    <row r="367" spans="1:5" x14ac:dyDescent="0.2">
      <c r="A367" s="1162">
        <v>215</v>
      </c>
      <c r="B367" s="1201" t="s">
        <v>172</v>
      </c>
      <c r="C367" s="1201"/>
      <c r="D367" s="1257"/>
      <c r="E367" s="361"/>
    </row>
    <row r="368" spans="1:5" x14ac:dyDescent="0.2">
      <c r="A368" s="1256">
        <v>308</v>
      </c>
      <c r="B368" s="1255" t="s">
        <v>767</v>
      </c>
      <c r="C368" s="1201"/>
      <c r="D368" s="1257"/>
      <c r="E368" s="361"/>
    </row>
    <row r="369" spans="1:5" x14ac:dyDescent="0.2">
      <c r="A369" s="1256">
        <v>309</v>
      </c>
      <c r="B369" s="1255" t="s">
        <v>774</v>
      </c>
      <c r="C369" s="1201"/>
      <c r="D369" s="1257"/>
      <c r="E369" s="361"/>
    </row>
    <row r="370" spans="1:5" x14ac:dyDescent="0.2">
      <c r="A370" s="1256">
        <v>327</v>
      </c>
      <c r="B370" s="1361" t="s">
        <v>789</v>
      </c>
      <c r="C370" s="1201"/>
      <c r="D370" s="1257"/>
      <c r="E370" s="361"/>
    </row>
    <row r="371" spans="1:5" x14ac:dyDescent="0.2">
      <c r="A371" s="1256">
        <v>363</v>
      </c>
      <c r="B371" s="1255" t="s">
        <v>778</v>
      </c>
      <c r="C371" s="1201"/>
      <c r="D371" s="1257"/>
      <c r="E371" s="361"/>
    </row>
    <row r="372" spans="1:5" x14ac:dyDescent="0.2">
      <c r="A372" s="1162">
        <v>364</v>
      </c>
      <c r="B372" s="1201" t="s">
        <v>987</v>
      </c>
      <c r="C372" s="1201"/>
      <c r="D372" s="1257"/>
      <c r="E372" s="361"/>
    </row>
    <row r="373" spans="1:5" x14ac:dyDescent="0.2">
      <c r="A373" s="1162">
        <v>365</v>
      </c>
      <c r="B373" s="1212" t="s">
        <v>988</v>
      </c>
      <c r="C373" s="1201"/>
      <c r="D373" s="1257"/>
      <c r="E373" s="361"/>
    </row>
    <row r="374" spans="1:5" x14ac:dyDescent="0.2">
      <c r="A374" s="1162">
        <v>366</v>
      </c>
      <c r="B374" s="1791" t="s">
        <v>984</v>
      </c>
      <c r="C374" s="1201"/>
      <c r="D374" s="1257"/>
      <c r="E374" s="361"/>
    </row>
    <row r="375" spans="1:5" x14ac:dyDescent="0.2">
      <c r="A375" s="1162">
        <v>367</v>
      </c>
      <c r="B375" s="1212" t="s">
        <v>943</v>
      </c>
      <c r="C375" s="1201"/>
      <c r="D375" s="1257"/>
      <c r="E375" s="361"/>
    </row>
    <row r="376" spans="1:5" x14ac:dyDescent="0.2">
      <c r="A376" s="1162">
        <v>368</v>
      </c>
      <c r="B376" s="1201" t="s">
        <v>1060</v>
      </c>
      <c r="C376" s="1201"/>
      <c r="D376" s="1257"/>
      <c r="E376" s="361"/>
    </row>
    <row r="377" spans="1:5" x14ac:dyDescent="0.2">
      <c r="A377" s="1162">
        <v>369</v>
      </c>
      <c r="B377" s="1201" t="s">
        <v>918</v>
      </c>
      <c r="C377" s="1201"/>
      <c r="D377" s="1257"/>
      <c r="E377" s="361"/>
    </row>
    <row r="378" spans="1:5" x14ac:dyDescent="0.2">
      <c r="A378" s="1162">
        <v>370</v>
      </c>
      <c r="B378" s="1201" t="s">
        <v>1140</v>
      </c>
      <c r="C378" s="1201"/>
      <c r="D378" s="1257"/>
      <c r="E378" s="361"/>
    </row>
    <row r="379" spans="1:5" x14ac:dyDescent="0.2">
      <c r="A379" s="1162">
        <f t="shared" ref="A379:A388" si="0">+A378+1</f>
        <v>371</v>
      </c>
      <c r="B379" s="1201"/>
      <c r="C379" s="1201"/>
      <c r="D379" s="1257"/>
      <c r="E379" s="361"/>
    </row>
    <row r="380" spans="1:5" x14ac:dyDescent="0.2">
      <c r="A380" s="1162">
        <f t="shared" si="0"/>
        <v>372</v>
      </c>
      <c r="B380" s="1201"/>
      <c r="C380" s="1201"/>
      <c r="D380" s="1257"/>
      <c r="E380" s="361"/>
    </row>
    <row r="381" spans="1:5" x14ac:dyDescent="0.2">
      <c r="A381" s="1162">
        <f t="shared" si="0"/>
        <v>373</v>
      </c>
      <c r="B381" s="1201"/>
      <c r="C381" s="1201"/>
      <c r="D381" s="1257"/>
      <c r="E381" s="361"/>
    </row>
    <row r="382" spans="1:5" x14ac:dyDescent="0.2">
      <c r="A382" s="1162">
        <f t="shared" si="0"/>
        <v>374</v>
      </c>
      <c r="B382" s="1201"/>
      <c r="C382" s="1201"/>
      <c r="D382" s="1257"/>
      <c r="E382" s="361"/>
    </row>
    <row r="383" spans="1:5" x14ac:dyDescent="0.2">
      <c r="A383" s="1162">
        <f t="shared" si="0"/>
        <v>375</v>
      </c>
      <c r="B383" s="1201"/>
      <c r="C383" s="1201"/>
      <c r="D383" s="1257"/>
      <c r="E383" s="361"/>
    </row>
    <row r="384" spans="1:5" x14ac:dyDescent="0.2">
      <c r="A384" s="1162">
        <f t="shared" si="0"/>
        <v>376</v>
      </c>
      <c r="B384" s="1201"/>
      <c r="C384" s="1201"/>
      <c r="D384" s="1257"/>
      <c r="E384" s="361"/>
    </row>
    <row r="385" spans="1:5" x14ac:dyDescent="0.2">
      <c r="A385" s="1162">
        <f t="shared" si="0"/>
        <v>377</v>
      </c>
      <c r="B385" s="1201"/>
      <c r="C385" s="1201"/>
      <c r="D385" s="1257"/>
      <c r="E385" s="361"/>
    </row>
    <row r="386" spans="1:5" x14ac:dyDescent="0.2">
      <c r="A386" s="1162">
        <f t="shared" si="0"/>
        <v>378</v>
      </c>
      <c r="B386" s="1201"/>
      <c r="C386" s="1201"/>
      <c r="D386" s="1257"/>
      <c r="E386" s="361"/>
    </row>
    <row r="387" spans="1:5" x14ac:dyDescent="0.2">
      <c r="A387" s="1162">
        <f t="shared" si="0"/>
        <v>379</v>
      </c>
      <c r="B387" s="1201"/>
      <c r="C387" s="1201"/>
      <c r="D387" s="1257"/>
      <c r="E387" s="361"/>
    </row>
    <row r="388" spans="1:5" x14ac:dyDescent="0.2">
      <c r="A388" s="1162">
        <f t="shared" si="0"/>
        <v>380</v>
      </c>
      <c r="B388" s="1201"/>
      <c r="C388" s="1201"/>
      <c r="D388" s="1257"/>
      <c r="E388" s="361"/>
    </row>
    <row r="389" spans="1:5" x14ac:dyDescent="0.2">
      <c r="A389" s="1162"/>
      <c r="B389" s="1201"/>
      <c r="C389" s="1201"/>
      <c r="D389" s="1257"/>
      <c r="E389" s="361"/>
    </row>
    <row r="390" spans="1:5" x14ac:dyDescent="0.2">
      <c r="A390" s="1162"/>
      <c r="B390" s="1201"/>
      <c r="C390" s="1201"/>
      <c r="D390" s="1257"/>
      <c r="E390" s="361"/>
    </row>
    <row r="391" spans="1:5" x14ac:dyDescent="0.2">
      <c r="A391" s="1162"/>
      <c r="B391" s="1201"/>
      <c r="C391" s="1201"/>
      <c r="D391" s="1257"/>
      <c r="E391" s="361"/>
    </row>
    <row r="392" spans="1:5" x14ac:dyDescent="0.2">
      <c r="A392" s="1162"/>
      <c r="B392" s="1201"/>
      <c r="C392" s="1201"/>
      <c r="D392" s="1257"/>
      <c r="E392" s="361"/>
    </row>
    <row r="393" spans="1:5" x14ac:dyDescent="0.2">
      <c r="A393" s="1162"/>
      <c r="B393" s="1201"/>
      <c r="C393" s="1201"/>
      <c r="D393" s="1257"/>
      <c r="E393" s="361"/>
    </row>
    <row r="394" spans="1:5" x14ac:dyDescent="0.2">
      <c r="A394" s="1162"/>
      <c r="B394" s="1201"/>
      <c r="C394" s="1201"/>
      <c r="D394" s="1257"/>
      <c r="E394" s="361"/>
    </row>
    <row r="395" spans="1:5" x14ac:dyDescent="0.2">
      <c r="A395" s="1162"/>
      <c r="B395" s="1201"/>
      <c r="C395" s="1201"/>
      <c r="D395" s="1257"/>
      <c r="E395" s="361"/>
    </row>
    <row r="396" spans="1:5" x14ac:dyDescent="0.2">
      <c r="A396" s="1162"/>
      <c r="B396" s="1201"/>
      <c r="C396" s="1201"/>
      <c r="D396" s="1257"/>
      <c r="E396" s="361"/>
    </row>
    <row r="397" spans="1:5" x14ac:dyDescent="0.2">
      <c r="A397" s="1162"/>
      <c r="B397" s="1201"/>
      <c r="C397" s="1201"/>
      <c r="D397" s="1257"/>
      <c r="E397" s="361"/>
    </row>
    <row r="398" spans="1:5" x14ac:dyDescent="0.2">
      <c r="A398" s="1162"/>
      <c r="B398" s="1201"/>
      <c r="C398" s="1201"/>
      <c r="D398" s="1257"/>
      <c r="E398" s="361"/>
    </row>
    <row r="399" spans="1:5" x14ac:dyDescent="0.2">
      <c r="A399" s="1162"/>
      <c r="B399" s="1201"/>
      <c r="C399" s="1201"/>
      <c r="D399" s="1257"/>
      <c r="E399" s="361"/>
    </row>
    <row r="400" spans="1:5" x14ac:dyDescent="0.2">
      <c r="A400" s="1162"/>
      <c r="B400" s="1201"/>
      <c r="C400" s="1201"/>
      <c r="D400" s="1257"/>
      <c r="E400" s="361"/>
    </row>
    <row r="401" spans="1:5" x14ac:dyDescent="0.2">
      <c r="A401" s="1162"/>
      <c r="B401" s="1201"/>
      <c r="C401" s="1201"/>
      <c r="D401" s="1257"/>
      <c r="E401" s="361"/>
    </row>
    <row r="402" spans="1:5" x14ac:dyDescent="0.2">
      <c r="A402" s="1162"/>
      <c r="B402" s="1201"/>
      <c r="C402" s="1201"/>
      <c r="D402" s="1257"/>
      <c r="E402" s="361"/>
    </row>
    <row r="403" spans="1:5" x14ac:dyDescent="0.2">
      <c r="A403" s="1162"/>
      <c r="B403" s="1201"/>
      <c r="C403" s="1201"/>
      <c r="D403" s="1257"/>
      <c r="E403" s="361"/>
    </row>
    <row r="404" spans="1:5" x14ac:dyDescent="0.2">
      <c r="A404" s="1162"/>
      <c r="B404" s="1201"/>
      <c r="C404" s="1201"/>
      <c r="D404" s="1257"/>
      <c r="E404" s="361"/>
    </row>
    <row r="405" spans="1:5" x14ac:dyDescent="0.2">
      <c r="A405" s="1254"/>
      <c r="B405" s="1212"/>
      <c r="C405" s="1212"/>
      <c r="D405" s="1588"/>
      <c r="E405" s="361"/>
    </row>
    <row r="406" spans="1:5" x14ac:dyDescent="0.2">
      <c r="A406" s="1254"/>
      <c r="B406" s="1212"/>
      <c r="C406" s="1212"/>
      <c r="D406" s="1588"/>
      <c r="E406" s="361"/>
    </row>
    <row r="407" spans="1:5" x14ac:dyDescent="0.2">
      <c r="A407" s="216"/>
      <c r="E407" s="361"/>
    </row>
    <row r="408" spans="1:5" x14ac:dyDescent="0.2">
      <c r="A408" s="361"/>
      <c r="B408" s="361"/>
      <c r="C408" s="361"/>
      <c r="D408" s="361"/>
      <c r="E408" s="361"/>
    </row>
    <row r="409" spans="1:5" x14ac:dyDescent="0.2">
      <c r="A409" s="216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D7B9-C610-4FDD-BED4-7DBDBE3AE8C6}">
  <sheetPr codeName="Hoja12"/>
  <dimension ref="A1:HQ34"/>
  <sheetViews>
    <sheetView showGridLines="0" workbookViewId="0"/>
  </sheetViews>
  <sheetFormatPr baseColWidth="10" defaultColWidth="10.6640625" defaultRowHeight="12.75" x14ac:dyDescent="0.2"/>
  <cols>
    <col min="1" max="1" width="51.109375" style="386" customWidth="1"/>
    <col min="2" max="2" width="14.33203125" style="386" bestFit="1" customWidth="1"/>
    <col min="3" max="3" width="12.6640625" style="386" bestFit="1" customWidth="1"/>
    <col min="4" max="4" width="8.44140625" style="952" bestFit="1" customWidth="1"/>
    <col min="5" max="5" width="54.44140625" style="952" bestFit="1" customWidth="1"/>
    <col min="6" max="6" width="25.6640625" style="386" bestFit="1" customWidth="1"/>
    <col min="7" max="7" width="0.88671875" style="386" customWidth="1"/>
    <col min="8" max="221" width="10.6640625" style="386"/>
    <col min="222" max="16384" width="10.6640625" style="919"/>
  </cols>
  <sheetData>
    <row r="1" spans="1:225" ht="13.5" thickBot="1" x14ac:dyDescent="0.25">
      <c r="D1" s="386"/>
      <c r="G1" s="648"/>
      <c r="H1" s="1942" t="s">
        <v>683</v>
      </c>
      <c r="I1" s="1943"/>
    </row>
    <row r="2" spans="1:225" x14ac:dyDescent="0.2">
      <c r="D2" s="386"/>
      <c r="G2" s="648"/>
      <c r="H2" s="947" t="s">
        <v>684</v>
      </c>
      <c r="I2" s="948">
        <v>42412</v>
      </c>
    </row>
    <row r="3" spans="1:225" ht="13.5" thickBot="1" x14ac:dyDescent="0.25">
      <c r="A3" s="953"/>
      <c r="B3" s="953"/>
      <c r="C3" s="954"/>
      <c r="D3" s="953"/>
      <c r="G3" s="648"/>
      <c r="H3" s="990" t="s">
        <v>694</v>
      </c>
      <c r="I3" s="991">
        <v>38004</v>
      </c>
    </row>
    <row r="4" spans="1:225" x14ac:dyDescent="0.2">
      <c r="A4" s="955"/>
      <c r="B4" s="956"/>
      <c r="C4" s="953"/>
      <c r="D4" s="953"/>
      <c r="G4" s="648"/>
    </row>
    <row r="5" spans="1:225" x14ac:dyDescent="0.2">
      <c r="A5" s="957"/>
      <c r="B5" s="955"/>
      <c r="C5" s="953"/>
      <c r="D5" s="953"/>
      <c r="G5" s="648"/>
    </row>
    <row r="6" spans="1:225" x14ac:dyDescent="0.2">
      <c r="C6" s="953"/>
      <c r="D6" s="953"/>
      <c r="G6" s="648"/>
    </row>
    <row r="7" spans="1:225" x14ac:dyDescent="0.2">
      <c r="A7" s="958" t="s">
        <v>695</v>
      </c>
      <c r="C7" s="953"/>
      <c r="D7" s="953"/>
      <c r="G7" s="648"/>
    </row>
    <row r="8" spans="1:225" x14ac:dyDescent="0.2">
      <c r="A8" s="958"/>
      <c r="C8" s="953"/>
      <c r="D8" s="953"/>
      <c r="G8" s="648"/>
    </row>
    <row r="9" spans="1:225" x14ac:dyDescent="0.2">
      <c r="A9" s="959" t="s">
        <v>709</v>
      </c>
      <c r="B9" s="960">
        <f>+'Grupos Familiares'!M33</f>
        <v>0</v>
      </c>
      <c r="C9" s="961"/>
      <c r="D9" s="961"/>
      <c r="G9" s="648"/>
    </row>
    <row r="10" spans="1:225" x14ac:dyDescent="0.2">
      <c r="A10" s="959" t="s">
        <v>685</v>
      </c>
      <c r="B10" s="962">
        <f>+I2</f>
        <v>42412</v>
      </c>
      <c r="C10" s="484"/>
      <c r="D10" s="484"/>
      <c r="G10" s="648"/>
      <c r="HN10" s="386"/>
      <c r="HO10" s="386"/>
      <c r="HP10" s="386"/>
      <c r="HQ10" s="386"/>
    </row>
    <row r="11" spans="1:225" x14ac:dyDescent="0.2">
      <c r="A11" s="456" t="s">
        <v>710</v>
      </c>
      <c r="B11" s="456">
        <f>B9/B10</f>
        <v>0</v>
      </c>
      <c r="C11" s="484"/>
      <c r="D11" s="484"/>
      <c r="E11" s="1"/>
      <c r="F11" s="1"/>
      <c r="G11" s="648"/>
      <c r="HN11" s="386"/>
      <c r="HO11" s="386"/>
      <c r="HP11" s="386"/>
      <c r="HQ11" s="386"/>
    </row>
    <row r="12" spans="1:225" x14ac:dyDescent="0.2">
      <c r="A12" s="484"/>
      <c r="B12" s="484"/>
      <c r="C12" s="484"/>
      <c r="D12" s="961"/>
      <c r="E12" s="386"/>
      <c r="G12" s="648"/>
      <c r="HN12" s="386"/>
      <c r="HO12" s="386"/>
      <c r="HP12" s="386"/>
      <c r="HQ12" s="386"/>
    </row>
    <row r="13" spans="1:225" ht="30" customHeight="1" x14ac:dyDescent="0.2">
      <c r="A13" s="963" t="s">
        <v>711</v>
      </c>
      <c r="B13" s="964">
        <f>+E17</f>
        <v>0</v>
      </c>
      <c r="D13" s="386"/>
      <c r="E13" s="386"/>
      <c r="F13" s="965"/>
      <c r="G13" s="648"/>
    </row>
    <row r="14" spans="1:225" ht="13.5" thickBot="1" x14ac:dyDescent="0.25">
      <c r="D14" s="386"/>
      <c r="E14" s="386"/>
      <c r="F14" s="965"/>
      <c r="G14" s="648"/>
    </row>
    <row r="15" spans="1:225" ht="45" customHeight="1" x14ac:dyDescent="0.2">
      <c r="A15" s="1947" t="s">
        <v>696</v>
      </c>
      <c r="B15" s="1948"/>
      <c r="C15" s="1948"/>
      <c r="D15" s="1948"/>
      <c r="E15" s="1948"/>
      <c r="F15" s="1949"/>
      <c r="G15" s="648"/>
    </row>
    <row r="16" spans="1:225" ht="38.25" customHeight="1" x14ac:dyDescent="0.2">
      <c r="A16" s="1944" t="s">
        <v>697</v>
      </c>
      <c r="B16" s="1945"/>
      <c r="C16" s="1945"/>
      <c r="D16" s="1945"/>
      <c r="E16" s="1945"/>
      <c r="F16" s="1946"/>
      <c r="G16" s="648"/>
    </row>
    <row r="17" spans="1:221" x14ac:dyDescent="0.2">
      <c r="A17" s="967" t="s">
        <v>711</v>
      </c>
      <c r="B17" s="968"/>
      <c r="C17" s="968"/>
      <c r="D17" s="969"/>
      <c r="E17" s="969">
        <f>SUM(E22:E28)</f>
        <v>0</v>
      </c>
      <c r="F17" s="966"/>
      <c r="G17" s="648"/>
    </row>
    <row r="18" spans="1:221" ht="12.75" customHeight="1" x14ac:dyDescent="0.2">
      <c r="A18" s="970"/>
      <c r="E18" s="386"/>
      <c r="F18" s="971"/>
      <c r="G18" s="648"/>
    </row>
    <row r="19" spans="1:221" s="977" customFormat="1" ht="12.75" customHeight="1" x14ac:dyDescent="0.2">
      <c r="A19" s="1950" t="s">
        <v>686</v>
      </c>
      <c r="B19" s="1951"/>
      <c r="C19" s="973" t="s">
        <v>687</v>
      </c>
      <c r="D19" s="973" t="s">
        <v>688</v>
      </c>
      <c r="E19" s="973" t="s">
        <v>689</v>
      </c>
      <c r="F19" s="974" t="s">
        <v>689</v>
      </c>
      <c r="G19" s="975"/>
      <c r="H19" s="976"/>
      <c r="I19" s="976"/>
      <c r="J19" s="976"/>
      <c r="K19" s="976"/>
      <c r="L19" s="976"/>
      <c r="M19" s="976"/>
      <c r="N19" s="976"/>
      <c r="O19" s="976"/>
      <c r="P19" s="976"/>
      <c r="Q19" s="976"/>
      <c r="R19" s="976"/>
      <c r="S19" s="976"/>
      <c r="T19" s="976"/>
      <c r="U19" s="976"/>
      <c r="V19" s="976"/>
      <c r="W19" s="976"/>
      <c r="X19" s="976"/>
      <c r="Y19" s="976"/>
      <c r="Z19" s="976"/>
      <c r="AA19" s="976"/>
      <c r="AB19" s="976"/>
      <c r="AC19" s="976"/>
      <c r="AD19" s="976"/>
      <c r="AE19" s="976"/>
      <c r="AF19" s="976"/>
      <c r="AG19" s="976"/>
      <c r="AH19" s="976"/>
      <c r="AI19" s="976"/>
      <c r="AJ19" s="976"/>
      <c r="AK19" s="976"/>
      <c r="AL19" s="976"/>
      <c r="AM19" s="976"/>
      <c r="AN19" s="976"/>
      <c r="AO19" s="976"/>
      <c r="AP19" s="976"/>
      <c r="AQ19" s="976"/>
      <c r="AR19" s="976"/>
      <c r="AS19" s="976"/>
      <c r="AT19" s="976"/>
      <c r="AU19" s="976"/>
      <c r="AV19" s="976"/>
      <c r="AW19" s="976"/>
      <c r="AX19" s="976"/>
      <c r="AY19" s="976"/>
      <c r="AZ19" s="976"/>
      <c r="BA19" s="976"/>
      <c r="BB19" s="976"/>
      <c r="BC19" s="976"/>
      <c r="BD19" s="976"/>
      <c r="BE19" s="976"/>
      <c r="BF19" s="976"/>
      <c r="BG19" s="976"/>
      <c r="BH19" s="976"/>
      <c r="BI19" s="976"/>
      <c r="BJ19" s="976"/>
      <c r="BK19" s="976"/>
      <c r="BL19" s="976"/>
      <c r="BM19" s="976"/>
      <c r="BN19" s="976"/>
      <c r="BO19" s="976"/>
      <c r="BP19" s="976"/>
      <c r="BQ19" s="976"/>
      <c r="BR19" s="976"/>
      <c r="BS19" s="976"/>
      <c r="BT19" s="976"/>
      <c r="BU19" s="976"/>
      <c r="BV19" s="976"/>
      <c r="BW19" s="976"/>
      <c r="BX19" s="976"/>
      <c r="BY19" s="976"/>
      <c r="BZ19" s="976"/>
      <c r="CA19" s="976"/>
      <c r="CB19" s="976"/>
      <c r="CC19" s="976"/>
      <c r="CD19" s="976"/>
      <c r="CE19" s="976"/>
      <c r="CF19" s="976"/>
      <c r="CG19" s="976"/>
      <c r="CH19" s="976"/>
      <c r="CI19" s="976"/>
      <c r="CJ19" s="976"/>
      <c r="CK19" s="976"/>
      <c r="CL19" s="976"/>
      <c r="CM19" s="976"/>
      <c r="CN19" s="976"/>
      <c r="CO19" s="976"/>
      <c r="CP19" s="976"/>
      <c r="CQ19" s="976"/>
      <c r="CR19" s="976"/>
      <c r="CS19" s="976"/>
      <c r="CT19" s="976"/>
      <c r="CU19" s="976"/>
      <c r="CV19" s="976"/>
      <c r="CW19" s="976"/>
      <c r="CX19" s="976"/>
      <c r="CY19" s="976"/>
      <c r="CZ19" s="976"/>
      <c r="DA19" s="976"/>
      <c r="DB19" s="976"/>
      <c r="DC19" s="976"/>
      <c r="DD19" s="976"/>
      <c r="DE19" s="976"/>
      <c r="DF19" s="976"/>
      <c r="DG19" s="976"/>
      <c r="DH19" s="976"/>
      <c r="DI19" s="976"/>
      <c r="DJ19" s="976"/>
      <c r="DK19" s="976"/>
      <c r="DL19" s="976"/>
      <c r="DM19" s="976"/>
      <c r="DN19" s="976"/>
      <c r="DO19" s="976"/>
      <c r="DP19" s="976"/>
      <c r="DQ19" s="976"/>
      <c r="DR19" s="976"/>
      <c r="DS19" s="976"/>
      <c r="DT19" s="976"/>
      <c r="DU19" s="976"/>
      <c r="DV19" s="976"/>
      <c r="DW19" s="976"/>
      <c r="DX19" s="976"/>
      <c r="DY19" s="976"/>
      <c r="DZ19" s="976"/>
      <c r="EA19" s="976"/>
      <c r="EB19" s="976"/>
      <c r="EC19" s="976"/>
      <c r="ED19" s="976"/>
      <c r="EE19" s="976"/>
      <c r="EF19" s="976"/>
      <c r="EG19" s="976"/>
      <c r="EH19" s="976"/>
      <c r="EI19" s="976"/>
      <c r="EJ19" s="976"/>
      <c r="EK19" s="976"/>
      <c r="EL19" s="976"/>
      <c r="EM19" s="976"/>
      <c r="EN19" s="976"/>
      <c r="EO19" s="976"/>
      <c r="EP19" s="976"/>
      <c r="EQ19" s="976"/>
      <c r="ER19" s="976"/>
      <c r="ES19" s="976"/>
      <c r="ET19" s="976"/>
      <c r="EU19" s="976"/>
      <c r="EV19" s="976"/>
      <c r="EW19" s="976"/>
      <c r="EX19" s="976"/>
      <c r="EY19" s="976"/>
      <c r="EZ19" s="976"/>
      <c r="FA19" s="976"/>
      <c r="FB19" s="976"/>
      <c r="FC19" s="976"/>
      <c r="FD19" s="976"/>
      <c r="FE19" s="976"/>
      <c r="FF19" s="976"/>
      <c r="FG19" s="976"/>
      <c r="FH19" s="976"/>
      <c r="FI19" s="976"/>
      <c r="FJ19" s="976"/>
      <c r="FK19" s="976"/>
      <c r="FL19" s="976"/>
      <c r="FM19" s="976"/>
      <c r="FN19" s="976"/>
      <c r="FO19" s="976"/>
      <c r="FP19" s="976"/>
      <c r="FQ19" s="976"/>
      <c r="FR19" s="976"/>
      <c r="FS19" s="976"/>
      <c r="FT19" s="976"/>
      <c r="FU19" s="976"/>
      <c r="FV19" s="976"/>
      <c r="FW19" s="976"/>
      <c r="FX19" s="976"/>
      <c r="FY19" s="976"/>
      <c r="FZ19" s="976"/>
      <c r="GA19" s="976"/>
      <c r="GB19" s="976"/>
      <c r="GC19" s="976"/>
      <c r="GD19" s="976"/>
      <c r="GE19" s="976"/>
      <c r="GF19" s="976"/>
      <c r="GG19" s="976"/>
      <c r="GH19" s="976"/>
      <c r="GI19" s="976"/>
      <c r="GJ19" s="976"/>
      <c r="GK19" s="976"/>
      <c r="GL19" s="976"/>
      <c r="GM19" s="976"/>
      <c r="GN19" s="976"/>
      <c r="GO19" s="976"/>
      <c r="GP19" s="976"/>
      <c r="GQ19" s="976"/>
      <c r="GR19" s="976"/>
      <c r="GS19" s="976"/>
      <c r="GT19" s="976"/>
      <c r="GU19" s="976"/>
      <c r="GV19" s="976"/>
      <c r="GW19" s="976"/>
      <c r="GX19" s="976"/>
      <c r="GY19" s="976"/>
      <c r="GZ19" s="976"/>
      <c r="HA19" s="976"/>
      <c r="HB19" s="976"/>
      <c r="HC19" s="976"/>
      <c r="HD19" s="976"/>
      <c r="HE19" s="976"/>
      <c r="HF19" s="976"/>
      <c r="HG19" s="976"/>
      <c r="HH19" s="976"/>
      <c r="HI19" s="976"/>
      <c r="HJ19" s="976"/>
      <c r="HK19" s="976"/>
      <c r="HL19" s="976"/>
      <c r="HM19" s="976"/>
    </row>
    <row r="20" spans="1:221" s="977" customFormat="1" ht="10.5" x14ac:dyDescent="0.2">
      <c r="A20" s="972" t="s">
        <v>690</v>
      </c>
      <c r="B20" s="973" t="s">
        <v>691</v>
      </c>
      <c r="C20" s="973" t="s">
        <v>689</v>
      </c>
      <c r="D20" s="973" t="s">
        <v>692</v>
      </c>
      <c r="E20" s="978" t="s">
        <v>693</v>
      </c>
      <c r="F20" s="979"/>
      <c r="G20" s="975"/>
      <c r="H20" s="976"/>
      <c r="I20" s="976"/>
      <c r="J20" s="976"/>
      <c r="K20" s="976"/>
      <c r="L20" s="976"/>
      <c r="M20" s="976"/>
      <c r="N20" s="976"/>
      <c r="O20" s="976"/>
      <c r="P20" s="976"/>
      <c r="Q20" s="976"/>
      <c r="R20" s="976"/>
      <c r="S20" s="976"/>
      <c r="T20" s="976"/>
      <c r="U20" s="976"/>
      <c r="V20" s="976"/>
      <c r="W20" s="976"/>
      <c r="X20" s="976"/>
      <c r="Y20" s="976"/>
      <c r="Z20" s="976"/>
      <c r="AA20" s="976"/>
      <c r="AB20" s="976"/>
      <c r="AC20" s="976"/>
      <c r="AD20" s="976"/>
      <c r="AE20" s="976"/>
      <c r="AF20" s="976"/>
      <c r="AG20" s="976"/>
      <c r="AH20" s="976"/>
      <c r="AI20" s="976"/>
      <c r="AJ20" s="976"/>
      <c r="AK20" s="976"/>
      <c r="AL20" s="976"/>
      <c r="AM20" s="976"/>
      <c r="AN20" s="976"/>
      <c r="AO20" s="976"/>
      <c r="AP20" s="976"/>
      <c r="AQ20" s="976"/>
      <c r="AR20" s="976"/>
      <c r="AS20" s="976"/>
      <c r="AT20" s="976"/>
      <c r="AU20" s="976"/>
      <c r="AV20" s="976"/>
      <c r="AW20" s="976"/>
      <c r="AX20" s="976"/>
      <c r="AY20" s="976"/>
      <c r="AZ20" s="976"/>
      <c r="BA20" s="976"/>
      <c r="BB20" s="976"/>
      <c r="BC20" s="976"/>
      <c r="BD20" s="976"/>
      <c r="BE20" s="976"/>
      <c r="BF20" s="976"/>
      <c r="BG20" s="976"/>
      <c r="BH20" s="976"/>
      <c r="BI20" s="976"/>
      <c r="BJ20" s="976"/>
      <c r="BK20" s="976"/>
      <c r="BL20" s="976"/>
      <c r="BM20" s="976"/>
      <c r="BN20" s="976"/>
      <c r="BO20" s="976"/>
      <c r="BP20" s="976"/>
      <c r="BQ20" s="976"/>
      <c r="BR20" s="976"/>
      <c r="BS20" s="976"/>
      <c r="BT20" s="976"/>
      <c r="BU20" s="976"/>
      <c r="BV20" s="976"/>
      <c r="BW20" s="976"/>
      <c r="BX20" s="976"/>
      <c r="BY20" s="976"/>
      <c r="BZ20" s="976"/>
      <c r="CA20" s="976"/>
      <c r="CB20" s="976"/>
      <c r="CC20" s="976"/>
      <c r="CD20" s="976"/>
      <c r="CE20" s="976"/>
      <c r="CF20" s="976"/>
      <c r="CG20" s="976"/>
      <c r="CH20" s="976"/>
      <c r="CI20" s="976"/>
      <c r="CJ20" s="976"/>
      <c r="CK20" s="976"/>
      <c r="CL20" s="976"/>
      <c r="CM20" s="976"/>
      <c r="CN20" s="976"/>
      <c r="CO20" s="976"/>
      <c r="CP20" s="976"/>
      <c r="CQ20" s="976"/>
      <c r="CR20" s="976"/>
      <c r="CS20" s="976"/>
      <c r="CT20" s="976"/>
      <c r="CU20" s="976"/>
      <c r="CV20" s="976"/>
      <c r="CW20" s="976"/>
      <c r="CX20" s="976"/>
      <c r="CY20" s="976"/>
      <c r="CZ20" s="976"/>
      <c r="DA20" s="976"/>
      <c r="DB20" s="976"/>
      <c r="DC20" s="976"/>
      <c r="DD20" s="976"/>
      <c r="DE20" s="976"/>
      <c r="DF20" s="976"/>
      <c r="DG20" s="976"/>
      <c r="DH20" s="976"/>
      <c r="DI20" s="976"/>
      <c r="DJ20" s="976"/>
      <c r="DK20" s="976"/>
      <c r="DL20" s="976"/>
      <c r="DM20" s="976"/>
      <c r="DN20" s="976"/>
      <c r="DO20" s="976"/>
      <c r="DP20" s="976"/>
      <c r="DQ20" s="976"/>
      <c r="DR20" s="976"/>
      <c r="DS20" s="976"/>
      <c r="DT20" s="976"/>
      <c r="DU20" s="976"/>
      <c r="DV20" s="976"/>
      <c r="DW20" s="976"/>
      <c r="DX20" s="976"/>
      <c r="DY20" s="976"/>
      <c r="DZ20" s="976"/>
      <c r="EA20" s="976"/>
      <c r="EB20" s="976"/>
      <c r="EC20" s="976"/>
      <c r="ED20" s="976"/>
      <c r="EE20" s="976"/>
      <c r="EF20" s="976"/>
      <c r="EG20" s="976"/>
      <c r="EH20" s="976"/>
      <c r="EI20" s="976"/>
      <c r="EJ20" s="976"/>
      <c r="EK20" s="976"/>
      <c r="EL20" s="976"/>
      <c r="EM20" s="976"/>
      <c r="EN20" s="976"/>
      <c r="EO20" s="976"/>
      <c r="EP20" s="976"/>
      <c r="EQ20" s="976"/>
      <c r="ER20" s="976"/>
      <c r="ES20" s="976"/>
      <c r="ET20" s="976"/>
      <c r="EU20" s="976"/>
      <c r="EV20" s="976"/>
      <c r="EW20" s="976"/>
      <c r="EX20" s="976"/>
      <c r="EY20" s="976"/>
      <c r="EZ20" s="976"/>
      <c r="FA20" s="976"/>
      <c r="FB20" s="976"/>
      <c r="FC20" s="976"/>
      <c r="FD20" s="976"/>
      <c r="FE20" s="976"/>
      <c r="FF20" s="976"/>
      <c r="FG20" s="976"/>
      <c r="FH20" s="976"/>
      <c r="FI20" s="976"/>
      <c r="FJ20" s="976"/>
      <c r="FK20" s="976"/>
      <c r="FL20" s="976"/>
      <c r="FM20" s="976"/>
      <c r="FN20" s="976"/>
      <c r="FO20" s="976"/>
      <c r="FP20" s="976"/>
      <c r="FQ20" s="976"/>
      <c r="FR20" s="976"/>
      <c r="FS20" s="976"/>
      <c r="FT20" s="976"/>
      <c r="FU20" s="976"/>
      <c r="FV20" s="976"/>
      <c r="FW20" s="976"/>
      <c r="FX20" s="976"/>
      <c r="FY20" s="976"/>
      <c r="FZ20" s="976"/>
      <c r="GA20" s="976"/>
      <c r="GB20" s="976"/>
      <c r="GC20" s="976"/>
      <c r="GD20" s="976"/>
      <c r="GE20" s="976"/>
      <c r="GF20" s="976"/>
      <c r="GG20" s="976"/>
      <c r="GH20" s="976"/>
      <c r="GI20" s="976"/>
      <c r="GJ20" s="976"/>
      <c r="GK20" s="976"/>
      <c r="GL20" s="976"/>
      <c r="GM20" s="976"/>
      <c r="GN20" s="976"/>
      <c r="GO20" s="976"/>
      <c r="GP20" s="976"/>
      <c r="GQ20" s="976"/>
      <c r="GR20" s="976"/>
      <c r="GS20" s="976"/>
      <c r="GT20" s="976"/>
      <c r="GU20" s="976"/>
      <c r="GV20" s="976"/>
      <c r="GW20" s="976"/>
      <c r="GX20" s="976"/>
      <c r="GY20" s="976"/>
      <c r="GZ20" s="976"/>
      <c r="HA20" s="976"/>
      <c r="HB20" s="976"/>
      <c r="HC20" s="976"/>
      <c r="HD20" s="976"/>
      <c r="HE20" s="976"/>
      <c r="HF20" s="976"/>
      <c r="HG20" s="976"/>
      <c r="HH20" s="976"/>
      <c r="HI20" s="976"/>
      <c r="HJ20" s="976"/>
      <c r="HK20" s="976"/>
      <c r="HL20" s="976"/>
      <c r="HM20" s="976"/>
    </row>
    <row r="21" spans="1:221" s="977" customFormat="1" ht="10.5" x14ac:dyDescent="0.2">
      <c r="A21" s="972"/>
      <c r="B21" s="973"/>
      <c r="C21" s="973"/>
      <c r="D21" s="973"/>
      <c r="E21" s="978"/>
      <c r="F21" s="979"/>
      <c r="G21" s="975"/>
      <c r="H21" s="976"/>
      <c r="I21" s="976"/>
      <c r="J21" s="976"/>
      <c r="K21" s="976"/>
      <c r="L21" s="976"/>
      <c r="M21" s="976"/>
      <c r="N21" s="976"/>
      <c r="O21" s="976"/>
      <c r="P21" s="976"/>
      <c r="Q21" s="976"/>
      <c r="R21" s="976"/>
      <c r="S21" s="976"/>
      <c r="T21" s="976"/>
      <c r="U21" s="976"/>
      <c r="V21" s="976"/>
      <c r="W21" s="976"/>
      <c r="X21" s="976"/>
      <c r="Y21" s="976"/>
      <c r="Z21" s="976"/>
      <c r="AA21" s="976"/>
      <c r="AB21" s="976"/>
      <c r="AC21" s="976"/>
      <c r="AD21" s="976"/>
      <c r="AE21" s="976"/>
      <c r="AF21" s="976"/>
      <c r="AG21" s="976"/>
      <c r="AH21" s="976"/>
      <c r="AI21" s="976"/>
      <c r="AJ21" s="976"/>
      <c r="AK21" s="976"/>
      <c r="AL21" s="976"/>
      <c r="AM21" s="976"/>
      <c r="AN21" s="976"/>
      <c r="AO21" s="976"/>
      <c r="AP21" s="976"/>
      <c r="AQ21" s="976"/>
      <c r="AR21" s="976"/>
      <c r="AS21" s="976"/>
      <c r="AT21" s="976"/>
      <c r="AU21" s="976"/>
      <c r="AV21" s="976"/>
      <c r="AW21" s="976"/>
      <c r="AX21" s="976"/>
      <c r="AY21" s="976"/>
      <c r="AZ21" s="976"/>
      <c r="BA21" s="976"/>
      <c r="BB21" s="976"/>
      <c r="BC21" s="976"/>
      <c r="BD21" s="976"/>
      <c r="BE21" s="976"/>
      <c r="BF21" s="976"/>
      <c r="BG21" s="976"/>
      <c r="BH21" s="976"/>
      <c r="BI21" s="976"/>
      <c r="BJ21" s="976"/>
      <c r="BK21" s="976"/>
      <c r="BL21" s="976"/>
      <c r="BM21" s="976"/>
      <c r="BN21" s="976"/>
      <c r="BO21" s="976"/>
      <c r="BP21" s="976"/>
      <c r="BQ21" s="976"/>
      <c r="BR21" s="976"/>
      <c r="BS21" s="976"/>
      <c r="BT21" s="976"/>
      <c r="BU21" s="976"/>
      <c r="BV21" s="976"/>
      <c r="BW21" s="976"/>
      <c r="BX21" s="976"/>
      <c r="BY21" s="976"/>
      <c r="BZ21" s="976"/>
      <c r="CA21" s="976"/>
      <c r="CB21" s="976"/>
      <c r="CC21" s="976"/>
      <c r="CD21" s="976"/>
      <c r="CE21" s="976"/>
      <c r="CF21" s="976"/>
      <c r="CG21" s="976"/>
      <c r="CH21" s="976"/>
      <c r="CI21" s="976"/>
      <c r="CJ21" s="976"/>
      <c r="CK21" s="976"/>
      <c r="CL21" s="976"/>
      <c r="CM21" s="976"/>
      <c r="CN21" s="976"/>
      <c r="CO21" s="976"/>
      <c r="CP21" s="976"/>
      <c r="CQ21" s="976"/>
      <c r="CR21" s="976"/>
      <c r="CS21" s="976"/>
      <c r="CT21" s="976"/>
      <c r="CU21" s="976"/>
      <c r="CV21" s="976"/>
      <c r="CW21" s="976"/>
      <c r="CX21" s="976"/>
      <c r="CY21" s="976"/>
      <c r="CZ21" s="976"/>
      <c r="DA21" s="976"/>
      <c r="DB21" s="976"/>
      <c r="DC21" s="976"/>
      <c r="DD21" s="976"/>
      <c r="DE21" s="976"/>
      <c r="DF21" s="976"/>
      <c r="DG21" s="976"/>
      <c r="DH21" s="976"/>
      <c r="DI21" s="976"/>
      <c r="DJ21" s="976"/>
      <c r="DK21" s="976"/>
      <c r="DL21" s="976"/>
      <c r="DM21" s="976"/>
      <c r="DN21" s="976"/>
      <c r="DO21" s="976"/>
      <c r="DP21" s="976"/>
      <c r="DQ21" s="976"/>
      <c r="DR21" s="976"/>
      <c r="DS21" s="976"/>
      <c r="DT21" s="976"/>
      <c r="DU21" s="976"/>
      <c r="DV21" s="976"/>
      <c r="DW21" s="976"/>
      <c r="DX21" s="976"/>
      <c r="DY21" s="976"/>
      <c r="DZ21" s="976"/>
      <c r="EA21" s="976"/>
      <c r="EB21" s="976"/>
      <c r="EC21" s="976"/>
      <c r="ED21" s="976"/>
      <c r="EE21" s="976"/>
      <c r="EF21" s="976"/>
      <c r="EG21" s="976"/>
      <c r="EH21" s="976"/>
      <c r="EI21" s="976"/>
      <c r="EJ21" s="976"/>
      <c r="EK21" s="976"/>
      <c r="EL21" s="976"/>
      <c r="EM21" s="976"/>
      <c r="EN21" s="976"/>
      <c r="EO21" s="976"/>
      <c r="EP21" s="976"/>
      <c r="EQ21" s="976"/>
      <c r="ER21" s="976"/>
      <c r="ES21" s="976"/>
      <c r="ET21" s="976"/>
      <c r="EU21" s="976"/>
      <c r="EV21" s="976"/>
      <c r="EW21" s="976"/>
      <c r="EX21" s="976"/>
      <c r="EY21" s="976"/>
      <c r="EZ21" s="976"/>
      <c r="FA21" s="976"/>
      <c r="FB21" s="976"/>
      <c r="FC21" s="976"/>
      <c r="FD21" s="976"/>
      <c r="FE21" s="976"/>
      <c r="FF21" s="976"/>
      <c r="FG21" s="976"/>
      <c r="FH21" s="976"/>
      <c r="FI21" s="976"/>
      <c r="FJ21" s="976"/>
      <c r="FK21" s="976"/>
      <c r="FL21" s="976"/>
      <c r="FM21" s="976"/>
      <c r="FN21" s="976"/>
      <c r="FO21" s="976"/>
      <c r="FP21" s="976"/>
      <c r="FQ21" s="976"/>
      <c r="FR21" s="976"/>
      <c r="FS21" s="976"/>
      <c r="FT21" s="976"/>
      <c r="FU21" s="976"/>
      <c r="FV21" s="976"/>
      <c r="FW21" s="976"/>
      <c r="FX21" s="976"/>
      <c r="FY21" s="976"/>
      <c r="FZ21" s="976"/>
      <c r="GA21" s="976"/>
      <c r="GB21" s="976"/>
      <c r="GC21" s="976"/>
      <c r="GD21" s="976"/>
      <c r="GE21" s="976"/>
      <c r="GF21" s="976"/>
      <c r="GG21" s="976"/>
      <c r="GH21" s="976"/>
      <c r="GI21" s="976"/>
      <c r="GJ21" s="976"/>
      <c r="GK21" s="976"/>
      <c r="GL21" s="976"/>
      <c r="GM21" s="976"/>
      <c r="GN21" s="976"/>
      <c r="GO21" s="976"/>
      <c r="GP21" s="976"/>
      <c r="GQ21" s="976"/>
      <c r="GR21" s="976"/>
      <c r="GS21" s="976"/>
      <c r="GT21" s="976"/>
      <c r="GU21" s="976"/>
      <c r="GV21" s="976"/>
      <c r="GW21" s="976"/>
      <c r="GX21" s="976"/>
      <c r="GY21" s="976"/>
      <c r="GZ21" s="976"/>
      <c r="HA21" s="976"/>
      <c r="HB21" s="976"/>
      <c r="HC21" s="976"/>
      <c r="HD21" s="976"/>
      <c r="HE21" s="976"/>
      <c r="HF21" s="976"/>
      <c r="HG21" s="976"/>
      <c r="HH21" s="976"/>
      <c r="HI21" s="976"/>
      <c r="HJ21" s="976"/>
      <c r="HK21" s="976"/>
      <c r="HL21" s="976"/>
      <c r="HM21" s="976"/>
    </row>
    <row r="22" spans="1:221" x14ac:dyDescent="0.2">
      <c r="A22" s="980">
        <v>0</v>
      </c>
      <c r="B22" s="952">
        <v>95</v>
      </c>
      <c r="C22" s="981">
        <v>0</v>
      </c>
      <c r="D22" s="82">
        <v>0</v>
      </c>
      <c r="E22" s="486">
        <f>ROUND(IF(+B$11&gt;A22,IF(B$11&lt;B22,IF(((B$11-0)*B$10*C22+D22*B$10)&gt;0,((B$11-0)*B$10*C22+D22*B$10),0),0),0),-3)</f>
        <v>0</v>
      </c>
      <c r="F22" s="982">
        <v>0</v>
      </c>
      <c r="G22" s="648"/>
      <c r="H22" s="386">
        <f>ROUND(IF(+B$11&gt;A22,IF(B$11&lt;B22,IF(((B$11-0)*B$10*C22+D22*B$10)&gt;0,((B$11-0)*B$10*C22+D22*B$10),0),0),0),-3)+ROUND(IF(+B$11&gt;A23,IF(B$11&lt;B23,IF(((B$11-B22)*B$10*C23+D23*B$10)&gt;0,((B$11-B22)*B$10*C23+D23*B$10),0),0),0),-3)+ROUND(IF(+B$11&gt;A24,IF(B$11&lt;B24,IF(((B$11-B23)*B$10*C24+D24*B$10)&gt;0,((B$11-B23)*B$10*C24+D24*B$10),0),0),0),-3)+ROUND(IF(+B$11&gt;A25,IF(B$11&lt;B25,IF(((B$11-B24)*B$10*C25+D25*B$10)&gt;0,((B$11-B24)*B$10*C25+D25*B$10),0),0),0),-3)+ROUND(IF(+B$11&gt;A26,IF(B$11&lt;B26,IF(((B$11-B25)*B$10*C26+D26*B$10)&gt;0,((B$11-B25)*B$10*C26+D26*B$10),0),0),0),-3)+ROUND(IF(+B$11&gt;A27,IF(B$11&lt;B27,IF(((B$11-B26)*B$10*C27+D27*B$10)&gt;0,((B$11-B26)*B$10*C27+D27*B$10),0),0),0),-3)+ROUND(IF(+B$11&gt;A28,IF(B$11&lt;B28,IF(((B$11-B27)*B$10*C28+D28*B$10)&gt;0,((B$11-B27)*B$10*C28+D28*B$10),0),0),0),-3)</f>
        <v>0</v>
      </c>
    </row>
    <row r="23" spans="1:221" ht="25.5" x14ac:dyDescent="0.2">
      <c r="A23" s="980">
        <f>+B22</f>
        <v>95</v>
      </c>
      <c r="B23" s="952">
        <v>150</v>
      </c>
      <c r="C23" s="981">
        <v>0.19</v>
      </c>
      <c r="D23" s="82">
        <v>0</v>
      </c>
      <c r="E23" s="486">
        <f t="shared" ref="E23:E28" si="0">ROUND(IF(+B$11&gt;A23,IF(B$11&lt;B23,IF(((B$11-B22)*B$10*C23+D23*B$10)&gt;0,((B$11-B22)*B$10*C23+D23*B$10),0),0),0),-3)</f>
        <v>0</v>
      </c>
      <c r="F23" s="983" t="s">
        <v>698</v>
      </c>
      <c r="G23" s="648"/>
    </row>
    <row r="24" spans="1:221" ht="25.5" x14ac:dyDescent="0.2">
      <c r="A24" s="980">
        <f t="shared" ref="A24:A28" si="1">+B23</f>
        <v>150</v>
      </c>
      <c r="B24" s="952">
        <v>360</v>
      </c>
      <c r="C24" s="981">
        <v>0.28000000000000003</v>
      </c>
      <c r="D24" s="82">
        <v>10</v>
      </c>
      <c r="E24" s="486">
        <f t="shared" si="0"/>
        <v>0</v>
      </c>
      <c r="F24" s="983" t="s">
        <v>699</v>
      </c>
      <c r="G24" s="648"/>
    </row>
    <row r="25" spans="1:221" ht="25.5" x14ac:dyDescent="0.2">
      <c r="A25" s="980">
        <f t="shared" si="1"/>
        <v>360</v>
      </c>
      <c r="B25" s="952">
        <v>640</v>
      </c>
      <c r="C25" s="981">
        <v>0.33</v>
      </c>
      <c r="D25" s="82">
        <v>69</v>
      </c>
      <c r="E25" s="486">
        <f t="shared" si="0"/>
        <v>0</v>
      </c>
      <c r="F25" s="983" t="s">
        <v>700</v>
      </c>
      <c r="G25" s="648"/>
    </row>
    <row r="26" spans="1:221" ht="25.5" x14ac:dyDescent="0.2">
      <c r="A26" s="980">
        <f t="shared" si="1"/>
        <v>640</v>
      </c>
      <c r="B26" s="952">
        <v>945</v>
      </c>
      <c r="C26" s="981">
        <v>0.35</v>
      </c>
      <c r="D26" s="82">
        <v>162</v>
      </c>
      <c r="E26" s="486">
        <f t="shared" si="0"/>
        <v>0</v>
      </c>
      <c r="F26" s="983" t="s">
        <v>701</v>
      </c>
      <c r="G26" s="648"/>
    </row>
    <row r="27" spans="1:221" ht="25.5" x14ac:dyDescent="0.2">
      <c r="A27" s="980">
        <f t="shared" si="1"/>
        <v>945</v>
      </c>
      <c r="B27" s="952">
        <v>2300</v>
      </c>
      <c r="C27" s="981">
        <v>0.37</v>
      </c>
      <c r="D27" s="82">
        <v>268</v>
      </c>
      <c r="E27" s="486">
        <f t="shared" si="0"/>
        <v>0</v>
      </c>
      <c r="F27" s="983" t="s">
        <v>702</v>
      </c>
      <c r="G27" s="648"/>
    </row>
    <row r="28" spans="1:221" ht="25.5" x14ac:dyDescent="0.2">
      <c r="A28" s="980">
        <f t="shared" si="1"/>
        <v>2300</v>
      </c>
      <c r="B28" s="952">
        <v>999999999999</v>
      </c>
      <c r="C28" s="981">
        <v>0.39</v>
      </c>
      <c r="D28" s="82">
        <v>770</v>
      </c>
      <c r="E28" s="486">
        <f t="shared" si="0"/>
        <v>0</v>
      </c>
      <c r="F28" s="983" t="s">
        <v>703</v>
      </c>
      <c r="G28" s="648"/>
    </row>
    <row r="29" spans="1:221" ht="13.5" thickBot="1" x14ac:dyDescent="0.25">
      <c r="A29" s="984"/>
      <c r="B29" s="985"/>
      <c r="C29" s="986"/>
      <c r="D29" s="826"/>
      <c r="E29" s="987"/>
      <c r="F29" s="988"/>
      <c r="G29" s="648"/>
    </row>
    <row r="30" spans="1:221" x14ac:dyDescent="0.2">
      <c r="B30" s="952"/>
      <c r="C30" s="981"/>
      <c r="D30" s="386"/>
      <c r="E30" s="386"/>
      <c r="G30" s="648"/>
    </row>
    <row r="31" spans="1:221" x14ac:dyDescent="0.2">
      <c r="A31" s="952"/>
      <c r="B31" s="981"/>
      <c r="D31" s="386"/>
      <c r="E31" s="386"/>
      <c r="F31" s="919"/>
      <c r="G31" s="648"/>
    </row>
    <row r="32" spans="1:221" ht="9.9499999999999993" customHeight="1" x14ac:dyDescent="0.2">
      <c r="A32" s="989"/>
      <c r="D32" s="386"/>
      <c r="E32" s="386"/>
      <c r="F32" s="919"/>
      <c r="G32" s="648"/>
    </row>
    <row r="33" spans="1:7" ht="9.9499999999999993" customHeight="1" x14ac:dyDescent="0.2">
      <c r="A33" s="976"/>
      <c r="D33" s="386"/>
      <c r="E33" s="386"/>
      <c r="F33" s="919"/>
      <c r="G33" s="648"/>
    </row>
    <row r="34" spans="1:7" ht="5.0999999999999996" customHeight="1" x14ac:dyDescent="0.2">
      <c r="A34" s="648"/>
      <c r="B34" s="648"/>
      <c r="C34" s="648"/>
      <c r="D34" s="648"/>
      <c r="E34" s="648"/>
      <c r="F34" s="648"/>
      <c r="G34" s="648"/>
    </row>
  </sheetData>
  <mergeCells count="4">
    <mergeCell ref="H1:I1"/>
    <mergeCell ref="A16:F16"/>
    <mergeCell ref="A15:F15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Grupos Familiares</vt:lpstr>
      <vt:lpstr>Facturas</vt:lpstr>
      <vt:lpstr>Cuentas de Cobro</vt:lpstr>
      <vt:lpstr>Consolidado Cobros</vt:lpstr>
      <vt:lpstr>Otras Asesorías y Préstamos</vt:lpstr>
      <vt:lpstr>Facturas año anterior</vt:lpstr>
      <vt:lpstr>C de C año anterior</vt:lpstr>
      <vt:lpstr>Asesorías AG anterior</vt:lpstr>
      <vt:lpstr>Vencimientos Pnas Nat AG</vt:lpstr>
      <vt:lpstr>Vencimientos Pnas Jcas AG</vt:lpstr>
      <vt:lpstr>Códigos</vt:lpstr>
      <vt:lpstr>TABLA RetFte</vt:lpstr>
      <vt:lpstr>'TABLA RetFte'!_Toc464338185</vt:lpstr>
      <vt:lpstr>'Consolidado Cobros'!Área_de_impresión</vt:lpstr>
      <vt:lpstr>'Cuentas de Cobro'!Área_de_impresión</vt:lpstr>
      <vt:lpstr>Facturas!Área_de_impresión</vt:lpstr>
      <vt:lpstr>'Grupos Familiares'!Área_de_impresión</vt:lpstr>
      <vt:lpstr>Área_de_impresión</vt:lpstr>
      <vt:lpstr>'Consolidado Cobros'!Títulos_a_imprimir</vt:lpstr>
      <vt:lpstr>'Cuentas de Cobro'!Títulos_a_imprimir</vt:lpstr>
      <vt:lpstr>Facturas!Títulos_a_imprimir</vt:lpstr>
      <vt:lpstr>'Grupos Familiares'!Títulos_a_imprimir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</dc:creator>
  <cp:lastModifiedBy>GERMÁN FERNÁNDEZ</cp:lastModifiedBy>
  <cp:lastPrinted>2020-07-28T19:35:36Z</cp:lastPrinted>
  <dcterms:created xsi:type="dcterms:W3CDTF">2016-11-22T21:40:50Z</dcterms:created>
  <dcterms:modified xsi:type="dcterms:W3CDTF">2026-09-09T00:13:51Z</dcterms:modified>
</cp:coreProperties>
</file>