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6-Presupuestos/Sistema de Cobros/Recursos/"/>
    </mc:Choice>
  </mc:AlternateContent>
  <xr:revisionPtr revIDLastSave="0" documentId="8_{29574FC4-79AF-4A4E-B705-1048AEA0CAD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men" sheetId="1" r:id="rId1"/>
    <sheet name="Cuentas" sheetId="2" r:id="rId2"/>
    <sheet name="Pagos" sheetId="3" r:id="rId3"/>
    <sheet name="Clientes" sheetId="4" r:id="rId4"/>
    <sheet name="Hoja1" sheetId="5" r:id="rId5"/>
  </sheets>
  <definedNames>
    <definedName name="_xlnm._FilterDatabase" localSheetId="3" hidden="1">Clientes!$A$1:$M$1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186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2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61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48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11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186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4" i="4"/>
  <c r="P2" i="4"/>
</calcChain>
</file>

<file path=xl/sharedStrings.xml><?xml version="1.0" encoding="utf-8"?>
<sst xmlns="http://schemas.openxmlformats.org/spreadsheetml/2006/main" count="2494" uniqueCount="435">
  <si>
    <t>Concepto</t>
  </si>
  <si>
    <t>Valor</t>
  </si>
  <si>
    <t>Año de cobro</t>
  </si>
  <si>
    <t>Año gravable</t>
  </si>
  <si>
    <t>Presupuestado</t>
  </si>
  <si>
    <t>Emitido en cuentas</t>
  </si>
  <si>
    <t>Pagado</t>
  </si>
  <si>
    <t>Ajustes/descuentos</t>
  </si>
  <si>
    <t>Saldo por cobrar</t>
  </si>
  <si>
    <t>Próximo número</t>
  </si>
  <si>
    <t>26-009</t>
  </si>
  <si>
    <t>Cuenta</t>
  </si>
  <si>
    <t>Fecha</t>
  </si>
  <si>
    <t>Estado</t>
  </si>
  <si>
    <t>Código</t>
  </si>
  <si>
    <t>Cliente</t>
  </si>
  <si>
    <t>Valor línea</t>
  </si>
  <si>
    <t>Ajustes cuenta</t>
  </si>
  <si>
    <t>Pagado cuenta</t>
  </si>
  <si>
    <t>Saldo cuenta</t>
  </si>
  <si>
    <t>Pagador</t>
  </si>
  <si>
    <t>Motivo anulación</t>
  </si>
  <si>
    <t>26-001</t>
  </si>
  <si>
    <t>PAGADA</t>
  </si>
  <si>
    <t>OCHOA VELÁSQUEZ RAFAEL</t>
  </si>
  <si>
    <t>26-002</t>
  </si>
  <si>
    <t>CEBALLOS GIRALDO CATALINA</t>
  </si>
  <si>
    <t>26-003</t>
  </si>
  <si>
    <t>ZAPATA BERRUECOS BEATRIZ ELENA</t>
  </si>
  <si>
    <t>26-004</t>
  </si>
  <si>
    <t>GONZÁLEZ MORENO ELSY DEL SOCORRO</t>
  </si>
  <si>
    <t>26-005</t>
  </si>
  <si>
    <t>OSORIO ARCILA LUZ MERCEDES</t>
  </si>
  <si>
    <t>PEÑA SANTAMARÍA FEDERICO ERNESTO</t>
  </si>
  <si>
    <t>26-006</t>
  </si>
  <si>
    <t>MUÑOZ SIERRA FANNY DEL SOCORRO</t>
  </si>
  <si>
    <t>26-007</t>
  </si>
  <si>
    <t>FRANCO JIMÉNEZ VIANEY DEL SOCORRO</t>
  </si>
  <si>
    <t>26-008</t>
  </si>
  <si>
    <t>BORRADOR</t>
  </si>
  <si>
    <t>NANCLARES HOYOS JULIAN CAMILO</t>
  </si>
  <si>
    <t>Clientes</t>
  </si>
  <si>
    <t>Forma</t>
  </si>
  <si>
    <t>Nota</t>
  </si>
  <si>
    <t>Transferencia</t>
  </si>
  <si>
    <t>Consignación</t>
  </si>
  <si>
    <t>Se auto descuenta y solo paga $380.000</t>
  </si>
  <si>
    <t>OSORIO ARCILA LUZ MERCEDES / PEÑA SANTAMARÍA FEDERICO ERNESTO</t>
  </si>
  <si>
    <t>En dos transferencias, una de 3M y la otra de 170mil</t>
  </si>
  <si>
    <t>Transferencia Banco Nu Paga $260.000</t>
  </si>
  <si>
    <t>Nombre</t>
  </si>
  <si>
    <t>Tipo</t>
  </si>
  <si>
    <t>CC/NIT</t>
  </si>
  <si>
    <t>DV</t>
  </si>
  <si>
    <t>Ciudad</t>
  </si>
  <si>
    <t>Teléfonos</t>
  </si>
  <si>
    <t>Email</t>
  </si>
  <si>
    <t>Grupo</t>
  </si>
  <si>
    <t>Presupuesto</t>
  </si>
  <si>
    <t>Activo</t>
  </si>
  <si>
    <t>ACEVEDO VELÁSQUEZ LUZ ELENA</t>
  </si>
  <si>
    <t>PN</t>
  </si>
  <si>
    <t>22126399</t>
  </si>
  <si>
    <t>5</t>
  </si>
  <si>
    <t>MEDELLÍN</t>
  </si>
  <si>
    <t>Sí</t>
  </si>
  <si>
    <t>AFANADOR CALDERON OLGA LILIANA</t>
  </si>
  <si>
    <t>52111932</t>
  </si>
  <si>
    <t>AGUDELO GARCÍA GUSTAVO ALONSO</t>
  </si>
  <si>
    <t>71581755</t>
  </si>
  <si>
    <t>2</t>
  </si>
  <si>
    <t>AGUIRRE CASTAÑO GABRIEL JAVIER</t>
  </si>
  <si>
    <t>70116694</t>
  </si>
  <si>
    <t>ALZATE GIRALDO BEATRIZ EUGENIA</t>
  </si>
  <si>
    <t>43079999</t>
  </si>
  <si>
    <t>9</t>
  </si>
  <si>
    <t>ANDRADE MARTÍNEZ JOSÉ DAVID</t>
  </si>
  <si>
    <t>1017178784</t>
  </si>
  <si>
    <t>3</t>
  </si>
  <si>
    <t>ARANGO MEJÍA MARÍA ALICIA DEL SOCORRO</t>
  </si>
  <si>
    <t>32470755</t>
  </si>
  <si>
    <t>4</t>
  </si>
  <si>
    <t>ARBELÁEZ COCK GABRIEL JAIME</t>
  </si>
  <si>
    <t>98554347</t>
  </si>
  <si>
    <t>ARBELÁEZ COCK ÁNGELA MARÍA DEL CARMEN</t>
  </si>
  <si>
    <t>42889979</t>
  </si>
  <si>
    <t>ASAAD EMILCE DEL HUERTO</t>
  </si>
  <si>
    <t>789347</t>
  </si>
  <si>
    <t>7</t>
  </si>
  <si>
    <t>BARRENECHE GALLEGO GLORIA DE JESÚS</t>
  </si>
  <si>
    <t>43012007</t>
  </si>
  <si>
    <t>1</t>
  </si>
  <si>
    <t>BEDOYA MONTOYA DEYSI CRISTINA</t>
  </si>
  <si>
    <t>1039885067</t>
  </si>
  <si>
    <t>BOSSIO ZAPATA ISABELLA</t>
  </si>
  <si>
    <t>1000416970</t>
  </si>
  <si>
    <t>BOTERO ESCOBAR JUAN FRANCISCO JAVIER</t>
  </si>
  <si>
    <t>71788661</t>
  </si>
  <si>
    <t>CADAVID PARRA CATALINA</t>
  </si>
  <si>
    <t>43820323</t>
  </si>
  <si>
    <t>CALLE ARANGO CARLOS ENRIQUE</t>
  </si>
  <si>
    <t>3322312</t>
  </si>
  <si>
    <t>6</t>
  </si>
  <si>
    <t>CALLE BUILES MARTA ISABEL</t>
  </si>
  <si>
    <t>42793787</t>
  </si>
  <si>
    <t>CANCINO CORREA CRISTINA</t>
  </si>
  <si>
    <t>1035852107</t>
  </si>
  <si>
    <t>CARVAJAL ARIAS AMBROSIO</t>
  </si>
  <si>
    <t>5734197</t>
  </si>
  <si>
    <t>0</t>
  </si>
  <si>
    <t>43616958</t>
  </si>
  <si>
    <t>CHAVARRIAGA DE DUQUE MARÍA ROCÍO DEL PILAR</t>
  </si>
  <si>
    <t>32441185</t>
  </si>
  <si>
    <t>COCK DE ARBELÁEZ OLGA LUCIA</t>
  </si>
  <si>
    <t>21374070</t>
  </si>
  <si>
    <t>COCK HERNÁNDEZ CHRISTIAN</t>
  </si>
  <si>
    <t>71688257</t>
  </si>
  <si>
    <t>COCK HERNÁNDEZ HILDA</t>
  </si>
  <si>
    <t>43584680</t>
  </si>
  <si>
    <t>COCK HERNÁNDEZ MARTÍN</t>
  </si>
  <si>
    <t>71715157</t>
  </si>
  <si>
    <t>COCK LONDOÑO CARLOS DEL ESPÍRITU SANTO</t>
  </si>
  <si>
    <t>8237268</t>
  </si>
  <si>
    <t>CORREA JARAMILLO MARÍA ADELAIDA</t>
  </si>
  <si>
    <t>43525573</t>
  </si>
  <si>
    <t>CUERVO SIERRA JORGE</t>
  </si>
  <si>
    <t>71750917</t>
  </si>
  <si>
    <t>CÁRDENAS GUTIÉRREZ SERGIO</t>
  </si>
  <si>
    <t>3313365</t>
  </si>
  <si>
    <t>8</t>
  </si>
  <si>
    <t>CÁRDENAS ÁLVAREZ CATALINA MARÍA</t>
  </si>
  <si>
    <t>43577753</t>
  </si>
  <si>
    <t>CÁRDENAS ÁLVAREZ JUAN DIEGO</t>
  </si>
  <si>
    <t>71608158</t>
  </si>
  <si>
    <t>DE LA CALLE BOTERO ANA CRISTINA</t>
  </si>
  <si>
    <t>42874922</t>
  </si>
  <si>
    <t>DE LA CALLE BOTERO MARÍA TERESA</t>
  </si>
  <si>
    <t>42876443</t>
  </si>
  <si>
    <t>DUQUE CHAVARRIAGA SANTIAGO</t>
  </si>
  <si>
    <t>8105540</t>
  </si>
  <si>
    <t>DUQUE ECHEVERRÍ GERMÁN</t>
  </si>
  <si>
    <t>10059375</t>
  </si>
  <si>
    <t>DÍAZ REYES DORYS DUBITH</t>
  </si>
  <si>
    <t>43502550</t>
  </si>
  <si>
    <t>DÍAZ VÉLEZ MARCELA</t>
  </si>
  <si>
    <t>43221128</t>
  </si>
  <si>
    <t>DÍEZ GILDARDO ANTONIO</t>
  </si>
  <si>
    <t>8215384</t>
  </si>
  <si>
    <t>DÍEZ VALENCIA VICTOR MANUEL</t>
  </si>
  <si>
    <t>75072481</t>
  </si>
  <si>
    <t>ECHEVERRY ARENAS LINA MARÍA</t>
  </si>
  <si>
    <t>43832021</t>
  </si>
  <si>
    <t>ELEJALDE ESCOBAR MÓNICA CRISTINA</t>
  </si>
  <si>
    <t>42684082</t>
  </si>
  <si>
    <t>ELEJALDE JARAMILLO JOSÉ TOMÁS</t>
  </si>
  <si>
    <t>3309812</t>
  </si>
  <si>
    <t>ESCOBAR DE ELEJALDE LUZ ELENA DEL CARMEN</t>
  </si>
  <si>
    <t>21344340</t>
  </si>
  <si>
    <t>ESCOBAR FERNÁNDEZ ANA SOFÍA</t>
  </si>
  <si>
    <t>42888678</t>
  </si>
  <si>
    <t>ESCOBAR PELÁEZ JULIANA</t>
  </si>
  <si>
    <t>43870119</t>
  </si>
  <si>
    <t>ESCORCIA CÁRDENAS EMILIO</t>
  </si>
  <si>
    <t>1000410740</t>
  </si>
  <si>
    <t>ESCORCIA CÁRDENAS PAULINA</t>
  </si>
  <si>
    <t>1017922378</t>
  </si>
  <si>
    <t>ESCUDERO MADRID CLAUDIA PATRICIA</t>
  </si>
  <si>
    <t>42780425</t>
  </si>
  <si>
    <t>FERNÁNDEZ HERNÁNDEZ ÁLVARO ANDRÉS</t>
  </si>
  <si>
    <t>71227472</t>
  </si>
  <si>
    <t>FERNÁNDEZ MC CANN DAVID STEPHEN</t>
  </si>
  <si>
    <t>71639489</t>
  </si>
  <si>
    <t>FERNÁNDEZ RESTREPO ÁLVARO</t>
  </si>
  <si>
    <t>8268050</t>
  </si>
  <si>
    <t>FERNÁNDEZ TOBAR FABIO ERNESTO</t>
  </si>
  <si>
    <t>6053547</t>
  </si>
  <si>
    <t>FERNÁNDEZ ZAPATA CAMILO ERNESTO</t>
  </si>
  <si>
    <t>98661685</t>
  </si>
  <si>
    <t>FLURY CARLI</t>
  </si>
  <si>
    <t>680956579</t>
  </si>
  <si>
    <t>FLURY VALENCIA BREETH</t>
  </si>
  <si>
    <t>43747351</t>
  </si>
  <si>
    <t>FLURY VALENCIA ERIKA</t>
  </si>
  <si>
    <t>43628330</t>
  </si>
  <si>
    <t>FLURY VALENCIA GERALDINE</t>
  </si>
  <si>
    <t>43739786</t>
  </si>
  <si>
    <t>FLURY VALENCIA Y CÍA S EN C</t>
  </si>
  <si>
    <t>800076166</t>
  </si>
  <si>
    <t>43079748</t>
  </si>
  <si>
    <t>GALVES MONCADA JULIAN DAVID</t>
  </si>
  <si>
    <t>71274022</t>
  </si>
  <si>
    <t>GAVIRIA GAVIRIA MIGUEL ÁNGEL</t>
  </si>
  <si>
    <t>3473739</t>
  </si>
  <si>
    <t>GAVIRIA MONCADA GIOVANNI</t>
  </si>
  <si>
    <t>1037601220</t>
  </si>
  <si>
    <t>GAVIRIA ORTIZ LIBARDO ALBERTO</t>
  </si>
  <si>
    <t>15502980</t>
  </si>
  <si>
    <t>GIRALDO CASTRO MARTHA EUGENIA</t>
  </si>
  <si>
    <t>42681418</t>
  </si>
  <si>
    <t>GONZÁLEZ ESCOBAR LUÍS FERNANDO</t>
  </si>
  <si>
    <t>15925921</t>
  </si>
  <si>
    <t>GONZÁLEZ LEMOS JUAN CARLOS</t>
  </si>
  <si>
    <t>98619761</t>
  </si>
  <si>
    <t>GONZÁLEZ LEMOS MAURICIO</t>
  </si>
  <si>
    <t>98570880</t>
  </si>
  <si>
    <t>GONZÁLEZ LEMOS SERGIO</t>
  </si>
  <si>
    <t>98570881</t>
  </si>
  <si>
    <t>GONZÁLEZ MARTÍNEZ LUÍS FERNANDO</t>
  </si>
  <si>
    <t>98549455</t>
  </si>
  <si>
    <t>GONZÁLEZ MIRA MATÍAS</t>
  </si>
  <si>
    <t>1034995481</t>
  </si>
  <si>
    <t>GONZÁLEZ MIRA MIGUEL</t>
  </si>
  <si>
    <t>1034991081</t>
  </si>
  <si>
    <t>GONZÁLEZ MORENO BETTY DE JESÚS</t>
  </si>
  <si>
    <t>32517259</t>
  </si>
  <si>
    <t>32476412</t>
  </si>
  <si>
    <t>GRUPO ACASAL S A S</t>
  </si>
  <si>
    <t>900625975</t>
  </si>
  <si>
    <t>GUERRERO BERTEL BETTY</t>
  </si>
  <si>
    <t>33166790</t>
  </si>
  <si>
    <t>GUTIÉRREZ DE GAVIRIA BLANCA LIBIA</t>
  </si>
  <si>
    <t>21350229</t>
  </si>
  <si>
    <t>GUTIÉRREZ VALLEJO HERNÁN ALONSO</t>
  </si>
  <si>
    <t>71776283</t>
  </si>
  <si>
    <t>GÓMEZ BOTERO GLORIA LUCÍA</t>
  </si>
  <si>
    <t>32415325</t>
  </si>
  <si>
    <t>HERNÁNDEZ DE COCK BEATRIZ</t>
  </si>
  <si>
    <t>32408192</t>
  </si>
  <si>
    <t>HOYOS ARANGO ALEJANDRO</t>
  </si>
  <si>
    <t>1040182444</t>
  </si>
  <si>
    <t>HOYOS ARANGO ANDRÉS</t>
  </si>
  <si>
    <t>71557380</t>
  </si>
  <si>
    <t>HURTADO GONZÁLEZ KATHERIN LIZETH</t>
  </si>
  <si>
    <t>43166841</t>
  </si>
  <si>
    <t>INDUSTRIAS DE ACEROS DEL CARIBE LTDA EN CAUSAL DE DISOLUCIÓN</t>
  </si>
  <si>
    <t>890921312</t>
  </si>
  <si>
    <t>INVERSIONES BARILOCHE DE LA POSADA Y CÍA S C A EN LIQUIDACIÓN</t>
  </si>
  <si>
    <t>890910754</t>
  </si>
  <si>
    <t>JARAMILLO DE LONDOÑO GLORIA DEL CARMEN</t>
  </si>
  <si>
    <t>20270143</t>
  </si>
  <si>
    <t>JARAMILLO MARTÍNEZ DANIELA</t>
  </si>
  <si>
    <t>1036958916</t>
  </si>
  <si>
    <t>JARAMILLO URIBE ALICIA HELENA</t>
  </si>
  <si>
    <t>42872098</t>
  </si>
  <si>
    <t>LADRILLERA EL SOCORRO LIMITADA EN LIQUIDACIÓN</t>
  </si>
  <si>
    <t>890927723</t>
  </si>
  <si>
    <t>LEMOS DE GONZÁLEZ AMPARO DE JESÚS</t>
  </si>
  <si>
    <t>21331840</t>
  </si>
  <si>
    <t>LOAIZA HERRERA DAVID</t>
  </si>
  <si>
    <t>1036609920</t>
  </si>
  <si>
    <t>LOAIZA HERRERA TOMÁS</t>
  </si>
  <si>
    <t>1040746114</t>
  </si>
  <si>
    <t>LONDOÑO DE LÓPEZ ÁNGELA MARÍA</t>
  </si>
  <si>
    <t>32409980</t>
  </si>
  <si>
    <t>LONDOÑO HERRERA DANIEL</t>
  </si>
  <si>
    <t>8162809</t>
  </si>
  <si>
    <t>LONDOÑO HERRERA GIOVANNA</t>
  </si>
  <si>
    <t>43220534</t>
  </si>
  <si>
    <t>LONDOÑO ÁNGEL OSCAR DARÍO</t>
  </si>
  <si>
    <t>71587495</t>
  </si>
  <si>
    <t>LOPERA MALAGÓN MARÍA ANDREA</t>
  </si>
  <si>
    <t>1023302299</t>
  </si>
  <si>
    <t>LOPERA MALAGÓN TATIANA MARÍA</t>
  </si>
  <si>
    <t>1000717826</t>
  </si>
  <si>
    <t>LÓPEZ ACEVEDO JUAN FERNANDO</t>
  </si>
  <si>
    <t>98549908</t>
  </si>
  <si>
    <t>LÓPEZ ACEVEDO LILIANA</t>
  </si>
  <si>
    <t>39183561</t>
  </si>
  <si>
    <t>LÓPEZ ARCILA HUGO</t>
  </si>
  <si>
    <t>8269485</t>
  </si>
  <si>
    <t>LÓPEZ RAMÍREZ OMAR DE JESÚS</t>
  </si>
  <si>
    <t>71680954</t>
  </si>
  <si>
    <t>MALAGÓN ROJAS MARTHA ISABEL</t>
  </si>
  <si>
    <t>52009137</t>
  </si>
  <si>
    <t>MARTÍNEZ DE SANDOVAL LIBIA EDDY</t>
  </si>
  <si>
    <t>32416024</t>
  </si>
  <si>
    <t>MARULANDA GIRALDO JAIRO DE JESÚS</t>
  </si>
  <si>
    <t>15502041</t>
  </si>
  <si>
    <t>MARULANDA GIRALDO JAIRO MIGUEL</t>
  </si>
  <si>
    <t>1001370893</t>
  </si>
  <si>
    <t>MEJÍA JARAMILLO BEATRIZ VIRGINIA</t>
  </si>
  <si>
    <t>43064007</t>
  </si>
  <si>
    <t>MEJÍA RESTREPO DIEGO LUÍS</t>
  </si>
  <si>
    <t>8264986</t>
  </si>
  <si>
    <t>MEJÍA TORRES CAMILA</t>
  </si>
  <si>
    <t>95022700775</t>
  </si>
  <si>
    <t>MEJÍA TORRES LUÍS</t>
  </si>
  <si>
    <t>1152198312</t>
  </si>
  <si>
    <t>MENDIETA LEÓN LEONARDO ANDRÉS</t>
  </si>
  <si>
    <t>71780372</t>
  </si>
  <si>
    <t>MERCADO CASTILLO PEDRO ANTONIO</t>
  </si>
  <si>
    <t>73097181</t>
  </si>
  <si>
    <t>MIRA GONZÁLEZ ADRIANA</t>
  </si>
  <si>
    <t>43628064</t>
  </si>
  <si>
    <t>MOLINA RESTREPO MARÍA EUGENIA</t>
  </si>
  <si>
    <t>32330774</t>
  </si>
  <si>
    <t>MONSALVE JUAN AICARDO</t>
  </si>
  <si>
    <t>71769178</t>
  </si>
  <si>
    <t>MORENO MAYA GABRIEL JAIME</t>
  </si>
  <si>
    <t>98514541</t>
  </si>
  <si>
    <t>21831445</t>
  </si>
  <si>
    <t>fannymu932@gmail.com</t>
  </si>
  <si>
    <t>1038869450</t>
  </si>
  <si>
    <t>OCHOA CARDONA RODRIGO</t>
  </si>
  <si>
    <t>3306009</t>
  </si>
  <si>
    <t>OCHOA VELÁSQUEZ BEATRIZ</t>
  </si>
  <si>
    <t>21668232</t>
  </si>
  <si>
    <t>98473805</t>
  </si>
  <si>
    <t>ochoarafael414@gmail.com</t>
  </si>
  <si>
    <t>OROZCO BENJUMEA MILENA</t>
  </si>
  <si>
    <t>1037606586</t>
  </si>
  <si>
    <t>ORREGO SIERRA SILVIA DEL SOCORRO</t>
  </si>
  <si>
    <t>32459508</t>
  </si>
  <si>
    <t>ORTEGA ARANGO JUVENAL DE JESÚS</t>
  </si>
  <si>
    <t>3305848</t>
  </si>
  <si>
    <t>ORTEGA MADRID DIEGO SAÚL</t>
  </si>
  <si>
    <t>98581002</t>
  </si>
  <si>
    <t>ORTEGA MADRID GABRIELA DEL SOCORRO</t>
  </si>
  <si>
    <t>43075419</t>
  </si>
  <si>
    <t>ORTIZ MEJÍA LUÍS JOSUÉ</t>
  </si>
  <si>
    <t>549095</t>
  </si>
  <si>
    <t>42995829</t>
  </si>
  <si>
    <t>OSORIO VEGA CARMEN ROSA</t>
  </si>
  <si>
    <t>33069779</t>
  </si>
  <si>
    <t>OSPINA GALEANO LILIANA PATRICIA</t>
  </si>
  <si>
    <t>43865562</t>
  </si>
  <si>
    <t>PALACIO RESTREPO LUZ ADRIANA</t>
  </si>
  <si>
    <t>43152033</t>
  </si>
  <si>
    <t>PATIÑO DE AMARILES ROSA MARGARITA</t>
  </si>
  <si>
    <t>42975259</t>
  </si>
  <si>
    <t>PELÁEZ VALDÉS MARÍA DE LAS MERCEDES</t>
  </si>
  <si>
    <t>32439160</t>
  </si>
  <si>
    <t>70547628</t>
  </si>
  <si>
    <t>PIEDRAHITA CORREA MANUELA</t>
  </si>
  <si>
    <t>1037639929</t>
  </si>
  <si>
    <t>REALES BELTRÁN JESÚS MARÍA</t>
  </si>
  <si>
    <t>9094854</t>
  </si>
  <si>
    <t>RESCON S A S</t>
  </si>
  <si>
    <t>900835266</t>
  </si>
  <si>
    <t>RESTREPO FERNANDEZ CAROLINA</t>
  </si>
  <si>
    <t>1152199401</t>
  </si>
  <si>
    <t>RESTREPO FERNÁNDEZ JUAN CARLOS</t>
  </si>
  <si>
    <t>15256982</t>
  </si>
  <si>
    <t>RESTREPO FERNÁNDEZ LUÍS ROBERTO</t>
  </si>
  <si>
    <t>71642392</t>
  </si>
  <si>
    <t>REYES DÍAZ GLADIS BEATRIZ</t>
  </si>
  <si>
    <t>39295015</t>
  </si>
  <si>
    <t>RINCÓN TABARES DANIEL SANTIAGO</t>
  </si>
  <si>
    <t>1128457837</t>
  </si>
  <si>
    <t>RÍOS CORREA JAVIER ADOLFO</t>
  </si>
  <si>
    <t>71728652</t>
  </si>
  <si>
    <t>SALDARRIAGA GONZÁLEZ ANDREA</t>
  </si>
  <si>
    <t>39456473</t>
  </si>
  <si>
    <t>SALDARRIAGA GONZÁLEZ CAROLINA</t>
  </si>
  <si>
    <t>1128268578</t>
  </si>
  <si>
    <t>SALDARRIAGA RESTREPO MARTHA OLGA</t>
  </si>
  <si>
    <t>32413027</t>
  </si>
  <si>
    <t>SANDOVAL NOGUERA JOSÉ MIGUEL</t>
  </si>
  <si>
    <t>70058618</t>
  </si>
  <si>
    <t>SARRAZOLA CHANCI LURDAISY</t>
  </si>
  <si>
    <t>43103382</t>
  </si>
  <si>
    <t>SARRAZOLA SANTA GABRIEL ÁNGEL</t>
  </si>
  <si>
    <t>3520885</t>
  </si>
  <si>
    <t>SEPULVEDA DIAZ MANUELA</t>
  </si>
  <si>
    <t>1001018099</t>
  </si>
  <si>
    <t>SEPÚLVEDA LONDOÑO MANUEL ANTONIO</t>
  </si>
  <si>
    <t>70049729</t>
  </si>
  <si>
    <t>SÁNCHEZ GÓMEZ SARA MARÍA</t>
  </si>
  <si>
    <t>43978133</t>
  </si>
  <si>
    <t>TAMAYO CÓRDOBA GLORIA CECILIA</t>
  </si>
  <si>
    <t>32504732</t>
  </si>
  <si>
    <t>TAMAYO CÓRDOBA LILIA DE LA TRINIDAD</t>
  </si>
  <si>
    <t>32403951</t>
  </si>
  <si>
    <t>TAMAYO URIBE CLEMENCIA DE SAN GERMÁN</t>
  </si>
  <si>
    <t>42871237</t>
  </si>
  <si>
    <t>TOBÓN ARANGO ANA CELSA</t>
  </si>
  <si>
    <t>21378911</t>
  </si>
  <si>
    <t>TOBÓN MARTHA GLADYS</t>
  </si>
  <si>
    <t>43073222</t>
  </si>
  <si>
    <t>TOBÓN SERNA GLADYS DE JESÚS</t>
  </si>
  <si>
    <t>21371978</t>
  </si>
  <si>
    <t>TORO FERNÁNDEZ JAIRO NELSON</t>
  </si>
  <si>
    <t>8226721</t>
  </si>
  <si>
    <t>TORO LARA MARTHA CECILIA</t>
  </si>
  <si>
    <t>42969424</t>
  </si>
  <si>
    <t>TORO LARA MARÍA HELENA DE JESÚS</t>
  </si>
  <si>
    <t>32476227</t>
  </si>
  <si>
    <t>TORRES MEJÍA CARMEN ANDREA</t>
  </si>
  <si>
    <t>43041519</t>
  </si>
  <si>
    <t>UPEGUI GARCÍA HÉCTOR AUGUSTO</t>
  </si>
  <si>
    <t>70567656</t>
  </si>
  <si>
    <t>UPEGUI GONZÁLEZ LÍA CRISTINA</t>
  </si>
  <si>
    <t>42877800</t>
  </si>
  <si>
    <t>URIBE DE TAMAYO MARÍA HILDA</t>
  </si>
  <si>
    <t>21717463</t>
  </si>
  <si>
    <t>URIBE DÍEZ ALICIA ELVIRA</t>
  </si>
  <si>
    <t>21717467</t>
  </si>
  <si>
    <t>URIBE RESTREPO MIRYAM AMANDA</t>
  </si>
  <si>
    <t>32326870</t>
  </si>
  <si>
    <t>URIBE URIBE CARLOS ALBERTO DE SAN FRANCISCO</t>
  </si>
  <si>
    <t>70562691</t>
  </si>
  <si>
    <t>VALENCIA HOYOS BEATRIZ</t>
  </si>
  <si>
    <t>21354620</t>
  </si>
  <si>
    <t>VELÁSQUEZ DE OCHOA SOCORRO</t>
  </si>
  <si>
    <t>32403117</t>
  </si>
  <si>
    <t>VILLA MOLINA ANA MARÍA</t>
  </si>
  <si>
    <t>43976629</t>
  </si>
  <si>
    <t>VÁSQUEZ SALAZAR GUILLERMO LEÓN</t>
  </si>
  <si>
    <t>8291095</t>
  </si>
  <si>
    <t>VÉLEZ ESCOBAR NICOLÁS</t>
  </si>
  <si>
    <t>700004170</t>
  </si>
  <si>
    <t>VÉLEZ GARCÉS CARLOS ALBERTO</t>
  </si>
  <si>
    <t>70875845</t>
  </si>
  <si>
    <t>VÉLEZ GARCÉS CLAUDIA INÉS</t>
  </si>
  <si>
    <t>42795956</t>
  </si>
  <si>
    <t>VÉLEZ GARCÉS MARÍA NELLY</t>
  </si>
  <si>
    <t>42795057</t>
  </si>
  <si>
    <t>VÉLEZ POSADA LUÍS ALBERTO</t>
  </si>
  <si>
    <t>71641349</t>
  </si>
  <si>
    <t>YEPES OSORIO JOSÉ HAROLD</t>
  </si>
  <si>
    <t>98496653</t>
  </si>
  <si>
    <t>YEPES OSORIO LUÍS BERNARDO</t>
  </si>
  <si>
    <t>71629287</t>
  </si>
  <si>
    <t>43903734</t>
  </si>
  <si>
    <t>ÁLVAREZ HERNÁNDEZ JUAN RODRIGO</t>
  </si>
  <si>
    <t>71632774</t>
  </si>
  <si>
    <t>ÁLVAREZ LONDOÑO MARTHA</t>
  </si>
  <si>
    <t>21315528</t>
  </si>
  <si>
    <t>ÁLVAREZ LONDOÑO OLGA STELLA</t>
  </si>
  <si>
    <t>32336950</t>
  </si>
  <si>
    <t>ÁLVAREZ ÁLVAREZ CARLOS ENRIQUE</t>
  </si>
  <si>
    <t>3349249</t>
  </si>
  <si>
    <t>NO</t>
  </si>
  <si>
    <t>NUEVA</t>
  </si>
  <si>
    <t>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</si>
</sst>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37" fontId="4" fillId="0" borderId="3" xfId="0" applyNumberFormat="1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/>
    <xf numFmtId="0" fontId="2" fillId="0" borderId="0" xfId="0" applyFont="1" applyBorder="1" applyAlignment="1">
      <alignment vertical="center" wrapText="1"/>
    </xf>
    <xf numFmtId="0" fontId="2" fillId="0" borderId="0" xfId="0" quotePrefix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quotePrefix="1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37" fontId="4" fillId="0" borderId="0" xfId="0" applyNumberFormat="1" applyFont="1" applyBorder="1" applyAlignment="1">
      <alignment vertical="center" wrapText="1"/>
    </xf>
    <xf numFmtId="0" fontId="0" fillId="0" borderId="0" xfId="0" applyBorder="1"/>
    <xf numFmtId="0" fontId="2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4" fontId="0" fillId="0" borderId="0" xfId="0" applyNumberFormat="1"/>
    <xf numFmtId="3" fontId="2" fillId="0" borderId="0" xfId="0" applyNumberFormat="1" applyFont="1" applyBorder="1" applyAlignment="1">
      <alignment horizontal="right" vertical="center" wrapText="1"/>
    </xf>
    <xf numFmtId="3" fontId="0" fillId="0" borderId="0" xfId="0" applyNumberFormat="1" applyAlignment="1">
      <alignment horizontal="right"/>
    </xf>
    <xf numFmtId="3" fontId="3" fillId="0" borderId="0" xfId="0" applyNumberFormat="1" applyFont="1" applyBorder="1" applyAlignment="1">
      <alignment horizontal="right" vertical="center" wrapText="1"/>
    </xf>
    <xf numFmtId="3" fontId="2" fillId="0" borderId="0" xfId="0" quotePrefix="1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 wrapText="1"/>
    </xf>
    <xf numFmtId="3" fontId="0" fillId="0" borderId="0" xfId="0" applyNumberFormat="1" applyBorder="1" applyAlignment="1">
      <alignment horizontal="right"/>
    </xf>
    <xf numFmtId="3" fontId="2" fillId="3" borderId="0" xfId="0" applyNumberFormat="1" applyFont="1" applyFill="1" applyBorder="1" applyAlignment="1">
      <alignment horizontal="right" vertical="center" wrapText="1"/>
    </xf>
    <xf numFmtId="3" fontId="2" fillId="4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2026</v>
      </c>
    </row>
    <row r="3" spans="1:2" x14ac:dyDescent="0.25">
      <c r="A3" t="s">
        <v>3</v>
      </c>
      <c r="B3">
        <v>2025</v>
      </c>
    </row>
    <row r="4" spans="1:2" x14ac:dyDescent="0.25">
      <c r="A4" t="s">
        <v>4</v>
      </c>
      <c r="B4">
        <v>118620000</v>
      </c>
    </row>
    <row r="5" spans="1:2" x14ac:dyDescent="0.25">
      <c r="A5" t="s">
        <v>5</v>
      </c>
      <c r="B5">
        <v>5770000</v>
      </c>
    </row>
    <row r="6" spans="1:2" x14ac:dyDescent="0.25">
      <c r="A6" t="s">
        <v>6</v>
      </c>
      <c r="B6">
        <v>5570000</v>
      </c>
    </row>
    <row r="7" spans="1:2" x14ac:dyDescent="0.25">
      <c r="A7" t="s">
        <v>7</v>
      </c>
      <c r="B7">
        <v>30000</v>
      </c>
    </row>
    <row r="8" spans="1:2" x14ac:dyDescent="0.25">
      <c r="A8" t="s">
        <v>8</v>
      </c>
      <c r="B8">
        <v>170000</v>
      </c>
    </row>
    <row r="9" spans="1:2" x14ac:dyDescent="0.25">
      <c r="A9" t="s">
        <v>9</v>
      </c>
      <c r="B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0" customWidth="1"/>
    <col min="4" max="4" width="8" customWidth="1"/>
    <col min="5" max="5" width="38" customWidth="1"/>
    <col min="6" max="9" width="13" customWidth="1"/>
    <col min="10" max="10" width="38" customWidth="1"/>
    <col min="11" max="11" width="28" customWidth="1"/>
  </cols>
  <sheetData>
    <row r="1" spans="1:1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25">
      <c r="A2" t="s">
        <v>22</v>
      </c>
      <c r="B2" s="2">
        <v>46266</v>
      </c>
      <c r="C2" t="s">
        <v>23</v>
      </c>
      <c r="D2">
        <v>140</v>
      </c>
      <c r="E2" t="s">
        <v>24</v>
      </c>
      <c r="F2">
        <v>470000</v>
      </c>
      <c r="G2">
        <v>0</v>
      </c>
      <c r="H2">
        <v>470000</v>
      </c>
      <c r="I2">
        <v>0</v>
      </c>
      <c r="J2" t="s">
        <v>24</v>
      </c>
    </row>
    <row r="3" spans="1:11" x14ac:dyDescent="0.25">
      <c r="A3" t="s">
        <v>25</v>
      </c>
      <c r="B3" s="2">
        <v>46266</v>
      </c>
      <c r="C3" t="s">
        <v>23</v>
      </c>
      <c r="D3">
        <v>68</v>
      </c>
      <c r="E3" t="s">
        <v>26</v>
      </c>
      <c r="F3">
        <v>470000</v>
      </c>
      <c r="G3">
        <v>0</v>
      </c>
      <c r="H3">
        <v>470000</v>
      </c>
      <c r="I3">
        <v>0</v>
      </c>
      <c r="J3" t="s">
        <v>26</v>
      </c>
    </row>
    <row r="4" spans="1:11" x14ac:dyDescent="0.25">
      <c r="A4" t="s">
        <v>27</v>
      </c>
      <c r="B4" s="2">
        <v>46289</v>
      </c>
      <c r="C4" t="s">
        <v>23</v>
      </c>
      <c r="D4">
        <v>363</v>
      </c>
      <c r="E4" t="s">
        <v>28</v>
      </c>
      <c r="F4">
        <v>260000</v>
      </c>
      <c r="G4">
        <v>0</v>
      </c>
      <c r="H4">
        <v>260000</v>
      </c>
      <c r="I4">
        <v>0</v>
      </c>
      <c r="J4" t="s">
        <v>28</v>
      </c>
    </row>
    <row r="5" spans="1:11" x14ac:dyDescent="0.25">
      <c r="A5" t="s">
        <v>29</v>
      </c>
      <c r="B5" s="2">
        <v>46273</v>
      </c>
      <c r="C5" t="s">
        <v>23</v>
      </c>
      <c r="D5">
        <v>112</v>
      </c>
      <c r="E5" t="s">
        <v>30</v>
      </c>
      <c r="F5">
        <v>410000</v>
      </c>
      <c r="G5">
        <v>30000</v>
      </c>
      <c r="H5">
        <v>380000</v>
      </c>
      <c r="I5">
        <v>0</v>
      </c>
      <c r="J5" t="s">
        <v>30</v>
      </c>
    </row>
    <row r="6" spans="1:11" x14ac:dyDescent="0.25">
      <c r="A6" t="s">
        <v>31</v>
      </c>
      <c r="B6" s="2">
        <v>46273</v>
      </c>
      <c r="C6" t="s">
        <v>23</v>
      </c>
      <c r="D6">
        <v>147</v>
      </c>
      <c r="E6" t="s">
        <v>32</v>
      </c>
      <c r="F6">
        <v>860000</v>
      </c>
      <c r="G6">
        <v>0</v>
      </c>
      <c r="H6">
        <v>3170000</v>
      </c>
      <c r="I6">
        <v>0</v>
      </c>
      <c r="J6" t="s">
        <v>33</v>
      </c>
    </row>
    <row r="7" spans="1:11" x14ac:dyDescent="0.25">
      <c r="A7" t="s">
        <v>31</v>
      </c>
      <c r="B7" s="2">
        <v>46273</v>
      </c>
      <c r="C7" t="s">
        <v>23</v>
      </c>
      <c r="D7">
        <v>152</v>
      </c>
      <c r="E7" t="s">
        <v>33</v>
      </c>
      <c r="F7">
        <v>2310000</v>
      </c>
      <c r="G7">
        <v>0</v>
      </c>
      <c r="H7">
        <v>3170000</v>
      </c>
      <c r="I7">
        <v>0</v>
      </c>
      <c r="J7" t="s">
        <v>33</v>
      </c>
    </row>
    <row r="8" spans="1:11" x14ac:dyDescent="0.25">
      <c r="A8" t="s">
        <v>34</v>
      </c>
      <c r="B8" s="2">
        <v>46280</v>
      </c>
      <c r="C8" t="s">
        <v>23</v>
      </c>
      <c r="D8">
        <v>89</v>
      </c>
      <c r="E8" t="s">
        <v>35</v>
      </c>
      <c r="F8">
        <v>410000</v>
      </c>
      <c r="G8">
        <v>0</v>
      </c>
      <c r="H8">
        <v>410000</v>
      </c>
      <c r="I8">
        <v>0</v>
      </c>
      <c r="J8" t="s">
        <v>35</v>
      </c>
    </row>
    <row r="9" spans="1:11" x14ac:dyDescent="0.25">
      <c r="A9" t="s">
        <v>36</v>
      </c>
      <c r="B9" s="2">
        <v>46280</v>
      </c>
      <c r="C9" t="s">
        <v>23</v>
      </c>
      <c r="D9">
        <v>46</v>
      </c>
      <c r="E9" t="s">
        <v>37</v>
      </c>
      <c r="F9">
        <v>410000</v>
      </c>
      <c r="G9">
        <v>0</v>
      </c>
      <c r="H9">
        <v>410000</v>
      </c>
      <c r="I9">
        <v>0</v>
      </c>
      <c r="J9" t="s">
        <v>37</v>
      </c>
    </row>
    <row r="10" spans="1:11" x14ac:dyDescent="0.25">
      <c r="A10" t="s">
        <v>38</v>
      </c>
      <c r="B10" s="2">
        <v>46281</v>
      </c>
      <c r="C10" t="s">
        <v>39</v>
      </c>
      <c r="D10">
        <v>141</v>
      </c>
      <c r="E10" t="s">
        <v>40</v>
      </c>
      <c r="F10">
        <v>170000</v>
      </c>
      <c r="G10">
        <v>0</v>
      </c>
      <c r="H10">
        <v>0</v>
      </c>
      <c r="I10">
        <v>170000</v>
      </c>
      <c r="J10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45" customWidth="1"/>
    <col min="4" max="4" width="13" customWidth="1"/>
    <col min="5" max="5" width="16" customWidth="1"/>
    <col min="6" max="6" width="30" customWidth="1"/>
  </cols>
  <sheetData>
    <row r="1" spans="1:6" x14ac:dyDescent="0.25">
      <c r="A1" s="1" t="s">
        <v>11</v>
      </c>
      <c r="B1" s="1" t="s">
        <v>12</v>
      </c>
      <c r="C1" s="1" t="s">
        <v>41</v>
      </c>
      <c r="D1" s="1" t="s">
        <v>1</v>
      </c>
      <c r="E1" s="1" t="s">
        <v>42</v>
      </c>
      <c r="F1" s="1" t="s">
        <v>43</v>
      </c>
    </row>
    <row r="2" spans="1:6" x14ac:dyDescent="0.25">
      <c r="A2" t="s">
        <v>22</v>
      </c>
      <c r="B2" s="2">
        <v>46267</v>
      </c>
      <c r="C2" t="s">
        <v>24</v>
      </c>
      <c r="D2">
        <v>470000</v>
      </c>
      <c r="E2" t="s">
        <v>44</v>
      </c>
    </row>
    <row r="3" spans="1:6" x14ac:dyDescent="0.25">
      <c r="A3" t="s">
        <v>25</v>
      </c>
      <c r="B3" s="2">
        <v>46267</v>
      </c>
      <c r="C3" t="s">
        <v>26</v>
      </c>
      <c r="D3">
        <v>470000</v>
      </c>
      <c r="E3" t="s">
        <v>44</v>
      </c>
    </row>
    <row r="4" spans="1:6" x14ac:dyDescent="0.25">
      <c r="A4" t="s">
        <v>29</v>
      </c>
      <c r="B4" s="2">
        <v>46273</v>
      </c>
      <c r="C4" t="s">
        <v>30</v>
      </c>
      <c r="D4">
        <v>380000</v>
      </c>
      <c r="E4" t="s">
        <v>45</v>
      </c>
      <c r="F4" t="s">
        <v>46</v>
      </c>
    </row>
    <row r="5" spans="1:6" x14ac:dyDescent="0.25">
      <c r="A5" t="s">
        <v>31</v>
      </c>
      <c r="B5" s="2">
        <v>46274</v>
      </c>
      <c r="C5" t="s">
        <v>47</v>
      </c>
      <c r="D5">
        <v>3170000</v>
      </c>
      <c r="E5" t="s">
        <v>44</v>
      </c>
      <c r="F5" t="s">
        <v>48</v>
      </c>
    </row>
    <row r="6" spans="1:6" x14ac:dyDescent="0.25">
      <c r="A6" t="s">
        <v>34</v>
      </c>
      <c r="B6" s="2">
        <v>46281</v>
      </c>
      <c r="C6" t="s">
        <v>35</v>
      </c>
      <c r="D6">
        <v>410000</v>
      </c>
      <c r="E6" t="s">
        <v>45</v>
      </c>
    </row>
    <row r="7" spans="1:6" x14ac:dyDescent="0.25">
      <c r="A7" t="s">
        <v>36</v>
      </c>
      <c r="B7" s="2">
        <v>46281</v>
      </c>
      <c r="C7" t="s">
        <v>37</v>
      </c>
      <c r="D7">
        <v>410000</v>
      </c>
      <c r="E7" t="s">
        <v>44</v>
      </c>
    </row>
    <row r="8" spans="1:6" x14ac:dyDescent="0.25">
      <c r="A8" t="s">
        <v>27</v>
      </c>
      <c r="B8" s="2">
        <v>46289</v>
      </c>
      <c r="C8" t="s">
        <v>28</v>
      </c>
      <c r="D8">
        <v>260000</v>
      </c>
      <c r="E8" t="s">
        <v>44</v>
      </c>
      <c r="F8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6"/>
  <sheetViews>
    <sheetView workbookViewId="0">
      <pane ySplit="1" topLeftCell="A161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6" customWidth="1"/>
    <col min="4" max="4" width="14" customWidth="1"/>
    <col min="5" max="5" width="5" customWidth="1"/>
    <col min="6" max="6" width="12" customWidth="1"/>
    <col min="7" max="7" width="9.85546875" customWidth="1"/>
    <col min="8" max="8" width="16.28515625" customWidth="1"/>
    <col min="9" max="9" width="14.5703125" customWidth="1"/>
    <col min="10" max="10" width="9" customWidth="1"/>
    <col min="11" max="11" width="13" customWidth="1"/>
    <col min="12" max="12" width="8" customWidth="1"/>
    <col min="13" max="13" width="13.85546875" customWidth="1"/>
    <col min="14" max="15" width="29.42578125" customWidth="1"/>
    <col min="17" max="17" width="10.140625" bestFit="1" customWidth="1"/>
  </cols>
  <sheetData>
    <row r="1" spans="1:17" ht="15.75" thickBot="1" x14ac:dyDescent="0.3">
      <c r="A1" s="1" t="s">
        <v>14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20</v>
      </c>
      <c r="K1" s="1" t="s">
        <v>58</v>
      </c>
      <c r="L1" s="1" t="s">
        <v>59</v>
      </c>
      <c r="M1" s="1" t="s">
        <v>43</v>
      </c>
      <c r="O1" s="1" t="s">
        <v>434</v>
      </c>
    </row>
    <row r="2" spans="1:17" ht="25.5" x14ac:dyDescent="0.25">
      <c r="A2">
        <v>41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K2">
        <v>380000</v>
      </c>
      <c r="L2" t="s">
        <v>65</v>
      </c>
      <c r="M2">
        <v>1</v>
      </c>
      <c r="N2" s="11" t="s">
        <v>60</v>
      </c>
      <c r="O2" s="13">
        <v>360000</v>
      </c>
      <c r="P2" t="str">
        <f>+IF(N2=B2,"OK",0)</f>
        <v>OK</v>
      </c>
      <c r="Q2" s="22">
        <f>+K2-O2</f>
        <v>20000</v>
      </c>
    </row>
    <row r="3" spans="1:17" x14ac:dyDescent="0.25">
      <c r="A3">
        <v>370</v>
      </c>
      <c r="B3" t="s">
        <v>66</v>
      </c>
      <c r="C3" t="s">
        <v>61</v>
      </c>
      <c r="D3" t="s">
        <v>67</v>
      </c>
      <c r="E3" t="s">
        <v>63</v>
      </c>
      <c r="F3" t="s">
        <v>64</v>
      </c>
      <c r="K3">
        <v>300000</v>
      </c>
      <c r="L3" t="s">
        <v>65</v>
      </c>
      <c r="M3" t="s">
        <v>433</v>
      </c>
      <c r="Q3" s="22">
        <f t="shared" ref="Q3:Q66" si="0">+K3-O3</f>
        <v>300000</v>
      </c>
    </row>
    <row r="4" spans="1:17" ht="25.5" x14ac:dyDescent="0.25">
      <c r="A4">
        <v>346</v>
      </c>
      <c r="B4" t="s">
        <v>68</v>
      </c>
      <c r="C4" t="s">
        <v>61</v>
      </c>
      <c r="D4" t="s">
        <v>69</v>
      </c>
      <c r="E4" t="s">
        <v>70</v>
      </c>
      <c r="F4" t="s">
        <v>64</v>
      </c>
      <c r="K4">
        <v>170000</v>
      </c>
      <c r="L4" t="s">
        <v>65</v>
      </c>
      <c r="N4" s="3" t="s">
        <v>68</v>
      </c>
      <c r="O4" s="13">
        <v>160000</v>
      </c>
      <c r="P4" t="str">
        <f>+IF(N4=B4,"OK",0)</f>
        <v>OK</v>
      </c>
      <c r="Q4" s="22">
        <f t="shared" si="0"/>
        <v>10000</v>
      </c>
    </row>
    <row r="5" spans="1:17" ht="25.5" x14ac:dyDescent="0.25">
      <c r="A5">
        <v>300</v>
      </c>
      <c r="B5" t="s">
        <v>71</v>
      </c>
      <c r="C5" t="s">
        <v>61</v>
      </c>
      <c r="D5" t="s">
        <v>72</v>
      </c>
      <c r="E5" t="s">
        <v>63</v>
      </c>
      <c r="F5" t="s">
        <v>64</v>
      </c>
      <c r="K5">
        <v>500000</v>
      </c>
      <c r="L5" t="s">
        <v>65</v>
      </c>
      <c r="N5" s="4" t="s">
        <v>71</v>
      </c>
      <c r="O5" s="15">
        <v>470000</v>
      </c>
      <c r="P5" t="str">
        <f t="shared" ref="P5:P68" si="1">+IF(N5=B5,"OK",0)</f>
        <v>OK</v>
      </c>
      <c r="Q5" s="22">
        <f t="shared" si="0"/>
        <v>30000</v>
      </c>
    </row>
    <row r="6" spans="1:17" ht="25.5" x14ac:dyDescent="0.25">
      <c r="A6">
        <v>217</v>
      </c>
      <c r="B6" t="s">
        <v>430</v>
      </c>
      <c r="C6" t="s">
        <v>61</v>
      </c>
      <c r="D6" t="s">
        <v>431</v>
      </c>
      <c r="E6" t="s">
        <v>88</v>
      </c>
      <c r="F6" t="s">
        <v>64</v>
      </c>
      <c r="K6">
        <v>350000</v>
      </c>
      <c r="L6" t="s">
        <v>65</v>
      </c>
      <c r="N6" s="5" t="s">
        <v>430</v>
      </c>
      <c r="O6" s="13">
        <v>330000</v>
      </c>
      <c r="P6" t="str">
        <f t="shared" si="1"/>
        <v>OK</v>
      </c>
      <c r="Q6" s="22">
        <f t="shared" si="0"/>
        <v>20000</v>
      </c>
    </row>
    <row r="7" spans="1:17" ht="25.5" x14ac:dyDescent="0.25">
      <c r="A7">
        <v>43</v>
      </c>
      <c r="B7" t="s">
        <v>424</v>
      </c>
      <c r="C7" t="s">
        <v>61</v>
      </c>
      <c r="D7" t="s">
        <v>425</v>
      </c>
      <c r="E7" t="s">
        <v>70</v>
      </c>
      <c r="F7" t="s">
        <v>64</v>
      </c>
      <c r="K7">
        <v>500000</v>
      </c>
      <c r="L7" t="s">
        <v>65</v>
      </c>
      <c r="N7" s="5" t="s">
        <v>424</v>
      </c>
      <c r="O7" s="13">
        <v>480000</v>
      </c>
      <c r="P7" t="str">
        <f t="shared" si="1"/>
        <v>OK</v>
      </c>
      <c r="Q7" s="22">
        <f t="shared" si="0"/>
        <v>20000</v>
      </c>
    </row>
    <row r="8" spans="1:17" x14ac:dyDescent="0.25">
      <c r="A8">
        <v>44</v>
      </c>
      <c r="B8" t="s">
        <v>426</v>
      </c>
      <c r="C8" t="s">
        <v>61</v>
      </c>
      <c r="D8" t="s">
        <v>427</v>
      </c>
      <c r="E8" t="s">
        <v>102</v>
      </c>
      <c r="F8" t="s">
        <v>64</v>
      </c>
      <c r="K8">
        <v>1920000</v>
      </c>
      <c r="L8" t="s">
        <v>65</v>
      </c>
      <c r="N8" s="6" t="s">
        <v>426</v>
      </c>
      <c r="O8" s="16">
        <v>1830000</v>
      </c>
      <c r="P8" t="str">
        <f t="shared" si="1"/>
        <v>OK</v>
      </c>
      <c r="Q8" s="22">
        <f t="shared" si="0"/>
        <v>90000</v>
      </c>
    </row>
    <row r="9" spans="1:17" ht="25.5" x14ac:dyDescent="0.25">
      <c r="A9">
        <v>45</v>
      </c>
      <c r="B9" t="s">
        <v>428</v>
      </c>
      <c r="C9" t="s">
        <v>61</v>
      </c>
      <c r="D9" t="s">
        <v>429</v>
      </c>
      <c r="E9" t="s">
        <v>91</v>
      </c>
      <c r="F9" t="s">
        <v>64</v>
      </c>
      <c r="K9">
        <v>1010000</v>
      </c>
      <c r="L9" t="s">
        <v>65</v>
      </c>
      <c r="N9" s="5" t="s">
        <v>428</v>
      </c>
      <c r="O9" s="13">
        <v>980000</v>
      </c>
      <c r="P9" t="str">
        <f t="shared" si="1"/>
        <v>OK</v>
      </c>
      <c r="Q9" s="22">
        <f t="shared" si="0"/>
        <v>30000</v>
      </c>
    </row>
    <row r="10" spans="1:17" ht="25.5" x14ac:dyDescent="0.25">
      <c r="A10">
        <v>156</v>
      </c>
      <c r="B10" t="s">
        <v>73</v>
      </c>
      <c r="C10" t="s">
        <v>61</v>
      </c>
      <c r="D10" t="s">
        <v>74</v>
      </c>
      <c r="E10" t="s">
        <v>75</v>
      </c>
      <c r="F10" t="s">
        <v>64</v>
      </c>
      <c r="K10">
        <v>220000</v>
      </c>
      <c r="L10" t="s">
        <v>65</v>
      </c>
      <c r="N10" s="5" t="s">
        <v>73</v>
      </c>
      <c r="O10" s="13">
        <v>210000</v>
      </c>
      <c r="P10" t="str">
        <f t="shared" si="1"/>
        <v>OK</v>
      </c>
      <c r="Q10" s="22">
        <f t="shared" si="0"/>
        <v>10000</v>
      </c>
    </row>
    <row r="11" spans="1:17" x14ac:dyDescent="0.25">
      <c r="A11">
        <v>179</v>
      </c>
      <c r="B11" t="s">
        <v>76</v>
      </c>
      <c r="C11" t="s">
        <v>61</v>
      </c>
      <c r="D11" t="s">
        <v>77</v>
      </c>
      <c r="E11" t="s">
        <v>78</v>
      </c>
      <c r="F11" t="s">
        <v>64</v>
      </c>
      <c r="K11">
        <v>180000</v>
      </c>
      <c r="L11" t="s">
        <v>65</v>
      </c>
      <c r="N11" s="7" t="s">
        <v>76</v>
      </c>
      <c r="O11" s="17">
        <v>170000</v>
      </c>
      <c r="P11" t="str">
        <f t="shared" si="1"/>
        <v>OK</v>
      </c>
      <c r="Q11" s="22">
        <f t="shared" si="0"/>
        <v>10000</v>
      </c>
    </row>
    <row r="12" spans="1:17" x14ac:dyDescent="0.25">
      <c r="A12">
        <v>48</v>
      </c>
      <c r="B12" t="s">
        <v>79</v>
      </c>
      <c r="C12" t="s">
        <v>61</v>
      </c>
      <c r="D12" t="s">
        <v>80</v>
      </c>
      <c r="E12" t="s">
        <v>81</v>
      </c>
      <c r="F12" t="s">
        <v>64</v>
      </c>
      <c r="K12">
        <v>600000</v>
      </c>
      <c r="L12" t="s">
        <v>65</v>
      </c>
      <c r="N12" s="7" t="s">
        <v>79</v>
      </c>
      <c r="O12" s="17">
        <v>580000</v>
      </c>
      <c r="P12" t="str">
        <f t="shared" si="1"/>
        <v>OK</v>
      </c>
      <c r="Q12" s="22">
        <f t="shared" si="0"/>
        <v>20000</v>
      </c>
    </row>
    <row r="13" spans="1:17" ht="25.5" x14ac:dyDescent="0.25">
      <c r="A13">
        <v>49</v>
      </c>
      <c r="B13" t="s">
        <v>84</v>
      </c>
      <c r="C13" t="s">
        <v>61</v>
      </c>
      <c r="D13" t="s">
        <v>85</v>
      </c>
      <c r="E13" t="s">
        <v>78</v>
      </c>
      <c r="F13" t="s">
        <v>64</v>
      </c>
      <c r="K13">
        <v>720000</v>
      </c>
      <c r="L13" t="s">
        <v>65</v>
      </c>
      <c r="N13" s="5" t="s">
        <v>84</v>
      </c>
      <c r="O13" s="13">
        <v>690000</v>
      </c>
      <c r="P13" t="str">
        <f t="shared" si="1"/>
        <v>OK</v>
      </c>
      <c r="Q13" s="22">
        <f t="shared" si="0"/>
        <v>30000</v>
      </c>
    </row>
    <row r="14" spans="1:17" ht="25.5" x14ac:dyDescent="0.25">
      <c r="A14">
        <v>50</v>
      </c>
      <c r="B14" t="s">
        <v>82</v>
      </c>
      <c r="C14" t="s">
        <v>61</v>
      </c>
      <c r="D14" t="s">
        <v>83</v>
      </c>
      <c r="E14" t="s">
        <v>81</v>
      </c>
      <c r="F14" t="s">
        <v>64</v>
      </c>
      <c r="K14">
        <v>360000</v>
      </c>
      <c r="L14" t="s">
        <v>65</v>
      </c>
      <c r="N14" s="5" t="s">
        <v>82</v>
      </c>
      <c r="O14" s="13">
        <v>350000</v>
      </c>
      <c r="P14" t="str">
        <f t="shared" si="1"/>
        <v>OK</v>
      </c>
      <c r="Q14" s="22">
        <f t="shared" si="0"/>
        <v>10000</v>
      </c>
    </row>
    <row r="15" spans="1:17" x14ac:dyDescent="0.25">
      <c r="A15">
        <v>366</v>
      </c>
      <c r="B15" t="s">
        <v>86</v>
      </c>
      <c r="C15" t="s">
        <v>61</v>
      </c>
      <c r="D15" t="s">
        <v>87</v>
      </c>
      <c r="E15" t="s">
        <v>88</v>
      </c>
      <c r="F15" t="s">
        <v>64</v>
      </c>
      <c r="K15">
        <v>200000</v>
      </c>
      <c r="L15" t="s">
        <v>65</v>
      </c>
      <c r="N15" s="5" t="s">
        <v>86</v>
      </c>
      <c r="O15" s="13">
        <v>200000</v>
      </c>
      <c r="P15" t="str">
        <f t="shared" si="1"/>
        <v>OK</v>
      </c>
      <c r="Q15" s="22">
        <f t="shared" si="0"/>
        <v>0</v>
      </c>
    </row>
    <row r="16" spans="1:17" ht="25.5" x14ac:dyDescent="0.25">
      <c r="A16">
        <v>260</v>
      </c>
      <c r="B16" t="s">
        <v>89</v>
      </c>
      <c r="C16" t="s">
        <v>61</v>
      </c>
      <c r="D16" t="s">
        <v>90</v>
      </c>
      <c r="E16" t="s">
        <v>91</v>
      </c>
      <c r="F16" t="s">
        <v>64</v>
      </c>
      <c r="K16">
        <v>180000</v>
      </c>
      <c r="L16" t="s">
        <v>65</v>
      </c>
      <c r="N16" s="5" t="s">
        <v>89</v>
      </c>
      <c r="O16" s="13">
        <v>170000</v>
      </c>
      <c r="P16" t="str">
        <f t="shared" si="1"/>
        <v>OK</v>
      </c>
      <c r="Q16" s="22">
        <f t="shared" si="0"/>
        <v>10000</v>
      </c>
    </row>
    <row r="17" spans="1:17" ht="25.5" x14ac:dyDescent="0.25">
      <c r="A17">
        <v>367</v>
      </c>
      <c r="B17" t="s">
        <v>92</v>
      </c>
      <c r="C17" t="s">
        <v>61</v>
      </c>
      <c r="D17" t="s">
        <v>93</v>
      </c>
      <c r="E17" t="s">
        <v>78</v>
      </c>
      <c r="F17" t="s">
        <v>64</v>
      </c>
      <c r="K17">
        <v>100000</v>
      </c>
      <c r="L17" t="s">
        <v>65</v>
      </c>
      <c r="N17" s="4" t="s">
        <v>92</v>
      </c>
      <c r="O17" s="15">
        <v>100000</v>
      </c>
      <c r="P17" t="str">
        <f t="shared" si="1"/>
        <v>OK</v>
      </c>
      <c r="Q17" s="22">
        <f t="shared" si="0"/>
        <v>0</v>
      </c>
    </row>
    <row r="18" spans="1:17" x14ac:dyDescent="0.25">
      <c r="A18">
        <v>218</v>
      </c>
      <c r="B18" t="s">
        <v>94</v>
      </c>
      <c r="C18" t="s">
        <v>61</v>
      </c>
      <c r="D18" t="s">
        <v>95</v>
      </c>
      <c r="E18" t="s">
        <v>88</v>
      </c>
      <c r="F18" t="s">
        <v>64</v>
      </c>
      <c r="K18">
        <v>260000</v>
      </c>
      <c r="L18" t="s">
        <v>65</v>
      </c>
      <c r="N18" s="6" t="s">
        <v>94</v>
      </c>
      <c r="O18" s="16">
        <v>250000</v>
      </c>
      <c r="P18" t="str">
        <f t="shared" si="1"/>
        <v>OK</v>
      </c>
      <c r="Q18" s="22">
        <f t="shared" si="0"/>
        <v>10000</v>
      </c>
    </row>
    <row r="19" spans="1:17" ht="25.5" x14ac:dyDescent="0.25">
      <c r="A19">
        <v>306</v>
      </c>
      <c r="B19" t="s">
        <v>96</v>
      </c>
      <c r="C19" t="s">
        <v>61</v>
      </c>
      <c r="D19" t="s">
        <v>97</v>
      </c>
      <c r="E19" t="s">
        <v>75</v>
      </c>
      <c r="F19" t="s">
        <v>64</v>
      </c>
      <c r="K19">
        <v>470000</v>
      </c>
      <c r="L19" t="s">
        <v>65</v>
      </c>
      <c r="N19" s="8" t="s">
        <v>96</v>
      </c>
      <c r="O19" s="18">
        <v>450000</v>
      </c>
      <c r="P19" t="str">
        <f t="shared" si="1"/>
        <v>OK</v>
      </c>
      <c r="Q19" s="22">
        <f t="shared" si="0"/>
        <v>20000</v>
      </c>
    </row>
    <row r="20" spans="1:17" x14ac:dyDescent="0.25">
      <c r="A20">
        <v>322</v>
      </c>
      <c r="B20" t="s">
        <v>98</v>
      </c>
      <c r="C20" t="s">
        <v>61</v>
      </c>
      <c r="D20" t="s">
        <v>99</v>
      </c>
      <c r="E20" t="s">
        <v>75</v>
      </c>
      <c r="F20" t="s">
        <v>64</v>
      </c>
      <c r="K20">
        <v>350000</v>
      </c>
      <c r="L20" t="s">
        <v>65</v>
      </c>
      <c r="N20" s="6" t="s">
        <v>98</v>
      </c>
      <c r="O20" s="16">
        <v>0</v>
      </c>
      <c r="P20" t="str">
        <f t="shared" si="1"/>
        <v>OK</v>
      </c>
      <c r="Q20" s="22">
        <f t="shared" si="0"/>
        <v>350000</v>
      </c>
    </row>
    <row r="21" spans="1:17" ht="25.5" x14ac:dyDescent="0.25">
      <c r="A21">
        <v>271</v>
      </c>
      <c r="B21" t="s">
        <v>100</v>
      </c>
      <c r="C21" t="s">
        <v>61</v>
      </c>
      <c r="D21" t="s">
        <v>101</v>
      </c>
      <c r="E21" t="s">
        <v>102</v>
      </c>
      <c r="F21" t="s">
        <v>64</v>
      </c>
      <c r="K21">
        <v>360000</v>
      </c>
      <c r="L21" t="s">
        <v>65</v>
      </c>
      <c r="N21" s="5" t="s">
        <v>100</v>
      </c>
      <c r="O21" s="13">
        <v>350000</v>
      </c>
      <c r="P21" t="str">
        <f t="shared" si="1"/>
        <v>OK</v>
      </c>
      <c r="Q21" s="22">
        <f t="shared" si="0"/>
        <v>10000</v>
      </c>
    </row>
    <row r="22" spans="1:17" x14ac:dyDescent="0.25">
      <c r="A22">
        <v>60</v>
      </c>
      <c r="B22" t="s">
        <v>103</v>
      </c>
      <c r="C22" t="s">
        <v>61</v>
      </c>
      <c r="D22" t="s">
        <v>104</v>
      </c>
      <c r="E22" t="s">
        <v>70</v>
      </c>
      <c r="F22" t="s">
        <v>64</v>
      </c>
      <c r="K22">
        <v>360000</v>
      </c>
      <c r="L22" t="s">
        <v>65</v>
      </c>
      <c r="N22" s="5" t="s">
        <v>103</v>
      </c>
      <c r="O22" s="13">
        <v>350000</v>
      </c>
      <c r="P22" t="str">
        <f t="shared" si="1"/>
        <v>OK</v>
      </c>
      <c r="Q22" s="22">
        <f t="shared" si="0"/>
        <v>10000</v>
      </c>
    </row>
    <row r="23" spans="1:17" x14ac:dyDescent="0.25">
      <c r="A23">
        <v>61</v>
      </c>
      <c r="B23" t="s">
        <v>105</v>
      </c>
      <c r="C23" t="s">
        <v>61</v>
      </c>
      <c r="D23" t="s">
        <v>106</v>
      </c>
      <c r="E23" t="s">
        <v>78</v>
      </c>
      <c r="F23" t="s">
        <v>64</v>
      </c>
      <c r="K23">
        <v>400000</v>
      </c>
      <c r="L23" t="s">
        <v>65</v>
      </c>
      <c r="N23" s="5" t="s">
        <v>105</v>
      </c>
      <c r="O23" s="13">
        <v>400000</v>
      </c>
      <c r="P23" t="str">
        <f t="shared" si="1"/>
        <v>OK</v>
      </c>
      <c r="Q23" s="22">
        <f t="shared" si="0"/>
        <v>0</v>
      </c>
    </row>
    <row r="24" spans="1:17" ht="25.5" x14ac:dyDescent="0.25">
      <c r="A24">
        <v>62</v>
      </c>
      <c r="B24" t="s">
        <v>130</v>
      </c>
      <c r="C24" t="s">
        <v>61</v>
      </c>
      <c r="D24" t="s">
        <v>131</v>
      </c>
      <c r="E24" t="s">
        <v>109</v>
      </c>
      <c r="F24" t="s">
        <v>64</v>
      </c>
      <c r="K24">
        <v>1380000</v>
      </c>
      <c r="L24" t="s">
        <v>65</v>
      </c>
      <c r="N24" s="5" t="s">
        <v>130</v>
      </c>
      <c r="O24" s="13">
        <v>1310000</v>
      </c>
      <c r="P24" t="str">
        <f t="shared" si="1"/>
        <v>OK</v>
      </c>
      <c r="Q24" s="22">
        <f t="shared" si="0"/>
        <v>70000</v>
      </c>
    </row>
    <row r="25" spans="1:17" ht="25.5" x14ac:dyDescent="0.25">
      <c r="A25">
        <v>63</v>
      </c>
      <c r="B25" t="s">
        <v>132</v>
      </c>
      <c r="C25" t="s">
        <v>61</v>
      </c>
      <c r="D25" t="s">
        <v>133</v>
      </c>
      <c r="E25" t="s">
        <v>81</v>
      </c>
      <c r="F25" t="s">
        <v>64</v>
      </c>
      <c r="K25">
        <v>770000</v>
      </c>
      <c r="L25" t="s">
        <v>65</v>
      </c>
      <c r="N25" s="5" t="s">
        <v>132</v>
      </c>
      <c r="O25" s="13">
        <v>730000</v>
      </c>
      <c r="P25" t="str">
        <f t="shared" si="1"/>
        <v>OK</v>
      </c>
      <c r="Q25" s="22">
        <f t="shared" si="0"/>
        <v>40000</v>
      </c>
    </row>
    <row r="26" spans="1:17" ht="25.5" x14ac:dyDescent="0.25">
      <c r="A26">
        <v>65</v>
      </c>
      <c r="B26" t="s">
        <v>127</v>
      </c>
      <c r="C26" t="s">
        <v>61</v>
      </c>
      <c r="D26" t="s">
        <v>128</v>
      </c>
      <c r="E26" t="s">
        <v>129</v>
      </c>
      <c r="F26" t="s">
        <v>64</v>
      </c>
      <c r="K26">
        <v>1660000</v>
      </c>
      <c r="L26" t="s">
        <v>65</v>
      </c>
      <c r="N26" s="5" t="s">
        <v>127</v>
      </c>
      <c r="O26" s="13">
        <v>1600000</v>
      </c>
      <c r="P26" t="str">
        <f t="shared" si="1"/>
        <v>OK</v>
      </c>
      <c r="Q26" s="22">
        <f t="shared" si="0"/>
        <v>60000</v>
      </c>
    </row>
    <row r="27" spans="1:17" x14ac:dyDescent="0.25">
      <c r="A27">
        <v>67</v>
      </c>
      <c r="B27" t="s">
        <v>107</v>
      </c>
      <c r="C27" t="s">
        <v>61</v>
      </c>
      <c r="D27" t="s">
        <v>108</v>
      </c>
      <c r="E27" t="s">
        <v>109</v>
      </c>
      <c r="F27" t="s">
        <v>64</v>
      </c>
      <c r="K27">
        <v>360000</v>
      </c>
      <c r="L27" t="s">
        <v>65</v>
      </c>
      <c r="N27" s="5" t="s">
        <v>107</v>
      </c>
      <c r="O27" s="13">
        <v>350000</v>
      </c>
      <c r="P27" t="str">
        <f t="shared" si="1"/>
        <v>OK</v>
      </c>
      <c r="Q27" s="22">
        <f t="shared" si="0"/>
        <v>10000</v>
      </c>
    </row>
    <row r="28" spans="1:17" ht="25.5" x14ac:dyDescent="0.25">
      <c r="A28">
        <v>68</v>
      </c>
      <c r="B28" t="s">
        <v>26</v>
      </c>
      <c r="C28" t="s">
        <v>61</v>
      </c>
      <c r="D28" t="s">
        <v>110</v>
      </c>
      <c r="E28" t="s">
        <v>91</v>
      </c>
      <c r="F28" t="s">
        <v>64</v>
      </c>
      <c r="K28">
        <v>470000</v>
      </c>
      <c r="L28" t="s">
        <v>65</v>
      </c>
      <c r="N28" s="5" t="s">
        <v>26</v>
      </c>
      <c r="O28" s="13">
        <v>470000</v>
      </c>
      <c r="P28" t="str">
        <f t="shared" si="1"/>
        <v>OK</v>
      </c>
      <c r="Q28" s="22">
        <f t="shared" si="0"/>
        <v>0</v>
      </c>
    </row>
    <row r="29" spans="1:17" ht="25.5" x14ac:dyDescent="0.25">
      <c r="A29">
        <v>13</v>
      </c>
      <c r="B29" t="s">
        <v>111</v>
      </c>
      <c r="C29" t="s">
        <v>61</v>
      </c>
      <c r="D29" t="s">
        <v>112</v>
      </c>
      <c r="E29" t="s">
        <v>70</v>
      </c>
      <c r="F29" t="s">
        <v>64</v>
      </c>
      <c r="K29">
        <v>330000</v>
      </c>
      <c r="L29" t="s">
        <v>65</v>
      </c>
      <c r="N29" s="5" t="s">
        <v>111</v>
      </c>
      <c r="O29" s="13">
        <v>320000</v>
      </c>
      <c r="P29" t="str">
        <f t="shared" si="1"/>
        <v>OK</v>
      </c>
      <c r="Q29" s="22">
        <f t="shared" si="0"/>
        <v>10000</v>
      </c>
    </row>
    <row r="30" spans="1:17" ht="25.5" x14ac:dyDescent="0.25">
      <c r="A30">
        <v>69</v>
      </c>
      <c r="B30" t="s">
        <v>113</v>
      </c>
      <c r="C30" t="s">
        <v>61</v>
      </c>
      <c r="D30" t="s">
        <v>114</v>
      </c>
      <c r="E30" t="s">
        <v>88</v>
      </c>
      <c r="F30" t="s">
        <v>64</v>
      </c>
      <c r="K30">
        <v>720000</v>
      </c>
      <c r="L30" t="s">
        <v>65</v>
      </c>
      <c r="N30" s="5" t="s">
        <v>113</v>
      </c>
      <c r="O30" s="13">
        <v>690000</v>
      </c>
      <c r="P30" t="str">
        <f t="shared" si="1"/>
        <v>OK</v>
      </c>
      <c r="Q30" s="22">
        <f t="shared" si="0"/>
        <v>30000</v>
      </c>
    </row>
    <row r="31" spans="1:17" x14ac:dyDescent="0.25">
      <c r="A31">
        <v>71</v>
      </c>
      <c r="B31" t="s">
        <v>115</v>
      </c>
      <c r="C31" t="s">
        <v>61</v>
      </c>
      <c r="D31" t="s">
        <v>116</v>
      </c>
      <c r="E31" t="s">
        <v>88</v>
      </c>
      <c r="F31" t="s">
        <v>64</v>
      </c>
      <c r="K31">
        <v>1500000</v>
      </c>
      <c r="L31" t="s">
        <v>65</v>
      </c>
      <c r="N31" s="5" t="s">
        <v>115</v>
      </c>
      <c r="O31" s="13">
        <v>1430000</v>
      </c>
      <c r="P31" t="str">
        <f t="shared" si="1"/>
        <v>OK</v>
      </c>
      <c r="Q31" s="22">
        <f t="shared" si="0"/>
        <v>70000</v>
      </c>
    </row>
    <row r="32" spans="1:17" x14ac:dyDescent="0.25">
      <c r="A32">
        <v>72</v>
      </c>
      <c r="B32" t="s">
        <v>117</v>
      </c>
      <c r="C32" t="s">
        <v>61</v>
      </c>
      <c r="D32" t="s">
        <v>118</v>
      </c>
      <c r="E32" t="s">
        <v>109</v>
      </c>
      <c r="F32" t="s">
        <v>64</v>
      </c>
      <c r="K32">
        <v>820000</v>
      </c>
      <c r="L32" t="s">
        <v>65</v>
      </c>
      <c r="N32" s="5" t="s">
        <v>117</v>
      </c>
      <c r="O32" s="13">
        <v>780000</v>
      </c>
      <c r="P32" t="str">
        <f t="shared" si="1"/>
        <v>OK</v>
      </c>
      <c r="Q32" s="22">
        <f t="shared" si="0"/>
        <v>40000</v>
      </c>
    </row>
    <row r="33" spans="1:17" x14ac:dyDescent="0.25">
      <c r="A33">
        <v>73</v>
      </c>
      <c r="B33" t="s">
        <v>119</v>
      </c>
      <c r="C33" t="s">
        <v>61</v>
      </c>
      <c r="D33" t="s">
        <v>120</v>
      </c>
      <c r="E33" t="s">
        <v>63</v>
      </c>
      <c r="F33" t="s">
        <v>64</v>
      </c>
      <c r="K33">
        <v>820000</v>
      </c>
      <c r="L33" t="s">
        <v>65</v>
      </c>
      <c r="N33" s="5" t="s">
        <v>119</v>
      </c>
      <c r="O33" s="13">
        <v>780000</v>
      </c>
      <c r="P33" t="str">
        <f t="shared" si="1"/>
        <v>OK</v>
      </c>
      <c r="Q33" s="22">
        <f t="shared" si="0"/>
        <v>40000</v>
      </c>
    </row>
    <row r="34" spans="1:17" ht="25.5" x14ac:dyDescent="0.25">
      <c r="A34">
        <v>74</v>
      </c>
      <c r="B34" t="s">
        <v>121</v>
      </c>
      <c r="C34" t="s">
        <v>61</v>
      </c>
      <c r="D34" t="s">
        <v>122</v>
      </c>
      <c r="E34" t="s">
        <v>81</v>
      </c>
      <c r="F34" t="s">
        <v>64</v>
      </c>
      <c r="K34">
        <v>1320000</v>
      </c>
      <c r="L34" t="s">
        <v>65</v>
      </c>
      <c r="N34" s="5" t="s">
        <v>121</v>
      </c>
      <c r="O34" s="13">
        <v>1270000</v>
      </c>
      <c r="P34" t="str">
        <f t="shared" si="1"/>
        <v>OK</v>
      </c>
      <c r="Q34" s="22">
        <f t="shared" si="0"/>
        <v>50000</v>
      </c>
    </row>
    <row r="35" spans="1:17" ht="25.5" x14ac:dyDescent="0.25">
      <c r="A35">
        <v>77</v>
      </c>
      <c r="B35" t="s">
        <v>123</v>
      </c>
      <c r="C35" t="s">
        <v>61</v>
      </c>
      <c r="D35" t="s">
        <v>124</v>
      </c>
      <c r="E35" t="s">
        <v>75</v>
      </c>
      <c r="F35" t="s">
        <v>64</v>
      </c>
      <c r="K35">
        <v>450000</v>
      </c>
      <c r="L35" t="s">
        <v>65</v>
      </c>
      <c r="N35" s="5" t="s">
        <v>123</v>
      </c>
      <c r="O35" s="13">
        <v>430000</v>
      </c>
      <c r="P35" t="str">
        <f t="shared" si="1"/>
        <v>OK</v>
      </c>
      <c r="Q35" s="22">
        <f t="shared" si="0"/>
        <v>20000</v>
      </c>
    </row>
    <row r="36" spans="1:17" x14ac:dyDescent="0.25">
      <c r="A36">
        <v>303</v>
      </c>
      <c r="B36" t="s">
        <v>125</v>
      </c>
      <c r="C36" t="s">
        <v>61</v>
      </c>
      <c r="D36" t="s">
        <v>126</v>
      </c>
      <c r="E36" t="s">
        <v>81</v>
      </c>
      <c r="F36" t="s">
        <v>64</v>
      </c>
      <c r="K36">
        <v>1070000</v>
      </c>
      <c r="L36" t="s">
        <v>65</v>
      </c>
      <c r="N36" s="5" t="s">
        <v>125</v>
      </c>
      <c r="O36" s="13">
        <v>1020000</v>
      </c>
      <c r="P36" t="str">
        <f t="shared" si="1"/>
        <v>OK</v>
      </c>
      <c r="Q36" s="22">
        <f t="shared" si="0"/>
        <v>50000</v>
      </c>
    </row>
    <row r="37" spans="1:17" ht="25.5" x14ac:dyDescent="0.25">
      <c r="A37">
        <v>348</v>
      </c>
      <c r="B37" t="s">
        <v>134</v>
      </c>
      <c r="C37" t="s">
        <v>61</v>
      </c>
      <c r="D37" t="s">
        <v>135</v>
      </c>
      <c r="E37" t="s">
        <v>75</v>
      </c>
      <c r="F37" t="s">
        <v>64</v>
      </c>
      <c r="K37">
        <v>350000</v>
      </c>
      <c r="L37" t="s">
        <v>65</v>
      </c>
      <c r="N37" s="5" t="s">
        <v>134</v>
      </c>
      <c r="O37" s="13">
        <v>350000</v>
      </c>
      <c r="P37" t="str">
        <f t="shared" si="1"/>
        <v>OK</v>
      </c>
      <c r="Q37" s="22">
        <f t="shared" si="0"/>
        <v>0</v>
      </c>
    </row>
    <row r="38" spans="1:17" ht="25.5" x14ac:dyDescent="0.25">
      <c r="A38">
        <v>338</v>
      </c>
      <c r="B38" t="s">
        <v>136</v>
      </c>
      <c r="C38" t="s">
        <v>61</v>
      </c>
      <c r="D38" t="s">
        <v>137</v>
      </c>
      <c r="E38" t="s">
        <v>91</v>
      </c>
      <c r="F38" t="s">
        <v>64</v>
      </c>
      <c r="K38">
        <v>550000</v>
      </c>
      <c r="L38" t="s">
        <v>65</v>
      </c>
      <c r="N38" s="5" t="s">
        <v>136</v>
      </c>
      <c r="O38" s="13">
        <v>550000</v>
      </c>
      <c r="P38" t="str">
        <f t="shared" si="1"/>
        <v>OK</v>
      </c>
      <c r="Q38" s="22">
        <f t="shared" si="0"/>
        <v>0</v>
      </c>
    </row>
    <row r="39" spans="1:17" x14ac:dyDescent="0.25">
      <c r="A39">
        <v>313</v>
      </c>
      <c r="B39" t="s">
        <v>142</v>
      </c>
      <c r="C39" t="s">
        <v>61</v>
      </c>
      <c r="D39" t="s">
        <v>143</v>
      </c>
      <c r="E39" t="s">
        <v>109</v>
      </c>
      <c r="F39" t="s">
        <v>64</v>
      </c>
      <c r="K39">
        <v>450000</v>
      </c>
      <c r="L39" t="s">
        <v>65</v>
      </c>
      <c r="N39" s="5" t="s">
        <v>142</v>
      </c>
      <c r="O39" s="13">
        <v>450000</v>
      </c>
      <c r="P39" t="str">
        <f t="shared" si="1"/>
        <v>OK</v>
      </c>
      <c r="Q39" s="22">
        <f t="shared" si="0"/>
        <v>0</v>
      </c>
    </row>
    <row r="40" spans="1:17" x14ac:dyDescent="0.25">
      <c r="A40">
        <v>324</v>
      </c>
      <c r="B40" t="s">
        <v>144</v>
      </c>
      <c r="C40" t="s">
        <v>61</v>
      </c>
      <c r="D40" t="s">
        <v>145</v>
      </c>
      <c r="E40" t="s">
        <v>75</v>
      </c>
      <c r="F40" t="s">
        <v>64</v>
      </c>
      <c r="K40">
        <v>330000</v>
      </c>
      <c r="L40" t="s">
        <v>65</v>
      </c>
      <c r="N40" s="5" t="s">
        <v>144</v>
      </c>
      <c r="O40" s="13">
        <v>320000</v>
      </c>
      <c r="P40" t="str">
        <f t="shared" si="1"/>
        <v>OK</v>
      </c>
      <c r="Q40" s="22">
        <f t="shared" si="0"/>
        <v>10000</v>
      </c>
    </row>
    <row r="41" spans="1:17" x14ac:dyDescent="0.25">
      <c r="A41">
        <v>340</v>
      </c>
      <c r="B41" t="s">
        <v>146</v>
      </c>
      <c r="C41" t="s">
        <v>61</v>
      </c>
      <c r="D41" t="s">
        <v>147</v>
      </c>
      <c r="E41" t="s">
        <v>102</v>
      </c>
      <c r="F41" t="s">
        <v>64</v>
      </c>
      <c r="K41">
        <v>200000</v>
      </c>
      <c r="L41" t="s">
        <v>65</v>
      </c>
      <c r="N41" s="5" t="s">
        <v>146</v>
      </c>
      <c r="O41" s="13">
        <v>200000</v>
      </c>
      <c r="P41" t="str">
        <f t="shared" si="1"/>
        <v>OK</v>
      </c>
      <c r="Q41" s="22">
        <f t="shared" si="0"/>
        <v>0</v>
      </c>
    </row>
    <row r="42" spans="1:17" ht="25.5" x14ac:dyDescent="0.25">
      <c r="A42">
        <v>349</v>
      </c>
      <c r="B42" t="s">
        <v>148</v>
      </c>
      <c r="C42" t="s">
        <v>61</v>
      </c>
      <c r="D42" t="s">
        <v>149</v>
      </c>
      <c r="E42" t="s">
        <v>109</v>
      </c>
      <c r="F42" t="s">
        <v>64</v>
      </c>
      <c r="K42">
        <v>930000</v>
      </c>
      <c r="L42" t="s">
        <v>65</v>
      </c>
      <c r="N42" s="5" t="s">
        <v>148</v>
      </c>
      <c r="O42" s="13">
        <v>880000</v>
      </c>
      <c r="P42" t="str">
        <f t="shared" si="1"/>
        <v>OK</v>
      </c>
      <c r="Q42" s="22">
        <f t="shared" si="0"/>
        <v>50000</v>
      </c>
    </row>
    <row r="43" spans="1:17" ht="25.5" x14ac:dyDescent="0.25">
      <c r="A43">
        <v>299</v>
      </c>
      <c r="B43" t="s">
        <v>138</v>
      </c>
      <c r="C43" t="s">
        <v>61</v>
      </c>
      <c r="D43" t="s">
        <v>139</v>
      </c>
      <c r="E43" t="s">
        <v>88</v>
      </c>
      <c r="F43" t="s">
        <v>64</v>
      </c>
      <c r="K43">
        <v>330000</v>
      </c>
      <c r="L43" t="s">
        <v>65</v>
      </c>
      <c r="N43" s="5" t="s">
        <v>138</v>
      </c>
      <c r="O43" s="13">
        <v>320000</v>
      </c>
      <c r="P43" t="str">
        <f t="shared" si="1"/>
        <v>OK</v>
      </c>
      <c r="Q43" s="22">
        <f t="shared" si="0"/>
        <v>10000</v>
      </c>
    </row>
    <row r="44" spans="1:17" x14ac:dyDescent="0.25">
      <c r="A44">
        <v>295</v>
      </c>
      <c r="B44" t="s">
        <v>140</v>
      </c>
      <c r="C44" t="s">
        <v>61</v>
      </c>
      <c r="D44" t="s">
        <v>141</v>
      </c>
      <c r="E44" t="s">
        <v>129</v>
      </c>
      <c r="F44" t="s">
        <v>64</v>
      </c>
      <c r="K44">
        <v>600000</v>
      </c>
      <c r="L44" t="s">
        <v>65</v>
      </c>
      <c r="N44" s="5" t="s">
        <v>140</v>
      </c>
      <c r="O44" s="13">
        <v>570000</v>
      </c>
      <c r="P44" t="str">
        <f t="shared" si="1"/>
        <v>OK</v>
      </c>
      <c r="Q44" s="22">
        <f t="shared" si="0"/>
        <v>30000</v>
      </c>
    </row>
    <row r="45" spans="1:17" ht="25.5" x14ac:dyDescent="0.25">
      <c r="A45">
        <v>272</v>
      </c>
      <c r="B45" t="s">
        <v>150</v>
      </c>
      <c r="C45" t="s">
        <v>61</v>
      </c>
      <c r="D45" t="s">
        <v>151</v>
      </c>
      <c r="E45" t="s">
        <v>91</v>
      </c>
      <c r="F45" t="s">
        <v>64</v>
      </c>
      <c r="K45">
        <v>360000</v>
      </c>
      <c r="L45" t="s">
        <v>65</v>
      </c>
      <c r="N45" s="5" t="s">
        <v>150</v>
      </c>
      <c r="O45" s="13">
        <v>350000</v>
      </c>
      <c r="P45" t="str">
        <f t="shared" si="1"/>
        <v>OK</v>
      </c>
      <c r="Q45" s="22">
        <f t="shared" si="0"/>
        <v>10000</v>
      </c>
    </row>
    <row r="46" spans="1:17" ht="25.5" x14ac:dyDescent="0.25">
      <c r="A46">
        <v>83</v>
      </c>
      <c r="B46" t="s">
        <v>152</v>
      </c>
      <c r="C46" t="s">
        <v>61</v>
      </c>
      <c r="D46" t="s">
        <v>153</v>
      </c>
      <c r="E46" t="s">
        <v>91</v>
      </c>
      <c r="F46" t="s">
        <v>64</v>
      </c>
      <c r="K46">
        <v>690000</v>
      </c>
      <c r="L46" t="s">
        <v>65</v>
      </c>
      <c r="N46" s="5" t="s">
        <v>152</v>
      </c>
      <c r="O46" s="13">
        <v>660000</v>
      </c>
      <c r="P46" t="str">
        <f t="shared" si="1"/>
        <v>OK</v>
      </c>
      <c r="Q46" s="22">
        <f t="shared" si="0"/>
        <v>30000</v>
      </c>
    </row>
    <row r="47" spans="1:17" ht="25.5" x14ac:dyDescent="0.25">
      <c r="A47">
        <v>84</v>
      </c>
      <c r="B47" t="s">
        <v>154</v>
      </c>
      <c r="C47" t="s">
        <v>61</v>
      </c>
      <c r="D47" t="s">
        <v>155</v>
      </c>
      <c r="E47" t="s">
        <v>78</v>
      </c>
      <c r="F47" t="s">
        <v>64</v>
      </c>
      <c r="K47">
        <v>350000</v>
      </c>
      <c r="L47" t="s">
        <v>65</v>
      </c>
      <c r="N47" s="5" t="s">
        <v>154</v>
      </c>
      <c r="O47" s="13">
        <v>330000</v>
      </c>
      <c r="P47" t="str">
        <f t="shared" si="1"/>
        <v>OK</v>
      </c>
      <c r="Q47" s="22">
        <f t="shared" si="0"/>
        <v>20000</v>
      </c>
    </row>
    <row r="48" spans="1:17" ht="25.5" x14ac:dyDescent="0.25">
      <c r="A48">
        <v>329</v>
      </c>
      <c r="B48" t="s">
        <v>156</v>
      </c>
      <c r="C48" t="s">
        <v>61</v>
      </c>
      <c r="D48" t="s">
        <v>157</v>
      </c>
      <c r="E48" t="s">
        <v>70</v>
      </c>
      <c r="F48" t="s">
        <v>64</v>
      </c>
      <c r="K48">
        <v>350000</v>
      </c>
      <c r="L48" t="s">
        <v>65</v>
      </c>
      <c r="N48" s="5" t="s">
        <v>156</v>
      </c>
      <c r="O48" s="13">
        <v>330000</v>
      </c>
      <c r="P48" t="str">
        <f t="shared" si="1"/>
        <v>OK</v>
      </c>
      <c r="Q48" s="22">
        <f t="shared" si="0"/>
        <v>20000</v>
      </c>
    </row>
    <row r="49" spans="1:17" ht="25.5" x14ac:dyDescent="0.25">
      <c r="A49">
        <v>85</v>
      </c>
      <c r="B49" t="s">
        <v>158</v>
      </c>
      <c r="C49" t="s">
        <v>61</v>
      </c>
      <c r="D49" t="s">
        <v>159</v>
      </c>
      <c r="E49" t="s">
        <v>88</v>
      </c>
      <c r="F49" t="s">
        <v>64</v>
      </c>
      <c r="K49">
        <v>640000</v>
      </c>
      <c r="L49" t="s">
        <v>65</v>
      </c>
      <c r="N49" s="5" t="s">
        <v>158</v>
      </c>
      <c r="O49" s="13">
        <v>610000</v>
      </c>
      <c r="P49" t="str">
        <f t="shared" si="1"/>
        <v>OK</v>
      </c>
      <c r="Q49" s="22">
        <f t="shared" si="0"/>
        <v>30000</v>
      </c>
    </row>
    <row r="50" spans="1:17" x14ac:dyDescent="0.25">
      <c r="A50">
        <v>273</v>
      </c>
      <c r="B50" t="s">
        <v>160</v>
      </c>
      <c r="C50" t="s">
        <v>61</v>
      </c>
      <c r="D50" t="s">
        <v>161</v>
      </c>
      <c r="E50" t="s">
        <v>102</v>
      </c>
      <c r="F50" t="s">
        <v>64</v>
      </c>
      <c r="K50">
        <v>640000</v>
      </c>
      <c r="L50" t="s">
        <v>65</v>
      </c>
      <c r="N50" s="5" t="s">
        <v>160</v>
      </c>
      <c r="O50" s="13">
        <v>610000</v>
      </c>
      <c r="P50" t="str">
        <f t="shared" si="1"/>
        <v>OK</v>
      </c>
      <c r="Q50" s="22">
        <f t="shared" si="0"/>
        <v>30000</v>
      </c>
    </row>
    <row r="51" spans="1:17" x14ac:dyDescent="0.25">
      <c r="A51">
        <v>87</v>
      </c>
      <c r="B51" t="s">
        <v>162</v>
      </c>
      <c r="C51" t="s">
        <v>61</v>
      </c>
      <c r="D51" t="s">
        <v>163</v>
      </c>
      <c r="E51" t="s">
        <v>70</v>
      </c>
      <c r="F51" t="s">
        <v>64</v>
      </c>
      <c r="K51">
        <v>0</v>
      </c>
      <c r="L51" t="s">
        <v>65</v>
      </c>
      <c r="N51" s="5" t="s">
        <v>162</v>
      </c>
      <c r="O51" s="13">
        <v>0</v>
      </c>
      <c r="P51" t="str">
        <f t="shared" si="1"/>
        <v>OK</v>
      </c>
      <c r="Q51" s="22">
        <f t="shared" si="0"/>
        <v>0</v>
      </c>
    </row>
    <row r="52" spans="1:17" ht="25.5" x14ac:dyDescent="0.25">
      <c r="A52">
        <v>88</v>
      </c>
      <c r="B52" t="s">
        <v>164</v>
      </c>
      <c r="C52" t="s">
        <v>61</v>
      </c>
      <c r="D52" t="s">
        <v>165</v>
      </c>
      <c r="E52" t="s">
        <v>129</v>
      </c>
      <c r="F52" t="s">
        <v>64</v>
      </c>
      <c r="K52">
        <v>590000</v>
      </c>
      <c r="L52" t="s">
        <v>65</v>
      </c>
      <c r="N52" s="5" t="s">
        <v>164</v>
      </c>
      <c r="O52" s="13">
        <v>560000</v>
      </c>
      <c r="P52" t="str">
        <f t="shared" si="1"/>
        <v>OK</v>
      </c>
      <c r="Q52" s="22">
        <f t="shared" si="0"/>
        <v>30000</v>
      </c>
    </row>
    <row r="53" spans="1:17" ht="25.5" x14ac:dyDescent="0.25">
      <c r="A53">
        <v>309</v>
      </c>
      <c r="B53" t="s">
        <v>166</v>
      </c>
      <c r="C53" t="s">
        <v>61</v>
      </c>
      <c r="D53" t="s">
        <v>167</v>
      </c>
      <c r="E53" t="s">
        <v>63</v>
      </c>
      <c r="F53" t="s">
        <v>64</v>
      </c>
      <c r="K53">
        <v>170000</v>
      </c>
      <c r="L53" t="s">
        <v>65</v>
      </c>
      <c r="N53" s="5" t="s">
        <v>166</v>
      </c>
      <c r="O53" s="13">
        <v>160000</v>
      </c>
      <c r="P53" t="str">
        <f t="shared" si="1"/>
        <v>OK</v>
      </c>
      <c r="Q53" s="22">
        <f t="shared" si="0"/>
        <v>10000</v>
      </c>
    </row>
    <row r="54" spans="1:17" ht="25.5" x14ac:dyDescent="0.25">
      <c r="A54">
        <v>244</v>
      </c>
      <c r="B54" t="s">
        <v>168</v>
      </c>
      <c r="C54" t="s">
        <v>61</v>
      </c>
      <c r="D54" t="s">
        <v>169</v>
      </c>
      <c r="E54" t="s">
        <v>88</v>
      </c>
      <c r="F54" t="s">
        <v>64</v>
      </c>
      <c r="K54">
        <v>300000</v>
      </c>
      <c r="L54" t="s">
        <v>65</v>
      </c>
      <c r="N54" s="5" t="s">
        <v>168</v>
      </c>
      <c r="O54" s="13">
        <v>290000</v>
      </c>
      <c r="P54" t="str">
        <f t="shared" si="1"/>
        <v>OK</v>
      </c>
      <c r="Q54" s="22">
        <f t="shared" si="0"/>
        <v>10000</v>
      </c>
    </row>
    <row r="55" spans="1:17" ht="25.5" x14ac:dyDescent="0.25">
      <c r="A55">
        <v>91</v>
      </c>
      <c r="B55" t="s">
        <v>170</v>
      </c>
      <c r="C55" t="s">
        <v>61</v>
      </c>
      <c r="D55" t="s">
        <v>171</v>
      </c>
      <c r="E55" t="s">
        <v>91</v>
      </c>
      <c r="F55" t="s">
        <v>64</v>
      </c>
      <c r="K55">
        <v>360000</v>
      </c>
      <c r="L55" t="s">
        <v>65</v>
      </c>
      <c r="N55" s="4" t="s">
        <v>170</v>
      </c>
      <c r="O55" s="15">
        <v>350000</v>
      </c>
      <c r="P55" t="str">
        <f t="shared" si="1"/>
        <v>OK</v>
      </c>
      <c r="Q55" s="22">
        <f t="shared" si="0"/>
        <v>10000</v>
      </c>
    </row>
    <row r="56" spans="1:17" ht="25.5" x14ac:dyDescent="0.25">
      <c r="A56">
        <v>222</v>
      </c>
      <c r="B56" t="s">
        <v>172</v>
      </c>
      <c r="C56" t="s">
        <v>61</v>
      </c>
      <c r="D56" t="s">
        <v>173</v>
      </c>
      <c r="E56" t="s">
        <v>75</v>
      </c>
      <c r="F56" t="s">
        <v>64</v>
      </c>
      <c r="K56">
        <v>5130000</v>
      </c>
      <c r="L56" t="s">
        <v>65</v>
      </c>
      <c r="N56" s="5" t="s">
        <v>172</v>
      </c>
      <c r="O56" s="13">
        <v>4880000</v>
      </c>
      <c r="P56" t="str">
        <f t="shared" si="1"/>
        <v>OK</v>
      </c>
      <c r="Q56" s="22">
        <f t="shared" si="0"/>
        <v>250000</v>
      </c>
    </row>
    <row r="57" spans="1:17" ht="25.5" x14ac:dyDescent="0.25">
      <c r="A57">
        <v>92</v>
      </c>
      <c r="B57" t="s">
        <v>174</v>
      </c>
      <c r="C57" t="s">
        <v>61</v>
      </c>
      <c r="D57" t="s">
        <v>175</v>
      </c>
      <c r="E57" t="s">
        <v>102</v>
      </c>
      <c r="F57" t="s">
        <v>64</v>
      </c>
      <c r="K57">
        <v>360000</v>
      </c>
      <c r="L57" t="s">
        <v>65</v>
      </c>
      <c r="N57" s="5" t="s">
        <v>174</v>
      </c>
      <c r="O57" s="13">
        <v>350000</v>
      </c>
      <c r="P57" t="str">
        <f t="shared" si="1"/>
        <v>OK</v>
      </c>
      <c r="Q57" s="22">
        <f t="shared" si="0"/>
        <v>10000</v>
      </c>
    </row>
    <row r="58" spans="1:17" ht="25.5" x14ac:dyDescent="0.25">
      <c r="A58">
        <v>287</v>
      </c>
      <c r="B58" t="s">
        <v>176</v>
      </c>
      <c r="C58" t="s">
        <v>61</v>
      </c>
      <c r="D58" t="s">
        <v>177</v>
      </c>
      <c r="E58" t="s">
        <v>88</v>
      </c>
      <c r="F58" t="s">
        <v>64</v>
      </c>
      <c r="K58">
        <v>170000</v>
      </c>
      <c r="L58" t="s">
        <v>65</v>
      </c>
      <c r="N58" s="5" t="s">
        <v>176</v>
      </c>
      <c r="O58" s="13">
        <v>160000</v>
      </c>
      <c r="P58" t="str">
        <f t="shared" si="1"/>
        <v>OK</v>
      </c>
      <c r="Q58" s="22">
        <f t="shared" si="0"/>
        <v>10000</v>
      </c>
    </row>
    <row r="59" spans="1:17" x14ac:dyDescent="0.25">
      <c r="A59">
        <v>95</v>
      </c>
      <c r="B59" t="s">
        <v>178</v>
      </c>
      <c r="C59" t="s">
        <v>61</v>
      </c>
      <c r="D59" t="s">
        <v>179</v>
      </c>
      <c r="E59" t="s">
        <v>70</v>
      </c>
      <c r="F59" t="s">
        <v>64</v>
      </c>
      <c r="K59">
        <v>1120000</v>
      </c>
      <c r="L59" t="s">
        <v>65</v>
      </c>
      <c r="N59" s="5" t="s">
        <v>178</v>
      </c>
      <c r="O59" s="13">
        <v>1060000</v>
      </c>
      <c r="P59" t="str">
        <f t="shared" si="1"/>
        <v>OK</v>
      </c>
      <c r="Q59" s="22">
        <f t="shared" si="0"/>
        <v>60000</v>
      </c>
    </row>
    <row r="60" spans="1:17" x14ac:dyDescent="0.25">
      <c r="A60">
        <v>96</v>
      </c>
      <c r="B60" t="s">
        <v>180</v>
      </c>
      <c r="C60" t="s">
        <v>61</v>
      </c>
      <c r="D60" t="s">
        <v>181</v>
      </c>
      <c r="E60" t="s">
        <v>78</v>
      </c>
      <c r="F60" t="s">
        <v>64</v>
      </c>
      <c r="K60">
        <v>1340000</v>
      </c>
      <c r="L60" t="s">
        <v>65</v>
      </c>
      <c r="N60" s="5" t="s">
        <v>180</v>
      </c>
      <c r="O60" s="13">
        <v>1300000</v>
      </c>
      <c r="P60" t="str">
        <f t="shared" si="1"/>
        <v>OK</v>
      </c>
      <c r="Q60" s="22">
        <f t="shared" si="0"/>
        <v>40000</v>
      </c>
    </row>
    <row r="61" spans="1:17" x14ac:dyDescent="0.25">
      <c r="A61">
        <v>97</v>
      </c>
      <c r="B61" t="s">
        <v>182</v>
      </c>
      <c r="C61" t="s">
        <v>61</v>
      </c>
      <c r="D61" t="s">
        <v>183</v>
      </c>
      <c r="E61" t="s">
        <v>75</v>
      </c>
      <c r="F61" t="s">
        <v>64</v>
      </c>
      <c r="K61">
        <v>1340000</v>
      </c>
      <c r="L61" t="s">
        <v>65</v>
      </c>
      <c r="N61" s="5" t="s">
        <v>182</v>
      </c>
      <c r="O61" s="13">
        <v>1300000</v>
      </c>
      <c r="P61" t="str">
        <f t="shared" si="1"/>
        <v>OK</v>
      </c>
      <c r="Q61" s="22">
        <f t="shared" si="0"/>
        <v>40000</v>
      </c>
    </row>
    <row r="62" spans="1:17" x14ac:dyDescent="0.25">
      <c r="A62">
        <v>98</v>
      </c>
      <c r="B62" t="s">
        <v>184</v>
      </c>
      <c r="C62" t="s">
        <v>61</v>
      </c>
      <c r="D62" t="s">
        <v>185</v>
      </c>
      <c r="E62" t="s">
        <v>91</v>
      </c>
      <c r="F62" t="s">
        <v>64</v>
      </c>
      <c r="K62">
        <v>860000</v>
      </c>
      <c r="L62" t="s">
        <v>65</v>
      </c>
      <c r="N62" s="5" t="s">
        <v>184</v>
      </c>
      <c r="O62" s="13">
        <v>820000</v>
      </c>
      <c r="P62" t="str">
        <f t="shared" si="1"/>
        <v>OK</v>
      </c>
      <c r="Q62" s="22">
        <f t="shared" si="0"/>
        <v>40000</v>
      </c>
    </row>
    <row r="63" spans="1:17" ht="25.5" x14ac:dyDescent="0.25">
      <c r="A63">
        <v>12</v>
      </c>
      <c r="B63" t="s">
        <v>186</v>
      </c>
      <c r="C63" t="s">
        <v>61</v>
      </c>
      <c r="D63" t="s">
        <v>187</v>
      </c>
      <c r="E63" t="s">
        <v>70</v>
      </c>
      <c r="F63" t="s">
        <v>64</v>
      </c>
      <c r="K63">
        <v>860000</v>
      </c>
      <c r="L63" t="s">
        <v>65</v>
      </c>
      <c r="N63" s="5" t="s">
        <v>186</v>
      </c>
      <c r="O63" s="13">
        <v>820000</v>
      </c>
      <c r="P63" t="str">
        <f t="shared" si="1"/>
        <v>OK</v>
      </c>
      <c r="Q63" s="22">
        <f t="shared" si="0"/>
        <v>40000</v>
      </c>
    </row>
    <row r="64" spans="1:17" x14ac:dyDescent="0.25">
      <c r="A64">
        <v>46</v>
      </c>
      <c r="B64" t="s">
        <v>37</v>
      </c>
      <c r="C64" t="s">
        <v>61</v>
      </c>
      <c r="D64" t="s">
        <v>188</v>
      </c>
      <c r="E64" t="s">
        <v>88</v>
      </c>
      <c r="F64" t="s">
        <v>64</v>
      </c>
      <c r="K64">
        <v>420000</v>
      </c>
      <c r="L64" t="s">
        <v>65</v>
      </c>
      <c r="N64" s="12" t="s">
        <v>37</v>
      </c>
      <c r="O64" s="19">
        <v>400000</v>
      </c>
      <c r="P64" t="str">
        <f t="shared" si="1"/>
        <v>OK</v>
      </c>
      <c r="Q64" s="22">
        <f t="shared" si="0"/>
        <v>20000</v>
      </c>
    </row>
    <row r="65" spans="1:17" ht="25.5" x14ac:dyDescent="0.25">
      <c r="A65">
        <v>233</v>
      </c>
      <c r="B65" t="s">
        <v>189</v>
      </c>
      <c r="C65" t="s">
        <v>61</v>
      </c>
      <c r="D65" t="s">
        <v>190</v>
      </c>
      <c r="E65" t="s">
        <v>102</v>
      </c>
      <c r="F65" t="s">
        <v>64</v>
      </c>
      <c r="K65">
        <v>400000</v>
      </c>
      <c r="L65" t="s">
        <v>65</v>
      </c>
      <c r="N65" s="5" t="s">
        <v>189</v>
      </c>
      <c r="O65" s="13">
        <v>400000</v>
      </c>
      <c r="P65" t="str">
        <f t="shared" si="1"/>
        <v>OK</v>
      </c>
      <c r="Q65" s="22">
        <f t="shared" si="0"/>
        <v>0</v>
      </c>
    </row>
    <row r="66" spans="1:17" ht="25.5" x14ac:dyDescent="0.25">
      <c r="A66">
        <v>330</v>
      </c>
      <c r="B66" t="s">
        <v>191</v>
      </c>
      <c r="C66" t="s">
        <v>61</v>
      </c>
      <c r="D66" t="s">
        <v>192</v>
      </c>
      <c r="E66" t="s">
        <v>81</v>
      </c>
      <c r="F66" t="s">
        <v>64</v>
      </c>
      <c r="K66">
        <v>1060000</v>
      </c>
      <c r="L66" t="s">
        <v>65</v>
      </c>
      <c r="N66" s="4" t="s">
        <v>191</v>
      </c>
      <c r="O66" s="15">
        <v>1000000</v>
      </c>
      <c r="P66" t="str">
        <f t="shared" si="1"/>
        <v>OK</v>
      </c>
      <c r="Q66" s="22">
        <f t="shared" si="0"/>
        <v>60000</v>
      </c>
    </row>
    <row r="67" spans="1:17" x14ac:dyDescent="0.25">
      <c r="A67">
        <v>223</v>
      </c>
      <c r="B67" t="s">
        <v>193</v>
      </c>
      <c r="C67" t="s">
        <v>61</v>
      </c>
      <c r="D67" t="s">
        <v>194</v>
      </c>
      <c r="E67" t="s">
        <v>75</v>
      </c>
      <c r="F67" t="s">
        <v>64</v>
      </c>
      <c r="K67">
        <v>450000</v>
      </c>
      <c r="L67" t="s">
        <v>65</v>
      </c>
      <c r="N67" s="5" t="s">
        <v>193</v>
      </c>
      <c r="O67" s="13">
        <v>430000</v>
      </c>
      <c r="P67" t="str">
        <f t="shared" si="1"/>
        <v>OK</v>
      </c>
      <c r="Q67" s="22">
        <f t="shared" ref="Q67:Q129" si="2">+K67-O67</f>
        <v>20000</v>
      </c>
    </row>
    <row r="68" spans="1:17" ht="25.5" x14ac:dyDescent="0.25">
      <c r="A68">
        <v>101</v>
      </c>
      <c r="B68" t="s">
        <v>195</v>
      </c>
      <c r="C68" t="s">
        <v>61</v>
      </c>
      <c r="D68" t="s">
        <v>196</v>
      </c>
      <c r="E68" t="s">
        <v>70</v>
      </c>
      <c r="F68" t="s">
        <v>64</v>
      </c>
      <c r="K68">
        <v>1380000</v>
      </c>
      <c r="L68" t="s">
        <v>65</v>
      </c>
      <c r="N68" s="5" t="s">
        <v>195</v>
      </c>
      <c r="O68" s="13">
        <v>1340000</v>
      </c>
      <c r="P68" t="str">
        <f t="shared" si="1"/>
        <v>OK</v>
      </c>
      <c r="Q68" s="22">
        <f t="shared" si="2"/>
        <v>40000</v>
      </c>
    </row>
    <row r="69" spans="1:17" ht="25.5" x14ac:dyDescent="0.25">
      <c r="A69">
        <v>263</v>
      </c>
      <c r="B69" t="s">
        <v>197</v>
      </c>
      <c r="C69" t="s">
        <v>61</v>
      </c>
      <c r="D69" t="s">
        <v>198</v>
      </c>
      <c r="E69" t="s">
        <v>75</v>
      </c>
      <c r="F69" t="s">
        <v>64</v>
      </c>
      <c r="K69">
        <v>360000</v>
      </c>
      <c r="L69" t="s">
        <v>65</v>
      </c>
      <c r="N69" s="5" t="s">
        <v>197</v>
      </c>
      <c r="O69" s="13">
        <v>350000</v>
      </c>
      <c r="P69" t="str">
        <f t="shared" ref="P69:P110" si="3">+IF(N69=B69,"OK",0)</f>
        <v>OK</v>
      </c>
      <c r="Q69" s="22">
        <f t="shared" si="2"/>
        <v>10000</v>
      </c>
    </row>
    <row r="70" spans="1:17" ht="25.5" x14ac:dyDescent="0.25">
      <c r="A70">
        <v>57</v>
      </c>
      <c r="B70" t="s">
        <v>224</v>
      </c>
      <c r="C70" t="s">
        <v>61</v>
      </c>
      <c r="D70" t="s">
        <v>225</v>
      </c>
      <c r="E70" t="s">
        <v>88</v>
      </c>
      <c r="F70" t="s">
        <v>64</v>
      </c>
      <c r="K70">
        <v>430000</v>
      </c>
      <c r="L70" t="s">
        <v>65</v>
      </c>
      <c r="N70" s="5" t="s">
        <v>224</v>
      </c>
      <c r="O70" s="13">
        <v>410000</v>
      </c>
      <c r="P70" t="str">
        <f t="shared" si="3"/>
        <v>OK</v>
      </c>
      <c r="Q70" s="22">
        <f t="shared" si="2"/>
        <v>20000</v>
      </c>
    </row>
    <row r="71" spans="1:17" ht="25.5" x14ac:dyDescent="0.25">
      <c r="A71">
        <v>24</v>
      </c>
      <c r="B71" t="s">
        <v>199</v>
      </c>
      <c r="C71" t="s">
        <v>61</v>
      </c>
      <c r="D71" t="s">
        <v>200</v>
      </c>
      <c r="E71" t="s">
        <v>78</v>
      </c>
      <c r="F71" t="s">
        <v>64</v>
      </c>
      <c r="K71">
        <v>500000</v>
      </c>
      <c r="L71" t="s">
        <v>65</v>
      </c>
      <c r="N71" s="5" t="s">
        <v>199</v>
      </c>
      <c r="O71" s="13">
        <v>470000</v>
      </c>
      <c r="P71" t="str">
        <f t="shared" si="3"/>
        <v>OK</v>
      </c>
      <c r="Q71" s="22">
        <f t="shared" si="2"/>
        <v>30000</v>
      </c>
    </row>
    <row r="72" spans="1:17" ht="25.5" x14ac:dyDescent="0.25">
      <c r="A72">
        <v>110</v>
      </c>
      <c r="B72" t="s">
        <v>201</v>
      </c>
      <c r="C72" t="s">
        <v>61</v>
      </c>
      <c r="D72" t="s">
        <v>202</v>
      </c>
      <c r="E72" t="s">
        <v>91</v>
      </c>
      <c r="F72" t="s">
        <v>64</v>
      </c>
      <c r="K72">
        <v>1850000</v>
      </c>
      <c r="L72" t="s">
        <v>65</v>
      </c>
      <c r="N72" s="9" t="s">
        <v>201</v>
      </c>
      <c r="O72" s="20">
        <v>1760000</v>
      </c>
      <c r="P72" t="str">
        <f t="shared" si="3"/>
        <v>OK</v>
      </c>
      <c r="Q72" s="22">
        <f t="shared" si="2"/>
        <v>90000</v>
      </c>
    </row>
    <row r="73" spans="1:17" x14ac:dyDescent="0.25">
      <c r="A73">
        <v>111</v>
      </c>
      <c r="B73" t="s">
        <v>203</v>
      </c>
      <c r="C73" t="s">
        <v>61</v>
      </c>
      <c r="D73" t="s">
        <v>204</v>
      </c>
      <c r="E73" t="s">
        <v>102</v>
      </c>
      <c r="F73" t="s">
        <v>64</v>
      </c>
      <c r="K73">
        <v>1300000</v>
      </c>
      <c r="L73" t="s">
        <v>65</v>
      </c>
      <c r="N73" s="5" t="s">
        <v>203</v>
      </c>
      <c r="O73" s="13">
        <v>1240000</v>
      </c>
      <c r="P73" t="str">
        <f t="shared" si="3"/>
        <v>OK</v>
      </c>
      <c r="Q73" s="22">
        <f t="shared" si="2"/>
        <v>60000</v>
      </c>
    </row>
    <row r="74" spans="1:17" x14ac:dyDescent="0.25">
      <c r="A74">
        <v>343</v>
      </c>
      <c r="B74" t="s">
        <v>205</v>
      </c>
      <c r="C74" t="s">
        <v>61</v>
      </c>
      <c r="D74" t="s">
        <v>206</v>
      </c>
      <c r="E74" t="s">
        <v>78</v>
      </c>
      <c r="F74" t="s">
        <v>64</v>
      </c>
      <c r="K74">
        <v>270000</v>
      </c>
      <c r="L74" t="s">
        <v>65</v>
      </c>
      <c r="N74" s="5" t="s">
        <v>205</v>
      </c>
      <c r="O74" s="13">
        <v>260000</v>
      </c>
      <c r="P74" t="str">
        <f t="shared" si="3"/>
        <v>OK</v>
      </c>
      <c r="Q74" s="22">
        <f t="shared" si="2"/>
        <v>10000</v>
      </c>
    </row>
    <row r="75" spans="1:17" ht="25.5" x14ac:dyDescent="0.25">
      <c r="A75">
        <v>305</v>
      </c>
      <c r="B75" t="s">
        <v>207</v>
      </c>
      <c r="C75" t="s">
        <v>61</v>
      </c>
      <c r="D75" t="s">
        <v>208</v>
      </c>
      <c r="E75" t="s">
        <v>91</v>
      </c>
      <c r="F75" t="s">
        <v>64</v>
      </c>
      <c r="K75">
        <v>390000</v>
      </c>
      <c r="L75" t="s">
        <v>65</v>
      </c>
      <c r="N75" s="5" t="s">
        <v>207</v>
      </c>
      <c r="O75" s="13">
        <v>370000</v>
      </c>
      <c r="P75" t="str">
        <f t="shared" si="3"/>
        <v>OK</v>
      </c>
      <c r="Q75" s="22">
        <f t="shared" si="2"/>
        <v>20000</v>
      </c>
    </row>
    <row r="76" spans="1:17" x14ac:dyDescent="0.25">
      <c r="A76">
        <v>224</v>
      </c>
      <c r="B76" t="s">
        <v>209</v>
      </c>
      <c r="C76" t="s">
        <v>61</v>
      </c>
      <c r="D76" t="s">
        <v>210</v>
      </c>
      <c r="E76" t="s">
        <v>78</v>
      </c>
      <c r="F76" t="s">
        <v>64</v>
      </c>
      <c r="K76">
        <v>360000</v>
      </c>
      <c r="L76" t="s">
        <v>65</v>
      </c>
      <c r="N76" s="5" t="s">
        <v>209</v>
      </c>
      <c r="O76" s="13">
        <v>350000</v>
      </c>
      <c r="P76" t="str">
        <f t="shared" si="3"/>
        <v>OK</v>
      </c>
      <c r="Q76" s="22">
        <f t="shared" si="2"/>
        <v>10000</v>
      </c>
    </row>
    <row r="77" spans="1:17" x14ac:dyDescent="0.25">
      <c r="A77">
        <v>228</v>
      </c>
      <c r="B77" t="s">
        <v>211</v>
      </c>
      <c r="C77" t="s">
        <v>61</v>
      </c>
      <c r="D77" t="s">
        <v>212</v>
      </c>
      <c r="E77" t="s">
        <v>70</v>
      </c>
      <c r="F77" t="s">
        <v>64</v>
      </c>
      <c r="K77">
        <v>360000</v>
      </c>
      <c r="L77" t="s">
        <v>65</v>
      </c>
      <c r="N77" s="4" t="s">
        <v>211</v>
      </c>
      <c r="O77" s="15">
        <v>350000</v>
      </c>
      <c r="P77" t="str">
        <f t="shared" si="3"/>
        <v>OK</v>
      </c>
      <c r="Q77" s="22">
        <f t="shared" si="2"/>
        <v>10000</v>
      </c>
    </row>
    <row r="78" spans="1:17" ht="25.5" x14ac:dyDescent="0.25">
      <c r="A78">
        <v>289</v>
      </c>
      <c r="B78" t="s">
        <v>213</v>
      </c>
      <c r="C78" t="s">
        <v>61</v>
      </c>
      <c r="D78" t="s">
        <v>214</v>
      </c>
      <c r="E78" t="s">
        <v>88</v>
      </c>
      <c r="F78" t="s">
        <v>64</v>
      </c>
      <c r="K78">
        <v>470000</v>
      </c>
      <c r="L78" t="s">
        <v>65</v>
      </c>
      <c r="N78" s="4" t="s">
        <v>213</v>
      </c>
      <c r="O78" s="15">
        <v>450000</v>
      </c>
      <c r="P78" t="str">
        <f t="shared" si="3"/>
        <v>OK</v>
      </c>
      <c r="Q78" s="22">
        <f t="shared" si="2"/>
        <v>20000</v>
      </c>
    </row>
    <row r="79" spans="1:17" ht="25.5" x14ac:dyDescent="0.25">
      <c r="A79">
        <v>112</v>
      </c>
      <c r="B79" t="s">
        <v>30</v>
      </c>
      <c r="C79" t="s">
        <v>61</v>
      </c>
      <c r="D79" t="s">
        <v>215</v>
      </c>
      <c r="E79" t="s">
        <v>109</v>
      </c>
      <c r="F79" t="s">
        <v>64</v>
      </c>
      <c r="K79">
        <v>410000</v>
      </c>
      <c r="L79" t="s">
        <v>65</v>
      </c>
      <c r="N79" s="5" t="s">
        <v>30</v>
      </c>
      <c r="O79" s="13">
        <v>410000</v>
      </c>
      <c r="P79" t="str">
        <f t="shared" si="3"/>
        <v>OK</v>
      </c>
      <c r="Q79" s="22">
        <f t="shared" si="2"/>
        <v>0</v>
      </c>
    </row>
    <row r="80" spans="1:17" x14ac:dyDescent="0.25">
      <c r="A80">
        <v>116</v>
      </c>
      <c r="B80" t="s">
        <v>218</v>
      </c>
      <c r="C80" t="s">
        <v>61</v>
      </c>
      <c r="D80" t="s">
        <v>219</v>
      </c>
      <c r="E80" t="s">
        <v>78</v>
      </c>
      <c r="F80" t="s">
        <v>64</v>
      </c>
      <c r="K80">
        <v>470000</v>
      </c>
      <c r="L80" t="s">
        <v>65</v>
      </c>
      <c r="N80" s="12" t="s">
        <v>218</v>
      </c>
      <c r="O80" s="19">
        <v>450000</v>
      </c>
      <c r="P80" t="str">
        <f t="shared" si="3"/>
        <v>OK</v>
      </c>
      <c r="Q80" s="22">
        <f t="shared" si="2"/>
        <v>20000</v>
      </c>
    </row>
    <row r="81" spans="1:17" ht="25.5" x14ac:dyDescent="0.25">
      <c r="A81">
        <v>331</v>
      </c>
      <c r="B81" t="s">
        <v>220</v>
      </c>
      <c r="C81" t="s">
        <v>61</v>
      </c>
      <c r="D81" t="s">
        <v>221</v>
      </c>
      <c r="E81" t="s">
        <v>88</v>
      </c>
      <c r="F81" t="s">
        <v>64</v>
      </c>
      <c r="K81">
        <v>1060000</v>
      </c>
      <c r="L81" t="s">
        <v>65</v>
      </c>
      <c r="N81" s="5" t="s">
        <v>220</v>
      </c>
      <c r="O81" s="13">
        <v>1000000</v>
      </c>
      <c r="P81" t="str">
        <f t="shared" si="3"/>
        <v>OK</v>
      </c>
      <c r="Q81" s="22">
        <f t="shared" si="2"/>
        <v>60000</v>
      </c>
    </row>
    <row r="82" spans="1:17" ht="25.5" x14ac:dyDescent="0.25">
      <c r="A82">
        <v>242</v>
      </c>
      <c r="B82" t="s">
        <v>222</v>
      </c>
      <c r="C82" t="s">
        <v>61</v>
      </c>
      <c r="D82" t="s">
        <v>223</v>
      </c>
      <c r="E82" t="s">
        <v>102</v>
      </c>
      <c r="F82" t="s">
        <v>64</v>
      </c>
      <c r="K82">
        <v>470000</v>
      </c>
      <c r="L82" t="s">
        <v>65</v>
      </c>
      <c r="N82" s="5" t="s">
        <v>222</v>
      </c>
      <c r="O82" s="13">
        <v>450000</v>
      </c>
      <c r="P82" t="str">
        <f t="shared" si="3"/>
        <v>OK</v>
      </c>
      <c r="Q82" s="22">
        <f t="shared" si="2"/>
        <v>20000</v>
      </c>
    </row>
    <row r="83" spans="1:17" ht="25.5" x14ac:dyDescent="0.25">
      <c r="A83">
        <v>248</v>
      </c>
      <c r="B83" t="s">
        <v>226</v>
      </c>
      <c r="C83" t="s">
        <v>61</v>
      </c>
      <c r="D83" t="s">
        <v>227</v>
      </c>
      <c r="E83" t="s">
        <v>63</v>
      </c>
      <c r="F83" t="s">
        <v>64</v>
      </c>
      <c r="K83">
        <v>260000</v>
      </c>
      <c r="L83" t="s">
        <v>65</v>
      </c>
      <c r="N83" s="5" t="s">
        <v>226</v>
      </c>
      <c r="O83" s="13">
        <v>260000</v>
      </c>
      <c r="P83" t="str">
        <f t="shared" si="3"/>
        <v>OK</v>
      </c>
      <c r="Q83" s="22">
        <f t="shared" si="2"/>
        <v>0</v>
      </c>
    </row>
    <row r="84" spans="1:17" x14ac:dyDescent="0.25">
      <c r="A84">
        <v>118</v>
      </c>
      <c r="B84" t="s">
        <v>228</v>
      </c>
      <c r="C84" t="s">
        <v>61</v>
      </c>
      <c r="D84" t="s">
        <v>229</v>
      </c>
      <c r="E84" t="s">
        <v>78</v>
      </c>
      <c r="F84" t="s">
        <v>64</v>
      </c>
      <c r="K84">
        <v>360000</v>
      </c>
      <c r="L84" t="s">
        <v>65</v>
      </c>
      <c r="N84" s="8" t="s">
        <v>228</v>
      </c>
      <c r="O84" s="18">
        <v>350000</v>
      </c>
      <c r="P84" t="str">
        <f t="shared" si="3"/>
        <v>OK</v>
      </c>
      <c r="Q84" s="22">
        <f t="shared" si="2"/>
        <v>10000</v>
      </c>
    </row>
    <row r="85" spans="1:17" x14ac:dyDescent="0.25">
      <c r="A85">
        <v>275</v>
      </c>
      <c r="B85" t="s">
        <v>230</v>
      </c>
      <c r="C85" t="s">
        <v>61</v>
      </c>
      <c r="D85" t="s">
        <v>231</v>
      </c>
      <c r="E85" t="s">
        <v>78</v>
      </c>
      <c r="F85" t="s">
        <v>64</v>
      </c>
      <c r="K85">
        <v>360000</v>
      </c>
      <c r="L85" t="s">
        <v>65</v>
      </c>
      <c r="N85" s="5" t="s">
        <v>230</v>
      </c>
      <c r="O85" s="13">
        <v>350000</v>
      </c>
      <c r="P85" t="str">
        <f t="shared" si="3"/>
        <v>OK</v>
      </c>
      <c r="Q85" s="22">
        <f t="shared" si="2"/>
        <v>10000</v>
      </c>
    </row>
    <row r="86" spans="1:17" ht="25.5" x14ac:dyDescent="0.25">
      <c r="A86">
        <v>119</v>
      </c>
      <c r="B86" t="s">
        <v>232</v>
      </c>
      <c r="C86" t="s">
        <v>61</v>
      </c>
      <c r="D86" t="s">
        <v>233</v>
      </c>
      <c r="E86" t="s">
        <v>88</v>
      </c>
      <c r="F86" t="s">
        <v>64</v>
      </c>
      <c r="K86">
        <v>330000</v>
      </c>
      <c r="L86" t="s">
        <v>65</v>
      </c>
      <c r="N86" s="5" t="s">
        <v>232</v>
      </c>
      <c r="O86" s="13">
        <v>320000</v>
      </c>
      <c r="P86" t="str">
        <f t="shared" si="3"/>
        <v>OK</v>
      </c>
      <c r="Q86" s="22">
        <f t="shared" si="2"/>
        <v>10000</v>
      </c>
    </row>
    <row r="87" spans="1:17" ht="38.25" x14ac:dyDescent="0.25">
      <c r="A87">
        <v>15</v>
      </c>
      <c r="B87" t="s">
        <v>234</v>
      </c>
      <c r="C87" t="s">
        <v>61</v>
      </c>
      <c r="D87" t="s">
        <v>235</v>
      </c>
      <c r="E87" t="s">
        <v>81</v>
      </c>
      <c r="F87" t="s">
        <v>64</v>
      </c>
      <c r="K87">
        <v>860000</v>
      </c>
      <c r="L87" t="s">
        <v>65</v>
      </c>
      <c r="N87" s="5" t="s">
        <v>234</v>
      </c>
      <c r="O87" s="13">
        <v>820000</v>
      </c>
      <c r="P87" t="str">
        <f t="shared" si="3"/>
        <v>OK</v>
      </c>
      <c r="Q87" s="22">
        <f t="shared" si="2"/>
        <v>40000</v>
      </c>
    </row>
    <row r="88" spans="1:17" x14ac:dyDescent="0.25">
      <c r="A88">
        <v>21</v>
      </c>
      <c r="B88" t="s">
        <v>236</v>
      </c>
      <c r="C88" t="s">
        <v>61</v>
      </c>
      <c r="D88" t="s">
        <v>237</v>
      </c>
      <c r="E88" t="s">
        <v>75</v>
      </c>
      <c r="F88" t="s">
        <v>64</v>
      </c>
      <c r="K88">
        <v>1850000</v>
      </c>
      <c r="L88" t="s">
        <v>65</v>
      </c>
      <c r="N88" s="12" t="s">
        <v>236</v>
      </c>
      <c r="O88" s="19">
        <v>1850000</v>
      </c>
      <c r="P88" t="str">
        <f t="shared" si="3"/>
        <v>OK</v>
      </c>
      <c r="Q88" s="22">
        <f t="shared" si="2"/>
        <v>0</v>
      </c>
    </row>
    <row r="89" spans="1:17" x14ac:dyDescent="0.25">
      <c r="A89">
        <v>315</v>
      </c>
      <c r="B89" t="s">
        <v>238</v>
      </c>
      <c r="C89" t="s">
        <v>61</v>
      </c>
      <c r="D89" t="s">
        <v>239</v>
      </c>
      <c r="E89" t="s">
        <v>63</v>
      </c>
      <c r="F89" t="s">
        <v>64</v>
      </c>
      <c r="K89">
        <v>500000</v>
      </c>
      <c r="L89" t="s">
        <v>65</v>
      </c>
      <c r="N89" s="12" t="s">
        <v>238</v>
      </c>
      <c r="O89" s="19">
        <v>470000</v>
      </c>
      <c r="P89" t="str">
        <f t="shared" si="3"/>
        <v>OK</v>
      </c>
      <c r="Q89" s="22">
        <f t="shared" si="2"/>
        <v>30000</v>
      </c>
    </row>
    <row r="90" spans="1:17" ht="25.5" x14ac:dyDescent="0.25">
      <c r="A90">
        <v>230</v>
      </c>
      <c r="B90" t="s">
        <v>240</v>
      </c>
      <c r="C90" t="s">
        <v>61</v>
      </c>
      <c r="D90" t="s">
        <v>241</v>
      </c>
      <c r="E90" t="s">
        <v>63</v>
      </c>
      <c r="F90" t="s">
        <v>64</v>
      </c>
      <c r="K90">
        <v>300000</v>
      </c>
      <c r="L90" t="s">
        <v>65</v>
      </c>
      <c r="N90" s="6" t="s">
        <v>240</v>
      </c>
      <c r="O90" s="16">
        <v>290000</v>
      </c>
      <c r="P90" t="str">
        <f t="shared" si="3"/>
        <v>OK</v>
      </c>
      <c r="Q90" s="22">
        <f t="shared" si="2"/>
        <v>10000</v>
      </c>
    </row>
    <row r="91" spans="1:17" ht="25.5" x14ac:dyDescent="0.25">
      <c r="A91">
        <v>259</v>
      </c>
      <c r="B91" t="s">
        <v>242</v>
      </c>
      <c r="C91" t="s">
        <v>61</v>
      </c>
      <c r="D91" t="s">
        <v>243</v>
      </c>
      <c r="E91" t="s">
        <v>63</v>
      </c>
      <c r="F91" t="s">
        <v>64</v>
      </c>
      <c r="K91">
        <v>500000</v>
      </c>
      <c r="L91" t="s">
        <v>65</v>
      </c>
      <c r="N91" s="4" t="s">
        <v>242</v>
      </c>
      <c r="O91" s="15">
        <v>470000</v>
      </c>
      <c r="P91" t="str">
        <f t="shared" si="3"/>
        <v>OK</v>
      </c>
      <c r="Q91" s="22">
        <f t="shared" si="2"/>
        <v>30000</v>
      </c>
    </row>
    <row r="92" spans="1:17" ht="25.5" x14ac:dyDescent="0.25">
      <c r="A92">
        <v>31</v>
      </c>
      <c r="B92" t="s">
        <v>244</v>
      </c>
      <c r="C92" t="s">
        <v>61</v>
      </c>
      <c r="D92" t="s">
        <v>245</v>
      </c>
      <c r="E92" t="s">
        <v>63</v>
      </c>
      <c r="F92" t="s">
        <v>64</v>
      </c>
      <c r="K92">
        <v>0</v>
      </c>
      <c r="L92" t="s">
        <v>65</v>
      </c>
      <c r="N92" s="5" t="s">
        <v>244</v>
      </c>
      <c r="O92" s="13">
        <v>0</v>
      </c>
      <c r="P92" t="str">
        <f t="shared" si="3"/>
        <v>OK</v>
      </c>
      <c r="Q92" s="22">
        <f t="shared" si="2"/>
        <v>0</v>
      </c>
    </row>
    <row r="93" spans="1:17" x14ac:dyDescent="0.25">
      <c r="A93">
        <v>122</v>
      </c>
      <c r="B93" t="s">
        <v>246</v>
      </c>
      <c r="C93" t="s">
        <v>61</v>
      </c>
      <c r="D93" t="s">
        <v>247</v>
      </c>
      <c r="E93" t="s">
        <v>88</v>
      </c>
      <c r="F93" t="s">
        <v>64</v>
      </c>
      <c r="K93">
        <v>720000</v>
      </c>
      <c r="L93" t="s">
        <v>65</v>
      </c>
      <c r="N93" s="12" t="s">
        <v>246</v>
      </c>
      <c r="O93" s="19">
        <v>690000</v>
      </c>
      <c r="P93" t="str">
        <f t="shared" si="3"/>
        <v>OK</v>
      </c>
      <c r="Q93" s="22">
        <f t="shared" si="2"/>
        <v>30000</v>
      </c>
    </row>
    <row r="94" spans="1:17" x14ac:dyDescent="0.25">
      <c r="A94">
        <v>58</v>
      </c>
      <c r="B94" t="s">
        <v>248</v>
      </c>
      <c r="C94" t="s">
        <v>61</v>
      </c>
      <c r="D94" t="s">
        <v>249</v>
      </c>
      <c r="E94" t="s">
        <v>75</v>
      </c>
      <c r="F94" t="s">
        <v>64</v>
      </c>
      <c r="K94">
        <v>0</v>
      </c>
      <c r="L94" t="s">
        <v>65</v>
      </c>
      <c r="N94" s="5" t="s">
        <v>248</v>
      </c>
      <c r="O94" s="13">
        <v>0</v>
      </c>
      <c r="P94" t="str">
        <f t="shared" si="3"/>
        <v>OK</v>
      </c>
      <c r="Q94" s="22">
        <f t="shared" si="2"/>
        <v>0</v>
      </c>
    </row>
    <row r="95" spans="1:17" x14ac:dyDescent="0.25">
      <c r="A95">
        <v>162</v>
      </c>
      <c r="B95" t="s">
        <v>250</v>
      </c>
      <c r="C95" t="s">
        <v>61</v>
      </c>
      <c r="D95" t="s">
        <v>251</v>
      </c>
      <c r="E95" t="s">
        <v>91</v>
      </c>
      <c r="F95" t="s">
        <v>64</v>
      </c>
      <c r="K95">
        <v>240000</v>
      </c>
      <c r="L95" t="s">
        <v>65</v>
      </c>
      <c r="N95" s="5" t="s">
        <v>250</v>
      </c>
      <c r="O95" s="13">
        <v>230000</v>
      </c>
      <c r="P95" t="str">
        <f t="shared" si="3"/>
        <v>OK</v>
      </c>
      <c r="Q95" s="22">
        <f t="shared" si="2"/>
        <v>10000</v>
      </c>
    </row>
    <row r="96" spans="1:17" x14ac:dyDescent="0.25">
      <c r="A96">
        <v>123</v>
      </c>
      <c r="B96" t="s">
        <v>258</v>
      </c>
      <c r="C96" t="s">
        <v>61</v>
      </c>
      <c r="D96" t="s">
        <v>259</v>
      </c>
      <c r="E96" t="s">
        <v>91</v>
      </c>
      <c r="F96" t="s">
        <v>64</v>
      </c>
      <c r="K96">
        <v>6000000</v>
      </c>
      <c r="L96" t="s">
        <v>65</v>
      </c>
      <c r="N96" s="7" t="s">
        <v>258</v>
      </c>
      <c r="O96" s="17">
        <v>5710000</v>
      </c>
      <c r="P96" t="str">
        <f t="shared" si="3"/>
        <v>OK</v>
      </c>
      <c r="Q96" s="22">
        <f t="shared" si="2"/>
        <v>290000</v>
      </c>
    </row>
    <row r="97" spans="1:17" ht="25.5" x14ac:dyDescent="0.25">
      <c r="A97">
        <v>345</v>
      </c>
      <c r="B97" t="s">
        <v>252</v>
      </c>
      <c r="C97" t="s">
        <v>61</v>
      </c>
      <c r="D97" t="s">
        <v>253</v>
      </c>
      <c r="E97" t="s">
        <v>88</v>
      </c>
      <c r="F97" t="s">
        <v>64</v>
      </c>
      <c r="K97">
        <v>240000</v>
      </c>
      <c r="L97" t="s">
        <v>65</v>
      </c>
      <c r="N97" s="6" t="s">
        <v>252</v>
      </c>
      <c r="O97" s="16">
        <v>230000</v>
      </c>
      <c r="P97" t="str">
        <f t="shared" si="3"/>
        <v>OK</v>
      </c>
      <c r="Q97" s="22">
        <f t="shared" si="2"/>
        <v>10000</v>
      </c>
    </row>
    <row r="98" spans="1:17" x14ac:dyDescent="0.25">
      <c r="A98">
        <v>350</v>
      </c>
      <c r="B98" t="s">
        <v>254</v>
      </c>
      <c r="C98" t="s">
        <v>61</v>
      </c>
      <c r="D98" t="s">
        <v>255</v>
      </c>
      <c r="E98" t="s">
        <v>63</v>
      </c>
      <c r="F98" t="s">
        <v>64</v>
      </c>
      <c r="K98">
        <v>2090000</v>
      </c>
      <c r="L98" t="s">
        <v>65</v>
      </c>
      <c r="N98" s="5" t="s">
        <v>254</v>
      </c>
      <c r="O98" s="13">
        <v>1990000</v>
      </c>
      <c r="P98" t="str">
        <f t="shared" si="3"/>
        <v>OK</v>
      </c>
      <c r="Q98" s="22">
        <f t="shared" si="2"/>
        <v>100000</v>
      </c>
    </row>
    <row r="99" spans="1:17" ht="25.5" x14ac:dyDescent="0.25">
      <c r="A99">
        <v>351</v>
      </c>
      <c r="B99" t="s">
        <v>256</v>
      </c>
      <c r="C99" t="s">
        <v>61</v>
      </c>
      <c r="D99" t="s">
        <v>257</v>
      </c>
      <c r="E99" t="s">
        <v>91</v>
      </c>
      <c r="F99" t="s">
        <v>64</v>
      </c>
      <c r="K99">
        <v>930000</v>
      </c>
      <c r="L99" t="s">
        <v>65</v>
      </c>
      <c r="N99" s="5" t="s">
        <v>256</v>
      </c>
      <c r="O99" s="13">
        <v>880000</v>
      </c>
      <c r="P99" t="str">
        <f t="shared" si="3"/>
        <v>OK</v>
      </c>
      <c r="Q99" s="22">
        <f t="shared" si="2"/>
        <v>50000</v>
      </c>
    </row>
    <row r="100" spans="1:17" ht="25.5" x14ac:dyDescent="0.25">
      <c r="A100">
        <v>247</v>
      </c>
      <c r="B100" t="s">
        <v>260</v>
      </c>
      <c r="C100" t="s">
        <v>61</v>
      </c>
      <c r="D100" t="s">
        <v>261</v>
      </c>
      <c r="E100" t="s">
        <v>102</v>
      </c>
      <c r="F100" t="s">
        <v>64</v>
      </c>
      <c r="K100">
        <v>270000</v>
      </c>
      <c r="L100" t="s">
        <v>65</v>
      </c>
      <c r="N100" s="5" t="s">
        <v>260</v>
      </c>
      <c r="O100" s="13">
        <v>260000</v>
      </c>
      <c r="P100" t="str">
        <f t="shared" si="3"/>
        <v>OK</v>
      </c>
      <c r="Q100" s="22">
        <f t="shared" si="2"/>
        <v>10000</v>
      </c>
    </row>
    <row r="101" spans="1:17" ht="25.5" x14ac:dyDescent="0.25">
      <c r="A101">
        <v>26</v>
      </c>
      <c r="B101" t="s">
        <v>262</v>
      </c>
      <c r="C101" t="s">
        <v>61</v>
      </c>
      <c r="D101" t="s">
        <v>263</v>
      </c>
      <c r="E101" t="s">
        <v>102</v>
      </c>
      <c r="F101" t="s">
        <v>64</v>
      </c>
      <c r="K101">
        <v>270000</v>
      </c>
      <c r="L101" t="s">
        <v>65</v>
      </c>
      <c r="N101" s="15" t="s">
        <v>262</v>
      </c>
      <c r="O101" s="15">
        <v>260000</v>
      </c>
      <c r="P101" t="str">
        <f t="shared" si="3"/>
        <v>OK</v>
      </c>
      <c r="Q101" s="22">
        <f t="shared" si="2"/>
        <v>10000</v>
      </c>
    </row>
    <row r="102" spans="1:17" ht="25.5" x14ac:dyDescent="0.25">
      <c r="A102">
        <v>64</v>
      </c>
      <c r="B102" t="s">
        <v>264</v>
      </c>
      <c r="C102" t="s">
        <v>61</v>
      </c>
      <c r="D102" t="s">
        <v>265</v>
      </c>
      <c r="E102" t="s">
        <v>102</v>
      </c>
      <c r="F102" t="s">
        <v>64</v>
      </c>
      <c r="K102">
        <v>170000</v>
      </c>
      <c r="L102" t="s">
        <v>65</v>
      </c>
      <c r="N102" s="5" t="s">
        <v>264</v>
      </c>
      <c r="O102" s="13">
        <v>160000</v>
      </c>
      <c r="P102" t="str">
        <f t="shared" si="3"/>
        <v>OK</v>
      </c>
      <c r="Q102" s="22">
        <f t="shared" si="2"/>
        <v>10000</v>
      </c>
    </row>
    <row r="103" spans="1:17" x14ac:dyDescent="0.25">
      <c r="A103">
        <v>333</v>
      </c>
      <c r="B103" t="s">
        <v>266</v>
      </c>
      <c r="C103" t="s">
        <v>61</v>
      </c>
      <c r="D103" t="s">
        <v>267</v>
      </c>
      <c r="E103" t="s">
        <v>88</v>
      </c>
      <c r="F103" t="s">
        <v>64</v>
      </c>
      <c r="K103">
        <v>170000</v>
      </c>
      <c r="L103" t="s">
        <v>65</v>
      </c>
      <c r="N103" s="5" t="s">
        <v>266</v>
      </c>
      <c r="O103" s="13">
        <v>160000</v>
      </c>
      <c r="P103" t="str">
        <f t="shared" si="3"/>
        <v>OK</v>
      </c>
      <c r="Q103" s="22">
        <f t="shared" si="2"/>
        <v>10000</v>
      </c>
    </row>
    <row r="104" spans="1:17" x14ac:dyDescent="0.25">
      <c r="A104">
        <v>344</v>
      </c>
      <c r="B104" t="s">
        <v>268</v>
      </c>
      <c r="C104" t="s">
        <v>61</v>
      </c>
      <c r="D104" t="s">
        <v>269</v>
      </c>
      <c r="E104" t="s">
        <v>78</v>
      </c>
      <c r="F104" t="s">
        <v>64</v>
      </c>
      <c r="K104">
        <v>240000</v>
      </c>
      <c r="L104" t="s">
        <v>65</v>
      </c>
      <c r="N104" s="5" t="s">
        <v>268</v>
      </c>
      <c r="O104" s="13">
        <v>230000</v>
      </c>
      <c r="P104" t="str">
        <f t="shared" si="3"/>
        <v>OK</v>
      </c>
      <c r="Q104" s="22">
        <f t="shared" si="2"/>
        <v>10000</v>
      </c>
    </row>
    <row r="105" spans="1:17" ht="25.5" x14ac:dyDescent="0.25">
      <c r="A105">
        <v>186</v>
      </c>
      <c r="B105" t="s">
        <v>270</v>
      </c>
      <c r="C105" t="s">
        <v>61</v>
      </c>
      <c r="D105" t="s">
        <v>271</v>
      </c>
      <c r="E105" t="s">
        <v>102</v>
      </c>
      <c r="F105" t="s">
        <v>64</v>
      </c>
      <c r="K105">
        <v>170000</v>
      </c>
      <c r="L105" t="s">
        <v>65</v>
      </c>
      <c r="N105" s="5" t="s">
        <v>270</v>
      </c>
      <c r="O105" s="13">
        <v>160000</v>
      </c>
      <c r="P105" t="str">
        <f t="shared" si="3"/>
        <v>OK</v>
      </c>
      <c r="Q105" s="22">
        <f t="shared" si="2"/>
        <v>10000</v>
      </c>
    </row>
    <row r="106" spans="1:17" ht="25.5" x14ac:dyDescent="0.25">
      <c r="A106">
        <v>126</v>
      </c>
      <c r="B106" t="s">
        <v>272</v>
      </c>
      <c r="C106" t="s">
        <v>61</v>
      </c>
      <c r="D106" t="s">
        <v>273</v>
      </c>
      <c r="E106" t="s">
        <v>109</v>
      </c>
      <c r="F106" t="s">
        <v>64</v>
      </c>
      <c r="K106">
        <v>360000</v>
      </c>
      <c r="L106" t="s">
        <v>65</v>
      </c>
      <c r="N106" s="8" t="s">
        <v>272</v>
      </c>
      <c r="O106" s="18">
        <v>360000</v>
      </c>
      <c r="P106" t="str">
        <f t="shared" si="3"/>
        <v>OK</v>
      </c>
      <c r="Q106" s="22">
        <f t="shared" si="2"/>
        <v>0</v>
      </c>
    </row>
    <row r="107" spans="1:17" ht="25.5" x14ac:dyDescent="0.25">
      <c r="A107">
        <v>127</v>
      </c>
      <c r="B107" t="s">
        <v>274</v>
      </c>
      <c r="C107" t="s">
        <v>61</v>
      </c>
      <c r="D107" t="s">
        <v>275</v>
      </c>
      <c r="E107" t="s">
        <v>91</v>
      </c>
      <c r="F107" t="s">
        <v>64</v>
      </c>
      <c r="K107">
        <v>760000</v>
      </c>
      <c r="L107" t="s">
        <v>65</v>
      </c>
      <c r="N107" s="5" t="s">
        <v>274</v>
      </c>
      <c r="O107" s="13">
        <v>720000</v>
      </c>
      <c r="P107" t="str">
        <f t="shared" si="3"/>
        <v>OK</v>
      </c>
      <c r="Q107" s="22">
        <f t="shared" si="2"/>
        <v>40000</v>
      </c>
    </row>
    <row r="108" spans="1:17" ht="25.5" x14ac:dyDescent="0.25">
      <c r="A108">
        <v>221</v>
      </c>
      <c r="B108" t="s">
        <v>276</v>
      </c>
      <c r="C108" t="s">
        <v>61</v>
      </c>
      <c r="D108" t="s">
        <v>277</v>
      </c>
      <c r="E108" t="s">
        <v>91</v>
      </c>
      <c r="F108" t="s">
        <v>64</v>
      </c>
      <c r="K108">
        <v>360000</v>
      </c>
      <c r="L108" t="s">
        <v>65</v>
      </c>
      <c r="N108" s="5" t="s">
        <v>276</v>
      </c>
      <c r="O108" s="13">
        <v>350000</v>
      </c>
      <c r="P108" t="str">
        <f t="shared" si="3"/>
        <v>OK</v>
      </c>
      <c r="Q108" s="22">
        <f t="shared" si="2"/>
        <v>10000</v>
      </c>
    </row>
    <row r="109" spans="1:17" ht="25.5" x14ac:dyDescent="0.25">
      <c r="A109">
        <v>369</v>
      </c>
      <c r="B109" t="s">
        <v>278</v>
      </c>
      <c r="C109" t="s">
        <v>61</v>
      </c>
      <c r="D109" t="s">
        <v>279</v>
      </c>
      <c r="E109" t="s">
        <v>91</v>
      </c>
      <c r="F109" t="s">
        <v>64</v>
      </c>
      <c r="K109">
        <v>250000</v>
      </c>
      <c r="L109" t="s">
        <v>65</v>
      </c>
      <c r="N109" s="5" t="s">
        <v>278</v>
      </c>
      <c r="O109" s="13">
        <v>250000</v>
      </c>
      <c r="P109" t="str">
        <f t="shared" si="3"/>
        <v>OK</v>
      </c>
      <c r="Q109" s="22">
        <f t="shared" si="2"/>
        <v>0</v>
      </c>
    </row>
    <row r="110" spans="1:17" ht="25.5" x14ac:dyDescent="0.25">
      <c r="A110">
        <v>129</v>
      </c>
      <c r="B110" t="s">
        <v>280</v>
      </c>
      <c r="C110" t="s">
        <v>61</v>
      </c>
      <c r="D110" t="s">
        <v>281</v>
      </c>
      <c r="E110" t="s">
        <v>70</v>
      </c>
      <c r="F110" t="s">
        <v>64</v>
      </c>
      <c r="K110">
        <v>990000</v>
      </c>
      <c r="L110" t="s">
        <v>65</v>
      </c>
      <c r="N110" s="5" t="s">
        <v>280</v>
      </c>
      <c r="O110" s="13">
        <v>940000</v>
      </c>
      <c r="P110" t="str">
        <f t="shared" si="3"/>
        <v>OK</v>
      </c>
      <c r="Q110" s="22">
        <f t="shared" si="2"/>
        <v>50000</v>
      </c>
    </row>
    <row r="111" spans="1:17" ht="25.5" x14ac:dyDescent="0.25">
      <c r="A111">
        <v>269</v>
      </c>
      <c r="B111" t="s">
        <v>288</v>
      </c>
      <c r="C111" t="s">
        <v>61</v>
      </c>
      <c r="D111" t="s">
        <v>289</v>
      </c>
      <c r="E111" t="s">
        <v>75</v>
      </c>
      <c r="F111" t="s">
        <v>64</v>
      </c>
      <c r="K111">
        <v>330000</v>
      </c>
      <c r="L111" t="s">
        <v>65</v>
      </c>
      <c r="N111" s="5" t="s">
        <v>288</v>
      </c>
      <c r="O111" s="13">
        <v>320000</v>
      </c>
      <c r="P111" t="str">
        <f t="shared" ref="P111:P172" si="4">+IF(N111=B111,"OK",0)</f>
        <v>OK</v>
      </c>
      <c r="Q111" s="22">
        <f t="shared" si="2"/>
        <v>10000</v>
      </c>
    </row>
    <row r="112" spans="1:17" x14ac:dyDescent="0.25">
      <c r="A112">
        <v>252</v>
      </c>
      <c r="B112" t="s">
        <v>290</v>
      </c>
      <c r="C112" t="s">
        <v>61</v>
      </c>
      <c r="D112" t="s">
        <v>291</v>
      </c>
      <c r="E112" t="s">
        <v>88</v>
      </c>
      <c r="F112" t="s">
        <v>64</v>
      </c>
      <c r="K112">
        <v>170000</v>
      </c>
      <c r="L112" t="s">
        <v>65</v>
      </c>
      <c r="N112" t="s">
        <v>290</v>
      </c>
      <c r="O112">
        <v>160000</v>
      </c>
      <c r="P112" t="str">
        <f t="shared" si="4"/>
        <v>OK</v>
      </c>
      <c r="Q112" s="22">
        <f t="shared" si="2"/>
        <v>10000</v>
      </c>
    </row>
    <row r="113" spans="1:17" x14ac:dyDescent="0.25">
      <c r="A113">
        <v>136</v>
      </c>
      <c r="B113" t="s">
        <v>292</v>
      </c>
      <c r="C113" t="s">
        <v>61</v>
      </c>
      <c r="D113" t="s">
        <v>293</v>
      </c>
      <c r="E113" t="s">
        <v>81</v>
      </c>
      <c r="F113" t="s">
        <v>64</v>
      </c>
      <c r="K113">
        <v>940000</v>
      </c>
      <c r="L113" t="s">
        <v>65</v>
      </c>
      <c r="N113" t="s">
        <v>292</v>
      </c>
      <c r="O113">
        <v>900000</v>
      </c>
      <c r="P113" t="str">
        <f t="shared" si="4"/>
        <v>OK</v>
      </c>
      <c r="Q113" s="22">
        <f t="shared" si="2"/>
        <v>40000</v>
      </c>
    </row>
    <row r="114" spans="1:17" x14ac:dyDescent="0.25">
      <c r="A114">
        <v>137</v>
      </c>
      <c r="B114" t="s">
        <v>294</v>
      </c>
      <c r="C114" t="s">
        <v>61</v>
      </c>
      <c r="D114" t="s">
        <v>295</v>
      </c>
      <c r="E114" t="s">
        <v>81</v>
      </c>
      <c r="F114" t="s">
        <v>64</v>
      </c>
      <c r="K114">
        <v>520000</v>
      </c>
      <c r="L114" t="s">
        <v>65</v>
      </c>
      <c r="N114" t="s">
        <v>294</v>
      </c>
      <c r="O114">
        <v>490000</v>
      </c>
      <c r="P114" t="str">
        <f t="shared" si="4"/>
        <v>OK</v>
      </c>
      <c r="Q114" s="22">
        <f t="shared" si="2"/>
        <v>30000</v>
      </c>
    </row>
    <row r="115" spans="1:17" x14ac:dyDescent="0.25">
      <c r="A115">
        <v>267</v>
      </c>
      <c r="B115" t="s">
        <v>296</v>
      </c>
      <c r="C115" t="s">
        <v>61</v>
      </c>
      <c r="D115" t="s">
        <v>297</v>
      </c>
      <c r="E115" t="s">
        <v>91</v>
      </c>
      <c r="F115" t="s">
        <v>64</v>
      </c>
      <c r="K115">
        <v>330000</v>
      </c>
      <c r="L115" t="s">
        <v>65</v>
      </c>
      <c r="N115" s="5" t="s">
        <v>296</v>
      </c>
      <c r="O115" s="13">
        <v>310000</v>
      </c>
      <c r="P115" t="str">
        <f t="shared" si="4"/>
        <v>OK</v>
      </c>
      <c r="Q115" s="22">
        <f t="shared" si="2"/>
        <v>20000</v>
      </c>
    </row>
    <row r="116" spans="1:17" ht="25.5" x14ac:dyDescent="0.25">
      <c r="A116">
        <v>280</v>
      </c>
      <c r="B116" t="s">
        <v>298</v>
      </c>
      <c r="C116" t="s">
        <v>61</v>
      </c>
      <c r="D116" t="s">
        <v>299</v>
      </c>
      <c r="E116" t="s">
        <v>102</v>
      </c>
      <c r="F116" t="s">
        <v>64</v>
      </c>
      <c r="K116">
        <v>0</v>
      </c>
      <c r="L116" t="s">
        <v>65</v>
      </c>
      <c r="N116" s="5" t="s">
        <v>298</v>
      </c>
      <c r="O116" s="13">
        <v>0</v>
      </c>
      <c r="P116" t="str">
        <f t="shared" si="4"/>
        <v>OK</v>
      </c>
      <c r="Q116" s="22">
        <f t="shared" si="2"/>
        <v>0</v>
      </c>
    </row>
    <row r="117" spans="1:17" ht="25.5" x14ac:dyDescent="0.25">
      <c r="A117">
        <v>89</v>
      </c>
      <c r="B117" t="s">
        <v>35</v>
      </c>
      <c r="C117" t="s">
        <v>61</v>
      </c>
      <c r="D117" t="s">
        <v>300</v>
      </c>
      <c r="E117" t="s">
        <v>102</v>
      </c>
      <c r="F117" t="s">
        <v>64</v>
      </c>
      <c r="H117" t="s">
        <v>301</v>
      </c>
      <c r="K117">
        <v>420000</v>
      </c>
      <c r="L117" t="s">
        <v>65</v>
      </c>
      <c r="N117" s="5" t="s">
        <v>35</v>
      </c>
      <c r="O117" s="13">
        <v>400000</v>
      </c>
      <c r="P117" t="str">
        <f t="shared" si="4"/>
        <v>OK</v>
      </c>
      <c r="Q117" s="22">
        <f t="shared" si="2"/>
        <v>20000</v>
      </c>
    </row>
    <row r="118" spans="1:17" ht="25.5" x14ac:dyDescent="0.25">
      <c r="A118">
        <v>141</v>
      </c>
      <c r="B118" t="s">
        <v>40</v>
      </c>
      <c r="C118" t="s">
        <v>61</v>
      </c>
      <c r="D118" t="s">
        <v>302</v>
      </c>
      <c r="E118" t="s">
        <v>109</v>
      </c>
      <c r="F118" t="s">
        <v>64</v>
      </c>
      <c r="K118">
        <v>170000</v>
      </c>
      <c r="L118" t="s">
        <v>65</v>
      </c>
      <c r="N118" s="5" t="s">
        <v>40</v>
      </c>
      <c r="O118" s="13">
        <v>160000</v>
      </c>
      <c r="P118" t="str">
        <f t="shared" si="4"/>
        <v>OK</v>
      </c>
      <c r="Q118" s="22">
        <f t="shared" si="2"/>
        <v>10000</v>
      </c>
    </row>
    <row r="119" spans="1:17" x14ac:dyDescent="0.25">
      <c r="A119">
        <v>138</v>
      </c>
      <c r="B119" t="s">
        <v>303</v>
      </c>
      <c r="C119" t="s">
        <v>61</v>
      </c>
      <c r="D119" t="s">
        <v>304</v>
      </c>
      <c r="E119" t="s">
        <v>91</v>
      </c>
      <c r="F119" t="s">
        <v>64</v>
      </c>
      <c r="K119">
        <v>470000</v>
      </c>
      <c r="L119" t="s">
        <v>65</v>
      </c>
      <c r="N119" s="5" t="s">
        <v>303</v>
      </c>
      <c r="O119" s="13">
        <v>450000</v>
      </c>
      <c r="P119" t="str">
        <f t="shared" si="4"/>
        <v>OK</v>
      </c>
      <c r="Q119" s="22">
        <f t="shared" si="2"/>
        <v>20000</v>
      </c>
    </row>
    <row r="120" spans="1:17" x14ac:dyDescent="0.25">
      <c r="A120">
        <v>139</v>
      </c>
      <c r="B120" t="s">
        <v>305</v>
      </c>
      <c r="C120" t="s">
        <v>61</v>
      </c>
      <c r="D120" t="s">
        <v>306</v>
      </c>
      <c r="E120" t="s">
        <v>102</v>
      </c>
      <c r="F120" t="s">
        <v>64</v>
      </c>
      <c r="K120">
        <v>470000</v>
      </c>
      <c r="L120" t="s">
        <v>65</v>
      </c>
      <c r="N120" s="5" t="s">
        <v>305</v>
      </c>
      <c r="O120" s="13">
        <v>450000</v>
      </c>
      <c r="P120" t="str">
        <f t="shared" si="4"/>
        <v>OK</v>
      </c>
      <c r="Q120" s="22">
        <f t="shared" si="2"/>
        <v>20000</v>
      </c>
    </row>
    <row r="121" spans="1:17" x14ac:dyDescent="0.25">
      <c r="A121">
        <v>140</v>
      </c>
      <c r="B121" t="s">
        <v>24</v>
      </c>
      <c r="C121" t="s">
        <v>61</v>
      </c>
      <c r="D121" t="s">
        <v>307</v>
      </c>
      <c r="E121" t="s">
        <v>129</v>
      </c>
      <c r="F121" t="s">
        <v>64</v>
      </c>
      <c r="H121" t="s">
        <v>308</v>
      </c>
      <c r="K121">
        <v>470000</v>
      </c>
      <c r="L121" t="s">
        <v>65</v>
      </c>
      <c r="N121" s="13" t="s">
        <v>24</v>
      </c>
      <c r="O121" s="13">
        <v>450000</v>
      </c>
      <c r="P121" t="str">
        <f t="shared" si="4"/>
        <v>OK</v>
      </c>
      <c r="Q121" s="22">
        <f t="shared" si="2"/>
        <v>20000</v>
      </c>
    </row>
    <row r="122" spans="1:17" x14ac:dyDescent="0.25">
      <c r="A122">
        <v>195</v>
      </c>
      <c r="B122" t="s">
        <v>309</v>
      </c>
      <c r="C122" t="s">
        <v>61</v>
      </c>
      <c r="D122" t="s">
        <v>310</v>
      </c>
      <c r="E122" t="s">
        <v>91</v>
      </c>
      <c r="F122" t="s">
        <v>64</v>
      </c>
      <c r="K122">
        <v>500000</v>
      </c>
      <c r="L122" t="s">
        <v>65</v>
      </c>
      <c r="N122" s="5" t="s">
        <v>309</v>
      </c>
      <c r="O122" s="13">
        <v>470000</v>
      </c>
      <c r="P122" t="str">
        <f t="shared" si="4"/>
        <v>OK</v>
      </c>
      <c r="Q122" s="22">
        <f t="shared" si="2"/>
        <v>30000</v>
      </c>
    </row>
    <row r="123" spans="1:17" ht="25.5" x14ac:dyDescent="0.25">
      <c r="A123">
        <v>170</v>
      </c>
      <c r="B123" t="s">
        <v>311</v>
      </c>
      <c r="C123" t="s">
        <v>61</v>
      </c>
      <c r="D123" t="s">
        <v>312</v>
      </c>
      <c r="E123" t="s">
        <v>88</v>
      </c>
      <c r="F123" t="s">
        <v>64</v>
      </c>
      <c r="K123">
        <v>410000</v>
      </c>
      <c r="L123" t="s">
        <v>65</v>
      </c>
      <c r="N123" s="5" t="s">
        <v>311</v>
      </c>
      <c r="O123" s="13">
        <v>390000</v>
      </c>
      <c r="P123" t="str">
        <f t="shared" si="4"/>
        <v>OK</v>
      </c>
      <c r="Q123" s="22">
        <f t="shared" si="2"/>
        <v>20000</v>
      </c>
    </row>
    <row r="124" spans="1:17" ht="25.5" x14ac:dyDescent="0.25">
      <c r="A124">
        <v>142</v>
      </c>
      <c r="B124" t="s">
        <v>313</v>
      </c>
      <c r="C124" t="s">
        <v>61</v>
      </c>
      <c r="D124" t="s">
        <v>314</v>
      </c>
      <c r="E124" t="s">
        <v>91</v>
      </c>
      <c r="F124" t="s">
        <v>64</v>
      </c>
      <c r="K124">
        <v>1000000</v>
      </c>
      <c r="L124" t="s">
        <v>65</v>
      </c>
      <c r="N124" s="5" t="s">
        <v>313</v>
      </c>
      <c r="O124" s="13">
        <v>950000</v>
      </c>
      <c r="P124" t="str">
        <f t="shared" si="4"/>
        <v>OK</v>
      </c>
      <c r="Q124" s="22">
        <f t="shared" si="2"/>
        <v>50000</v>
      </c>
    </row>
    <row r="125" spans="1:17" x14ac:dyDescent="0.25">
      <c r="A125">
        <v>143</v>
      </c>
      <c r="B125" t="s">
        <v>315</v>
      </c>
      <c r="C125" t="s">
        <v>61</v>
      </c>
      <c r="D125" t="s">
        <v>316</v>
      </c>
      <c r="E125" t="s">
        <v>78</v>
      </c>
      <c r="F125" t="s">
        <v>64</v>
      </c>
      <c r="K125">
        <v>1410000</v>
      </c>
      <c r="L125" t="s">
        <v>65</v>
      </c>
      <c r="N125" s="5" t="s">
        <v>315</v>
      </c>
      <c r="O125" s="13">
        <v>1350000</v>
      </c>
      <c r="P125" t="str">
        <f t="shared" si="4"/>
        <v>OK</v>
      </c>
      <c r="Q125" s="22">
        <f t="shared" si="2"/>
        <v>60000</v>
      </c>
    </row>
    <row r="126" spans="1:17" ht="25.5" x14ac:dyDescent="0.25">
      <c r="A126">
        <v>144</v>
      </c>
      <c r="B126" t="s">
        <v>317</v>
      </c>
      <c r="C126" t="s">
        <v>61</v>
      </c>
      <c r="D126" t="s">
        <v>318</v>
      </c>
      <c r="E126" t="s">
        <v>109</v>
      </c>
      <c r="F126" t="s">
        <v>64</v>
      </c>
      <c r="K126">
        <v>470000</v>
      </c>
      <c r="L126" t="s">
        <v>65</v>
      </c>
      <c r="N126" s="8" t="s">
        <v>317</v>
      </c>
      <c r="O126" s="18">
        <v>450000</v>
      </c>
      <c r="P126" t="str">
        <f t="shared" si="4"/>
        <v>OK</v>
      </c>
      <c r="Q126" s="22">
        <f t="shared" si="2"/>
        <v>20000</v>
      </c>
    </row>
    <row r="127" spans="1:17" x14ac:dyDescent="0.25">
      <c r="A127">
        <v>146</v>
      </c>
      <c r="B127" t="s">
        <v>319</v>
      </c>
      <c r="C127" t="s">
        <v>61</v>
      </c>
      <c r="D127" t="s">
        <v>320</v>
      </c>
      <c r="E127" t="s">
        <v>88</v>
      </c>
      <c r="F127" t="s">
        <v>64</v>
      </c>
      <c r="K127">
        <v>0</v>
      </c>
      <c r="L127" t="s">
        <v>65</v>
      </c>
      <c r="N127" s="8" t="s">
        <v>319</v>
      </c>
      <c r="O127" s="18">
        <v>0</v>
      </c>
      <c r="P127" t="str">
        <f t="shared" si="4"/>
        <v>OK</v>
      </c>
      <c r="Q127" s="22">
        <f t="shared" si="2"/>
        <v>0</v>
      </c>
    </row>
    <row r="128" spans="1:17" ht="25.5" x14ac:dyDescent="0.25">
      <c r="A128">
        <v>147</v>
      </c>
      <c r="B128" t="s">
        <v>32</v>
      </c>
      <c r="C128" t="s">
        <v>61</v>
      </c>
      <c r="D128" t="s">
        <v>321</v>
      </c>
      <c r="E128" t="s">
        <v>109</v>
      </c>
      <c r="F128" t="s">
        <v>64</v>
      </c>
      <c r="K128">
        <v>860000</v>
      </c>
      <c r="L128" t="s">
        <v>65</v>
      </c>
      <c r="N128" s="5" t="s">
        <v>32</v>
      </c>
      <c r="O128" s="13">
        <v>840000</v>
      </c>
      <c r="P128" t="str">
        <f t="shared" si="4"/>
        <v>OK</v>
      </c>
      <c r="Q128" s="22">
        <f t="shared" si="2"/>
        <v>20000</v>
      </c>
    </row>
    <row r="129" spans="1:17" x14ac:dyDescent="0.25">
      <c r="A129">
        <v>320</v>
      </c>
      <c r="B129" t="s">
        <v>322</v>
      </c>
      <c r="C129" t="s">
        <v>61</v>
      </c>
      <c r="D129" t="s">
        <v>323</v>
      </c>
      <c r="E129" t="s">
        <v>102</v>
      </c>
      <c r="F129" t="s">
        <v>64</v>
      </c>
      <c r="K129">
        <v>360000</v>
      </c>
      <c r="L129" t="s">
        <v>65</v>
      </c>
      <c r="N129" s="5" t="s">
        <v>322</v>
      </c>
      <c r="O129" s="13">
        <v>350000</v>
      </c>
      <c r="P129" t="str">
        <f t="shared" si="4"/>
        <v>OK</v>
      </c>
      <c r="Q129" s="22">
        <f t="shared" si="2"/>
        <v>10000</v>
      </c>
    </row>
    <row r="130" spans="1:17" ht="25.5" x14ac:dyDescent="0.25">
      <c r="A130">
        <v>93</v>
      </c>
      <c r="B130" t="s">
        <v>324</v>
      </c>
      <c r="C130" t="s">
        <v>61</v>
      </c>
      <c r="D130" t="s">
        <v>325</v>
      </c>
      <c r="E130" t="s">
        <v>102</v>
      </c>
      <c r="F130" t="s">
        <v>64</v>
      </c>
      <c r="K130">
        <v>120000</v>
      </c>
      <c r="L130" t="s">
        <v>65</v>
      </c>
      <c r="N130" s="5" t="s">
        <v>324</v>
      </c>
      <c r="O130" s="13">
        <v>120000</v>
      </c>
      <c r="P130" t="str">
        <f t="shared" si="4"/>
        <v>OK</v>
      </c>
      <c r="Q130" s="22">
        <f t="shared" ref="Q130:Q178" si="5">+K130-O130</f>
        <v>0</v>
      </c>
    </row>
    <row r="131" spans="1:17" ht="25.5" x14ac:dyDescent="0.25">
      <c r="A131">
        <v>149</v>
      </c>
      <c r="B131" t="s">
        <v>326</v>
      </c>
      <c r="C131" t="s">
        <v>61</v>
      </c>
      <c r="D131" t="s">
        <v>327</v>
      </c>
      <c r="E131" t="s">
        <v>91</v>
      </c>
      <c r="F131" t="s">
        <v>64</v>
      </c>
      <c r="K131">
        <v>720000</v>
      </c>
      <c r="L131" t="s">
        <v>65</v>
      </c>
      <c r="N131" s="5" t="s">
        <v>326</v>
      </c>
      <c r="O131" s="13">
        <v>690000</v>
      </c>
      <c r="P131" t="str">
        <f t="shared" si="4"/>
        <v>OK</v>
      </c>
      <c r="Q131" s="22">
        <f t="shared" si="5"/>
        <v>30000</v>
      </c>
    </row>
    <row r="132" spans="1:17" ht="25.5" x14ac:dyDescent="0.25">
      <c r="A132">
        <v>265</v>
      </c>
      <c r="B132" t="s">
        <v>328</v>
      </c>
      <c r="C132" t="s">
        <v>61</v>
      </c>
      <c r="D132" t="s">
        <v>329</v>
      </c>
      <c r="E132" t="s">
        <v>88</v>
      </c>
      <c r="F132" t="s">
        <v>64</v>
      </c>
      <c r="K132">
        <v>390000</v>
      </c>
      <c r="L132" t="s">
        <v>65</v>
      </c>
      <c r="N132" s="10" t="s">
        <v>328</v>
      </c>
      <c r="O132" s="21">
        <v>370000</v>
      </c>
      <c r="P132" t="str">
        <f t="shared" si="4"/>
        <v>OK</v>
      </c>
      <c r="Q132" s="22">
        <f t="shared" si="5"/>
        <v>20000</v>
      </c>
    </row>
    <row r="133" spans="1:17" ht="25.5" x14ac:dyDescent="0.25">
      <c r="A133">
        <v>151</v>
      </c>
      <c r="B133" t="s">
        <v>330</v>
      </c>
      <c r="C133" t="s">
        <v>61</v>
      </c>
      <c r="D133" t="s">
        <v>331</v>
      </c>
      <c r="E133" t="s">
        <v>70</v>
      </c>
      <c r="F133" t="s">
        <v>64</v>
      </c>
      <c r="K133">
        <v>3860000</v>
      </c>
      <c r="L133" t="s">
        <v>65</v>
      </c>
      <c r="N133" s="5" t="s">
        <v>330</v>
      </c>
      <c r="O133" s="13">
        <v>3670000</v>
      </c>
      <c r="P133" t="str">
        <f t="shared" si="4"/>
        <v>OK</v>
      </c>
      <c r="Q133" s="22">
        <f t="shared" si="5"/>
        <v>190000</v>
      </c>
    </row>
    <row r="134" spans="1:17" ht="25.5" x14ac:dyDescent="0.25">
      <c r="A134">
        <v>152</v>
      </c>
      <c r="B134" t="s">
        <v>33</v>
      </c>
      <c r="C134" t="s">
        <v>61</v>
      </c>
      <c r="D134" t="s">
        <v>332</v>
      </c>
      <c r="E134" t="s">
        <v>129</v>
      </c>
      <c r="F134" t="s">
        <v>64</v>
      </c>
      <c r="K134">
        <v>2310000</v>
      </c>
      <c r="L134" t="s">
        <v>65</v>
      </c>
      <c r="N134" s="5" t="s">
        <v>33</v>
      </c>
      <c r="O134" s="13">
        <v>2200000</v>
      </c>
      <c r="P134" t="str">
        <f t="shared" si="4"/>
        <v>OK</v>
      </c>
      <c r="Q134" s="22">
        <f t="shared" si="5"/>
        <v>110000</v>
      </c>
    </row>
    <row r="135" spans="1:17" ht="25.5" x14ac:dyDescent="0.25">
      <c r="A135">
        <v>94</v>
      </c>
      <c r="B135" t="s">
        <v>333</v>
      </c>
      <c r="C135" t="s">
        <v>61</v>
      </c>
      <c r="D135" t="s">
        <v>334</v>
      </c>
      <c r="E135" t="s">
        <v>102</v>
      </c>
      <c r="F135" t="s">
        <v>64</v>
      </c>
      <c r="K135">
        <v>390000</v>
      </c>
      <c r="L135" t="s">
        <v>65</v>
      </c>
      <c r="N135" s="5" t="s">
        <v>333</v>
      </c>
      <c r="O135" s="13">
        <v>370000</v>
      </c>
      <c r="P135" t="str">
        <f t="shared" si="4"/>
        <v>OK</v>
      </c>
      <c r="Q135" s="22">
        <f t="shared" si="5"/>
        <v>20000</v>
      </c>
    </row>
    <row r="136" spans="1:17" ht="25.5" x14ac:dyDescent="0.25">
      <c r="A136">
        <v>277</v>
      </c>
      <c r="B136" t="s">
        <v>335</v>
      </c>
      <c r="C136" t="s">
        <v>61</v>
      </c>
      <c r="D136" t="s">
        <v>336</v>
      </c>
      <c r="E136" t="s">
        <v>75</v>
      </c>
      <c r="F136" t="s">
        <v>64</v>
      </c>
      <c r="K136">
        <v>330000</v>
      </c>
      <c r="L136" t="s">
        <v>65</v>
      </c>
      <c r="N136" s="5" t="s">
        <v>335</v>
      </c>
      <c r="O136" s="13">
        <v>310000</v>
      </c>
      <c r="P136" t="str">
        <f t="shared" si="4"/>
        <v>OK</v>
      </c>
      <c r="Q136" s="22">
        <f t="shared" si="5"/>
        <v>20000</v>
      </c>
    </row>
    <row r="137" spans="1:17" x14ac:dyDescent="0.25">
      <c r="A137">
        <v>302</v>
      </c>
      <c r="B137" t="s">
        <v>337</v>
      </c>
      <c r="C137" t="s">
        <v>61</v>
      </c>
      <c r="D137" t="s">
        <v>338</v>
      </c>
      <c r="E137" t="s">
        <v>109</v>
      </c>
      <c r="F137" t="s">
        <v>64</v>
      </c>
      <c r="K137">
        <v>1930000</v>
      </c>
      <c r="L137" t="s">
        <v>65</v>
      </c>
      <c r="N137" s="5" t="s">
        <v>337</v>
      </c>
      <c r="O137" s="13">
        <v>1050000</v>
      </c>
      <c r="P137" t="str">
        <f t="shared" si="4"/>
        <v>OK</v>
      </c>
      <c r="Q137" s="22">
        <f t="shared" si="5"/>
        <v>880000</v>
      </c>
    </row>
    <row r="138" spans="1:17" ht="25.5" x14ac:dyDescent="0.25">
      <c r="A138">
        <v>364</v>
      </c>
      <c r="B138" t="s">
        <v>339</v>
      </c>
      <c r="C138" t="s">
        <v>61</v>
      </c>
      <c r="D138" t="s">
        <v>340</v>
      </c>
      <c r="E138" t="s">
        <v>129</v>
      </c>
      <c r="F138" t="s">
        <v>64</v>
      </c>
      <c r="K138">
        <v>170000</v>
      </c>
      <c r="L138" t="s">
        <v>65</v>
      </c>
      <c r="N138" s="10" t="s">
        <v>339</v>
      </c>
      <c r="O138" s="21">
        <v>160000</v>
      </c>
      <c r="P138" t="str">
        <f t="shared" si="4"/>
        <v>OK</v>
      </c>
      <c r="Q138" s="22">
        <f t="shared" si="5"/>
        <v>10000</v>
      </c>
    </row>
    <row r="139" spans="1:17" ht="25.5" x14ac:dyDescent="0.25">
      <c r="A139">
        <v>334</v>
      </c>
      <c r="B139" t="s">
        <v>341</v>
      </c>
      <c r="C139" t="s">
        <v>61</v>
      </c>
      <c r="D139" t="s">
        <v>342</v>
      </c>
      <c r="E139" t="s">
        <v>91</v>
      </c>
      <c r="F139" t="s">
        <v>64</v>
      </c>
      <c r="K139">
        <v>120000</v>
      </c>
      <c r="L139" t="s">
        <v>65</v>
      </c>
      <c r="N139" s="4" t="s">
        <v>341</v>
      </c>
      <c r="O139" s="15">
        <v>120000</v>
      </c>
      <c r="P139" t="str">
        <f t="shared" si="4"/>
        <v>OK</v>
      </c>
      <c r="Q139" s="22">
        <f t="shared" si="5"/>
        <v>0</v>
      </c>
    </row>
    <row r="140" spans="1:17" ht="25.5" x14ac:dyDescent="0.25">
      <c r="A140">
        <v>342</v>
      </c>
      <c r="B140" t="s">
        <v>343</v>
      </c>
      <c r="C140" t="s">
        <v>61</v>
      </c>
      <c r="D140" t="s">
        <v>344</v>
      </c>
      <c r="E140" t="s">
        <v>63</v>
      </c>
      <c r="F140" t="s">
        <v>64</v>
      </c>
      <c r="K140">
        <v>120000</v>
      </c>
      <c r="L140" t="s">
        <v>65</v>
      </c>
      <c r="N140" s="5" t="s">
        <v>343</v>
      </c>
      <c r="O140" s="13">
        <v>120000</v>
      </c>
      <c r="P140" t="str">
        <f t="shared" si="4"/>
        <v>OK</v>
      </c>
      <c r="Q140" s="22">
        <f t="shared" si="5"/>
        <v>0</v>
      </c>
    </row>
    <row r="141" spans="1:17" x14ac:dyDescent="0.25">
      <c r="A141">
        <v>308</v>
      </c>
      <c r="B141" t="s">
        <v>345</v>
      </c>
      <c r="C141" t="s">
        <v>61</v>
      </c>
      <c r="D141" t="s">
        <v>346</v>
      </c>
      <c r="E141" t="s">
        <v>129</v>
      </c>
      <c r="F141" t="s">
        <v>64</v>
      </c>
      <c r="K141">
        <v>240000</v>
      </c>
      <c r="L141" t="s">
        <v>65</v>
      </c>
      <c r="N141" s="12" t="s">
        <v>345</v>
      </c>
      <c r="O141" s="19">
        <v>230000</v>
      </c>
      <c r="P141" t="str">
        <f t="shared" si="4"/>
        <v>OK</v>
      </c>
      <c r="Q141" s="22">
        <f t="shared" si="5"/>
        <v>10000</v>
      </c>
    </row>
    <row r="142" spans="1:17" ht="25.5" x14ac:dyDescent="0.25">
      <c r="A142">
        <v>237</v>
      </c>
      <c r="B142" t="s">
        <v>347</v>
      </c>
      <c r="C142" t="s">
        <v>61</v>
      </c>
      <c r="D142" t="s">
        <v>348</v>
      </c>
      <c r="E142" t="s">
        <v>63</v>
      </c>
      <c r="F142" t="s">
        <v>64</v>
      </c>
      <c r="K142">
        <v>300000</v>
      </c>
      <c r="L142" t="s">
        <v>65</v>
      </c>
      <c r="N142" s="5" t="s">
        <v>347</v>
      </c>
      <c r="O142" s="13">
        <v>290000</v>
      </c>
      <c r="P142" t="str">
        <f t="shared" si="4"/>
        <v>OK</v>
      </c>
      <c r="Q142" s="22">
        <f t="shared" si="5"/>
        <v>10000</v>
      </c>
    </row>
    <row r="143" spans="1:17" ht="25.5" x14ac:dyDescent="0.25">
      <c r="A143">
        <v>298</v>
      </c>
      <c r="B143" t="s">
        <v>349</v>
      </c>
      <c r="C143" t="s">
        <v>61</v>
      </c>
      <c r="D143" t="s">
        <v>350</v>
      </c>
      <c r="E143" t="s">
        <v>102</v>
      </c>
      <c r="F143" t="s">
        <v>64</v>
      </c>
      <c r="K143">
        <v>1500000</v>
      </c>
      <c r="L143" t="s">
        <v>65</v>
      </c>
      <c r="N143" s="5" t="s">
        <v>349</v>
      </c>
      <c r="O143" s="13">
        <v>1500000</v>
      </c>
      <c r="P143" t="str">
        <f t="shared" si="4"/>
        <v>OK</v>
      </c>
      <c r="Q143" s="22">
        <f t="shared" si="5"/>
        <v>0</v>
      </c>
    </row>
    <row r="144" spans="1:17" ht="25.5" x14ac:dyDescent="0.25">
      <c r="A144">
        <v>238</v>
      </c>
      <c r="B144" t="s">
        <v>351</v>
      </c>
      <c r="C144" t="s">
        <v>61</v>
      </c>
      <c r="D144" t="s">
        <v>352</v>
      </c>
      <c r="E144" t="s">
        <v>91</v>
      </c>
      <c r="F144" t="s">
        <v>64</v>
      </c>
      <c r="K144">
        <v>720000</v>
      </c>
      <c r="L144" t="s">
        <v>65</v>
      </c>
      <c r="N144" s="5" t="s">
        <v>351</v>
      </c>
      <c r="O144" s="13">
        <v>680000</v>
      </c>
      <c r="P144" t="str">
        <f t="shared" si="4"/>
        <v>OK</v>
      </c>
      <c r="Q144" s="22">
        <f t="shared" si="5"/>
        <v>40000</v>
      </c>
    </row>
    <row r="145" spans="1:17" ht="25.5" x14ac:dyDescent="0.25">
      <c r="A145">
        <v>282</v>
      </c>
      <c r="B145" t="s">
        <v>353</v>
      </c>
      <c r="C145" t="s">
        <v>61</v>
      </c>
      <c r="D145" t="s">
        <v>354</v>
      </c>
      <c r="E145" t="s">
        <v>91</v>
      </c>
      <c r="F145" t="s">
        <v>64</v>
      </c>
      <c r="K145">
        <v>720000</v>
      </c>
      <c r="L145" t="s">
        <v>65</v>
      </c>
      <c r="N145" s="5" t="s">
        <v>353</v>
      </c>
      <c r="O145" s="13">
        <v>680000</v>
      </c>
      <c r="P145" t="str">
        <f t="shared" si="4"/>
        <v>OK</v>
      </c>
      <c r="Q145" s="22">
        <f t="shared" si="5"/>
        <v>40000</v>
      </c>
    </row>
    <row r="146" spans="1:17" ht="25.5" x14ac:dyDescent="0.25">
      <c r="A146">
        <v>173</v>
      </c>
      <c r="B146" t="s">
        <v>355</v>
      </c>
      <c r="C146" t="s">
        <v>61</v>
      </c>
      <c r="D146" t="s">
        <v>356</v>
      </c>
      <c r="E146" t="s">
        <v>129</v>
      </c>
      <c r="F146" t="s">
        <v>64</v>
      </c>
      <c r="K146">
        <v>4260000</v>
      </c>
      <c r="L146" t="s">
        <v>65</v>
      </c>
      <c r="N146" s="5" t="s">
        <v>355</v>
      </c>
      <c r="O146" s="13">
        <v>4070000</v>
      </c>
      <c r="P146" t="str">
        <f t="shared" si="4"/>
        <v>OK</v>
      </c>
      <c r="Q146" s="22">
        <f t="shared" si="5"/>
        <v>190000</v>
      </c>
    </row>
    <row r="147" spans="1:17" ht="25.5" x14ac:dyDescent="0.25">
      <c r="A147">
        <v>243</v>
      </c>
      <c r="B147" t="s">
        <v>367</v>
      </c>
      <c r="C147" t="s">
        <v>61</v>
      </c>
      <c r="D147" t="s">
        <v>368</v>
      </c>
      <c r="E147" t="s">
        <v>63</v>
      </c>
      <c r="F147" t="s">
        <v>64</v>
      </c>
      <c r="K147">
        <v>470000</v>
      </c>
      <c r="L147" t="s">
        <v>65</v>
      </c>
      <c r="N147" s="4" t="s">
        <v>367</v>
      </c>
      <c r="O147" s="15">
        <v>450000</v>
      </c>
      <c r="P147" t="str">
        <f t="shared" si="4"/>
        <v>OK</v>
      </c>
      <c r="Q147" s="22">
        <f t="shared" si="5"/>
        <v>20000</v>
      </c>
    </row>
    <row r="148" spans="1:17" ht="25.5" x14ac:dyDescent="0.25">
      <c r="A148">
        <v>234</v>
      </c>
      <c r="B148" t="s">
        <v>359</v>
      </c>
      <c r="C148" t="s">
        <v>61</v>
      </c>
      <c r="D148" t="s">
        <v>360</v>
      </c>
      <c r="E148" t="s">
        <v>129</v>
      </c>
      <c r="F148" t="s">
        <v>64</v>
      </c>
      <c r="K148">
        <v>330000</v>
      </c>
      <c r="L148" t="s">
        <v>65</v>
      </c>
      <c r="N148" s="5" t="s">
        <v>359</v>
      </c>
      <c r="O148" s="13">
        <v>310000</v>
      </c>
      <c r="P148" t="str">
        <f t="shared" si="4"/>
        <v>OK</v>
      </c>
      <c r="Q148" s="22">
        <f t="shared" si="5"/>
        <v>20000</v>
      </c>
    </row>
    <row r="149" spans="1:17" ht="25.5" x14ac:dyDescent="0.25">
      <c r="A149">
        <v>266</v>
      </c>
      <c r="B149" t="s">
        <v>361</v>
      </c>
      <c r="C149" t="s">
        <v>61</v>
      </c>
      <c r="D149" t="s">
        <v>362</v>
      </c>
      <c r="E149" t="s">
        <v>78</v>
      </c>
      <c r="F149" t="s">
        <v>64</v>
      </c>
      <c r="K149">
        <v>330000</v>
      </c>
      <c r="L149" t="s">
        <v>65</v>
      </c>
      <c r="N149" s="5" t="s">
        <v>361</v>
      </c>
      <c r="O149" s="13">
        <v>310000</v>
      </c>
      <c r="P149" t="str">
        <f t="shared" si="4"/>
        <v>OK</v>
      </c>
      <c r="Q149" s="22">
        <f t="shared" si="5"/>
        <v>20000</v>
      </c>
    </row>
    <row r="150" spans="1:17" x14ac:dyDescent="0.25">
      <c r="A150">
        <v>368</v>
      </c>
      <c r="B150" t="s">
        <v>363</v>
      </c>
      <c r="C150" t="s">
        <v>61</v>
      </c>
      <c r="D150" t="s">
        <v>364</v>
      </c>
      <c r="E150" t="s">
        <v>70</v>
      </c>
      <c r="F150" t="s">
        <v>64</v>
      </c>
      <c r="K150">
        <v>230000</v>
      </c>
      <c r="L150" t="s">
        <v>65</v>
      </c>
      <c r="N150" s="5" t="s">
        <v>363</v>
      </c>
      <c r="O150" s="13">
        <v>230000</v>
      </c>
      <c r="P150" t="str">
        <f t="shared" si="4"/>
        <v>OK</v>
      </c>
      <c r="Q150" s="22">
        <f t="shared" si="5"/>
        <v>0</v>
      </c>
    </row>
    <row r="151" spans="1:17" ht="25.5" x14ac:dyDescent="0.25">
      <c r="A151">
        <v>317</v>
      </c>
      <c r="B151" t="s">
        <v>365</v>
      </c>
      <c r="C151" t="s">
        <v>61</v>
      </c>
      <c r="D151" t="s">
        <v>366</v>
      </c>
      <c r="E151" t="s">
        <v>88</v>
      </c>
      <c r="F151" t="s">
        <v>64</v>
      </c>
      <c r="K151">
        <v>500000</v>
      </c>
      <c r="L151" t="s">
        <v>65</v>
      </c>
      <c r="N151" s="5" t="s">
        <v>365</v>
      </c>
      <c r="O151" s="13">
        <v>470000</v>
      </c>
      <c r="P151" t="str">
        <f t="shared" si="4"/>
        <v>OK</v>
      </c>
      <c r="Q151" s="22">
        <f t="shared" si="5"/>
        <v>30000</v>
      </c>
    </row>
    <row r="152" spans="1:17" ht="25.5" x14ac:dyDescent="0.25">
      <c r="A152">
        <v>264</v>
      </c>
      <c r="B152" t="s">
        <v>369</v>
      </c>
      <c r="C152" t="s">
        <v>61</v>
      </c>
      <c r="D152" t="s">
        <v>370</v>
      </c>
      <c r="E152" t="s">
        <v>78</v>
      </c>
      <c r="F152" t="s">
        <v>64</v>
      </c>
      <c r="K152">
        <v>360000</v>
      </c>
      <c r="L152" t="s">
        <v>65</v>
      </c>
      <c r="N152" s="5" t="s">
        <v>369</v>
      </c>
      <c r="O152" s="13">
        <v>350000</v>
      </c>
      <c r="P152" t="str">
        <f t="shared" si="4"/>
        <v>OK</v>
      </c>
      <c r="Q152" s="22">
        <f t="shared" si="5"/>
        <v>10000</v>
      </c>
    </row>
    <row r="153" spans="1:17" ht="25.5" x14ac:dyDescent="0.25">
      <c r="A153">
        <v>281</v>
      </c>
      <c r="B153" t="s">
        <v>371</v>
      </c>
      <c r="C153" t="s">
        <v>61</v>
      </c>
      <c r="D153" t="s">
        <v>372</v>
      </c>
      <c r="E153" t="s">
        <v>102</v>
      </c>
      <c r="F153" t="s">
        <v>64</v>
      </c>
      <c r="K153">
        <v>280000</v>
      </c>
      <c r="L153" t="s">
        <v>65</v>
      </c>
      <c r="N153" s="5" t="s">
        <v>371</v>
      </c>
      <c r="O153" s="13">
        <v>260000</v>
      </c>
      <c r="P153" t="str">
        <f t="shared" si="4"/>
        <v>OK</v>
      </c>
      <c r="Q153" s="22">
        <f t="shared" si="5"/>
        <v>20000</v>
      </c>
    </row>
    <row r="154" spans="1:17" ht="25.5" x14ac:dyDescent="0.25">
      <c r="A154">
        <v>180</v>
      </c>
      <c r="B154" t="s">
        <v>373</v>
      </c>
      <c r="C154" t="s">
        <v>61</v>
      </c>
      <c r="D154" t="s">
        <v>374</v>
      </c>
      <c r="E154" t="s">
        <v>129</v>
      </c>
      <c r="F154" t="s">
        <v>64</v>
      </c>
      <c r="K154">
        <v>780000</v>
      </c>
      <c r="L154" t="s">
        <v>65</v>
      </c>
      <c r="N154" s="8" t="s">
        <v>373</v>
      </c>
      <c r="O154" s="18">
        <v>750000</v>
      </c>
      <c r="P154" t="str">
        <f t="shared" si="4"/>
        <v>OK</v>
      </c>
      <c r="Q154" s="22">
        <f t="shared" si="5"/>
        <v>30000</v>
      </c>
    </row>
    <row r="155" spans="1:17" x14ac:dyDescent="0.25">
      <c r="A155">
        <v>311</v>
      </c>
      <c r="B155" t="s">
        <v>375</v>
      </c>
      <c r="C155" t="s">
        <v>61</v>
      </c>
      <c r="D155" t="s">
        <v>376</v>
      </c>
      <c r="E155" t="s">
        <v>81</v>
      </c>
      <c r="F155" t="s">
        <v>64</v>
      </c>
      <c r="K155">
        <v>520000</v>
      </c>
      <c r="L155" t="s">
        <v>65</v>
      </c>
      <c r="N155" s="5" t="s">
        <v>375</v>
      </c>
      <c r="O155" s="13">
        <v>500000</v>
      </c>
      <c r="P155" t="str">
        <f t="shared" si="4"/>
        <v>OK</v>
      </c>
      <c r="Q155" s="22">
        <f t="shared" si="5"/>
        <v>20000</v>
      </c>
    </row>
    <row r="156" spans="1:17" x14ac:dyDescent="0.25">
      <c r="A156">
        <v>241</v>
      </c>
      <c r="B156" t="s">
        <v>377</v>
      </c>
      <c r="C156" t="s">
        <v>61</v>
      </c>
      <c r="D156" t="s">
        <v>378</v>
      </c>
      <c r="E156" t="s">
        <v>129</v>
      </c>
      <c r="F156" t="s">
        <v>64</v>
      </c>
      <c r="K156">
        <v>520000</v>
      </c>
      <c r="L156" t="s">
        <v>65</v>
      </c>
      <c r="N156" s="5" t="s">
        <v>377</v>
      </c>
      <c r="O156" s="13">
        <v>500000</v>
      </c>
      <c r="P156" t="str">
        <f t="shared" si="4"/>
        <v>OK</v>
      </c>
      <c r="Q156" s="22">
        <f t="shared" si="5"/>
        <v>20000</v>
      </c>
    </row>
    <row r="157" spans="1:17" ht="25.5" x14ac:dyDescent="0.25">
      <c r="A157">
        <v>182</v>
      </c>
      <c r="B157" t="s">
        <v>379</v>
      </c>
      <c r="C157" t="s">
        <v>61</v>
      </c>
      <c r="D157" t="s">
        <v>380</v>
      </c>
      <c r="E157" t="s">
        <v>63</v>
      </c>
      <c r="F157" t="s">
        <v>64</v>
      </c>
      <c r="K157">
        <v>1440000</v>
      </c>
      <c r="L157" t="s">
        <v>65</v>
      </c>
      <c r="N157" s="5" t="s">
        <v>379</v>
      </c>
      <c r="O157" s="13">
        <v>1370000</v>
      </c>
      <c r="P157" t="str">
        <f t="shared" si="4"/>
        <v>OK</v>
      </c>
      <c r="Q157" s="22">
        <f t="shared" si="5"/>
        <v>70000</v>
      </c>
    </row>
    <row r="158" spans="1:17" ht="25.5" x14ac:dyDescent="0.25">
      <c r="A158">
        <v>183</v>
      </c>
      <c r="B158" t="s">
        <v>381</v>
      </c>
      <c r="C158" t="s">
        <v>61</v>
      </c>
      <c r="D158" t="s">
        <v>382</v>
      </c>
      <c r="E158" t="s">
        <v>70</v>
      </c>
      <c r="F158" t="s">
        <v>64</v>
      </c>
      <c r="K158">
        <v>240000</v>
      </c>
      <c r="L158" t="s">
        <v>65</v>
      </c>
      <c r="N158" s="5" t="s">
        <v>381</v>
      </c>
      <c r="O158" s="13">
        <v>230000</v>
      </c>
      <c r="P158" t="str">
        <f t="shared" si="4"/>
        <v>OK</v>
      </c>
      <c r="Q158" s="22">
        <f t="shared" si="5"/>
        <v>10000</v>
      </c>
    </row>
    <row r="159" spans="1:17" ht="25.5" x14ac:dyDescent="0.25">
      <c r="A159">
        <v>201</v>
      </c>
      <c r="B159" t="s">
        <v>385</v>
      </c>
      <c r="C159" t="s">
        <v>61</v>
      </c>
      <c r="D159" t="s">
        <v>386</v>
      </c>
      <c r="E159" t="s">
        <v>81</v>
      </c>
      <c r="F159" t="s">
        <v>64</v>
      </c>
      <c r="K159">
        <v>120000</v>
      </c>
      <c r="L159" t="s">
        <v>65</v>
      </c>
      <c r="N159" s="5" t="s">
        <v>385</v>
      </c>
      <c r="O159" s="13">
        <v>120000</v>
      </c>
      <c r="P159" t="str">
        <f t="shared" si="4"/>
        <v>OK</v>
      </c>
      <c r="Q159" s="22">
        <f t="shared" si="5"/>
        <v>0</v>
      </c>
    </row>
    <row r="160" spans="1:17" x14ac:dyDescent="0.25">
      <c r="A160">
        <v>205</v>
      </c>
      <c r="B160" t="s">
        <v>383</v>
      </c>
      <c r="C160" t="s">
        <v>61</v>
      </c>
      <c r="D160" t="s">
        <v>384</v>
      </c>
      <c r="E160" t="s">
        <v>91</v>
      </c>
      <c r="F160" t="s">
        <v>64</v>
      </c>
      <c r="K160">
        <v>120000</v>
      </c>
      <c r="L160" t="s">
        <v>65</v>
      </c>
      <c r="N160" s="5" t="s">
        <v>383</v>
      </c>
      <c r="O160" s="13">
        <v>120000</v>
      </c>
      <c r="P160" t="str">
        <f t="shared" si="4"/>
        <v>OK</v>
      </c>
      <c r="Q160" s="22">
        <f t="shared" si="5"/>
        <v>0</v>
      </c>
    </row>
    <row r="161" spans="1:17" ht="25.5" x14ac:dyDescent="0.25">
      <c r="A161">
        <v>188</v>
      </c>
      <c r="B161" t="s">
        <v>389</v>
      </c>
      <c r="C161" t="s">
        <v>61</v>
      </c>
      <c r="D161" t="s">
        <v>390</v>
      </c>
      <c r="E161" t="s">
        <v>91</v>
      </c>
      <c r="F161" t="s">
        <v>64</v>
      </c>
      <c r="K161">
        <v>470000</v>
      </c>
      <c r="L161" t="s">
        <v>65</v>
      </c>
      <c r="N161" s="5" t="s">
        <v>389</v>
      </c>
      <c r="O161" s="13">
        <v>450000</v>
      </c>
      <c r="P161" t="str">
        <f t="shared" si="4"/>
        <v>OK</v>
      </c>
      <c r="Q161" s="22">
        <f t="shared" si="5"/>
        <v>20000</v>
      </c>
    </row>
    <row r="162" spans="1:17" ht="25.5" x14ac:dyDescent="0.25">
      <c r="A162">
        <v>189</v>
      </c>
      <c r="B162" t="s">
        <v>391</v>
      </c>
      <c r="C162" t="s">
        <v>61</v>
      </c>
      <c r="D162" t="s">
        <v>392</v>
      </c>
      <c r="E162" t="s">
        <v>70</v>
      </c>
      <c r="F162" t="s">
        <v>64</v>
      </c>
      <c r="K162">
        <v>2120000</v>
      </c>
      <c r="L162" t="s">
        <v>65</v>
      </c>
      <c r="N162" s="5" t="s">
        <v>391</v>
      </c>
      <c r="O162" s="13">
        <v>2040000</v>
      </c>
      <c r="P162" t="str">
        <f t="shared" si="4"/>
        <v>OK</v>
      </c>
      <c r="Q162" s="22">
        <f t="shared" si="5"/>
        <v>80000</v>
      </c>
    </row>
    <row r="163" spans="1:17" ht="25.5" x14ac:dyDescent="0.25">
      <c r="A163">
        <v>190</v>
      </c>
      <c r="B163" t="s">
        <v>393</v>
      </c>
      <c r="C163" t="s">
        <v>61</v>
      </c>
      <c r="D163" t="s">
        <v>394</v>
      </c>
      <c r="E163" t="s">
        <v>91</v>
      </c>
      <c r="F163" t="s">
        <v>64</v>
      </c>
      <c r="K163">
        <v>770000</v>
      </c>
      <c r="L163" t="s">
        <v>65</v>
      </c>
      <c r="N163" s="5" t="s">
        <v>393</v>
      </c>
      <c r="O163" s="13">
        <v>730000</v>
      </c>
      <c r="P163" t="str">
        <f t="shared" si="4"/>
        <v>OK</v>
      </c>
      <c r="Q163" s="22">
        <f t="shared" si="5"/>
        <v>40000</v>
      </c>
    </row>
    <row r="164" spans="1:17" x14ac:dyDescent="0.25">
      <c r="A164">
        <v>192</v>
      </c>
      <c r="B164" t="s">
        <v>395</v>
      </c>
      <c r="C164" t="s">
        <v>61</v>
      </c>
      <c r="D164" t="s">
        <v>396</v>
      </c>
      <c r="E164" t="s">
        <v>109</v>
      </c>
      <c r="F164" t="s">
        <v>64</v>
      </c>
      <c r="K164">
        <v>770000</v>
      </c>
      <c r="L164" t="s">
        <v>65</v>
      </c>
      <c r="N164" s="5" t="s">
        <v>395</v>
      </c>
      <c r="O164" s="13">
        <v>730000</v>
      </c>
      <c r="P164" t="str">
        <f t="shared" si="4"/>
        <v>OK</v>
      </c>
      <c r="Q164" s="22">
        <f t="shared" si="5"/>
        <v>40000</v>
      </c>
    </row>
    <row r="165" spans="1:17" ht="25.5" x14ac:dyDescent="0.25">
      <c r="A165">
        <v>193</v>
      </c>
      <c r="B165" t="s">
        <v>397</v>
      </c>
      <c r="C165" t="s">
        <v>61</v>
      </c>
      <c r="D165" t="s">
        <v>398</v>
      </c>
      <c r="E165" t="s">
        <v>129</v>
      </c>
      <c r="F165" t="s">
        <v>64</v>
      </c>
      <c r="K165">
        <v>500000</v>
      </c>
      <c r="L165" t="s">
        <v>65</v>
      </c>
      <c r="N165" s="6" t="s">
        <v>397</v>
      </c>
      <c r="O165" s="16">
        <v>470000</v>
      </c>
      <c r="P165" t="str">
        <f t="shared" si="4"/>
        <v>OK</v>
      </c>
      <c r="Q165" s="22">
        <f t="shared" si="5"/>
        <v>30000</v>
      </c>
    </row>
    <row r="166" spans="1:17" ht="25.5" x14ac:dyDescent="0.25">
      <c r="A166">
        <v>194</v>
      </c>
      <c r="B166" t="s">
        <v>399</v>
      </c>
      <c r="C166" t="s">
        <v>61</v>
      </c>
      <c r="D166" t="s">
        <v>400</v>
      </c>
      <c r="E166" t="s">
        <v>63</v>
      </c>
      <c r="F166" t="s">
        <v>64</v>
      </c>
      <c r="K166">
        <v>500000</v>
      </c>
      <c r="L166" t="s">
        <v>65</v>
      </c>
      <c r="N166" s="5" t="s">
        <v>399</v>
      </c>
      <c r="O166" s="13">
        <v>470000</v>
      </c>
      <c r="P166" t="str">
        <f t="shared" si="4"/>
        <v>OK</v>
      </c>
      <c r="Q166" s="22">
        <f t="shared" si="5"/>
        <v>30000</v>
      </c>
    </row>
    <row r="167" spans="1:17" x14ac:dyDescent="0.25">
      <c r="A167">
        <v>197</v>
      </c>
      <c r="B167" t="s">
        <v>401</v>
      </c>
      <c r="C167" t="s">
        <v>61</v>
      </c>
      <c r="D167" t="s">
        <v>402</v>
      </c>
      <c r="E167" t="s">
        <v>70</v>
      </c>
      <c r="F167" t="s">
        <v>64</v>
      </c>
      <c r="K167">
        <v>1600000</v>
      </c>
      <c r="L167" t="s">
        <v>65</v>
      </c>
      <c r="N167" s="5" t="s">
        <v>401</v>
      </c>
      <c r="O167" s="13">
        <v>1550000</v>
      </c>
      <c r="P167" t="str">
        <f t="shared" si="4"/>
        <v>OK</v>
      </c>
      <c r="Q167" s="22">
        <f t="shared" si="5"/>
        <v>50000</v>
      </c>
    </row>
    <row r="168" spans="1:17" ht="25.5" x14ac:dyDescent="0.25">
      <c r="A168">
        <v>198</v>
      </c>
      <c r="B168" t="s">
        <v>407</v>
      </c>
      <c r="C168" t="s">
        <v>61</v>
      </c>
      <c r="D168" t="s">
        <v>408</v>
      </c>
      <c r="E168" t="s">
        <v>102</v>
      </c>
      <c r="F168" t="s">
        <v>64</v>
      </c>
      <c r="K168">
        <v>470000</v>
      </c>
      <c r="L168" t="s">
        <v>65</v>
      </c>
      <c r="N168" s="5" t="s">
        <v>407</v>
      </c>
      <c r="O168" s="13">
        <v>450000</v>
      </c>
      <c r="P168" t="str">
        <f t="shared" si="4"/>
        <v>OK</v>
      </c>
      <c r="Q168" s="22">
        <f t="shared" si="5"/>
        <v>20000</v>
      </c>
    </row>
    <row r="169" spans="1:17" ht="25.5" x14ac:dyDescent="0.25">
      <c r="A169">
        <v>199</v>
      </c>
      <c r="B169" t="s">
        <v>403</v>
      </c>
      <c r="C169" t="s">
        <v>61</v>
      </c>
      <c r="D169" t="s">
        <v>404</v>
      </c>
      <c r="E169" t="s">
        <v>91</v>
      </c>
      <c r="F169" t="s">
        <v>64</v>
      </c>
      <c r="K169">
        <v>0</v>
      </c>
      <c r="L169" t="s">
        <v>65</v>
      </c>
      <c r="N169" s="5" t="s">
        <v>403</v>
      </c>
      <c r="O169" s="13">
        <v>0</v>
      </c>
      <c r="P169" t="str">
        <f t="shared" si="4"/>
        <v>OK</v>
      </c>
      <c r="Q169" s="22">
        <f t="shared" si="5"/>
        <v>0</v>
      </c>
    </row>
    <row r="170" spans="1:17" x14ac:dyDescent="0.25">
      <c r="A170">
        <v>200</v>
      </c>
      <c r="B170" t="s">
        <v>409</v>
      </c>
      <c r="C170" t="s">
        <v>61</v>
      </c>
      <c r="D170" t="s">
        <v>410</v>
      </c>
      <c r="E170" t="s">
        <v>91</v>
      </c>
      <c r="F170" t="s">
        <v>64</v>
      </c>
      <c r="K170">
        <v>500000</v>
      </c>
      <c r="L170" t="s">
        <v>65</v>
      </c>
      <c r="N170" s="5" t="s">
        <v>409</v>
      </c>
      <c r="O170" s="13">
        <v>470000</v>
      </c>
      <c r="P170" t="str">
        <f t="shared" si="4"/>
        <v>OK</v>
      </c>
      <c r="Q170" s="22">
        <f t="shared" si="5"/>
        <v>30000</v>
      </c>
    </row>
    <row r="171" spans="1:17" ht="25.5" x14ac:dyDescent="0.25">
      <c r="A171">
        <v>117</v>
      </c>
      <c r="B171" t="s">
        <v>411</v>
      </c>
      <c r="C171" t="s">
        <v>61</v>
      </c>
      <c r="D171" t="s">
        <v>412</v>
      </c>
      <c r="E171" t="s">
        <v>102</v>
      </c>
      <c r="F171" t="s">
        <v>64</v>
      </c>
      <c r="K171">
        <v>360000</v>
      </c>
      <c r="L171" t="s">
        <v>65</v>
      </c>
      <c r="N171" s="5" t="s">
        <v>411</v>
      </c>
      <c r="O171" s="13">
        <v>350000</v>
      </c>
      <c r="P171" t="str">
        <f t="shared" si="4"/>
        <v>OK</v>
      </c>
      <c r="Q171" s="22">
        <f t="shared" si="5"/>
        <v>10000</v>
      </c>
    </row>
    <row r="172" spans="1:17" x14ac:dyDescent="0.25">
      <c r="A172">
        <v>240</v>
      </c>
      <c r="B172" t="s">
        <v>413</v>
      </c>
      <c r="C172" t="s">
        <v>61</v>
      </c>
      <c r="D172" t="s">
        <v>414</v>
      </c>
      <c r="E172" t="s">
        <v>91</v>
      </c>
      <c r="F172" t="s">
        <v>64</v>
      </c>
      <c r="K172">
        <v>360000</v>
      </c>
      <c r="L172" t="s">
        <v>65</v>
      </c>
      <c r="N172" s="5" t="s">
        <v>413</v>
      </c>
      <c r="O172" s="13">
        <v>350000</v>
      </c>
      <c r="P172" t="str">
        <f t="shared" si="4"/>
        <v>OK</v>
      </c>
      <c r="Q172" s="22">
        <f t="shared" si="5"/>
        <v>10000</v>
      </c>
    </row>
    <row r="173" spans="1:17" x14ac:dyDescent="0.25">
      <c r="A173">
        <v>202</v>
      </c>
      <c r="B173" t="s">
        <v>415</v>
      </c>
      <c r="C173" t="s">
        <v>61</v>
      </c>
      <c r="D173" t="s">
        <v>416</v>
      </c>
      <c r="E173" t="s">
        <v>78</v>
      </c>
      <c r="F173" t="s">
        <v>64</v>
      </c>
      <c r="K173">
        <v>360000</v>
      </c>
      <c r="L173" t="s">
        <v>65</v>
      </c>
      <c r="N173" s="5" t="s">
        <v>415</v>
      </c>
      <c r="O173" s="13">
        <v>350000</v>
      </c>
      <c r="P173" t="str">
        <f t="shared" ref="P173:P178" si="6">+IF(N173=B173,"OK",0)</f>
        <v>OK</v>
      </c>
      <c r="Q173" s="22">
        <f t="shared" si="5"/>
        <v>10000</v>
      </c>
    </row>
    <row r="174" spans="1:17" ht="25.5" x14ac:dyDescent="0.25">
      <c r="A174">
        <v>203</v>
      </c>
      <c r="B174" t="s">
        <v>417</v>
      </c>
      <c r="C174" t="s">
        <v>61</v>
      </c>
      <c r="D174" t="s">
        <v>418</v>
      </c>
      <c r="E174" t="s">
        <v>78</v>
      </c>
      <c r="F174" t="s">
        <v>64</v>
      </c>
      <c r="K174">
        <v>1760000</v>
      </c>
      <c r="L174" t="s">
        <v>65</v>
      </c>
      <c r="N174" s="5" t="s">
        <v>417</v>
      </c>
      <c r="O174" s="13">
        <v>1710000</v>
      </c>
      <c r="P174" t="str">
        <f t="shared" si="6"/>
        <v>OK</v>
      </c>
      <c r="Q174" s="22">
        <f t="shared" si="5"/>
        <v>50000</v>
      </c>
    </row>
    <row r="175" spans="1:17" x14ac:dyDescent="0.25">
      <c r="A175">
        <v>220</v>
      </c>
      <c r="B175" t="s">
        <v>405</v>
      </c>
      <c r="C175" t="s">
        <v>61</v>
      </c>
      <c r="D175" t="s">
        <v>406</v>
      </c>
      <c r="E175" t="s">
        <v>88</v>
      </c>
      <c r="F175" t="s">
        <v>64</v>
      </c>
      <c r="K175">
        <v>520000</v>
      </c>
      <c r="L175" t="s">
        <v>65</v>
      </c>
      <c r="N175" s="5" t="s">
        <v>405</v>
      </c>
      <c r="O175" s="13">
        <v>500000</v>
      </c>
      <c r="P175" t="str">
        <f t="shared" si="6"/>
        <v>OK</v>
      </c>
      <c r="Q175" s="22">
        <f t="shared" si="5"/>
        <v>20000</v>
      </c>
    </row>
    <row r="176" spans="1:17" x14ac:dyDescent="0.25">
      <c r="A176">
        <v>335</v>
      </c>
      <c r="B176" t="s">
        <v>419</v>
      </c>
      <c r="C176" t="s">
        <v>61</v>
      </c>
      <c r="D176" t="s">
        <v>420</v>
      </c>
      <c r="E176" t="s">
        <v>81</v>
      </c>
      <c r="F176" t="s">
        <v>64</v>
      </c>
      <c r="K176">
        <v>170000</v>
      </c>
      <c r="L176" t="s">
        <v>65</v>
      </c>
      <c r="N176" s="5" t="s">
        <v>419</v>
      </c>
      <c r="O176" s="13">
        <v>160000</v>
      </c>
      <c r="P176" t="str">
        <f t="shared" si="6"/>
        <v>OK</v>
      </c>
      <c r="Q176" s="22">
        <f t="shared" si="5"/>
        <v>10000</v>
      </c>
    </row>
    <row r="177" spans="1:17" ht="25.5" x14ac:dyDescent="0.25">
      <c r="A177">
        <v>278</v>
      </c>
      <c r="B177" t="s">
        <v>421</v>
      </c>
      <c r="C177" t="s">
        <v>61</v>
      </c>
      <c r="D177" t="s">
        <v>422</v>
      </c>
      <c r="E177" t="s">
        <v>102</v>
      </c>
      <c r="F177" t="s">
        <v>64</v>
      </c>
      <c r="K177">
        <v>500000</v>
      </c>
      <c r="L177" t="s">
        <v>65</v>
      </c>
      <c r="N177" s="13" t="s">
        <v>421</v>
      </c>
      <c r="O177" s="13">
        <v>470000</v>
      </c>
      <c r="P177" t="str">
        <f t="shared" si="6"/>
        <v>OK</v>
      </c>
      <c r="Q177" s="22">
        <f t="shared" si="5"/>
        <v>30000</v>
      </c>
    </row>
    <row r="178" spans="1:17" ht="25.5" x14ac:dyDescent="0.25">
      <c r="A178">
        <v>363</v>
      </c>
      <c r="B178" t="s">
        <v>28</v>
      </c>
      <c r="C178" t="s">
        <v>61</v>
      </c>
      <c r="D178" t="s">
        <v>423</v>
      </c>
      <c r="E178" t="s">
        <v>91</v>
      </c>
      <c r="F178" t="s">
        <v>64</v>
      </c>
      <c r="K178">
        <v>260000</v>
      </c>
      <c r="L178" t="s">
        <v>65</v>
      </c>
      <c r="N178" s="13" t="s">
        <v>28</v>
      </c>
      <c r="O178" s="13">
        <v>260000</v>
      </c>
      <c r="P178" t="str">
        <f t="shared" si="6"/>
        <v>OK</v>
      </c>
      <c r="Q178" s="22">
        <f t="shared" si="5"/>
        <v>0</v>
      </c>
    </row>
    <row r="179" spans="1:17" x14ac:dyDescent="0.25">
      <c r="N179" s="13"/>
      <c r="O179" s="13"/>
    </row>
    <row r="180" spans="1:17" x14ac:dyDescent="0.25">
      <c r="N180" s="14"/>
      <c r="O180" s="14"/>
    </row>
    <row r="181" spans="1:17" x14ac:dyDescent="0.25">
      <c r="A181">
        <v>185</v>
      </c>
      <c r="B181" t="s">
        <v>387</v>
      </c>
      <c r="C181" t="s">
        <v>61</v>
      </c>
      <c r="D181" t="s">
        <v>388</v>
      </c>
      <c r="E181" t="s">
        <v>70</v>
      </c>
      <c r="F181" t="s">
        <v>64</v>
      </c>
      <c r="K181">
        <v>0</v>
      </c>
      <c r="L181" t="s">
        <v>432</v>
      </c>
    </row>
    <row r="182" spans="1:17" x14ac:dyDescent="0.25">
      <c r="A182">
        <v>177</v>
      </c>
      <c r="B182" t="s">
        <v>357</v>
      </c>
      <c r="C182" t="s">
        <v>61</v>
      </c>
      <c r="D182" t="s">
        <v>358</v>
      </c>
      <c r="E182" t="s">
        <v>102</v>
      </c>
      <c r="F182" t="s">
        <v>64</v>
      </c>
      <c r="K182">
        <v>0</v>
      </c>
      <c r="L182" t="s">
        <v>432</v>
      </c>
    </row>
    <row r="183" spans="1:17" x14ac:dyDescent="0.25">
      <c r="A183">
        <v>132</v>
      </c>
      <c r="B183" t="s">
        <v>282</v>
      </c>
      <c r="C183" t="s">
        <v>61</v>
      </c>
      <c r="D183" t="s">
        <v>283</v>
      </c>
      <c r="E183" t="s">
        <v>75</v>
      </c>
      <c r="F183" t="s">
        <v>64</v>
      </c>
      <c r="K183">
        <v>0</v>
      </c>
      <c r="L183" t="s">
        <v>432</v>
      </c>
    </row>
    <row r="184" spans="1:17" x14ac:dyDescent="0.25">
      <c r="A184">
        <v>133</v>
      </c>
      <c r="B184" t="s">
        <v>284</v>
      </c>
      <c r="C184" t="s">
        <v>61</v>
      </c>
      <c r="D184" t="s">
        <v>285</v>
      </c>
      <c r="E184" t="s">
        <v>78</v>
      </c>
      <c r="F184" t="s">
        <v>64</v>
      </c>
      <c r="K184">
        <v>0</v>
      </c>
      <c r="L184" t="s">
        <v>432</v>
      </c>
    </row>
    <row r="185" spans="1:17" x14ac:dyDescent="0.25">
      <c r="A185">
        <v>134</v>
      </c>
      <c r="B185" t="s">
        <v>286</v>
      </c>
      <c r="C185" t="s">
        <v>61</v>
      </c>
      <c r="D185" t="s">
        <v>287</v>
      </c>
      <c r="E185" t="s">
        <v>102</v>
      </c>
      <c r="F185" t="s">
        <v>64</v>
      </c>
      <c r="K185">
        <v>0</v>
      </c>
      <c r="L185" t="s">
        <v>432</v>
      </c>
    </row>
    <row r="186" spans="1:17" x14ac:dyDescent="0.25">
      <c r="A186">
        <v>258</v>
      </c>
      <c r="B186" t="s">
        <v>216</v>
      </c>
      <c r="C186" t="s">
        <v>61</v>
      </c>
      <c r="D186" t="s">
        <v>217</v>
      </c>
      <c r="E186" t="s">
        <v>78</v>
      </c>
      <c r="F186" t="s">
        <v>64</v>
      </c>
      <c r="K186">
        <v>0</v>
      </c>
      <c r="L186" t="s">
        <v>432</v>
      </c>
      <c r="N186" s="5" t="s">
        <v>216</v>
      </c>
      <c r="O186" s="13">
        <v>0</v>
      </c>
      <c r="P186" t="str">
        <f>+IF(N186=B186,"OK",0)</f>
        <v>OK</v>
      </c>
      <c r="Q186" s="22">
        <f>+K186-O186</f>
        <v>0</v>
      </c>
    </row>
  </sheetData>
  <autoFilter ref="A1:M1" xr:uid="{00000000-0001-0000-0300-000000000000}">
    <sortState xmlns:xlrd2="http://schemas.microsoft.com/office/spreadsheetml/2017/richdata2" ref="A2:M184">
      <sortCondition ref="B1"/>
    </sortState>
  </autoFilter>
  <sortState xmlns:xlrd2="http://schemas.microsoft.com/office/spreadsheetml/2017/richdata2" ref="N2:N173">
    <sortCondition ref="N2:N173"/>
  </sortState>
  <conditionalFormatting sqref="N4:O79 N82:O110">
    <cfRule type="expression" dxfId="22" priority="2">
      <formula>$J2="OK/"</formula>
    </cfRule>
  </conditionalFormatting>
  <conditionalFormatting sqref="N2:O2 N80:O80">
    <cfRule type="expression" dxfId="21" priority="1">
      <formula>$J1="OK/"</formula>
    </cfRule>
  </conditionalFormatting>
  <conditionalFormatting sqref="N119:O155">
    <cfRule type="expression" dxfId="20" priority="4">
      <formula>$J111="OK/"</formula>
    </cfRule>
  </conditionalFormatting>
  <conditionalFormatting sqref="N111:O111">
    <cfRule type="expression" dxfId="19" priority="6">
      <formula>$J109="OK/"</formula>
    </cfRule>
  </conditionalFormatting>
  <conditionalFormatting sqref="N157:O169">
    <cfRule type="expression" dxfId="18" priority="8">
      <formula>$J148="OK/"</formula>
    </cfRule>
  </conditionalFormatting>
  <conditionalFormatting sqref="N171:O175">
    <cfRule type="expression" dxfId="17" priority="10">
      <formula>$J161="OK/"</formula>
    </cfRule>
  </conditionalFormatting>
  <conditionalFormatting sqref="N170:O170">
    <cfRule type="expression" dxfId="16" priority="12">
      <formula>$J181="OK/"</formula>
    </cfRule>
  </conditionalFormatting>
  <conditionalFormatting sqref="N156:O156">
    <cfRule type="expression" dxfId="15" priority="14">
      <formula>$J182="OK/"</formula>
    </cfRule>
  </conditionalFormatting>
  <conditionalFormatting sqref="N116:O118">
    <cfRule type="expression" dxfId="14" priority="16">
      <formula>$J183="OK/"</formula>
    </cfRule>
  </conditionalFormatting>
  <conditionalFormatting sqref="N115:O115">
    <cfRule type="expression" dxfId="13" priority="17">
      <formula>$J110="OK/"</formula>
    </cfRule>
  </conditionalFormatting>
  <conditionalFormatting sqref="N186:O186">
    <cfRule type="expression" dxfId="12" priority="19">
      <formula>$J78="OK/"</formula>
    </cfRule>
  </conditionalFormatting>
  <conditionalFormatting sqref="N81:O81">
    <cfRule type="expression" dxfId="11" priority="20">
      <formula>$J186="OK/"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4F68-27A5-4657-8108-EB14B5579DA8}">
  <dimension ref="A1:N186"/>
  <sheetViews>
    <sheetView tabSelected="1" workbookViewId="0">
      <selection activeCell="N4" sqref="N4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6" customWidth="1"/>
    <col min="4" max="4" width="14" customWidth="1"/>
    <col min="5" max="5" width="5" customWidth="1"/>
    <col min="6" max="6" width="12" customWidth="1"/>
    <col min="7" max="7" width="9.85546875" customWidth="1"/>
    <col min="8" max="8" width="16.28515625" customWidth="1"/>
    <col min="9" max="9" width="14.5703125" customWidth="1"/>
    <col min="10" max="10" width="9" customWidth="1"/>
    <col min="11" max="11" width="13" customWidth="1"/>
    <col min="12" max="12" width="8" customWidth="1"/>
    <col min="13" max="13" width="13.85546875" customWidth="1"/>
    <col min="14" max="14" width="29.42578125" customWidth="1"/>
  </cols>
  <sheetData>
    <row r="1" spans="1:14" x14ac:dyDescent="0.25">
      <c r="A1" s="1" t="s">
        <v>14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20</v>
      </c>
      <c r="K1" s="1" t="s">
        <v>58</v>
      </c>
      <c r="L1" s="1" t="s">
        <v>59</v>
      </c>
      <c r="M1" s="1" t="s">
        <v>43</v>
      </c>
      <c r="N1" s="1" t="s">
        <v>434</v>
      </c>
    </row>
    <row r="2" spans="1:14" x14ac:dyDescent="0.25">
      <c r="A2">
        <v>41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K2">
        <v>380000</v>
      </c>
      <c r="L2" t="s">
        <v>65</v>
      </c>
      <c r="N2" s="23">
        <v>360000</v>
      </c>
    </row>
    <row r="3" spans="1:14" x14ac:dyDescent="0.25">
      <c r="A3">
        <v>370</v>
      </c>
      <c r="B3" t="s">
        <v>66</v>
      </c>
      <c r="C3" t="s">
        <v>61</v>
      </c>
      <c r="D3" t="s">
        <v>67</v>
      </c>
      <c r="E3" t="s">
        <v>63</v>
      </c>
      <c r="F3" t="s">
        <v>64</v>
      </c>
      <c r="K3">
        <v>300000</v>
      </c>
      <c r="L3" t="s">
        <v>65</v>
      </c>
      <c r="N3" s="24">
        <v>0</v>
      </c>
    </row>
    <row r="4" spans="1:14" x14ac:dyDescent="0.25">
      <c r="A4">
        <v>346</v>
      </c>
      <c r="B4" t="s">
        <v>68</v>
      </c>
      <c r="C4" t="s">
        <v>61</v>
      </c>
      <c r="D4" t="s">
        <v>69</v>
      </c>
      <c r="E4" t="s">
        <v>70</v>
      </c>
      <c r="F4" t="s">
        <v>64</v>
      </c>
      <c r="K4">
        <v>170000</v>
      </c>
      <c r="L4" t="s">
        <v>65</v>
      </c>
      <c r="N4" s="23">
        <v>160000</v>
      </c>
    </row>
    <row r="5" spans="1:14" x14ac:dyDescent="0.25">
      <c r="A5">
        <v>300</v>
      </c>
      <c r="B5" t="s">
        <v>71</v>
      </c>
      <c r="C5" t="s">
        <v>61</v>
      </c>
      <c r="D5" t="s">
        <v>72</v>
      </c>
      <c r="E5" t="s">
        <v>63</v>
      </c>
      <c r="F5" t="s">
        <v>64</v>
      </c>
      <c r="K5">
        <v>500000</v>
      </c>
      <c r="L5" t="s">
        <v>65</v>
      </c>
      <c r="N5" s="25">
        <v>470000</v>
      </c>
    </row>
    <row r="6" spans="1:14" x14ac:dyDescent="0.25">
      <c r="A6">
        <v>217</v>
      </c>
      <c r="B6" t="s">
        <v>430</v>
      </c>
      <c r="C6" t="s">
        <v>61</v>
      </c>
      <c r="D6" t="s">
        <v>431</v>
      </c>
      <c r="E6" t="s">
        <v>88</v>
      </c>
      <c r="F6" t="s">
        <v>64</v>
      </c>
      <c r="K6">
        <v>350000</v>
      </c>
      <c r="L6" t="s">
        <v>65</v>
      </c>
      <c r="N6" s="23">
        <v>330000</v>
      </c>
    </row>
    <row r="7" spans="1:14" x14ac:dyDescent="0.25">
      <c r="A7">
        <v>43</v>
      </c>
      <c r="B7" t="s">
        <v>424</v>
      </c>
      <c r="C7" t="s">
        <v>61</v>
      </c>
      <c r="D7" t="s">
        <v>425</v>
      </c>
      <c r="E7" t="s">
        <v>70</v>
      </c>
      <c r="F7" t="s">
        <v>64</v>
      </c>
      <c r="K7">
        <v>500000</v>
      </c>
      <c r="L7" t="s">
        <v>65</v>
      </c>
      <c r="N7" s="23">
        <v>480000</v>
      </c>
    </row>
    <row r="8" spans="1:14" x14ac:dyDescent="0.25">
      <c r="A8">
        <v>44</v>
      </c>
      <c r="B8" t="s">
        <v>426</v>
      </c>
      <c r="C8" t="s">
        <v>61</v>
      </c>
      <c r="D8" t="s">
        <v>427</v>
      </c>
      <c r="E8" t="s">
        <v>102</v>
      </c>
      <c r="F8" t="s">
        <v>64</v>
      </c>
      <c r="K8">
        <v>1920000</v>
      </c>
      <c r="L8" t="s">
        <v>65</v>
      </c>
      <c r="N8" s="26">
        <v>1830000</v>
      </c>
    </row>
    <row r="9" spans="1:14" x14ac:dyDescent="0.25">
      <c r="A9">
        <v>45</v>
      </c>
      <c r="B9" t="s">
        <v>428</v>
      </c>
      <c r="C9" t="s">
        <v>61</v>
      </c>
      <c r="D9" t="s">
        <v>429</v>
      </c>
      <c r="E9" t="s">
        <v>91</v>
      </c>
      <c r="F9" t="s">
        <v>64</v>
      </c>
      <c r="K9">
        <v>1010000</v>
      </c>
      <c r="L9" t="s">
        <v>65</v>
      </c>
      <c r="N9" s="23">
        <v>980000</v>
      </c>
    </row>
    <row r="10" spans="1:14" x14ac:dyDescent="0.25">
      <c r="A10">
        <v>156</v>
      </c>
      <c r="B10" t="s">
        <v>73</v>
      </c>
      <c r="C10" t="s">
        <v>61</v>
      </c>
      <c r="D10" t="s">
        <v>74</v>
      </c>
      <c r="E10" t="s">
        <v>75</v>
      </c>
      <c r="F10" t="s">
        <v>64</v>
      </c>
      <c r="K10">
        <v>220000</v>
      </c>
      <c r="L10" t="s">
        <v>65</v>
      </c>
      <c r="N10" s="23">
        <v>210000</v>
      </c>
    </row>
    <row r="11" spans="1:14" x14ac:dyDescent="0.25">
      <c r="A11">
        <v>179</v>
      </c>
      <c r="B11" t="s">
        <v>76</v>
      </c>
      <c r="C11" t="s">
        <v>61</v>
      </c>
      <c r="D11" t="s">
        <v>77</v>
      </c>
      <c r="E11" t="s">
        <v>78</v>
      </c>
      <c r="F11" t="s">
        <v>64</v>
      </c>
      <c r="K11">
        <v>180000</v>
      </c>
      <c r="L11" t="s">
        <v>65</v>
      </c>
      <c r="N11" s="27">
        <v>170000</v>
      </c>
    </row>
    <row r="12" spans="1:14" x14ac:dyDescent="0.25">
      <c r="A12">
        <v>48</v>
      </c>
      <c r="B12" t="s">
        <v>79</v>
      </c>
      <c r="C12" t="s">
        <v>61</v>
      </c>
      <c r="D12" t="s">
        <v>80</v>
      </c>
      <c r="E12" t="s">
        <v>81</v>
      </c>
      <c r="F12" t="s">
        <v>64</v>
      </c>
      <c r="K12">
        <v>600000</v>
      </c>
      <c r="L12" t="s">
        <v>65</v>
      </c>
      <c r="N12" s="27">
        <v>580000</v>
      </c>
    </row>
    <row r="13" spans="1:14" x14ac:dyDescent="0.25">
      <c r="A13">
        <v>49</v>
      </c>
      <c r="B13" t="s">
        <v>84</v>
      </c>
      <c r="C13" t="s">
        <v>61</v>
      </c>
      <c r="D13" t="s">
        <v>85</v>
      </c>
      <c r="E13" t="s">
        <v>78</v>
      </c>
      <c r="F13" t="s">
        <v>64</v>
      </c>
      <c r="K13">
        <v>720000</v>
      </c>
      <c r="L13" t="s">
        <v>65</v>
      </c>
      <c r="N13" s="23">
        <v>690000</v>
      </c>
    </row>
    <row r="14" spans="1:14" x14ac:dyDescent="0.25">
      <c r="A14">
        <v>50</v>
      </c>
      <c r="B14" t="s">
        <v>82</v>
      </c>
      <c r="C14" t="s">
        <v>61</v>
      </c>
      <c r="D14" t="s">
        <v>83</v>
      </c>
      <c r="E14" t="s">
        <v>81</v>
      </c>
      <c r="F14" t="s">
        <v>64</v>
      </c>
      <c r="K14">
        <v>360000</v>
      </c>
      <c r="L14" t="s">
        <v>65</v>
      </c>
      <c r="N14" s="23">
        <v>350000</v>
      </c>
    </row>
    <row r="15" spans="1:14" x14ac:dyDescent="0.25">
      <c r="A15">
        <v>366</v>
      </c>
      <c r="B15" t="s">
        <v>86</v>
      </c>
      <c r="C15" t="s">
        <v>61</v>
      </c>
      <c r="D15" t="s">
        <v>87</v>
      </c>
      <c r="E15" t="s">
        <v>88</v>
      </c>
      <c r="F15" t="s">
        <v>64</v>
      </c>
      <c r="K15">
        <v>200000</v>
      </c>
      <c r="L15" t="s">
        <v>65</v>
      </c>
      <c r="N15" s="23">
        <v>200000</v>
      </c>
    </row>
    <row r="16" spans="1:14" x14ac:dyDescent="0.25">
      <c r="A16">
        <v>260</v>
      </c>
      <c r="B16" t="s">
        <v>89</v>
      </c>
      <c r="C16" t="s">
        <v>61</v>
      </c>
      <c r="D16" t="s">
        <v>90</v>
      </c>
      <c r="E16" t="s">
        <v>91</v>
      </c>
      <c r="F16" t="s">
        <v>64</v>
      </c>
      <c r="K16">
        <v>180000</v>
      </c>
      <c r="L16" t="s">
        <v>65</v>
      </c>
      <c r="N16" s="23">
        <v>170000</v>
      </c>
    </row>
    <row r="17" spans="1:14" x14ac:dyDescent="0.25">
      <c r="A17">
        <v>367</v>
      </c>
      <c r="B17" t="s">
        <v>92</v>
      </c>
      <c r="C17" t="s">
        <v>61</v>
      </c>
      <c r="D17" t="s">
        <v>93</v>
      </c>
      <c r="E17" t="s">
        <v>78</v>
      </c>
      <c r="F17" t="s">
        <v>64</v>
      </c>
      <c r="K17">
        <v>100000</v>
      </c>
      <c r="L17" t="s">
        <v>65</v>
      </c>
      <c r="N17" s="25">
        <v>100000</v>
      </c>
    </row>
    <row r="18" spans="1:14" x14ac:dyDescent="0.25">
      <c r="A18">
        <v>218</v>
      </c>
      <c r="B18" t="s">
        <v>94</v>
      </c>
      <c r="C18" t="s">
        <v>61</v>
      </c>
      <c r="D18" t="s">
        <v>95</v>
      </c>
      <c r="E18" t="s">
        <v>88</v>
      </c>
      <c r="F18" t="s">
        <v>64</v>
      </c>
      <c r="K18">
        <v>260000</v>
      </c>
      <c r="L18" t="s">
        <v>65</v>
      </c>
      <c r="N18" s="26">
        <v>250000</v>
      </c>
    </row>
    <row r="19" spans="1:14" x14ac:dyDescent="0.25">
      <c r="A19">
        <v>306</v>
      </c>
      <c r="B19" t="s">
        <v>96</v>
      </c>
      <c r="C19" t="s">
        <v>61</v>
      </c>
      <c r="D19" t="s">
        <v>97</v>
      </c>
      <c r="E19" t="s">
        <v>75</v>
      </c>
      <c r="F19" t="s">
        <v>64</v>
      </c>
      <c r="K19">
        <v>470000</v>
      </c>
      <c r="L19" t="s">
        <v>65</v>
      </c>
      <c r="N19" s="28">
        <v>450000</v>
      </c>
    </row>
    <row r="20" spans="1:14" x14ac:dyDescent="0.25">
      <c r="A20">
        <v>322</v>
      </c>
      <c r="B20" t="s">
        <v>98</v>
      </c>
      <c r="C20" t="s">
        <v>61</v>
      </c>
      <c r="D20" t="s">
        <v>99</v>
      </c>
      <c r="E20" t="s">
        <v>75</v>
      </c>
      <c r="F20" t="s">
        <v>64</v>
      </c>
      <c r="K20">
        <v>350000</v>
      </c>
      <c r="L20" t="s">
        <v>65</v>
      </c>
      <c r="N20" s="26">
        <v>0</v>
      </c>
    </row>
    <row r="21" spans="1:14" x14ac:dyDescent="0.25">
      <c r="A21">
        <v>271</v>
      </c>
      <c r="B21" t="s">
        <v>100</v>
      </c>
      <c r="C21" t="s">
        <v>61</v>
      </c>
      <c r="D21" t="s">
        <v>101</v>
      </c>
      <c r="E21" t="s">
        <v>102</v>
      </c>
      <c r="F21" t="s">
        <v>64</v>
      </c>
      <c r="K21">
        <v>360000</v>
      </c>
      <c r="L21" t="s">
        <v>65</v>
      </c>
      <c r="N21" s="23">
        <v>350000</v>
      </c>
    </row>
    <row r="22" spans="1:14" x14ac:dyDescent="0.25">
      <c r="A22">
        <v>60</v>
      </c>
      <c r="B22" t="s">
        <v>103</v>
      </c>
      <c r="C22" t="s">
        <v>61</v>
      </c>
      <c r="D22" t="s">
        <v>104</v>
      </c>
      <c r="E22" t="s">
        <v>70</v>
      </c>
      <c r="F22" t="s">
        <v>64</v>
      </c>
      <c r="K22">
        <v>360000</v>
      </c>
      <c r="L22" t="s">
        <v>65</v>
      </c>
      <c r="N22" s="23">
        <v>350000</v>
      </c>
    </row>
    <row r="23" spans="1:14" x14ac:dyDescent="0.25">
      <c r="A23">
        <v>61</v>
      </c>
      <c r="B23" t="s">
        <v>105</v>
      </c>
      <c r="C23" t="s">
        <v>61</v>
      </c>
      <c r="D23" t="s">
        <v>106</v>
      </c>
      <c r="E23" t="s">
        <v>78</v>
      </c>
      <c r="F23" t="s">
        <v>64</v>
      </c>
      <c r="K23">
        <v>400000</v>
      </c>
      <c r="L23" t="s">
        <v>65</v>
      </c>
      <c r="N23" s="23">
        <v>400000</v>
      </c>
    </row>
    <row r="24" spans="1:14" x14ac:dyDescent="0.25">
      <c r="A24">
        <v>62</v>
      </c>
      <c r="B24" t="s">
        <v>130</v>
      </c>
      <c r="C24" t="s">
        <v>61</v>
      </c>
      <c r="D24" t="s">
        <v>131</v>
      </c>
      <c r="E24" t="s">
        <v>109</v>
      </c>
      <c r="F24" t="s">
        <v>64</v>
      </c>
      <c r="K24">
        <v>1380000</v>
      </c>
      <c r="L24" t="s">
        <v>65</v>
      </c>
      <c r="N24" s="23">
        <v>1310000</v>
      </c>
    </row>
    <row r="25" spans="1:14" x14ac:dyDescent="0.25">
      <c r="A25">
        <v>63</v>
      </c>
      <c r="B25" t="s">
        <v>132</v>
      </c>
      <c r="C25" t="s">
        <v>61</v>
      </c>
      <c r="D25" t="s">
        <v>133</v>
      </c>
      <c r="E25" t="s">
        <v>81</v>
      </c>
      <c r="F25" t="s">
        <v>64</v>
      </c>
      <c r="K25">
        <v>770000</v>
      </c>
      <c r="L25" t="s">
        <v>65</v>
      </c>
      <c r="N25" s="23">
        <v>730000</v>
      </c>
    </row>
    <row r="26" spans="1:14" x14ac:dyDescent="0.25">
      <c r="A26">
        <v>65</v>
      </c>
      <c r="B26" t="s">
        <v>127</v>
      </c>
      <c r="C26" t="s">
        <v>61</v>
      </c>
      <c r="D26" t="s">
        <v>128</v>
      </c>
      <c r="E26" t="s">
        <v>129</v>
      </c>
      <c r="F26" t="s">
        <v>64</v>
      </c>
      <c r="K26">
        <v>1660000</v>
      </c>
      <c r="L26" t="s">
        <v>65</v>
      </c>
      <c r="N26" s="23">
        <v>1600000</v>
      </c>
    </row>
    <row r="27" spans="1:14" x14ac:dyDescent="0.25">
      <c r="A27">
        <v>67</v>
      </c>
      <c r="B27" t="s">
        <v>107</v>
      </c>
      <c r="C27" t="s">
        <v>61</v>
      </c>
      <c r="D27" t="s">
        <v>108</v>
      </c>
      <c r="E27" t="s">
        <v>109</v>
      </c>
      <c r="F27" t="s">
        <v>64</v>
      </c>
      <c r="K27">
        <v>360000</v>
      </c>
      <c r="L27" t="s">
        <v>65</v>
      </c>
      <c r="N27" s="23">
        <v>350000</v>
      </c>
    </row>
    <row r="28" spans="1:14" x14ac:dyDescent="0.25">
      <c r="A28">
        <v>68</v>
      </c>
      <c r="B28" t="s">
        <v>26</v>
      </c>
      <c r="C28" t="s">
        <v>61</v>
      </c>
      <c r="D28" t="s">
        <v>110</v>
      </c>
      <c r="E28" t="s">
        <v>91</v>
      </c>
      <c r="F28" t="s">
        <v>64</v>
      </c>
      <c r="K28">
        <v>470000</v>
      </c>
      <c r="L28" t="s">
        <v>65</v>
      </c>
      <c r="N28" s="23">
        <v>470000</v>
      </c>
    </row>
    <row r="29" spans="1:14" x14ac:dyDescent="0.25">
      <c r="A29">
        <v>13</v>
      </c>
      <c r="B29" t="s">
        <v>111</v>
      </c>
      <c r="C29" t="s">
        <v>61</v>
      </c>
      <c r="D29" t="s">
        <v>112</v>
      </c>
      <c r="E29" t="s">
        <v>70</v>
      </c>
      <c r="F29" t="s">
        <v>64</v>
      </c>
      <c r="K29">
        <v>330000</v>
      </c>
      <c r="L29" t="s">
        <v>65</v>
      </c>
      <c r="N29" s="23">
        <v>320000</v>
      </c>
    </row>
    <row r="30" spans="1:14" x14ac:dyDescent="0.25">
      <c r="A30">
        <v>69</v>
      </c>
      <c r="B30" t="s">
        <v>113</v>
      </c>
      <c r="C30" t="s">
        <v>61</v>
      </c>
      <c r="D30" t="s">
        <v>114</v>
      </c>
      <c r="E30" t="s">
        <v>88</v>
      </c>
      <c r="F30" t="s">
        <v>64</v>
      </c>
      <c r="K30">
        <v>720000</v>
      </c>
      <c r="L30" t="s">
        <v>65</v>
      </c>
      <c r="N30" s="23">
        <v>690000</v>
      </c>
    </row>
    <row r="31" spans="1:14" x14ac:dyDescent="0.25">
      <c r="A31">
        <v>71</v>
      </c>
      <c r="B31" t="s">
        <v>115</v>
      </c>
      <c r="C31" t="s">
        <v>61</v>
      </c>
      <c r="D31" t="s">
        <v>116</v>
      </c>
      <c r="E31" t="s">
        <v>88</v>
      </c>
      <c r="F31" t="s">
        <v>64</v>
      </c>
      <c r="K31">
        <v>1500000</v>
      </c>
      <c r="L31" t="s">
        <v>65</v>
      </c>
      <c r="N31" s="23">
        <v>1430000</v>
      </c>
    </row>
    <row r="32" spans="1:14" x14ac:dyDescent="0.25">
      <c r="A32">
        <v>72</v>
      </c>
      <c r="B32" t="s">
        <v>117</v>
      </c>
      <c r="C32" t="s">
        <v>61</v>
      </c>
      <c r="D32" t="s">
        <v>118</v>
      </c>
      <c r="E32" t="s">
        <v>109</v>
      </c>
      <c r="F32" t="s">
        <v>64</v>
      </c>
      <c r="K32">
        <v>820000</v>
      </c>
      <c r="L32" t="s">
        <v>65</v>
      </c>
      <c r="N32" s="23">
        <v>780000</v>
      </c>
    </row>
    <row r="33" spans="1:14" x14ac:dyDescent="0.25">
      <c r="A33">
        <v>73</v>
      </c>
      <c r="B33" t="s">
        <v>119</v>
      </c>
      <c r="C33" t="s">
        <v>61</v>
      </c>
      <c r="D33" t="s">
        <v>120</v>
      </c>
      <c r="E33" t="s">
        <v>63</v>
      </c>
      <c r="F33" t="s">
        <v>64</v>
      </c>
      <c r="K33">
        <v>820000</v>
      </c>
      <c r="L33" t="s">
        <v>65</v>
      </c>
      <c r="N33" s="23">
        <v>780000</v>
      </c>
    </row>
    <row r="34" spans="1:14" x14ac:dyDescent="0.25">
      <c r="A34">
        <v>74</v>
      </c>
      <c r="B34" t="s">
        <v>121</v>
      </c>
      <c r="C34" t="s">
        <v>61</v>
      </c>
      <c r="D34" t="s">
        <v>122</v>
      </c>
      <c r="E34" t="s">
        <v>81</v>
      </c>
      <c r="F34" t="s">
        <v>64</v>
      </c>
      <c r="K34">
        <v>1320000</v>
      </c>
      <c r="L34" t="s">
        <v>65</v>
      </c>
      <c r="N34" s="23">
        <v>1270000</v>
      </c>
    </row>
    <row r="35" spans="1:14" x14ac:dyDescent="0.25">
      <c r="A35">
        <v>77</v>
      </c>
      <c r="B35" t="s">
        <v>123</v>
      </c>
      <c r="C35" t="s">
        <v>61</v>
      </c>
      <c r="D35" t="s">
        <v>124</v>
      </c>
      <c r="E35" t="s">
        <v>75</v>
      </c>
      <c r="F35" t="s">
        <v>64</v>
      </c>
      <c r="K35">
        <v>450000</v>
      </c>
      <c r="L35" t="s">
        <v>65</v>
      </c>
      <c r="N35" s="23">
        <v>430000</v>
      </c>
    </row>
    <row r="36" spans="1:14" x14ac:dyDescent="0.25">
      <c r="A36">
        <v>303</v>
      </c>
      <c r="B36" t="s">
        <v>125</v>
      </c>
      <c r="C36" t="s">
        <v>61</v>
      </c>
      <c r="D36" t="s">
        <v>126</v>
      </c>
      <c r="E36" t="s">
        <v>81</v>
      </c>
      <c r="F36" t="s">
        <v>64</v>
      </c>
      <c r="K36">
        <v>1070000</v>
      </c>
      <c r="L36" t="s">
        <v>65</v>
      </c>
      <c r="N36" s="23">
        <v>1020000</v>
      </c>
    </row>
    <row r="37" spans="1:14" x14ac:dyDescent="0.25">
      <c r="A37">
        <v>348</v>
      </c>
      <c r="B37" t="s">
        <v>134</v>
      </c>
      <c r="C37" t="s">
        <v>61</v>
      </c>
      <c r="D37" t="s">
        <v>135</v>
      </c>
      <c r="E37" t="s">
        <v>75</v>
      </c>
      <c r="F37" t="s">
        <v>64</v>
      </c>
      <c r="K37">
        <v>350000</v>
      </c>
      <c r="L37" t="s">
        <v>65</v>
      </c>
      <c r="N37" s="23">
        <v>350000</v>
      </c>
    </row>
    <row r="38" spans="1:14" x14ac:dyDescent="0.25">
      <c r="A38">
        <v>338</v>
      </c>
      <c r="B38" t="s">
        <v>136</v>
      </c>
      <c r="C38" t="s">
        <v>61</v>
      </c>
      <c r="D38" t="s">
        <v>137</v>
      </c>
      <c r="E38" t="s">
        <v>91</v>
      </c>
      <c r="F38" t="s">
        <v>64</v>
      </c>
      <c r="K38">
        <v>550000</v>
      </c>
      <c r="L38" t="s">
        <v>65</v>
      </c>
      <c r="N38" s="23">
        <v>550000</v>
      </c>
    </row>
    <row r="39" spans="1:14" x14ac:dyDescent="0.25">
      <c r="A39">
        <v>313</v>
      </c>
      <c r="B39" t="s">
        <v>142</v>
      </c>
      <c r="C39" t="s">
        <v>61</v>
      </c>
      <c r="D39" t="s">
        <v>143</v>
      </c>
      <c r="E39" t="s">
        <v>109</v>
      </c>
      <c r="F39" t="s">
        <v>64</v>
      </c>
      <c r="K39">
        <v>450000</v>
      </c>
      <c r="L39" t="s">
        <v>65</v>
      </c>
      <c r="N39" s="23">
        <v>450000</v>
      </c>
    </row>
    <row r="40" spans="1:14" x14ac:dyDescent="0.25">
      <c r="A40">
        <v>324</v>
      </c>
      <c r="B40" t="s">
        <v>144</v>
      </c>
      <c r="C40" t="s">
        <v>61</v>
      </c>
      <c r="D40" t="s">
        <v>145</v>
      </c>
      <c r="E40" t="s">
        <v>75</v>
      </c>
      <c r="F40" t="s">
        <v>64</v>
      </c>
      <c r="K40">
        <v>330000</v>
      </c>
      <c r="L40" t="s">
        <v>65</v>
      </c>
      <c r="N40" s="23">
        <v>320000</v>
      </c>
    </row>
    <row r="41" spans="1:14" x14ac:dyDescent="0.25">
      <c r="A41">
        <v>340</v>
      </c>
      <c r="B41" t="s">
        <v>146</v>
      </c>
      <c r="C41" t="s">
        <v>61</v>
      </c>
      <c r="D41" t="s">
        <v>147</v>
      </c>
      <c r="E41" t="s">
        <v>102</v>
      </c>
      <c r="F41" t="s">
        <v>64</v>
      </c>
      <c r="K41">
        <v>200000</v>
      </c>
      <c r="L41" t="s">
        <v>65</v>
      </c>
      <c r="N41" s="23">
        <v>200000</v>
      </c>
    </row>
    <row r="42" spans="1:14" x14ac:dyDescent="0.25">
      <c r="A42">
        <v>349</v>
      </c>
      <c r="B42" t="s">
        <v>148</v>
      </c>
      <c r="C42" t="s">
        <v>61</v>
      </c>
      <c r="D42" t="s">
        <v>149</v>
      </c>
      <c r="E42" t="s">
        <v>109</v>
      </c>
      <c r="F42" t="s">
        <v>64</v>
      </c>
      <c r="K42">
        <v>930000</v>
      </c>
      <c r="L42" t="s">
        <v>65</v>
      </c>
      <c r="N42" s="23">
        <v>880000</v>
      </c>
    </row>
    <row r="43" spans="1:14" x14ac:dyDescent="0.25">
      <c r="A43">
        <v>299</v>
      </c>
      <c r="B43" t="s">
        <v>138</v>
      </c>
      <c r="C43" t="s">
        <v>61</v>
      </c>
      <c r="D43" t="s">
        <v>139</v>
      </c>
      <c r="E43" t="s">
        <v>88</v>
      </c>
      <c r="F43" t="s">
        <v>64</v>
      </c>
      <c r="K43">
        <v>330000</v>
      </c>
      <c r="L43" t="s">
        <v>65</v>
      </c>
      <c r="N43" s="23">
        <v>320000</v>
      </c>
    </row>
    <row r="44" spans="1:14" x14ac:dyDescent="0.25">
      <c r="A44">
        <v>295</v>
      </c>
      <c r="B44" t="s">
        <v>140</v>
      </c>
      <c r="C44" t="s">
        <v>61</v>
      </c>
      <c r="D44" t="s">
        <v>141</v>
      </c>
      <c r="E44" t="s">
        <v>129</v>
      </c>
      <c r="F44" t="s">
        <v>64</v>
      </c>
      <c r="K44">
        <v>600000</v>
      </c>
      <c r="L44" t="s">
        <v>65</v>
      </c>
      <c r="N44" s="23">
        <v>570000</v>
      </c>
    </row>
    <row r="45" spans="1:14" x14ac:dyDescent="0.25">
      <c r="A45">
        <v>272</v>
      </c>
      <c r="B45" t="s">
        <v>150</v>
      </c>
      <c r="C45" t="s">
        <v>61</v>
      </c>
      <c r="D45" t="s">
        <v>151</v>
      </c>
      <c r="E45" t="s">
        <v>91</v>
      </c>
      <c r="F45" t="s">
        <v>64</v>
      </c>
      <c r="K45">
        <v>360000</v>
      </c>
      <c r="L45" t="s">
        <v>65</v>
      </c>
      <c r="N45" s="23">
        <v>350000</v>
      </c>
    </row>
    <row r="46" spans="1:14" x14ac:dyDescent="0.25">
      <c r="A46">
        <v>83</v>
      </c>
      <c r="B46" t="s">
        <v>152</v>
      </c>
      <c r="C46" t="s">
        <v>61</v>
      </c>
      <c r="D46" t="s">
        <v>153</v>
      </c>
      <c r="E46" t="s">
        <v>91</v>
      </c>
      <c r="F46" t="s">
        <v>64</v>
      </c>
      <c r="K46">
        <v>690000</v>
      </c>
      <c r="L46" t="s">
        <v>65</v>
      </c>
      <c r="N46" s="23">
        <v>660000</v>
      </c>
    </row>
    <row r="47" spans="1:14" x14ac:dyDescent="0.25">
      <c r="A47">
        <v>84</v>
      </c>
      <c r="B47" t="s">
        <v>154</v>
      </c>
      <c r="C47" t="s">
        <v>61</v>
      </c>
      <c r="D47" t="s">
        <v>155</v>
      </c>
      <c r="E47" t="s">
        <v>78</v>
      </c>
      <c r="F47" t="s">
        <v>64</v>
      </c>
      <c r="K47">
        <v>350000</v>
      </c>
      <c r="L47" t="s">
        <v>65</v>
      </c>
      <c r="N47" s="23">
        <v>330000</v>
      </c>
    </row>
    <row r="48" spans="1:14" x14ac:dyDescent="0.25">
      <c r="A48">
        <v>329</v>
      </c>
      <c r="B48" t="s">
        <v>156</v>
      </c>
      <c r="C48" t="s">
        <v>61</v>
      </c>
      <c r="D48" t="s">
        <v>157</v>
      </c>
      <c r="E48" t="s">
        <v>70</v>
      </c>
      <c r="F48" t="s">
        <v>64</v>
      </c>
      <c r="K48">
        <v>350000</v>
      </c>
      <c r="L48" t="s">
        <v>65</v>
      </c>
      <c r="N48" s="23">
        <v>330000</v>
      </c>
    </row>
    <row r="49" spans="1:14" x14ac:dyDescent="0.25">
      <c r="A49">
        <v>85</v>
      </c>
      <c r="B49" t="s">
        <v>158</v>
      </c>
      <c r="C49" t="s">
        <v>61</v>
      </c>
      <c r="D49" t="s">
        <v>159</v>
      </c>
      <c r="E49" t="s">
        <v>88</v>
      </c>
      <c r="F49" t="s">
        <v>64</v>
      </c>
      <c r="K49">
        <v>640000</v>
      </c>
      <c r="L49" t="s">
        <v>65</v>
      </c>
      <c r="N49" s="23">
        <v>610000</v>
      </c>
    </row>
    <row r="50" spans="1:14" x14ac:dyDescent="0.25">
      <c r="A50">
        <v>273</v>
      </c>
      <c r="B50" t="s">
        <v>160</v>
      </c>
      <c r="C50" t="s">
        <v>61</v>
      </c>
      <c r="D50" t="s">
        <v>161</v>
      </c>
      <c r="E50" t="s">
        <v>102</v>
      </c>
      <c r="F50" t="s">
        <v>64</v>
      </c>
      <c r="K50">
        <v>640000</v>
      </c>
      <c r="L50" t="s">
        <v>65</v>
      </c>
      <c r="N50" s="23">
        <v>610000</v>
      </c>
    </row>
    <row r="51" spans="1:14" x14ac:dyDescent="0.25">
      <c r="A51">
        <v>87</v>
      </c>
      <c r="B51" t="s">
        <v>162</v>
      </c>
      <c r="C51" t="s">
        <v>61</v>
      </c>
      <c r="D51" t="s">
        <v>163</v>
      </c>
      <c r="E51" t="s">
        <v>70</v>
      </c>
      <c r="F51" t="s">
        <v>64</v>
      </c>
      <c r="K51">
        <v>0</v>
      </c>
      <c r="L51" t="s">
        <v>65</v>
      </c>
      <c r="N51" s="23">
        <v>0</v>
      </c>
    </row>
    <row r="52" spans="1:14" x14ac:dyDescent="0.25">
      <c r="A52">
        <v>88</v>
      </c>
      <c r="B52" t="s">
        <v>164</v>
      </c>
      <c r="C52" t="s">
        <v>61</v>
      </c>
      <c r="D52" t="s">
        <v>165</v>
      </c>
      <c r="E52" t="s">
        <v>129</v>
      </c>
      <c r="F52" t="s">
        <v>64</v>
      </c>
      <c r="K52">
        <v>590000</v>
      </c>
      <c r="L52" t="s">
        <v>65</v>
      </c>
      <c r="N52" s="23">
        <v>560000</v>
      </c>
    </row>
    <row r="53" spans="1:14" x14ac:dyDescent="0.25">
      <c r="A53">
        <v>309</v>
      </c>
      <c r="B53" t="s">
        <v>166</v>
      </c>
      <c r="C53" t="s">
        <v>61</v>
      </c>
      <c r="D53" t="s">
        <v>167</v>
      </c>
      <c r="E53" t="s">
        <v>63</v>
      </c>
      <c r="F53" t="s">
        <v>64</v>
      </c>
      <c r="K53">
        <v>170000</v>
      </c>
      <c r="L53" t="s">
        <v>65</v>
      </c>
      <c r="N53" s="23">
        <v>160000</v>
      </c>
    </row>
    <row r="54" spans="1:14" x14ac:dyDescent="0.25">
      <c r="A54">
        <v>244</v>
      </c>
      <c r="B54" t="s">
        <v>168</v>
      </c>
      <c r="C54" t="s">
        <v>61</v>
      </c>
      <c r="D54" t="s">
        <v>169</v>
      </c>
      <c r="E54" t="s">
        <v>88</v>
      </c>
      <c r="F54" t="s">
        <v>64</v>
      </c>
      <c r="K54">
        <v>300000</v>
      </c>
      <c r="L54" t="s">
        <v>65</v>
      </c>
      <c r="N54" s="23">
        <v>290000</v>
      </c>
    </row>
    <row r="55" spans="1:14" x14ac:dyDescent="0.25">
      <c r="A55">
        <v>91</v>
      </c>
      <c r="B55" t="s">
        <v>170</v>
      </c>
      <c r="C55" t="s">
        <v>61</v>
      </c>
      <c r="D55" t="s">
        <v>171</v>
      </c>
      <c r="E55" t="s">
        <v>91</v>
      </c>
      <c r="F55" t="s">
        <v>64</v>
      </c>
      <c r="K55">
        <v>360000</v>
      </c>
      <c r="L55" t="s">
        <v>65</v>
      </c>
      <c r="N55" s="25">
        <v>350000</v>
      </c>
    </row>
    <row r="56" spans="1:14" x14ac:dyDescent="0.25">
      <c r="A56">
        <v>222</v>
      </c>
      <c r="B56" t="s">
        <v>172</v>
      </c>
      <c r="C56" t="s">
        <v>61</v>
      </c>
      <c r="D56" t="s">
        <v>173</v>
      </c>
      <c r="E56" t="s">
        <v>75</v>
      </c>
      <c r="F56" t="s">
        <v>64</v>
      </c>
      <c r="K56">
        <v>5130000</v>
      </c>
      <c r="L56" t="s">
        <v>65</v>
      </c>
      <c r="N56" s="23">
        <v>4880000</v>
      </c>
    </row>
    <row r="57" spans="1:14" x14ac:dyDescent="0.25">
      <c r="A57">
        <v>92</v>
      </c>
      <c r="B57" t="s">
        <v>174</v>
      </c>
      <c r="C57" t="s">
        <v>61</v>
      </c>
      <c r="D57" t="s">
        <v>175</v>
      </c>
      <c r="E57" t="s">
        <v>102</v>
      </c>
      <c r="F57" t="s">
        <v>64</v>
      </c>
      <c r="K57">
        <v>360000</v>
      </c>
      <c r="L57" t="s">
        <v>65</v>
      </c>
      <c r="N57" s="23">
        <v>350000</v>
      </c>
    </row>
    <row r="58" spans="1:14" x14ac:dyDescent="0.25">
      <c r="A58">
        <v>287</v>
      </c>
      <c r="B58" t="s">
        <v>176</v>
      </c>
      <c r="C58" t="s">
        <v>61</v>
      </c>
      <c r="D58" t="s">
        <v>177</v>
      </c>
      <c r="E58" t="s">
        <v>88</v>
      </c>
      <c r="F58" t="s">
        <v>64</v>
      </c>
      <c r="K58">
        <v>170000</v>
      </c>
      <c r="L58" t="s">
        <v>65</v>
      </c>
      <c r="N58" s="23">
        <v>160000</v>
      </c>
    </row>
    <row r="59" spans="1:14" x14ac:dyDescent="0.25">
      <c r="A59">
        <v>95</v>
      </c>
      <c r="B59" t="s">
        <v>178</v>
      </c>
      <c r="C59" t="s">
        <v>61</v>
      </c>
      <c r="D59" t="s">
        <v>179</v>
      </c>
      <c r="E59" t="s">
        <v>70</v>
      </c>
      <c r="F59" t="s">
        <v>64</v>
      </c>
      <c r="K59">
        <v>1120000</v>
      </c>
      <c r="L59" t="s">
        <v>65</v>
      </c>
      <c r="N59" s="23">
        <v>1060000</v>
      </c>
    </row>
    <row r="60" spans="1:14" x14ac:dyDescent="0.25">
      <c r="A60">
        <v>96</v>
      </c>
      <c r="B60" t="s">
        <v>180</v>
      </c>
      <c r="C60" t="s">
        <v>61</v>
      </c>
      <c r="D60" t="s">
        <v>181</v>
      </c>
      <c r="E60" t="s">
        <v>78</v>
      </c>
      <c r="F60" t="s">
        <v>64</v>
      </c>
      <c r="K60">
        <v>1340000</v>
      </c>
      <c r="L60" t="s">
        <v>65</v>
      </c>
      <c r="N60" s="23">
        <v>1300000</v>
      </c>
    </row>
    <row r="61" spans="1:14" x14ac:dyDescent="0.25">
      <c r="A61">
        <v>97</v>
      </c>
      <c r="B61" t="s">
        <v>182</v>
      </c>
      <c r="C61" t="s">
        <v>61</v>
      </c>
      <c r="D61" t="s">
        <v>183</v>
      </c>
      <c r="E61" t="s">
        <v>75</v>
      </c>
      <c r="F61" t="s">
        <v>64</v>
      </c>
      <c r="K61">
        <v>1340000</v>
      </c>
      <c r="L61" t="s">
        <v>65</v>
      </c>
      <c r="N61" s="23">
        <v>1300000</v>
      </c>
    </row>
    <row r="62" spans="1:14" x14ac:dyDescent="0.25">
      <c r="A62">
        <v>98</v>
      </c>
      <c r="B62" t="s">
        <v>184</v>
      </c>
      <c r="C62" t="s">
        <v>61</v>
      </c>
      <c r="D62" t="s">
        <v>185</v>
      </c>
      <c r="E62" t="s">
        <v>91</v>
      </c>
      <c r="F62" t="s">
        <v>64</v>
      </c>
      <c r="K62">
        <v>860000</v>
      </c>
      <c r="L62" t="s">
        <v>65</v>
      </c>
      <c r="N62" s="23">
        <v>820000</v>
      </c>
    </row>
    <row r="63" spans="1:14" x14ac:dyDescent="0.25">
      <c r="A63">
        <v>12</v>
      </c>
      <c r="B63" t="s">
        <v>186</v>
      </c>
      <c r="C63" t="s">
        <v>61</v>
      </c>
      <c r="D63" t="s">
        <v>187</v>
      </c>
      <c r="E63" t="s">
        <v>70</v>
      </c>
      <c r="F63" t="s">
        <v>64</v>
      </c>
      <c r="K63">
        <v>860000</v>
      </c>
      <c r="L63" t="s">
        <v>65</v>
      </c>
      <c r="N63" s="23">
        <v>820000</v>
      </c>
    </row>
    <row r="64" spans="1:14" x14ac:dyDescent="0.25">
      <c r="A64">
        <v>46</v>
      </c>
      <c r="B64" t="s">
        <v>37</v>
      </c>
      <c r="C64" t="s">
        <v>61</v>
      </c>
      <c r="D64" t="s">
        <v>188</v>
      </c>
      <c r="E64" t="s">
        <v>88</v>
      </c>
      <c r="F64" t="s">
        <v>64</v>
      </c>
      <c r="K64">
        <v>420000</v>
      </c>
      <c r="L64" t="s">
        <v>65</v>
      </c>
      <c r="N64" s="29">
        <v>400000</v>
      </c>
    </row>
    <row r="65" spans="1:14" x14ac:dyDescent="0.25">
      <c r="A65">
        <v>233</v>
      </c>
      <c r="B65" t="s">
        <v>189</v>
      </c>
      <c r="C65" t="s">
        <v>61</v>
      </c>
      <c r="D65" t="s">
        <v>190</v>
      </c>
      <c r="E65" t="s">
        <v>102</v>
      </c>
      <c r="F65" t="s">
        <v>64</v>
      </c>
      <c r="K65">
        <v>400000</v>
      </c>
      <c r="L65" t="s">
        <v>65</v>
      </c>
      <c r="N65" s="23">
        <v>400000</v>
      </c>
    </row>
    <row r="66" spans="1:14" x14ac:dyDescent="0.25">
      <c r="A66">
        <v>330</v>
      </c>
      <c r="B66" t="s">
        <v>191</v>
      </c>
      <c r="C66" t="s">
        <v>61</v>
      </c>
      <c r="D66" t="s">
        <v>192</v>
      </c>
      <c r="E66" t="s">
        <v>81</v>
      </c>
      <c r="F66" t="s">
        <v>64</v>
      </c>
      <c r="K66">
        <v>1060000</v>
      </c>
      <c r="L66" t="s">
        <v>65</v>
      </c>
      <c r="N66" s="25">
        <v>1000000</v>
      </c>
    </row>
    <row r="67" spans="1:14" x14ac:dyDescent="0.25">
      <c r="A67">
        <v>223</v>
      </c>
      <c r="B67" t="s">
        <v>193</v>
      </c>
      <c r="C67" t="s">
        <v>61</v>
      </c>
      <c r="D67" t="s">
        <v>194</v>
      </c>
      <c r="E67" t="s">
        <v>75</v>
      </c>
      <c r="F67" t="s">
        <v>64</v>
      </c>
      <c r="K67">
        <v>450000</v>
      </c>
      <c r="L67" t="s">
        <v>65</v>
      </c>
      <c r="N67" s="23">
        <v>430000</v>
      </c>
    </row>
    <row r="68" spans="1:14" x14ac:dyDescent="0.25">
      <c r="A68">
        <v>101</v>
      </c>
      <c r="B68" t="s">
        <v>195</v>
      </c>
      <c r="C68" t="s">
        <v>61</v>
      </c>
      <c r="D68" t="s">
        <v>196</v>
      </c>
      <c r="E68" t="s">
        <v>70</v>
      </c>
      <c r="F68" t="s">
        <v>64</v>
      </c>
      <c r="K68">
        <v>1380000</v>
      </c>
      <c r="L68" t="s">
        <v>65</v>
      </c>
      <c r="N68" s="23">
        <v>1340000</v>
      </c>
    </row>
    <row r="69" spans="1:14" x14ac:dyDescent="0.25">
      <c r="A69">
        <v>263</v>
      </c>
      <c r="B69" t="s">
        <v>197</v>
      </c>
      <c r="C69" t="s">
        <v>61</v>
      </c>
      <c r="D69" t="s">
        <v>198</v>
      </c>
      <c r="E69" t="s">
        <v>75</v>
      </c>
      <c r="F69" t="s">
        <v>64</v>
      </c>
      <c r="K69">
        <v>360000</v>
      </c>
      <c r="L69" t="s">
        <v>65</v>
      </c>
      <c r="N69" s="23">
        <v>350000</v>
      </c>
    </row>
    <row r="70" spans="1:14" x14ac:dyDescent="0.25">
      <c r="A70">
        <v>57</v>
      </c>
      <c r="B70" t="s">
        <v>224</v>
      </c>
      <c r="C70" t="s">
        <v>61</v>
      </c>
      <c r="D70" t="s">
        <v>225</v>
      </c>
      <c r="E70" t="s">
        <v>88</v>
      </c>
      <c r="F70" t="s">
        <v>64</v>
      </c>
      <c r="K70">
        <v>430000</v>
      </c>
      <c r="L70" t="s">
        <v>65</v>
      </c>
      <c r="N70" s="23">
        <v>410000</v>
      </c>
    </row>
    <row r="71" spans="1:14" x14ac:dyDescent="0.25">
      <c r="A71">
        <v>24</v>
      </c>
      <c r="B71" t="s">
        <v>199</v>
      </c>
      <c r="C71" t="s">
        <v>61</v>
      </c>
      <c r="D71" t="s">
        <v>200</v>
      </c>
      <c r="E71" t="s">
        <v>78</v>
      </c>
      <c r="F71" t="s">
        <v>64</v>
      </c>
      <c r="K71">
        <v>500000</v>
      </c>
      <c r="L71" t="s">
        <v>65</v>
      </c>
      <c r="N71" s="23">
        <v>470000</v>
      </c>
    </row>
    <row r="72" spans="1:14" x14ac:dyDescent="0.25">
      <c r="A72">
        <v>110</v>
      </c>
      <c r="B72" t="s">
        <v>201</v>
      </c>
      <c r="C72" t="s">
        <v>61</v>
      </c>
      <c r="D72" t="s">
        <v>202</v>
      </c>
      <c r="E72" t="s">
        <v>91</v>
      </c>
      <c r="F72" t="s">
        <v>64</v>
      </c>
      <c r="K72">
        <v>1850000</v>
      </c>
      <c r="L72" t="s">
        <v>65</v>
      </c>
      <c r="N72" s="30">
        <v>1760000</v>
      </c>
    </row>
    <row r="73" spans="1:14" x14ac:dyDescent="0.25">
      <c r="A73">
        <v>111</v>
      </c>
      <c r="B73" t="s">
        <v>203</v>
      </c>
      <c r="C73" t="s">
        <v>61</v>
      </c>
      <c r="D73" t="s">
        <v>204</v>
      </c>
      <c r="E73" t="s">
        <v>102</v>
      </c>
      <c r="F73" t="s">
        <v>64</v>
      </c>
      <c r="K73">
        <v>1300000</v>
      </c>
      <c r="L73" t="s">
        <v>65</v>
      </c>
      <c r="N73" s="23">
        <v>1240000</v>
      </c>
    </row>
    <row r="74" spans="1:14" x14ac:dyDescent="0.25">
      <c r="A74">
        <v>343</v>
      </c>
      <c r="B74" t="s">
        <v>205</v>
      </c>
      <c r="C74" t="s">
        <v>61</v>
      </c>
      <c r="D74" t="s">
        <v>206</v>
      </c>
      <c r="E74" t="s">
        <v>78</v>
      </c>
      <c r="F74" t="s">
        <v>64</v>
      </c>
      <c r="K74">
        <v>270000</v>
      </c>
      <c r="L74" t="s">
        <v>65</v>
      </c>
      <c r="N74" s="23">
        <v>260000</v>
      </c>
    </row>
    <row r="75" spans="1:14" x14ac:dyDescent="0.25">
      <c r="A75">
        <v>305</v>
      </c>
      <c r="B75" t="s">
        <v>207</v>
      </c>
      <c r="C75" t="s">
        <v>61</v>
      </c>
      <c r="D75" t="s">
        <v>208</v>
      </c>
      <c r="E75" t="s">
        <v>91</v>
      </c>
      <c r="F75" t="s">
        <v>64</v>
      </c>
      <c r="K75">
        <v>390000</v>
      </c>
      <c r="L75" t="s">
        <v>65</v>
      </c>
      <c r="N75" s="23">
        <v>370000</v>
      </c>
    </row>
    <row r="76" spans="1:14" x14ac:dyDescent="0.25">
      <c r="A76">
        <v>224</v>
      </c>
      <c r="B76" t="s">
        <v>209</v>
      </c>
      <c r="C76" t="s">
        <v>61</v>
      </c>
      <c r="D76" t="s">
        <v>210</v>
      </c>
      <c r="E76" t="s">
        <v>78</v>
      </c>
      <c r="F76" t="s">
        <v>64</v>
      </c>
      <c r="K76">
        <v>360000</v>
      </c>
      <c r="L76" t="s">
        <v>65</v>
      </c>
      <c r="N76" s="23">
        <v>350000</v>
      </c>
    </row>
    <row r="77" spans="1:14" x14ac:dyDescent="0.25">
      <c r="A77">
        <v>228</v>
      </c>
      <c r="B77" t="s">
        <v>211</v>
      </c>
      <c r="C77" t="s">
        <v>61</v>
      </c>
      <c r="D77" t="s">
        <v>212</v>
      </c>
      <c r="E77" t="s">
        <v>70</v>
      </c>
      <c r="F77" t="s">
        <v>64</v>
      </c>
      <c r="K77">
        <v>360000</v>
      </c>
      <c r="L77" t="s">
        <v>65</v>
      </c>
      <c r="N77" s="25">
        <v>350000</v>
      </c>
    </row>
    <row r="78" spans="1:14" x14ac:dyDescent="0.25">
      <c r="A78">
        <v>289</v>
      </c>
      <c r="B78" t="s">
        <v>213</v>
      </c>
      <c r="C78" t="s">
        <v>61</v>
      </c>
      <c r="D78" t="s">
        <v>214</v>
      </c>
      <c r="E78" t="s">
        <v>88</v>
      </c>
      <c r="F78" t="s">
        <v>64</v>
      </c>
      <c r="K78">
        <v>470000</v>
      </c>
      <c r="L78" t="s">
        <v>65</v>
      </c>
      <c r="N78" s="25">
        <v>450000</v>
      </c>
    </row>
    <row r="79" spans="1:14" x14ac:dyDescent="0.25">
      <c r="A79">
        <v>112</v>
      </c>
      <c r="B79" t="s">
        <v>30</v>
      </c>
      <c r="C79" t="s">
        <v>61</v>
      </c>
      <c r="D79" t="s">
        <v>215</v>
      </c>
      <c r="E79" t="s">
        <v>109</v>
      </c>
      <c r="F79" t="s">
        <v>64</v>
      </c>
      <c r="K79">
        <v>410000</v>
      </c>
      <c r="L79" t="s">
        <v>65</v>
      </c>
      <c r="N79" s="23">
        <v>410000</v>
      </c>
    </row>
    <row r="80" spans="1:14" x14ac:dyDescent="0.25">
      <c r="A80">
        <v>116</v>
      </c>
      <c r="B80" t="s">
        <v>218</v>
      </c>
      <c r="C80" t="s">
        <v>61</v>
      </c>
      <c r="D80" t="s">
        <v>219</v>
      </c>
      <c r="E80" t="s">
        <v>78</v>
      </c>
      <c r="F80" t="s">
        <v>64</v>
      </c>
      <c r="K80">
        <v>470000</v>
      </c>
      <c r="L80" t="s">
        <v>65</v>
      </c>
      <c r="N80" s="29">
        <v>450000</v>
      </c>
    </row>
    <row r="81" spans="1:14" x14ac:dyDescent="0.25">
      <c r="A81">
        <v>331</v>
      </c>
      <c r="B81" t="s">
        <v>220</v>
      </c>
      <c r="C81" t="s">
        <v>61</v>
      </c>
      <c r="D81" t="s">
        <v>221</v>
      </c>
      <c r="E81" t="s">
        <v>88</v>
      </c>
      <c r="F81" t="s">
        <v>64</v>
      </c>
      <c r="K81">
        <v>1060000</v>
      </c>
      <c r="L81" t="s">
        <v>65</v>
      </c>
      <c r="N81" s="23">
        <v>1000000</v>
      </c>
    </row>
    <row r="82" spans="1:14" x14ac:dyDescent="0.25">
      <c r="A82">
        <v>242</v>
      </c>
      <c r="B82" t="s">
        <v>222</v>
      </c>
      <c r="C82" t="s">
        <v>61</v>
      </c>
      <c r="D82" t="s">
        <v>223</v>
      </c>
      <c r="E82" t="s">
        <v>102</v>
      </c>
      <c r="F82" t="s">
        <v>64</v>
      </c>
      <c r="K82">
        <v>470000</v>
      </c>
      <c r="L82" t="s">
        <v>65</v>
      </c>
      <c r="N82" s="23">
        <v>450000</v>
      </c>
    </row>
    <row r="83" spans="1:14" x14ac:dyDescent="0.25">
      <c r="A83">
        <v>248</v>
      </c>
      <c r="B83" t="s">
        <v>226</v>
      </c>
      <c r="C83" t="s">
        <v>61</v>
      </c>
      <c r="D83" t="s">
        <v>227</v>
      </c>
      <c r="E83" t="s">
        <v>63</v>
      </c>
      <c r="F83" t="s">
        <v>64</v>
      </c>
      <c r="K83">
        <v>260000</v>
      </c>
      <c r="L83" t="s">
        <v>65</v>
      </c>
      <c r="N83" s="23">
        <v>260000</v>
      </c>
    </row>
    <row r="84" spans="1:14" x14ac:dyDescent="0.25">
      <c r="A84">
        <v>118</v>
      </c>
      <c r="B84" t="s">
        <v>228</v>
      </c>
      <c r="C84" t="s">
        <v>61</v>
      </c>
      <c r="D84" t="s">
        <v>229</v>
      </c>
      <c r="E84" t="s">
        <v>78</v>
      </c>
      <c r="F84" t="s">
        <v>64</v>
      </c>
      <c r="K84">
        <v>360000</v>
      </c>
      <c r="L84" t="s">
        <v>65</v>
      </c>
      <c r="N84" s="28">
        <v>350000</v>
      </c>
    </row>
    <row r="85" spans="1:14" x14ac:dyDescent="0.25">
      <c r="A85">
        <v>275</v>
      </c>
      <c r="B85" t="s">
        <v>230</v>
      </c>
      <c r="C85" t="s">
        <v>61</v>
      </c>
      <c r="D85" t="s">
        <v>231</v>
      </c>
      <c r="E85" t="s">
        <v>78</v>
      </c>
      <c r="F85" t="s">
        <v>64</v>
      </c>
      <c r="K85">
        <v>360000</v>
      </c>
      <c r="L85" t="s">
        <v>65</v>
      </c>
      <c r="N85" s="23">
        <v>350000</v>
      </c>
    </row>
    <row r="86" spans="1:14" x14ac:dyDescent="0.25">
      <c r="A86">
        <v>119</v>
      </c>
      <c r="B86" t="s">
        <v>232</v>
      </c>
      <c r="C86" t="s">
        <v>61</v>
      </c>
      <c r="D86" t="s">
        <v>233</v>
      </c>
      <c r="E86" t="s">
        <v>88</v>
      </c>
      <c r="F86" t="s">
        <v>64</v>
      </c>
      <c r="K86">
        <v>330000</v>
      </c>
      <c r="L86" t="s">
        <v>65</v>
      </c>
      <c r="N86" s="23">
        <v>320000</v>
      </c>
    </row>
    <row r="87" spans="1:14" x14ac:dyDescent="0.25">
      <c r="A87">
        <v>15</v>
      </c>
      <c r="B87" t="s">
        <v>234</v>
      </c>
      <c r="C87" t="s">
        <v>61</v>
      </c>
      <c r="D87" t="s">
        <v>235</v>
      </c>
      <c r="E87" t="s">
        <v>81</v>
      </c>
      <c r="F87" t="s">
        <v>64</v>
      </c>
      <c r="K87">
        <v>860000</v>
      </c>
      <c r="L87" t="s">
        <v>65</v>
      </c>
      <c r="N87" s="23">
        <v>820000</v>
      </c>
    </row>
    <row r="88" spans="1:14" x14ac:dyDescent="0.25">
      <c r="A88">
        <v>21</v>
      </c>
      <c r="B88" t="s">
        <v>236</v>
      </c>
      <c r="C88" t="s">
        <v>61</v>
      </c>
      <c r="D88" t="s">
        <v>237</v>
      </c>
      <c r="E88" t="s">
        <v>75</v>
      </c>
      <c r="F88" t="s">
        <v>64</v>
      </c>
      <c r="K88">
        <v>1850000</v>
      </c>
      <c r="L88" t="s">
        <v>65</v>
      </c>
      <c r="N88" s="29">
        <v>1850000</v>
      </c>
    </row>
    <row r="89" spans="1:14" x14ac:dyDescent="0.25">
      <c r="A89">
        <v>315</v>
      </c>
      <c r="B89" t="s">
        <v>238</v>
      </c>
      <c r="C89" t="s">
        <v>61</v>
      </c>
      <c r="D89" t="s">
        <v>239</v>
      </c>
      <c r="E89" t="s">
        <v>63</v>
      </c>
      <c r="F89" t="s">
        <v>64</v>
      </c>
      <c r="K89">
        <v>500000</v>
      </c>
      <c r="L89" t="s">
        <v>65</v>
      </c>
      <c r="N89" s="29">
        <v>470000</v>
      </c>
    </row>
    <row r="90" spans="1:14" x14ac:dyDescent="0.25">
      <c r="A90">
        <v>230</v>
      </c>
      <c r="B90" t="s">
        <v>240</v>
      </c>
      <c r="C90" t="s">
        <v>61</v>
      </c>
      <c r="D90" t="s">
        <v>241</v>
      </c>
      <c r="E90" t="s">
        <v>63</v>
      </c>
      <c r="F90" t="s">
        <v>64</v>
      </c>
      <c r="K90">
        <v>300000</v>
      </c>
      <c r="L90" t="s">
        <v>65</v>
      </c>
      <c r="N90" s="26">
        <v>290000</v>
      </c>
    </row>
    <row r="91" spans="1:14" x14ac:dyDescent="0.25">
      <c r="A91">
        <v>259</v>
      </c>
      <c r="B91" t="s">
        <v>242</v>
      </c>
      <c r="C91" t="s">
        <v>61</v>
      </c>
      <c r="D91" t="s">
        <v>243</v>
      </c>
      <c r="E91" t="s">
        <v>63</v>
      </c>
      <c r="F91" t="s">
        <v>64</v>
      </c>
      <c r="K91">
        <v>500000</v>
      </c>
      <c r="L91" t="s">
        <v>65</v>
      </c>
      <c r="N91" s="25">
        <v>470000</v>
      </c>
    </row>
    <row r="92" spans="1:14" x14ac:dyDescent="0.25">
      <c r="A92">
        <v>31</v>
      </c>
      <c r="B92" t="s">
        <v>244</v>
      </c>
      <c r="C92" t="s">
        <v>61</v>
      </c>
      <c r="D92" t="s">
        <v>245</v>
      </c>
      <c r="E92" t="s">
        <v>63</v>
      </c>
      <c r="F92" t="s">
        <v>64</v>
      </c>
      <c r="K92">
        <v>0</v>
      </c>
      <c r="L92" t="s">
        <v>65</v>
      </c>
      <c r="N92" s="23">
        <v>0</v>
      </c>
    </row>
    <row r="93" spans="1:14" x14ac:dyDescent="0.25">
      <c r="A93">
        <v>122</v>
      </c>
      <c r="B93" t="s">
        <v>246</v>
      </c>
      <c r="C93" t="s">
        <v>61</v>
      </c>
      <c r="D93" t="s">
        <v>247</v>
      </c>
      <c r="E93" t="s">
        <v>88</v>
      </c>
      <c r="F93" t="s">
        <v>64</v>
      </c>
      <c r="K93">
        <v>720000</v>
      </c>
      <c r="L93" t="s">
        <v>65</v>
      </c>
      <c r="N93" s="29">
        <v>690000</v>
      </c>
    </row>
    <row r="94" spans="1:14" x14ac:dyDescent="0.25">
      <c r="A94">
        <v>58</v>
      </c>
      <c r="B94" t="s">
        <v>248</v>
      </c>
      <c r="C94" t="s">
        <v>61</v>
      </c>
      <c r="D94" t="s">
        <v>249</v>
      </c>
      <c r="E94" t="s">
        <v>75</v>
      </c>
      <c r="F94" t="s">
        <v>64</v>
      </c>
      <c r="K94">
        <v>0</v>
      </c>
      <c r="L94" t="s">
        <v>65</v>
      </c>
      <c r="N94" s="23">
        <v>0</v>
      </c>
    </row>
    <row r="95" spans="1:14" x14ac:dyDescent="0.25">
      <c r="A95">
        <v>162</v>
      </c>
      <c r="B95" t="s">
        <v>250</v>
      </c>
      <c r="C95" t="s">
        <v>61</v>
      </c>
      <c r="D95" t="s">
        <v>251</v>
      </c>
      <c r="E95" t="s">
        <v>91</v>
      </c>
      <c r="F95" t="s">
        <v>64</v>
      </c>
      <c r="K95">
        <v>240000</v>
      </c>
      <c r="L95" t="s">
        <v>65</v>
      </c>
      <c r="N95" s="23">
        <v>230000</v>
      </c>
    </row>
    <row r="96" spans="1:14" x14ac:dyDescent="0.25">
      <c r="A96">
        <v>123</v>
      </c>
      <c r="B96" t="s">
        <v>258</v>
      </c>
      <c r="C96" t="s">
        <v>61</v>
      </c>
      <c r="D96" t="s">
        <v>259</v>
      </c>
      <c r="E96" t="s">
        <v>91</v>
      </c>
      <c r="F96" t="s">
        <v>64</v>
      </c>
      <c r="K96">
        <v>6000000</v>
      </c>
      <c r="L96" t="s">
        <v>65</v>
      </c>
      <c r="N96" s="27">
        <v>5710000</v>
      </c>
    </row>
    <row r="97" spans="1:14" x14ac:dyDescent="0.25">
      <c r="A97">
        <v>345</v>
      </c>
      <c r="B97" t="s">
        <v>252</v>
      </c>
      <c r="C97" t="s">
        <v>61</v>
      </c>
      <c r="D97" t="s">
        <v>253</v>
      </c>
      <c r="E97" t="s">
        <v>88</v>
      </c>
      <c r="F97" t="s">
        <v>64</v>
      </c>
      <c r="K97">
        <v>240000</v>
      </c>
      <c r="L97" t="s">
        <v>65</v>
      </c>
      <c r="N97" s="26">
        <v>230000</v>
      </c>
    </row>
    <row r="98" spans="1:14" x14ac:dyDescent="0.25">
      <c r="A98">
        <v>350</v>
      </c>
      <c r="B98" t="s">
        <v>254</v>
      </c>
      <c r="C98" t="s">
        <v>61</v>
      </c>
      <c r="D98" t="s">
        <v>255</v>
      </c>
      <c r="E98" t="s">
        <v>63</v>
      </c>
      <c r="F98" t="s">
        <v>64</v>
      </c>
      <c r="K98">
        <v>2090000</v>
      </c>
      <c r="L98" t="s">
        <v>65</v>
      </c>
      <c r="N98" s="23">
        <v>1990000</v>
      </c>
    </row>
    <row r="99" spans="1:14" x14ac:dyDescent="0.25">
      <c r="A99">
        <v>351</v>
      </c>
      <c r="B99" t="s">
        <v>256</v>
      </c>
      <c r="C99" t="s">
        <v>61</v>
      </c>
      <c r="D99" t="s">
        <v>257</v>
      </c>
      <c r="E99" t="s">
        <v>91</v>
      </c>
      <c r="F99" t="s">
        <v>64</v>
      </c>
      <c r="K99">
        <v>930000</v>
      </c>
      <c r="L99" t="s">
        <v>65</v>
      </c>
      <c r="N99" s="23">
        <v>880000</v>
      </c>
    </row>
    <row r="100" spans="1:14" x14ac:dyDescent="0.25">
      <c r="A100">
        <v>247</v>
      </c>
      <c r="B100" t="s">
        <v>260</v>
      </c>
      <c r="C100" t="s">
        <v>61</v>
      </c>
      <c r="D100" t="s">
        <v>261</v>
      </c>
      <c r="E100" t="s">
        <v>102</v>
      </c>
      <c r="F100" t="s">
        <v>64</v>
      </c>
      <c r="K100">
        <v>270000</v>
      </c>
      <c r="L100" t="s">
        <v>65</v>
      </c>
      <c r="N100" s="23">
        <v>260000</v>
      </c>
    </row>
    <row r="101" spans="1:14" x14ac:dyDescent="0.25">
      <c r="A101">
        <v>26</v>
      </c>
      <c r="B101" t="s">
        <v>262</v>
      </c>
      <c r="C101" t="s">
        <v>61</v>
      </c>
      <c r="D101" t="s">
        <v>263</v>
      </c>
      <c r="E101" t="s">
        <v>102</v>
      </c>
      <c r="F101" t="s">
        <v>64</v>
      </c>
      <c r="K101">
        <v>270000</v>
      </c>
      <c r="L101" t="s">
        <v>65</v>
      </c>
      <c r="N101" s="25">
        <v>260000</v>
      </c>
    </row>
    <row r="102" spans="1:14" x14ac:dyDescent="0.25">
      <c r="A102">
        <v>64</v>
      </c>
      <c r="B102" t="s">
        <v>264</v>
      </c>
      <c r="C102" t="s">
        <v>61</v>
      </c>
      <c r="D102" t="s">
        <v>265</v>
      </c>
      <c r="E102" t="s">
        <v>102</v>
      </c>
      <c r="F102" t="s">
        <v>64</v>
      </c>
      <c r="K102">
        <v>170000</v>
      </c>
      <c r="L102" t="s">
        <v>65</v>
      </c>
      <c r="N102" s="23">
        <v>160000</v>
      </c>
    </row>
    <row r="103" spans="1:14" x14ac:dyDescent="0.25">
      <c r="A103">
        <v>333</v>
      </c>
      <c r="B103" t="s">
        <v>266</v>
      </c>
      <c r="C103" t="s">
        <v>61</v>
      </c>
      <c r="D103" t="s">
        <v>267</v>
      </c>
      <c r="E103" t="s">
        <v>88</v>
      </c>
      <c r="F103" t="s">
        <v>64</v>
      </c>
      <c r="K103">
        <v>170000</v>
      </c>
      <c r="L103" t="s">
        <v>65</v>
      </c>
      <c r="N103" s="23">
        <v>160000</v>
      </c>
    </row>
    <row r="104" spans="1:14" x14ac:dyDescent="0.25">
      <c r="A104">
        <v>344</v>
      </c>
      <c r="B104" t="s">
        <v>268</v>
      </c>
      <c r="C104" t="s">
        <v>61</v>
      </c>
      <c r="D104" t="s">
        <v>269</v>
      </c>
      <c r="E104" t="s">
        <v>78</v>
      </c>
      <c r="F104" t="s">
        <v>64</v>
      </c>
      <c r="K104">
        <v>240000</v>
      </c>
      <c r="L104" t="s">
        <v>65</v>
      </c>
      <c r="N104" s="23">
        <v>230000</v>
      </c>
    </row>
    <row r="105" spans="1:14" x14ac:dyDescent="0.25">
      <c r="A105">
        <v>186</v>
      </c>
      <c r="B105" t="s">
        <v>270</v>
      </c>
      <c r="C105" t="s">
        <v>61</v>
      </c>
      <c r="D105" t="s">
        <v>271</v>
      </c>
      <c r="E105" t="s">
        <v>102</v>
      </c>
      <c r="F105" t="s">
        <v>64</v>
      </c>
      <c r="K105">
        <v>170000</v>
      </c>
      <c r="L105" t="s">
        <v>65</v>
      </c>
      <c r="N105" s="23">
        <v>160000</v>
      </c>
    </row>
    <row r="106" spans="1:14" x14ac:dyDescent="0.25">
      <c r="A106">
        <v>126</v>
      </c>
      <c r="B106" t="s">
        <v>272</v>
      </c>
      <c r="C106" t="s">
        <v>61</v>
      </c>
      <c r="D106" t="s">
        <v>273</v>
      </c>
      <c r="E106" t="s">
        <v>109</v>
      </c>
      <c r="F106" t="s">
        <v>64</v>
      </c>
      <c r="K106">
        <v>360000</v>
      </c>
      <c r="L106" t="s">
        <v>65</v>
      </c>
      <c r="N106" s="28">
        <v>360000</v>
      </c>
    </row>
    <row r="107" spans="1:14" x14ac:dyDescent="0.25">
      <c r="A107">
        <v>127</v>
      </c>
      <c r="B107" t="s">
        <v>274</v>
      </c>
      <c r="C107" t="s">
        <v>61</v>
      </c>
      <c r="D107" t="s">
        <v>275</v>
      </c>
      <c r="E107" t="s">
        <v>91</v>
      </c>
      <c r="F107" t="s">
        <v>64</v>
      </c>
      <c r="K107">
        <v>760000</v>
      </c>
      <c r="L107" t="s">
        <v>65</v>
      </c>
      <c r="N107" s="23">
        <v>720000</v>
      </c>
    </row>
    <row r="108" spans="1:14" x14ac:dyDescent="0.25">
      <c r="A108">
        <v>221</v>
      </c>
      <c r="B108" t="s">
        <v>276</v>
      </c>
      <c r="C108" t="s">
        <v>61</v>
      </c>
      <c r="D108" t="s">
        <v>277</v>
      </c>
      <c r="E108" t="s">
        <v>91</v>
      </c>
      <c r="F108" t="s">
        <v>64</v>
      </c>
      <c r="K108">
        <v>360000</v>
      </c>
      <c r="L108" t="s">
        <v>65</v>
      </c>
      <c r="N108" s="23">
        <v>350000</v>
      </c>
    </row>
    <row r="109" spans="1:14" x14ac:dyDescent="0.25">
      <c r="A109">
        <v>369</v>
      </c>
      <c r="B109" t="s">
        <v>278</v>
      </c>
      <c r="C109" t="s">
        <v>61</v>
      </c>
      <c r="D109" t="s">
        <v>279</v>
      </c>
      <c r="E109" t="s">
        <v>91</v>
      </c>
      <c r="F109" t="s">
        <v>64</v>
      </c>
      <c r="K109">
        <v>250000</v>
      </c>
      <c r="L109" t="s">
        <v>65</v>
      </c>
      <c r="N109" s="23">
        <v>250000</v>
      </c>
    </row>
    <row r="110" spans="1:14" x14ac:dyDescent="0.25">
      <c r="A110">
        <v>129</v>
      </c>
      <c r="B110" t="s">
        <v>280</v>
      </c>
      <c r="C110" t="s">
        <v>61</v>
      </c>
      <c r="D110" t="s">
        <v>281</v>
      </c>
      <c r="E110" t="s">
        <v>70</v>
      </c>
      <c r="F110" t="s">
        <v>64</v>
      </c>
      <c r="K110">
        <v>990000</v>
      </c>
      <c r="L110" t="s">
        <v>65</v>
      </c>
      <c r="N110" s="23">
        <v>940000</v>
      </c>
    </row>
    <row r="111" spans="1:14" x14ac:dyDescent="0.25">
      <c r="A111">
        <v>269</v>
      </c>
      <c r="B111" t="s">
        <v>288</v>
      </c>
      <c r="C111" t="s">
        <v>61</v>
      </c>
      <c r="D111" t="s">
        <v>289</v>
      </c>
      <c r="E111" t="s">
        <v>75</v>
      </c>
      <c r="F111" t="s">
        <v>64</v>
      </c>
      <c r="K111">
        <v>330000</v>
      </c>
      <c r="L111" t="s">
        <v>65</v>
      </c>
      <c r="N111" s="23">
        <v>320000</v>
      </c>
    </row>
    <row r="112" spans="1:14" x14ac:dyDescent="0.25">
      <c r="A112">
        <v>252</v>
      </c>
      <c r="B112" t="s">
        <v>290</v>
      </c>
      <c r="C112" t="s">
        <v>61</v>
      </c>
      <c r="D112" t="s">
        <v>291</v>
      </c>
      <c r="E112" t="s">
        <v>88</v>
      </c>
      <c r="F112" t="s">
        <v>64</v>
      </c>
      <c r="K112">
        <v>170000</v>
      </c>
      <c r="L112" t="s">
        <v>65</v>
      </c>
      <c r="N112" s="24">
        <v>160000</v>
      </c>
    </row>
    <row r="113" spans="1:14" x14ac:dyDescent="0.25">
      <c r="A113">
        <v>136</v>
      </c>
      <c r="B113" t="s">
        <v>292</v>
      </c>
      <c r="C113" t="s">
        <v>61</v>
      </c>
      <c r="D113" t="s">
        <v>293</v>
      </c>
      <c r="E113" t="s">
        <v>81</v>
      </c>
      <c r="F113" t="s">
        <v>64</v>
      </c>
      <c r="K113">
        <v>940000</v>
      </c>
      <c r="L113" t="s">
        <v>65</v>
      </c>
      <c r="N113" s="24">
        <v>900000</v>
      </c>
    </row>
    <row r="114" spans="1:14" x14ac:dyDescent="0.25">
      <c r="A114">
        <v>137</v>
      </c>
      <c r="B114" t="s">
        <v>294</v>
      </c>
      <c r="C114" t="s">
        <v>61</v>
      </c>
      <c r="D114" t="s">
        <v>295</v>
      </c>
      <c r="E114" t="s">
        <v>81</v>
      </c>
      <c r="F114" t="s">
        <v>64</v>
      </c>
      <c r="K114">
        <v>520000</v>
      </c>
      <c r="L114" t="s">
        <v>65</v>
      </c>
      <c r="N114" s="24">
        <v>490000</v>
      </c>
    </row>
    <row r="115" spans="1:14" x14ac:dyDescent="0.25">
      <c r="A115">
        <v>267</v>
      </c>
      <c r="B115" t="s">
        <v>296</v>
      </c>
      <c r="C115" t="s">
        <v>61</v>
      </c>
      <c r="D115" t="s">
        <v>297</v>
      </c>
      <c r="E115" t="s">
        <v>91</v>
      </c>
      <c r="F115" t="s">
        <v>64</v>
      </c>
      <c r="K115">
        <v>330000</v>
      </c>
      <c r="L115" t="s">
        <v>65</v>
      </c>
      <c r="N115" s="23">
        <v>310000</v>
      </c>
    </row>
    <row r="116" spans="1:14" x14ac:dyDescent="0.25">
      <c r="A116">
        <v>280</v>
      </c>
      <c r="B116" t="s">
        <v>298</v>
      </c>
      <c r="C116" t="s">
        <v>61</v>
      </c>
      <c r="D116" t="s">
        <v>299</v>
      </c>
      <c r="E116" t="s">
        <v>102</v>
      </c>
      <c r="F116" t="s">
        <v>64</v>
      </c>
      <c r="K116">
        <v>0</v>
      </c>
      <c r="L116" t="s">
        <v>65</v>
      </c>
      <c r="N116" s="23">
        <v>0</v>
      </c>
    </row>
    <row r="117" spans="1:14" x14ac:dyDescent="0.25">
      <c r="A117">
        <v>89</v>
      </c>
      <c r="B117" t="s">
        <v>35</v>
      </c>
      <c r="C117" t="s">
        <v>61</v>
      </c>
      <c r="D117" t="s">
        <v>300</v>
      </c>
      <c r="E117" t="s">
        <v>102</v>
      </c>
      <c r="F117" t="s">
        <v>64</v>
      </c>
      <c r="H117" t="s">
        <v>301</v>
      </c>
      <c r="K117">
        <v>420000</v>
      </c>
      <c r="L117" t="s">
        <v>65</v>
      </c>
      <c r="N117" s="23">
        <v>400000</v>
      </c>
    </row>
    <row r="118" spans="1:14" x14ac:dyDescent="0.25">
      <c r="A118">
        <v>141</v>
      </c>
      <c r="B118" t="s">
        <v>40</v>
      </c>
      <c r="C118" t="s">
        <v>61</v>
      </c>
      <c r="D118" t="s">
        <v>302</v>
      </c>
      <c r="E118" t="s">
        <v>109</v>
      </c>
      <c r="F118" t="s">
        <v>64</v>
      </c>
      <c r="K118">
        <v>170000</v>
      </c>
      <c r="L118" t="s">
        <v>65</v>
      </c>
      <c r="N118" s="23">
        <v>160000</v>
      </c>
    </row>
    <row r="119" spans="1:14" x14ac:dyDescent="0.25">
      <c r="A119">
        <v>138</v>
      </c>
      <c r="B119" t="s">
        <v>303</v>
      </c>
      <c r="C119" t="s">
        <v>61</v>
      </c>
      <c r="D119" t="s">
        <v>304</v>
      </c>
      <c r="E119" t="s">
        <v>91</v>
      </c>
      <c r="F119" t="s">
        <v>64</v>
      </c>
      <c r="K119">
        <v>470000</v>
      </c>
      <c r="L119" t="s">
        <v>65</v>
      </c>
      <c r="N119" s="23">
        <v>450000</v>
      </c>
    </row>
    <row r="120" spans="1:14" x14ac:dyDescent="0.25">
      <c r="A120">
        <v>139</v>
      </c>
      <c r="B120" t="s">
        <v>305</v>
      </c>
      <c r="C120" t="s">
        <v>61</v>
      </c>
      <c r="D120" t="s">
        <v>306</v>
      </c>
      <c r="E120" t="s">
        <v>102</v>
      </c>
      <c r="F120" t="s">
        <v>64</v>
      </c>
      <c r="K120">
        <v>470000</v>
      </c>
      <c r="L120" t="s">
        <v>65</v>
      </c>
      <c r="N120" s="23">
        <v>450000</v>
      </c>
    </row>
    <row r="121" spans="1:14" x14ac:dyDescent="0.25">
      <c r="A121">
        <v>140</v>
      </c>
      <c r="B121" t="s">
        <v>24</v>
      </c>
      <c r="C121" t="s">
        <v>61</v>
      </c>
      <c r="D121" t="s">
        <v>307</v>
      </c>
      <c r="E121" t="s">
        <v>129</v>
      </c>
      <c r="F121" t="s">
        <v>64</v>
      </c>
      <c r="H121" t="s">
        <v>308</v>
      </c>
      <c r="K121">
        <v>470000</v>
      </c>
      <c r="L121" t="s">
        <v>65</v>
      </c>
      <c r="N121" s="23">
        <v>450000</v>
      </c>
    </row>
    <row r="122" spans="1:14" x14ac:dyDescent="0.25">
      <c r="A122">
        <v>195</v>
      </c>
      <c r="B122" t="s">
        <v>309</v>
      </c>
      <c r="C122" t="s">
        <v>61</v>
      </c>
      <c r="D122" t="s">
        <v>310</v>
      </c>
      <c r="E122" t="s">
        <v>91</v>
      </c>
      <c r="F122" t="s">
        <v>64</v>
      </c>
      <c r="K122">
        <v>500000</v>
      </c>
      <c r="L122" t="s">
        <v>65</v>
      </c>
      <c r="N122" s="23">
        <v>470000</v>
      </c>
    </row>
    <row r="123" spans="1:14" x14ac:dyDescent="0.25">
      <c r="A123">
        <v>170</v>
      </c>
      <c r="B123" t="s">
        <v>311</v>
      </c>
      <c r="C123" t="s">
        <v>61</v>
      </c>
      <c r="D123" t="s">
        <v>312</v>
      </c>
      <c r="E123" t="s">
        <v>88</v>
      </c>
      <c r="F123" t="s">
        <v>64</v>
      </c>
      <c r="K123">
        <v>410000</v>
      </c>
      <c r="L123" t="s">
        <v>65</v>
      </c>
      <c r="N123" s="23">
        <v>390000</v>
      </c>
    </row>
    <row r="124" spans="1:14" x14ac:dyDescent="0.25">
      <c r="A124">
        <v>142</v>
      </c>
      <c r="B124" t="s">
        <v>313</v>
      </c>
      <c r="C124" t="s">
        <v>61</v>
      </c>
      <c r="D124" t="s">
        <v>314</v>
      </c>
      <c r="E124" t="s">
        <v>91</v>
      </c>
      <c r="F124" t="s">
        <v>64</v>
      </c>
      <c r="K124">
        <v>1000000</v>
      </c>
      <c r="L124" t="s">
        <v>65</v>
      </c>
      <c r="N124" s="23">
        <v>950000</v>
      </c>
    </row>
    <row r="125" spans="1:14" x14ac:dyDescent="0.25">
      <c r="A125">
        <v>143</v>
      </c>
      <c r="B125" t="s">
        <v>315</v>
      </c>
      <c r="C125" t="s">
        <v>61</v>
      </c>
      <c r="D125" t="s">
        <v>316</v>
      </c>
      <c r="E125" t="s">
        <v>78</v>
      </c>
      <c r="F125" t="s">
        <v>64</v>
      </c>
      <c r="K125">
        <v>1410000</v>
      </c>
      <c r="L125" t="s">
        <v>65</v>
      </c>
      <c r="N125" s="23">
        <v>1350000</v>
      </c>
    </row>
    <row r="126" spans="1:14" x14ac:dyDescent="0.25">
      <c r="A126">
        <v>144</v>
      </c>
      <c r="B126" t="s">
        <v>317</v>
      </c>
      <c r="C126" t="s">
        <v>61</v>
      </c>
      <c r="D126" t="s">
        <v>318</v>
      </c>
      <c r="E126" t="s">
        <v>109</v>
      </c>
      <c r="F126" t="s">
        <v>64</v>
      </c>
      <c r="K126">
        <v>470000</v>
      </c>
      <c r="L126" t="s">
        <v>65</v>
      </c>
      <c r="N126" s="28">
        <v>450000</v>
      </c>
    </row>
    <row r="127" spans="1:14" x14ac:dyDescent="0.25">
      <c r="A127">
        <v>146</v>
      </c>
      <c r="B127" t="s">
        <v>319</v>
      </c>
      <c r="C127" t="s">
        <v>61</v>
      </c>
      <c r="D127" t="s">
        <v>320</v>
      </c>
      <c r="E127" t="s">
        <v>88</v>
      </c>
      <c r="F127" t="s">
        <v>64</v>
      </c>
      <c r="K127">
        <v>0</v>
      </c>
      <c r="L127" t="s">
        <v>65</v>
      </c>
      <c r="N127" s="28">
        <v>0</v>
      </c>
    </row>
    <row r="128" spans="1:14" x14ac:dyDescent="0.25">
      <c r="A128">
        <v>147</v>
      </c>
      <c r="B128" t="s">
        <v>32</v>
      </c>
      <c r="C128" t="s">
        <v>61</v>
      </c>
      <c r="D128" t="s">
        <v>321</v>
      </c>
      <c r="E128" t="s">
        <v>109</v>
      </c>
      <c r="F128" t="s">
        <v>64</v>
      </c>
      <c r="K128">
        <v>860000</v>
      </c>
      <c r="L128" t="s">
        <v>65</v>
      </c>
      <c r="N128" s="23">
        <v>840000</v>
      </c>
    </row>
    <row r="129" spans="1:14" x14ac:dyDescent="0.25">
      <c r="A129">
        <v>320</v>
      </c>
      <c r="B129" t="s">
        <v>322</v>
      </c>
      <c r="C129" t="s">
        <v>61</v>
      </c>
      <c r="D129" t="s">
        <v>323</v>
      </c>
      <c r="E129" t="s">
        <v>102</v>
      </c>
      <c r="F129" t="s">
        <v>64</v>
      </c>
      <c r="K129">
        <v>360000</v>
      </c>
      <c r="L129" t="s">
        <v>65</v>
      </c>
      <c r="N129" s="23">
        <v>350000</v>
      </c>
    </row>
    <row r="130" spans="1:14" x14ac:dyDescent="0.25">
      <c r="A130">
        <v>93</v>
      </c>
      <c r="B130" t="s">
        <v>324</v>
      </c>
      <c r="C130" t="s">
        <v>61</v>
      </c>
      <c r="D130" t="s">
        <v>325</v>
      </c>
      <c r="E130" t="s">
        <v>102</v>
      </c>
      <c r="F130" t="s">
        <v>64</v>
      </c>
      <c r="K130">
        <v>120000</v>
      </c>
      <c r="L130" t="s">
        <v>65</v>
      </c>
      <c r="N130" s="23">
        <v>120000</v>
      </c>
    </row>
    <row r="131" spans="1:14" x14ac:dyDescent="0.25">
      <c r="A131">
        <v>149</v>
      </c>
      <c r="B131" t="s">
        <v>326</v>
      </c>
      <c r="C131" t="s">
        <v>61</v>
      </c>
      <c r="D131" t="s">
        <v>327</v>
      </c>
      <c r="E131" t="s">
        <v>91</v>
      </c>
      <c r="F131" t="s">
        <v>64</v>
      </c>
      <c r="K131">
        <v>720000</v>
      </c>
      <c r="L131" t="s">
        <v>65</v>
      </c>
      <c r="N131" s="23">
        <v>690000</v>
      </c>
    </row>
    <row r="132" spans="1:14" x14ac:dyDescent="0.25">
      <c r="A132">
        <v>265</v>
      </c>
      <c r="B132" t="s">
        <v>328</v>
      </c>
      <c r="C132" t="s">
        <v>61</v>
      </c>
      <c r="D132" t="s">
        <v>329</v>
      </c>
      <c r="E132" t="s">
        <v>88</v>
      </c>
      <c r="F132" t="s">
        <v>64</v>
      </c>
      <c r="K132">
        <v>390000</v>
      </c>
      <c r="L132" t="s">
        <v>65</v>
      </c>
      <c r="N132" s="31">
        <v>370000</v>
      </c>
    </row>
    <row r="133" spans="1:14" x14ac:dyDescent="0.25">
      <c r="A133">
        <v>151</v>
      </c>
      <c r="B133" t="s">
        <v>330</v>
      </c>
      <c r="C133" t="s">
        <v>61</v>
      </c>
      <c r="D133" t="s">
        <v>331</v>
      </c>
      <c r="E133" t="s">
        <v>70</v>
      </c>
      <c r="F133" t="s">
        <v>64</v>
      </c>
      <c r="K133">
        <v>3860000</v>
      </c>
      <c r="L133" t="s">
        <v>65</v>
      </c>
      <c r="N133" s="23">
        <v>3670000</v>
      </c>
    </row>
    <row r="134" spans="1:14" x14ac:dyDescent="0.25">
      <c r="A134">
        <v>152</v>
      </c>
      <c r="B134" t="s">
        <v>33</v>
      </c>
      <c r="C134" t="s">
        <v>61</v>
      </c>
      <c r="D134" t="s">
        <v>332</v>
      </c>
      <c r="E134" t="s">
        <v>129</v>
      </c>
      <c r="F134" t="s">
        <v>64</v>
      </c>
      <c r="K134">
        <v>2310000</v>
      </c>
      <c r="L134" t="s">
        <v>65</v>
      </c>
      <c r="N134" s="23">
        <v>2200000</v>
      </c>
    </row>
    <row r="135" spans="1:14" x14ac:dyDescent="0.25">
      <c r="A135">
        <v>94</v>
      </c>
      <c r="B135" t="s">
        <v>333</v>
      </c>
      <c r="C135" t="s">
        <v>61</v>
      </c>
      <c r="D135" t="s">
        <v>334</v>
      </c>
      <c r="E135" t="s">
        <v>102</v>
      </c>
      <c r="F135" t="s">
        <v>64</v>
      </c>
      <c r="K135">
        <v>390000</v>
      </c>
      <c r="L135" t="s">
        <v>65</v>
      </c>
      <c r="N135" s="23">
        <v>370000</v>
      </c>
    </row>
    <row r="136" spans="1:14" x14ac:dyDescent="0.25">
      <c r="A136">
        <v>277</v>
      </c>
      <c r="B136" t="s">
        <v>335</v>
      </c>
      <c r="C136" t="s">
        <v>61</v>
      </c>
      <c r="D136" t="s">
        <v>336</v>
      </c>
      <c r="E136" t="s">
        <v>75</v>
      </c>
      <c r="F136" t="s">
        <v>64</v>
      </c>
      <c r="K136">
        <v>330000</v>
      </c>
      <c r="L136" t="s">
        <v>65</v>
      </c>
      <c r="N136" s="23">
        <v>310000</v>
      </c>
    </row>
    <row r="137" spans="1:14" x14ac:dyDescent="0.25">
      <c r="A137">
        <v>302</v>
      </c>
      <c r="B137" t="s">
        <v>337</v>
      </c>
      <c r="C137" t="s">
        <v>61</v>
      </c>
      <c r="D137" t="s">
        <v>338</v>
      </c>
      <c r="E137" t="s">
        <v>109</v>
      </c>
      <c r="F137" t="s">
        <v>64</v>
      </c>
      <c r="K137">
        <v>1930000</v>
      </c>
      <c r="L137" t="s">
        <v>65</v>
      </c>
      <c r="N137" s="23">
        <v>1050000</v>
      </c>
    </row>
    <row r="138" spans="1:14" x14ac:dyDescent="0.25">
      <c r="A138">
        <v>364</v>
      </c>
      <c r="B138" t="s">
        <v>339</v>
      </c>
      <c r="C138" t="s">
        <v>61</v>
      </c>
      <c r="D138" t="s">
        <v>340</v>
      </c>
      <c r="E138" t="s">
        <v>129</v>
      </c>
      <c r="F138" t="s">
        <v>64</v>
      </c>
      <c r="K138">
        <v>170000</v>
      </c>
      <c r="L138" t="s">
        <v>65</v>
      </c>
      <c r="N138" s="31">
        <v>160000</v>
      </c>
    </row>
    <row r="139" spans="1:14" x14ac:dyDescent="0.25">
      <c r="A139">
        <v>334</v>
      </c>
      <c r="B139" t="s">
        <v>341</v>
      </c>
      <c r="C139" t="s">
        <v>61</v>
      </c>
      <c r="D139" t="s">
        <v>342</v>
      </c>
      <c r="E139" t="s">
        <v>91</v>
      </c>
      <c r="F139" t="s">
        <v>64</v>
      </c>
      <c r="K139">
        <v>120000</v>
      </c>
      <c r="L139" t="s">
        <v>65</v>
      </c>
      <c r="N139" s="25">
        <v>120000</v>
      </c>
    </row>
    <row r="140" spans="1:14" x14ac:dyDescent="0.25">
      <c r="A140">
        <v>342</v>
      </c>
      <c r="B140" t="s">
        <v>343</v>
      </c>
      <c r="C140" t="s">
        <v>61</v>
      </c>
      <c r="D140" t="s">
        <v>344</v>
      </c>
      <c r="E140" t="s">
        <v>63</v>
      </c>
      <c r="F140" t="s">
        <v>64</v>
      </c>
      <c r="K140">
        <v>120000</v>
      </c>
      <c r="L140" t="s">
        <v>65</v>
      </c>
      <c r="N140" s="23">
        <v>120000</v>
      </c>
    </row>
    <row r="141" spans="1:14" x14ac:dyDescent="0.25">
      <c r="A141">
        <v>308</v>
      </c>
      <c r="B141" t="s">
        <v>345</v>
      </c>
      <c r="C141" t="s">
        <v>61</v>
      </c>
      <c r="D141" t="s">
        <v>346</v>
      </c>
      <c r="E141" t="s">
        <v>129</v>
      </c>
      <c r="F141" t="s">
        <v>64</v>
      </c>
      <c r="K141">
        <v>240000</v>
      </c>
      <c r="L141" t="s">
        <v>65</v>
      </c>
      <c r="N141" s="29">
        <v>230000</v>
      </c>
    </row>
    <row r="142" spans="1:14" x14ac:dyDescent="0.25">
      <c r="A142">
        <v>237</v>
      </c>
      <c r="B142" t="s">
        <v>347</v>
      </c>
      <c r="C142" t="s">
        <v>61</v>
      </c>
      <c r="D142" t="s">
        <v>348</v>
      </c>
      <c r="E142" t="s">
        <v>63</v>
      </c>
      <c r="F142" t="s">
        <v>64</v>
      </c>
      <c r="K142">
        <v>300000</v>
      </c>
      <c r="L142" t="s">
        <v>65</v>
      </c>
      <c r="N142" s="23">
        <v>290000</v>
      </c>
    </row>
    <row r="143" spans="1:14" x14ac:dyDescent="0.25">
      <c r="A143">
        <v>298</v>
      </c>
      <c r="B143" t="s">
        <v>349</v>
      </c>
      <c r="C143" t="s">
        <v>61</v>
      </c>
      <c r="D143" t="s">
        <v>350</v>
      </c>
      <c r="E143" t="s">
        <v>102</v>
      </c>
      <c r="F143" t="s">
        <v>64</v>
      </c>
      <c r="K143">
        <v>1500000</v>
      </c>
      <c r="L143" t="s">
        <v>65</v>
      </c>
      <c r="N143" s="23">
        <v>1500000</v>
      </c>
    </row>
    <row r="144" spans="1:14" x14ac:dyDescent="0.25">
      <c r="A144">
        <v>238</v>
      </c>
      <c r="B144" t="s">
        <v>351</v>
      </c>
      <c r="C144" t="s">
        <v>61</v>
      </c>
      <c r="D144" t="s">
        <v>352</v>
      </c>
      <c r="E144" t="s">
        <v>91</v>
      </c>
      <c r="F144" t="s">
        <v>64</v>
      </c>
      <c r="K144">
        <v>720000</v>
      </c>
      <c r="L144" t="s">
        <v>65</v>
      </c>
      <c r="N144" s="23">
        <v>680000</v>
      </c>
    </row>
    <row r="145" spans="1:14" x14ac:dyDescent="0.25">
      <c r="A145">
        <v>282</v>
      </c>
      <c r="B145" t="s">
        <v>353</v>
      </c>
      <c r="C145" t="s">
        <v>61</v>
      </c>
      <c r="D145" t="s">
        <v>354</v>
      </c>
      <c r="E145" t="s">
        <v>91</v>
      </c>
      <c r="F145" t="s">
        <v>64</v>
      </c>
      <c r="K145">
        <v>720000</v>
      </c>
      <c r="L145" t="s">
        <v>65</v>
      </c>
      <c r="N145" s="23">
        <v>680000</v>
      </c>
    </row>
    <row r="146" spans="1:14" x14ac:dyDescent="0.25">
      <c r="A146">
        <v>173</v>
      </c>
      <c r="B146" t="s">
        <v>355</v>
      </c>
      <c r="C146" t="s">
        <v>61</v>
      </c>
      <c r="D146" t="s">
        <v>356</v>
      </c>
      <c r="E146" t="s">
        <v>129</v>
      </c>
      <c r="F146" t="s">
        <v>64</v>
      </c>
      <c r="K146">
        <v>4260000</v>
      </c>
      <c r="L146" t="s">
        <v>65</v>
      </c>
      <c r="N146" s="23">
        <v>4070000</v>
      </c>
    </row>
    <row r="147" spans="1:14" x14ac:dyDescent="0.25">
      <c r="A147">
        <v>243</v>
      </c>
      <c r="B147" t="s">
        <v>367</v>
      </c>
      <c r="C147" t="s">
        <v>61</v>
      </c>
      <c r="D147" t="s">
        <v>368</v>
      </c>
      <c r="E147" t="s">
        <v>63</v>
      </c>
      <c r="F147" t="s">
        <v>64</v>
      </c>
      <c r="K147">
        <v>470000</v>
      </c>
      <c r="L147" t="s">
        <v>65</v>
      </c>
      <c r="N147" s="25">
        <v>450000</v>
      </c>
    </row>
    <row r="148" spans="1:14" x14ac:dyDescent="0.25">
      <c r="A148">
        <v>234</v>
      </c>
      <c r="B148" t="s">
        <v>359</v>
      </c>
      <c r="C148" t="s">
        <v>61</v>
      </c>
      <c r="D148" t="s">
        <v>360</v>
      </c>
      <c r="E148" t="s">
        <v>129</v>
      </c>
      <c r="F148" t="s">
        <v>64</v>
      </c>
      <c r="K148">
        <v>330000</v>
      </c>
      <c r="L148" t="s">
        <v>65</v>
      </c>
      <c r="N148" s="23">
        <v>310000</v>
      </c>
    </row>
    <row r="149" spans="1:14" x14ac:dyDescent="0.25">
      <c r="A149">
        <v>266</v>
      </c>
      <c r="B149" t="s">
        <v>361</v>
      </c>
      <c r="C149" t="s">
        <v>61</v>
      </c>
      <c r="D149" t="s">
        <v>362</v>
      </c>
      <c r="E149" t="s">
        <v>78</v>
      </c>
      <c r="F149" t="s">
        <v>64</v>
      </c>
      <c r="K149">
        <v>330000</v>
      </c>
      <c r="L149" t="s">
        <v>65</v>
      </c>
      <c r="N149" s="23">
        <v>310000</v>
      </c>
    </row>
    <row r="150" spans="1:14" x14ac:dyDescent="0.25">
      <c r="A150">
        <v>368</v>
      </c>
      <c r="B150" t="s">
        <v>363</v>
      </c>
      <c r="C150" t="s">
        <v>61</v>
      </c>
      <c r="D150" t="s">
        <v>364</v>
      </c>
      <c r="E150" t="s">
        <v>70</v>
      </c>
      <c r="F150" t="s">
        <v>64</v>
      </c>
      <c r="K150">
        <v>230000</v>
      </c>
      <c r="L150" t="s">
        <v>65</v>
      </c>
      <c r="N150" s="23">
        <v>230000</v>
      </c>
    </row>
    <row r="151" spans="1:14" x14ac:dyDescent="0.25">
      <c r="A151">
        <v>317</v>
      </c>
      <c r="B151" t="s">
        <v>365</v>
      </c>
      <c r="C151" t="s">
        <v>61</v>
      </c>
      <c r="D151" t="s">
        <v>366</v>
      </c>
      <c r="E151" t="s">
        <v>88</v>
      </c>
      <c r="F151" t="s">
        <v>64</v>
      </c>
      <c r="K151">
        <v>500000</v>
      </c>
      <c r="L151" t="s">
        <v>65</v>
      </c>
      <c r="N151" s="23">
        <v>470000</v>
      </c>
    </row>
    <row r="152" spans="1:14" x14ac:dyDescent="0.25">
      <c r="A152">
        <v>264</v>
      </c>
      <c r="B152" t="s">
        <v>369</v>
      </c>
      <c r="C152" t="s">
        <v>61</v>
      </c>
      <c r="D152" t="s">
        <v>370</v>
      </c>
      <c r="E152" t="s">
        <v>78</v>
      </c>
      <c r="F152" t="s">
        <v>64</v>
      </c>
      <c r="K152">
        <v>360000</v>
      </c>
      <c r="L152" t="s">
        <v>65</v>
      </c>
      <c r="N152" s="23">
        <v>350000</v>
      </c>
    </row>
    <row r="153" spans="1:14" x14ac:dyDescent="0.25">
      <c r="A153">
        <v>281</v>
      </c>
      <c r="B153" t="s">
        <v>371</v>
      </c>
      <c r="C153" t="s">
        <v>61</v>
      </c>
      <c r="D153" t="s">
        <v>372</v>
      </c>
      <c r="E153" t="s">
        <v>102</v>
      </c>
      <c r="F153" t="s">
        <v>64</v>
      </c>
      <c r="K153">
        <v>280000</v>
      </c>
      <c r="L153" t="s">
        <v>65</v>
      </c>
      <c r="N153" s="23">
        <v>260000</v>
      </c>
    </row>
    <row r="154" spans="1:14" x14ac:dyDescent="0.25">
      <c r="A154">
        <v>180</v>
      </c>
      <c r="B154" t="s">
        <v>373</v>
      </c>
      <c r="C154" t="s">
        <v>61</v>
      </c>
      <c r="D154" t="s">
        <v>374</v>
      </c>
      <c r="E154" t="s">
        <v>129</v>
      </c>
      <c r="F154" t="s">
        <v>64</v>
      </c>
      <c r="K154">
        <v>780000</v>
      </c>
      <c r="L154" t="s">
        <v>65</v>
      </c>
      <c r="N154" s="28">
        <v>750000</v>
      </c>
    </row>
    <row r="155" spans="1:14" x14ac:dyDescent="0.25">
      <c r="A155">
        <v>311</v>
      </c>
      <c r="B155" t="s">
        <v>375</v>
      </c>
      <c r="C155" t="s">
        <v>61</v>
      </c>
      <c r="D155" t="s">
        <v>376</v>
      </c>
      <c r="E155" t="s">
        <v>81</v>
      </c>
      <c r="F155" t="s">
        <v>64</v>
      </c>
      <c r="K155">
        <v>520000</v>
      </c>
      <c r="L155" t="s">
        <v>65</v>
      </c>
      <c r="N155" s="23">
        <v>500000</v>
      </c>
    </row>
    <row r="156" spans="1:14" x14ac:dyDescent="0.25">
      <c r="A156">
        <v>241</v>
      </c>
      <c r="B156" t="s">
        <v>377</v>
      </c>
      <c r="C156" t="s">
        <v>61</v>
      </c>
      <c r="D156" t="s">
        <v>378</v>
      </c>
      <c r="E156" t="s">
        <v>129</v>
      </c>
      <c r="F156" t="s">
        <v>64</v>
      </c>
      <c r="K156">
        <v>520000</v>
      </c>
      <c r="L156" t="s">
        <v>65</v>
      </c>
      <c r="N156" s="23">
        <v>500000</v>
      </c>
    </row>
    <row r="157" spans="1:14" x14ac:dyDescent="0.25">
      <c r="A157">
        <v>182</v>
      </c>
      <c r="B157" t="s">
        <v>379</v>
      </c>
      <c r="C157" t="s">
        <v>61</v>
      </c>
      <c r="D157" t="s">
        <v>380</v>
      </c>
      <c r="E157" t="s">
        <v>63</v>
      </c>
      <c r="F157" t="s">
        <v>64</v>
      </c>
      <c r="K157">
        <v>1440000</v>
      </c>
      <c r="L157" t="s">
        <v>65</v>
      </c>
      <c r="N157" s="23">
        <v>1370000</v>
      </c>
    </row>
    <row r="158" spans="1:14" x14ac:dyDescent="0.25">
      <c r="A158">
        <v>183</v>
      </c>
      <c r="B158" t="s">
        <v>381</v>
      </c>
      <c r="C158" t="s">
        <v>61</v>
      </c>
      <c r="D158" t="s">
        <v>382</v>
      </c>
      <c r="E158" t="s">
        <v>70</v>
      </c>
      <c r="F158" t="s">
        <v>64</v>
      </c>
      <c r="K158">
        <v>240000</v>
      </c>
      <c r="L158" t="s">
        <v>65</v>
      </c>
      <c r="N158" s="23">
        <v>230000</v>
      </c>
    </row>
    <row r="159" spans="1:14" x14ac:dyDescent="0.25">
      <c r="A159">
        <v>201</v>
      </c>
      <c r="B159" t="s">
        <v>385</v>
      </c>
      <c r="C159" t="s">
        <v>61</v>
      </c>
      <c r="D159" t="s">
        <v>386</v>
      </c>
      <c r="E159" t="s">
        <v>81</v>
      </c>
      <c r="F159" t="s">
        <v>64</v>
      </c>
      <c r="K159">
        <v>120000</v>
      </c>
      <c r="L159" t="s">
        <v>65</v>
      </c>
      <c r="N159" s="23">
        <v>120000</v>
      </c>
    </row>
    <row r="160" spans="1:14" x14ac:dyDescent="0.25">
      <c r="A160">
        <v>205</v>
      </c>
      <c r="B160" t="s">
        <v>383</v>
      </c>
      <c r="C160" t="s">
        <v>61</v>
      </c>
      <c r="D160" t="s">
        <v>384</v>
      </c>
      <c r="E160" t="s">
        <v>91</v>
      </c>
      <c r="F160" t="s">
        <v>64</v>
      </c>
      <c r="K160">
        <v>120000</v>
      </c>
      <c r="L160" t="s">
        <v>65</v>
      </c>
      <c r="N160" s="23">
        <v>120000</v>
      </c>
    </row>
    <row r="161" spans="1:14" x14ac:dyDescent="0.25">
      <c r="A161">
        <v>188</v>
      </c>
      <c r="B161" t="s">
        <v>389</v>
      </c>
      <c r="C161" t="s">
        <v>61</v>
      </c>
      <c r="D161" t="s">
        <v>390</v>
      </c>
      <c r="E161" t="s">
        <v>91</v>
      </c>
      <c r="F161" t="s">
        <v>64</v>
      </c>
      <c r="K161">
        <v>470000</v>
      </c>
      <c r="L161" t="s">
        <v>65</v>
      </c>
      <c r="N161" s="23">
        <v>450000</v>
      </c>
    </row>
    <row r="162" spans="1:14" x14ac:dyDescent="0.25">
      <c r="A162">
        <v>189</v>
      </c>
      <c r="B162" t="s">
        <v>391</v>
      </c>
      <c r="C162" t="s">
        <v>61</v>
      </c>
      <c r="D162" t="s">
        <v>392</v>
      </c>
      <c r="E162" t="s">
        <v>70</v>
      </c>
      <c r="F162" t="s">
        <v>64</v>
      </c>
      <c r="K162">
        <v>2120000</v>
      </c>
      <c r="L162" t="s">
        <v>65</v>
      </c>
      <c r="N162" s="23">
        <v>2040000</v>
      </c>
    </row>
    <row r="163" spans="1:14" x14ac:dyDescent="0.25">
      <c r="A163">
        <v>190</v>
      </c>
      <c r="B163" t="s">
        <v>393</v>
      </c>
      <c r="C163" t="s">
        <v>61</v>
      </c>
      <c r="D163" t="s">
        <v>394</v>
      </c>
      <c r="E163" t="s">
        <v>91</v>
      </c>
      <c r="F163" t="s">
        <v>64</v>
      </c>
      <c r="K163">
        <v>770000</v>
      </c>
      <c r="L163" t="s">
        <v>65</v>
      </c>
      <c r="N163" s="23">
        <v>730000</v>
      </c>
    </row>
    <row r="164" spans="1:14" x14ac:dyDescent="0.25">
      <c r="A164">
        <v>192</v>
      </c>
      <c r="B164" t="s">
        <v>395</v>
      </c>
      <c r="C164" t="s">
        <v>61</v>
      </c>
      <c r="D164" t="s">
        <v>396</v>
      </c>
      <c r="E164" t="s">
        <v>109</v>
      </c>
      <c r="F164" t="s">
        <v>64</v>
      </c>
      <c r="K164">
        <v>770000</v>
      </c>
      <c r="L164" t="s">
        <v>65</v>
      </c>
      <c r="N164" s="23">
        <v>730000</v>
      </c>
    </row>
    <row r="165" spans="1:14" x14ac:dyDescent="0.25">
      <c r="A165">
        <v>193</v>
      </c>
      <c r="B165" t="s">
        <v>397</v>
      </c>
      <c r="C165" t="s">
        <v>61</v>
      </c>
      <c r="D165" t="s">
        <v>398</v>
      </c>
      <c r="E165" t="s">
        <v>129</v>
      </c>
      <c r="F165" t="s">
        <v>64</v>
      </c>
      <c r="K165">
        <v>500000</v>
      </c>
      <c r="L165" t="s">
        <v>65</v>
      </c>
      <c r="N165" s="26">
        <v>470000</v>
      </c>
    </row>
    <row r="166" spans="1:14" x14ac:dyDescent="0.25">
      <c r="A166">
        <v>194</v>
      </c>
      <c r="B166" t="s">
        <v>399</v>
      </c>
      <c r="C166" t="s">
        <v>61</v>
      </c>
      <c r="D166" t="s">
        <v>400</v>
      </c>
      <c r="E166" t="s">
        <v>63</v>
      </c>
      <c r="F166" t="s">
        <v>64</v>
      </c>
      <c r="K166">
        <v>500000</v>
      </c>
      <c r="L166" t="s">
        <v>65</v>
      </c>
      <c r="N166" s="23">
        <v>470000</v>
      </c>
    </row>
    <row r="167" spans="1:14" x14ac:dyDescent="0.25">
      <c r="A167">
        <v>197</v>
      </c>
      <c r="B167" t="s">
        <v>401</v>
      </c>
      <c r="C167" t="s">
        <v>61</v>
      </c>
      <c r="D167" t="s">
        <v>402</v>
      </c>
      <c r="E167" t="s">
        <v>70</v>
      </c>
      <c r="F167" t="s">
        <v>64</v>
      </c>
      <c r="K167">
        <v>1600000</v>
      </c>
      <c r="L167" t="s">
        <v>65</v>
      </c>
      <c r="N167" s="23">
        <v>1550000</v>
      </c>
    </row>
    <row r="168" spans="1:14" x14ac:dyDescent="0.25">
      <c r="A168">
        <v>198</v>
      </c>
      <c r="B168" t="s">
        <v>407</v>
      </c>
      <c r="C168" t="s">
        <v>61</v>
      </c>
      <c r="D168" t="s">
        <v>408</v>
      </c>
      <c r="E168" t="s">
        <v>102</v>
      </c>
      <c r="F168" t="s">
        <v>64</v>
      </c>
      <c r="K168">
        <v>470000</v>
      </c>
      <c r="L168" t="s">
        <v>65</v>
      </c>
      <c r="N168" s="23">
        <v>450000</v>
      </c>
    </row>
    <row r="169" spans="1:14" x14ac:dyDescent="0.25">
      <c r="A169">
        <v>199</v>
      </c>
      <c r="B169" t="s">
        <v>403</v>
      </c>
      <c r="C169" t="s">
        <v>61</v>
      </c>
      <c r="D169" t="s">
        <v>404</v>
      </c>
      <c r="E169" t="s">
        <v>91</v>
      </c>
      <c r="F169" t="s">
        <v>64</v>
      </c>
      <c r="K169">
        <v>0</v>
      </c>
      <c r="L169" t="s">
        <v>65</v>
      </c>
      <c r="N169" s="23">
        <v>0</v>
      </c>
    </row>
    <row r="170" spans="1:14" x14ac:dyDescent="0.25">
      <c r="A170">
        <v>200</v>
      </c>
      <c r="B170" t="s">
        <v>409</v>
      </c>
      <c r="C170" t="s">
        <v>61</v>
      </c>
      <c r="D170" t="s">
        <v>410</v>
      </c>
      <c r="E170" t="s">
        <v>91</v>
      </c>
      <c r="F170" t="s">
        <v>64</v>
      </c>
      <c r="K170">
        <v>500000</v>
      </c>
      <c r="L170" t="s">
        <v>65</v>
      </c>
      <c r="N170" s="23">
        <v>470000</v>
      </c>
    </row>
    <row r="171" spans="1:14" x14ac:dyDescent="0.25">
      <c r="A171">
        <v>117</v>
      </c>
      <c r="B171" t="s">
        <v>411</v>
      </c>
      <c r="C171" t="s">
        <v>61</v>
      </c>
      <c r="D171" t="s">
        <v>412</v>
      </c>
      <c r="E171" t="s">
        <v>102</v>
      </c>
      <c r="F171" t="s">
        <v>64</v>
      </c>
      <c r="K171">
        <v>360000</v>
      </c>
      <c r="L171" t="s">
        <v>65</v>
      </c>
      <c r="N171" s="23">
        <v>350000</v>
      </c>
    </row>
    <row r="172" spans="1:14" x14ac:dyDescent="0.25">
      <c r="A172">
        <v>240</v>
      </c>
      <c r="B172" t="s">
        <v>413</v>
      </c>
      <c r="C172" t="s">
        <v>61</v>
      </c>
      <c r="D172" t="s">
        <v>414</v>
      </c>
      <c r="E172" t="s">
        <v>91</v>
      </c>
      <c r="F172" t="s">
        <v>64</v>
      </c>
      <c r="K172">
        <v>360000</v>
      </c>
      <c r="L172" t="s">
        <v>65</v>
      </c>
      <c r="N172" s="23">
        <v>350000</v>
      </c>
    </row>
    <row r="173" spans="1:14" x14ac:dyDescent="0.25">
      <c r="A173">
        <v>202</v>
      </c>
      <c r="B173" t="s">
        <v>415</v>
      </c>
      <c r="C173" t="s">
        <v>61</v>
      </c>
      <c r="D173" t="s">
        <v>416</v>
      </c>
      <c r="E173" t="s">
        <v>78</v>
      </c>
      <c r="F173" t="s">
        <v>64</v>
      </c>
      <c r="K173">
        <v>360000</v>
      </c>
      <c r="L173" t="s">
        <v>65</v>
      </c>
      <c r="N173" s="23">
        <v>350000</v>
      </c>
    </row>
    <row r="174" spans="1:14" x14ac:dyDescent="0.25">
      <c r="A174">
        <v>203</v>
      </c>
      <c r="B174" t="s">
        <v>417</v>
      </c>
      <c r="C174" t="s">
        <v>61</v>
      </c>
      <c r="D174" t="s">
        <v>418</v>
      </c>
      <c r="E174" t="s">
        <v>78</v>
      </c>
      <c r="F174" t="s">
        <v>64</v>
      </c>
      <c r="K174">
        <v>1760000</v>
      </c>
      <c r="L174" t="s">
        <v>65</v>
      </c>
      <c r="N174" s="23">
        <v>1710000</v>
      </c>
    </row>
    <row r="175" spans="1:14" x14ac:dyDescent="0.25">
      <c r="A175">
        <v>220</v>
      </c>
      <c r="B175" t="s">
        <v>405</v>
      </c>
      <c r="C175" t="s">
        <v>61</v>
      </c>
      <c r="D175" t="s">
        <v>406</v>
      </c>
      <c r="E175" t="s">
        <v>88</v>
      </c>
      <c r="F175" t="s">
        <v>64</v>
      </c>
      <c r="K175">
        <v>520000</v>
      </c>
      <c r="L175" t="s">
        <v>65</v>
      </c>
      <c r="N175" s="23">
        <v>500000</v>
      </c>
    </row>
    <row r="176" spans="1:14" x14ac:dyDescent="0.25">
      <c r="A176">
        <v>335</v>
      </c>
      <c r="B176" t="s">
        <v>419</v>
      </c>
      <c r="C176" t="s">
        <v>61</v>
      </c>
      <c r="D176" t="s">
        <v>420</v>
      </c>
      <c r="E176" t="s">
        <v>81</v>
      </c>
      <c r="F176" t="s">
        <v>64</v>
      </c>
      <c r="K176">
        <v>170000</v>
      </c>
      <c r="L176" t="s">
        <v>65</v>
      </c>
      <c r="N176" s="23">
        <v>160000</v>
      </c>
    </row>
    <row r="177" spans="1:14" x14ac:dyDescent="0.25">
      <c r="A177">
        <v>278</v>
      </c>
      <c r="B177" t="s">
        <v>421</v>
      </c>
      <c r="C177" t="s">
        <v>61</v>
      </c>
      <c r="D177" t="s">
        <v>422</v>
      </c>
      <c r="E177" t="s">
        <v>102</v>
      </c>
      <c r="F177" t="s">
        <v>64</v>
      </c>
      <c r="K177">
        <v>500000</v>
      </c>
      <c r="L177" t="s">
        <v>65</v>
      </c>
      <c r="N177" s="23">
        <v>470000</v>
      </c>
    </row>
    <row r="178" spans="1:14" x14ac:dyDescent="0.25">
      <c r="A178">
        <v>363</v>
      </c>
      <c r="B178" t="s">
        <v>28</v>
      </c>
      <c r="C178" t="s">
        <v>61</v>
      </c>
      <c r="D178" t="s">
        <v>423</v>
      </c>
      <c r="E178" t="s">
        <v>91</v>
      </c>
      <c r="F178" t="s">
        <v>64</v>
      </c>
      <c r="K178">
        <v>260000</v>
      </c>
      <c r="L178" t="s">
        <v>65</v>
      </c>
      <c r="N178" s="23">
        <v>260000</v>
      </c>
    </row>
    <row r="179" spans="1:14" x14ac:dyDescent="0.25">
      <c r="N179" s="13"/>
    </row>
    <row r="180" spans="1:14" x14ac:dyDescent="0.25">
      <c r="N180" s="14"/>
    </row>
    <row r="181" spans="1:14" x14ac:dyDescent="0.25">
      <c r="A181">
        <v>185</v>
      </c>
      <c r="B181" t="s">
        <v>387</v>
      </c>
      <c r="C181" t="s">
        <v>61</v>
      </c>
      <c r="D181" t="s">
        <v>388</v>
      </c>
      <c r="E181" t="s">
        <v>70</v>
      </c>
      <c r="F181" t="s">
        <v>64</v>
      </c>
      <c r="K181">
        <v>0</v>
      </c>
      <c r="L181" t="s">
        <v>432</v>
      </c>
    </row>
    <row r="182" spans="1:14" x14ac:dyDescent="0.25">
      <c r="A182">
        <v>177</v>
      </c>
      <c r="B182" t="s">
        <v>357</v>
      </c>
      <c r="C182" t="s">
        <v>61</v>
      </c>
      <c r="D182" t="s">
        <v>358</v>
      </c>
      <c r="E182" t="s">
        <v>102</v>
      </c>
      <c r="F182" t="s">
        <v>64</v>
      </c>
      <c r="K182">
        <v>0</v>
      </c>
      <c r="L182" t="s">
        <v>432</v>
      </c>
    </row>
    <row r="183" spans="1:14" x14ac:dyDescent="0.25">
      <c r="A183">
        <v>132</v>
      </c>
      <c r="B183" t="s">
        <v>282</v>
      </c>
      <c r="C183" t="s">
        <v>61</v>
      </c>
      <c r="D183" t="s">
        <v>283</v>
      </c>
      <c r="E183" t="s">
        <v>75</v>
      </c>
      <c r="F183" t="s">
        <v>64</v>
      </c>
      <c r="K183">
        <v>0</v>
      </c>
      <c r="L183" t="s">
        <v>432</v>
      </c>
    </row>
    <row r="184" spans="1:14" x14ac:dyDescent="0.25">
      <c r="A184">
        <v>133</v>
      </c>
      <c r="B184" t="s">
        <v>284</v>
      </c>
      <c r="C184" t="s">
        <v>61</v>
      </c>
      <c r="D184" t="s">
        <v>285</v>
      </c>
      <c r="E184" t="s">
        <v>78</v>
      </c>
      <c r="F184" t="s">
        <v>64</v>
      </c>
      <c r="K184">
        <v>0</v>
      </c>
      <c r="L184" t="s">
        <v>432</v>
      </c>
    </row>
    <row r="185" spans="1:14" x14ac:dyDescent="0.25">
      <c r="A185">
        <v>134</v>
      </c>
      <c r="B185" t="s">
        <v>286</v>
      </c>
      <c r="C185" t="s">
        <v>61</v>
      </c>
      <c r="D185" t="s">
        <v>287</v>
      </c>
      <c r="E185" t="s">
        <v>102</v>
      </c>
      <c r="F185" t="s">
        <v>64</v>
      </c>
      <c r="K185">
        <v>0</v>
      </c>
      <c r="L185" t="s">
        <v>432</v>
      </c>
    </row>
    <row r="186" spans="1:14" x14ac:dyDescent="0.25">
      <c r="A186">
        <v>258</v>
      </c>
      <c r="B186" t="s">
        <v>216</v>
      </c>
      <c r="C186" t="s">
        <v>61</v>
      </c>
      <c r="D186" t="s">
        <v>217</v>
      </c>
      <c r="E186" t="s">
        <v>78</v>
      </c>
      <c r="F186" t="s">
        <v>64</v>
      </c>
      <c r="K186">
        <v>0</v>
      </c>
      <c r="L186" t="s">
        <v>432</v>
      </c>
      <c r="N186" s="13">
        <v>0</v>
      </c>
    </row>
  </sheetData>
  <conditionalFormatting sqref="N4:N79 N82:N111">
    <cfRule type="expression" dxfId="10" priority="2">
      <formula>$J2="OK/"</formula>
    </cfRule>
  </conditionalFormatting>
  <conditionalFormatting sqref="N2 N80">
    <cfRule type="expression" dxfId="9" priority="1">
      <formula>$J1="OK/"</formula>
    </cfRule>
  </conditionalFormatting>
  <conditionalFormatting sqref="N119:N155">
    <cfRule type="expression" dxfId="8" priority="3">
      <formula>$J111="OK/"</formula>
    </cfRule>
  </conditionalFormatting>
  <conditionalFormatting sqref="N157:N169">
    <cfRule type="expression" dxfId="7" priority="5">
      <formula>$J148="OK/"</formula>
    </cfRule>
  </conditionalFormatting>
  <conditionalFormatting sqref="N171:N175">
    <cfRule type="expression" dxfId="6" priority="6">
      <formula>$J161="OK/"</formula>
    </cfRule>
  </conditionalFormatting>
  <conditionalFormatting sqref="N170">
    <cfRule type="expression" dxfId="5" priority="7">
      <formula>$J181="OK/"</formula>
    </cfRule>
  </conditionalFormatting>
  <conditionalFormatting sqref="N156">
    <cfRule type="expression" dxfId="4" priority="8">
      <formula>$J182="OK/"</formula>
    </cfRule>
  </conditionalFormatting>
  <conditionalFormatting sqref="N116:N118">
    <cfRule type="expression" dxfId="3" priority="9">
      <formula>$J183="OK/"</formula>
    </cfRule>
  </conditionalFormatting>
  <conditionalFormatting sqref="N115">
    <cfRule type="expression" dxfId="2" priority="10">
      <formula>$J110="OK/"</formula>
    </cfRule>
  </conditionalFormatting>
  <conditionalFormatting sqref="N186">
    <cfRule type="expression" dxfId="1" priority="11">
      <formula>$J78="OK/"</formula>
    </cfRule>
  </conditionalFormatting>
  <conditionalFormatting sqref="N81">
    <cfRule type="expression" dxfId="0" priority="12">
      <formula>$J186="OK/"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Cuentas</vt:lpstr>
      <vt:lpstr>Pagos</vt:lpstr>
      <vt:lpstr>Clientes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GERMÁN FERNÁNDEZ</cp:lastModifiedBy>
  <dcterms:created xsi:type="dcterms:W3CDTF">2026-09-17T18:45:04Z</dcterms:created>
  <dcterms:modified xsi:type="dcterms:W3CDTF">2026-09-17T19:01:19Z</dcterms:modified>
</cp:coreProperties>
</file>